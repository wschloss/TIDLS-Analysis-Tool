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harts/chart6.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harts/chart7.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mmahaffey\Desktop\"/>
    </mc:Choice>
  </mc:AlternateContent>
  <bookViews>
    <workbookView xWindow="14505" yWindow="405" windowWidth="9495" windowHeight="9720" activeTab="8"/>
  </bookViews>
  <sheets>
    <sheet name="User" sheetId="8" r:id="rId1"/>
    <sheet name="Calc" sheetId="3" state="veryHidden" r:id="rId2"/>
    <sheet name="Settings" sheetId="14" r:id="rId3"/>
    <sheet name="Summary" sheetId="9" r:id="rId4"/>
    <sheet name="Multi" sheetId="21" r:id="rId5"/>
    <sheet name="RawData" sheetId="15" r:id="rId6"/>
    <sheet name="Command" sheetId="13" state="veryHidden" r:id="rId7"/>
    <sheet name="Module1" sheetId="4" state="veryHidden" r:id=""/>
    <sheet name="Plots" sheetId="20" r:id="rId8"/>
  </sheets>
  <functionGroups builtInGroupCount="18"/>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Settings!$E$26</definedName>
    <definedName name="AirVStdev">Settings!$O$15</definedName>
    <definedName name="AnalysisMode">User!$H$6</definedName>
    <definedName name="AnalysisModeErrorMsg">Calc!$T$1</definedName>
    <definedName name="AreaFrac">Settings!$C$15</definedName>
    <definedName name="Auger_Coefficient">Settings!$C$13</definedName>
    <definedName name="AugerModel">Settings!$C$17</definedName>
    <definedName name="AugerModelList">Command!$B$40:$B$41</definedName>
    <definedName name="AutoRescale">Settings!$E$14</definedName>
    <definedName name="AutoSummary">Settings!$E$7</definedName>
    <definedName name="AveInvTau">Calc!#REF!</definedName>
    <definedName name="B_cal">Settings!$C$7</definedName>
    <definedName name="BandGapOption">Settings!#REF!</definedName>
    <definedName name="BaseGainFlag">Command!$E$5</definedName>
    <definedName name="BiasLight">User!$G$6</definedName>
    <definedName name="BiasPtCD">Calc!$M$6</definedName>
    <definedName name="C_cal">Settings!$C$9</definedName>
    <definedName name="C_wafer">Settings!$H$6</definedName>
    <definedName name="CorrectedResistivity">Calc!$AE$6</definedName>
    <definedName name="CorrectedSheetRho">Calc!$AD$6</definedName>
    <definedName name="CouplingMode">Settings!$C$14</definedName>
    <definedName name="cutoffflag">Command!$E$13</definedName>
    <definedName name="Dark_Voltage">Calc!$A$6</definedName>
    <definedName name="DK">Command!$B$46</definedName>
    <definedName name="DL">Command!$B$47</definedName>
    <definedName name="ExcelAutosave">Settings!$E$11</definedName>
    <definedName name="ExcelSummary">Settings!$E$4</definedName>
    <definedName name="ExcelSummaryFN">Settings!$F$4</definedName>
    <definedName name="FirstPoint">Calc!$L$6</definedName>
    <definedName name="Fit_Range">Settings!$C$16</definedName>
    <definedName name="FitIntercept">Calc!$Q$6</definedName>
    <definedName name="FitInterceptAuger">Calc!$U$6</definedName>
    <definedName name="FitRangeMax">Calc!$H$6</definedName>
    <definedName name="FitRangeMin">Calc!$G$6</definedName>
    <definedName name="FitSlope">Calc!$P$6</definedName>
    <definedName name="FitSlopeAuger">Calc!$T$6</definedName>
    <definedName name="flashWaitFlag">Command!$E$10</definedName>
    <definedName name="HighTemp">User!$M$6</definedName>
    <definedName name="ImpliedVoc1sun">Calc!$AB$6</definedName>
    <definedName name="InputRangeAvg">#REF!</definedName>
    <definedName name="InputRangeFit">#REF!</definedName>
    <definedName name="InputRangeMCD">#REF!</definedName>
    <definedName name="InputRangeMode">#REF!</definedName>
    <definedName name="InputRangeOptConst">#REF!</definedName>
    <definedName name="InputRangePC">#REF!</definedName>
    <definedName name="InputRangeRef">#REF!</definedName>
    <definedName name="InputRangeType">#REF!</definedName>
    <definedName name="InputResCoverSheet">#REF!</definedName>
    <definedName name="InputResistivity">User!$C$6</definedName>
    <definedName name="InstrumentSN">Settings!$C$4</definedName>
    <definedName name="InstrumentType">Settings!$C$3</definedName>
    <definedName name="IsLogged">User!$K$6</definedName>
    <definedName name="Jo">Calc!$AA$6</definedName>
    <definedName name="LifetimeTextLabel">Calc!$M$1</definedName>
    <definedName name="LightBiasErrorMsg">Calc!$R$3</definedName>
    <definedName name="LowTemp">User!$L$6</definedName>
    <definedName name="ltransientFlag">Command!$E$7</definedName>
    <definedName name="MaxApparentCD">Calc!$J$6</definedName>
    <definedName name="MaxSuns">Calc!$F$6</definedName>
    <definedName name="MaxTauLimit">Settings!$C$25</definedName>
    <definedName name="MCDErrorMsg">Calc!$R$2</definedName>
    <definedName name="MeasDate">Calc!$F$1</definedName>
    <definedName name="MeasTime">Calc!$F$2</definedName>
    <definedName name="MeasureCmd">Command!$H$4</definedName>
    <definedName name="MeasuredLifetime">Calc!$R$6</definedName>
    <definedName name="MeasuredLifetimeAuger">Calc!$V$6</definedName>
    <definedName name="MeasuredResistivity">Calc!$C$6</definedName>
    <definedName name="MeasureTempCmd">Command!$H$6</definedName>
    <definedName name="MinApparentCD">Calc!$I$6</definedName>
    <definedName name="MinTauLimit">Settings!$C$24</definedName>
    <definedName name="MobilityModel">Settings!$C$18</definedName>
    <definedName name="mobilitymodelerror">Calc!$T$2</definedName>
    <definedName name="MobilityModelList">Command!$B$46:$B$47</definedName>
    <definedName name="Mode_List">Command!$B$32:$B$35</definedName>
    <definedName name="ntransientFlag">Command!$E$8</definedName>
    <definedName name="numflashes">Command!$C$11</definedName>
    <definedName name="numFlashesFlag">Command!$E$11</definedName>
    <definedName name="NumFlashesInitial">Settings!$E$20</definedName>
    <definedName name="ONOFFList">Command!$B$43:$B$44</definedName>
    <definedName name="OptConst">User!$E$6</definedName>
    <definedName name="PassFailMsg">Settings!$C$26</definedName>
    <definedName name="PathName">Command!$H$3</definedName>
    <definedName name="PC_ZoomIn">Command!$C$23</definedName>
    <definedName name="PC_ZoomOut">Command!$C$22</definedName>
    <definedName name="PCGainFlag">Command!$E$3</definedName>
    <definedName name="PCRange">Command!$C$3</definedName>
    <definedName name="PCRefRatio">Calc!$E$6</definedName>
    <definedName name="PCVoltageUpperBound">Command!$C$17</definedName>
    <definedName name="PCVoltUpperBound">Command!$C$17</definedName>
    <definedName name="PlotList">Command!#REF!</definedName>
    <definedName name="PulseLength">Settings!$E$29</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InputType">#REF!</definedName>
    <definedName name="SampleNameCoverSheet">#REF!</definedName>
    <definedName name="SampleNameUserSheet">User!$A$6</definedName>
    <definedName name="SampleType">User!$D$6</definedName>
    <definedName name="SheetResistance">Calc!$B$6</definedName>
    <definedName name="ShowUserForm">Settings!$E$17</definedName>
    <definedName name="solver_adj" localSheetId="1" hidden="1">Calc!#REF!,Calc!#REF!</definedName>
    <definedName name="solver_drv" localSheetId="1" hidden="1">1</definedName>
    <definedName name="solver_est" localSheetId="1" hidden="1">1</definedName>
    <definedName name="solver_itr" localSheetId="1" hidden="1">10</definedName>
    <definedName name="solver_lin" localSheetId="1" hidden="1">1</definedName>
    <definedName name="solver_num" localSheetId="1" hidden="1">0</definedName>
    <definedName name="solver_nwt" localSheetId="1" hidden="1">1</definedName>
    <definedName name="solver_opt" localSheetId="1" hidden="1">Calc!#REF!</definedName>
    <definedName name="solver_pre" localSheetId="1" hidden="1">0.001</definedName>
    <definedName name="solver_scl" localSheetId="1" hidden="1">2</definedName>
    <definedName name="solver_sho" localSheetId="1" hidden="1">2</definedName>
    <definedName name="solver_tim" localSheetId="1" hidden="1">30</definedName>
    <definedName name="solver_tol" localSheetId="1" hidden="1">0.05</definedName>
    <definedName name="solver_typ" localSheetId="1" hidden="1">2</definedName>
    <definedName name="solver_val" localSheetId="1" hidden="1">0</definedName>
    <definedName name="SpecMCD">User!$F$6</definedName>
    <definedName name="SpecMCDminusTraps">Calc!$O$6</definedName>
    <definedName name="StepSize">User!$N$6</definedName>
    <definedName name="TauFitIntercept">Calc!$Y$6</definedName>
    <definedName name="TauInvspecMCD">Calc!$X$6</definedName>
    <definedName name="Temperature">Calc!$F$3</definedName>
    <definedName name="TempScanAverage">Settings!$E$23</definedName>
    <definedName name="TextSummary">Settings!$E$5</definedName>
    <definedName name="TextSummaryFN">Settings!$F$5</definedName>
    <definedName name="TF_List">Command!$B$29:$B$30</definedName>
    <definedName name="TF_PassFail">Settings!$C$23</definedName>
    <definedName name="Thickness">User!$B$6</definedName>
    <definedName name="ThicknessCoverSheet">#REF!</definedName>
    <definedName name="TimeofMaxCD">Calc!$K$6</definedName>
    <definedName name="TimeScaleFlags">Command!$H$7</definedName>
    <definedName name="TNumTaus">Settings!$E$31</definedName>
    <definedName name="Tolerance">User!$O$6</definedName>
    <definedName name="TransFlashDelay">Settings!$E$22</definedName>
    <definedName name="Traps">Calc!$N$6</definedName>
    <definedName name="TSampleTime">Settings!$E$30</definedName>
    <definedName name="type_list">Command!$B$37:$B$38</definedName>
    <definedName name="ViewPoint">User!$I$2</definedName>
    <definedName name="VRangeList">Command!$D$30:$D$37</definedName>
    <definedName name="xferFlag">Command!$E$9</definedName>
    <definedName name="ZeroInstrCmd">Command!$H$5</definedName>
    <definedName name="ZeroInstTime">Settings!$O$17</definedName>
  </definedNames>
  <calcPr calcId="152511"/>
</workbook>
</file>

<file path=xl/calcChain.xml><?xml version="1.0" encoding="utf-8"?>
<calcChain xmlns="http://schemas.openxmlformats.org/spreadsheetml/2006/main">
  <c r="AC44" i="3" l="1"/>
  <c r="C13" i="13" l="1"/>
  <c r="E13" i="13" s="1"/>
  <c r="T2" i="3" l="1"/>
  <c r="W134" i="3"/>
  <c r="D2" i="9" l="1"/>
  <c r="L9" i="8" l="1"/>
  <c r="AC43" i="3" l="1"/>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D12" i="3" l="1"/>
  <c r="AD11" i="3"/>
  <c r="AD9" i="3"/>
  <c r="AD10" i="3"/>
  <c r="E6" i="3"/>
  <c r="T1" i="3" s="1"/>
  <c r="E9" i="3"/>
  <c r="G6" i="3" l="1"/>
  <c r="D9" i="3"/>
  <c r="D17" i="3" l="1"/>
  <c r="N134" i="3" l="1"/>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Z10"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9" i="3"/>
  <c r="C6" i="13" l="1"/>
  <c r="C7" i="13"/>
  <c r="C8" i="13"/>
  <c r="E6" i="13"/>
  <c r="H7" i="13" s="1"/>
  <c r="E21" i="14"/>
  <c r="C10" i="13" s="1"/>
  <c r="E21" i="13" l="1"/>
  <c r="C21" i="13"/>
  <c r="E18" i="13"/>
  <c r="C18" i="13"/>
  <c r="B18" i="13"/>
  <c r="E17" i="13"/>
  <c r="F17" i="13" s="1"/>
  <c r="C17" i="13"/>
  <c r="D17" i="13" s="1"/>
  <c r="D18" i="13" l="1"/>
  <c r="F18" i="13"/>
  <c r="C12" i="13" l="1"/>
  <c r="D12" i="13" s="1"/>
  <c r="E12" i="13" s="1"/>
  <c r="H5" i="13" s="1"/>
  <c r="E11" i="13"/>
  <c r="E9" i="13"/>
  <c r="E8" i="13"/>
  <c r="E7" i="13"/>
  <c r="D5" i="13" l="1"/>
  <c r="E5" i="13" s="1"/>
  <c r="D4" i="13"/>
  <c r="D3" i="13"/>
  <c r="E22" i="13" l="1"/>
  <c r="E23" i="13"/>
  <c r="C22" i="13"/>
  <c r="C23" i="13"/>
  <c r="E3" i="13"/>
  <c r="Z2" i="9"/>
  <c r="X2" i="9"/>
  <c r="W2" i="9"/>
  <c r="V2" i="9"/>
  <c r="J2" i="9" l="1"/>
  <c r="I2" i="9"/>
  <c r="H2" i="9"/>
  <c r="G2" i="9"/>
  <c r="E2" i="9"/>
  <c r="C2" i="9"/>
  <c r="B2" i="9"/>
  <c r="A2" i="9"/>
  <c r="E12" i="14"/>
  <c r="C10" i="14" l="1"/>
  <c r="C9" i="14" s="1"/>
  <c r="V139" i="3"/>
  <c r="D133" i="3"/>
  <c r="E133" i="3"/>
  <c r="D132" i="3"/>
  <c r="E132" i="3"/>
  <c r="D131" i="3"/>
  <c r="E131" i="3"/>
  <c r="D130" i="3"/>
  <c r="E130" i="3"/>
  <c r="D129" i="3"/>
  <c r="E129" i="3"/>
  <c r="D128" i="3"/>
  <c r="E128" i="3"/>
  <c r="D127" i="3"/>
  <c r="E127" i="3"/>
  <c r="D126" i="3"/>
  <c r="E126" i="3"/>
  <c r="D125" i="3"/>
  <c r="E125" i="3"/>
  <c r="D124" i="3"/>
  <c r="E124" i="3"/>
  <c r="D123" i="3"/>
  <c r="E123" i="3"/>
  <c r="D122" i="3"/>
  <c r="E122" i="3"/>
  <c r="D121" i="3"/>
  <c r="E121" i="3"/>
  <c r="D120" i="3"/>
  <c r="E120" i="3"/>
  <c r="D119" i="3"/>
  <c r="E119" i="3"/>
  <c r="D118" i="3"/>
  <c r="E118" i="3"/>
  <c r="D117" i="3"/>
  <c r="E117" i="3"/>
  <c r="D116" i="3"/>
  <c r="E116" i="3"/>
  <c r="D115" i="3"/>
  <c r="E115" i="3"/>
  <c r="D114" i="3"/>
  <c r="E114" i="3"/>
  <c r="D113" i="3"/>
  <c r="E113" i="3"/>
  <c r="D112" i="3"/>
  <c r="E112" i="3"/>
  <c r="D111" i="3"/>
  <c r="E111" i="3"/>
  <c r="D110" i="3"/>
  <c r="E110" i="3"/>
  <c r="D109" i="3"/>
  <c r="E109" i="3"/>
  <c r="D108" i="3"/>
  <c r="E108" i="3"/>
  <c r="D107" i="3"/>
  <c r="E107" i="3"/>
  <c r="D106" i="3"/>
  <c r="R4" i="3" l="1"/>
  <c r="Y2" i="9"/>
  <c r="N107" i="3"/>
  <c r="N108" i="3"/>
  <c r="N109" i="3"/>
  <c r="N110" i="3"/>
  <c r="N111" i="3"/>
  <c r="N112" i="3"/>
  <c r="N113" i="3"/>
  <c r="N114" i="3"/>
  <c r="N115" i="3"/>
  <c r="N116" i="3"/>
  <c r="N117" i="3"/>
  <c r="N118" i="3"/>
  <c r="N119" i="3"/>
  <c r="N120" i="3"/>
  <c r="N121" i="3"/>
  <c r="N122" i="3"/>
  <c r="N123" i="3"/>
  <c r="N124" i="3"/>
  <c r="N125" i="3"/>
  <c r="N126" i="3"/>
  <c r="N127" i="3"/>
  <c r="N128" i="3"/>
  <c r="N129" i="3"/>
  <c r="N130" i="3"/>
  <c r="N131" i="3"/>
  <c r="F122" i="3"/>
  <c r="G122" i="3" s="1"/>
  <c r="F114" i="3"/>
  <c r="G114" i="3" s="1"/>
  <c r="F110" i="3"/>
  <c r="G110" i="3" s="1"/>
  <c r="F118" i="3"/>
  <c r="G118" i="3" s="1"/>
  <c r="F108" i="3"/>
  <c r="G108" i="3" s="1"/>
  <c r="F112" i="3"/>
  <c r="G112" i="3" s="1"/>
  <c r="F116" i="3"/>
  <c r="G116" i="3" s="1"/>
  <c r="F120" i="3"/>
  <c r="G120" i="3" s="1"/>
  <c r="F107" i="3"/>
  <c r="G107" i="3" s="1"/>
  <c r="F109" i="3"/>
  <c r="G109" i="3" s="1"/>
  <c r="F111" i="3"/>
  <c r="G111" i="3" s="1"/>
  <c r="F113" i="3"/>
  <c r="G113" i="3" s="1"/>
  <c r="F115" i="3"/>
  <c r="G115" i="3" s="1"/>
  <c r="F117" i="3"/>
  <c r="G117" i="3" s="1"/>
  <c r="F119" i="3"/>
  <c r="G119" i="3" s="1"/>
  <c r="F121" i="3"/>
  <c r="G121" i="3" s="1"/>
  <c r="F123" i="3"/>
  <c r="G123" i="3" s="1"/>
  <c r="F124" i="3"/>
  <c r="G124" i="3" s="1"/>
  <c r="F125" i="3"/>
  <c r="G125" i="3" s="1"/>
  <c r="F126" i="3"/>
  <c r="G126" i="3" s="1"/>
  <c r="F127" i="3"/>
  <c r="G127" i="3" s="1"/>
  <c r="F128" i="3"/>
  <c r="G128" i="3" s="1"/>
  <c r="F129" i="3"/>
  <c r="G129" i="3" s="1"/>
  <c r="F130" i="3"/>
  <c r="G130" i="3" s="1"/>
  <c r="F131" i="3"/>
  <c r="G131" i="3" s="1"/>
  <c r="F132" i="3"/>
  <c r="G132" i="3" s="1"/>
  <c r="M132" i="3"/>
  <c r="N133"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N132" i="3"/>
  <c r="F133" i="3"/>
  <c r="G133" i="3" s="1"/>
  <c r="M133" i="3"/>
  <c r="E106" i="3"/>
  <c r="D105" i="3"/>
  <c r="E105" i="3"/>
  <c r="D104" i="3"/>
  <c r="E104" i="3"/>
  <c r="D103" i="3"/>
  <c r="E103" i="3"/>
  <c r="D102" i="3"/>
  <c r="E102" i="3"/>
  <c r="D101" i="3"/>
  <c r="E101" i="3"/>
  <c r="D100" i="3"/>
  <c r="E100" i="3"/>
  <c r="D99" i="3"/>
  <c r="N101" i="3" l="1"/>
  <c r="N103" i="3"/>
  <c r="N106" i="3"/>
  <c r="N100" i="3"/>
  <c r="N102" i="3"/>
  <c r="N104" i="3"/>
  <c r="N105" i="3"/>
  <c r="F105" i="3"/>
  <c r="G105" i="3" s="1"/>
  <c r="F101" i="3"/>
  <c r="G101" i="3" s="1"/>
  <c r="F103" i="3"/>
  <c r="G103" i="3" s="1"/>
  <c r="F100" i="3"/>
  <c r="G100" i="3" s="1"/>
  <c r="F102" i="3"/>
  <c r="G102" i="3" s="1"/>
  <c r="F104" i="3"/>
  <c r="G104" i="3" s="1"/>
  <c r="F106" i="3"/>
  <c r="G106" i="3" s="1"/>
  <c r="M100" i="3"/>
  <c r="M101" i="3"/>
  <c r="M102" i="3"/>
  <c r="M103" i="3"/>
  <c r="M104" i="3"/>
  <c r="M105" i="3"/>
  <c r="M106" i="3"/>
  <c r="E99" i="3"/>
  <c r="D98" i="3"/>
  <c r="E98" i="3"/>
  <c r="D97" i="3"/>
  <c r="M98" i="3" l="1"/>
  <c r="M99" i="3"/>
  <c r="F98" i="3"/>
  <c r="G98" i="3" s="1"/>
  <c r="F99" i="3"/>
  <c r="G99" i="3" s="1"/>
  <c r="E97" i="3"/>
  <c r="D96" i="3"/>
  <c r="E96" i="3"/>
  <c r="D95" i="3"/>
  <c r="E95" i="3"/>
  <c r="D94" i="3"/>
  <c r="E94" i="3"/>
  <c r="D93" i="3"/>
  <c r="E93" i="3"/>
  <c r="D92" i="3"/>
  <c r="E92" i="3"/>
  <c r="D91" i="3"/>
  <c r="E91" i="3"/>
  <c r="D90" i="3"/>
  <c r="E90" i="3"/>
  <c r="D89" i="3"/>
  <c r="E89" i="3"/>
  <c r="D88" i="3"/>
  <c r="E88" i="3"/>
  <c r="D87" i="3"/>
  <c r="E87" i="3"/>
  <c r="D86" i="3"/>
  <c r="E86" i="3"/>
  <c r="D85" i="3"/>
  <c r="E85" i="3"/>
  <c r="D84" i="3"/>
  <c r="E84" i="3"/>
  <c r="D83" i="3"/>
  <c r="E83" i="3"/>
  <c r="D82" i="3"/>
  <c r="E82" i="3"/>
  <c r="D81" i="3"/>
  <c r="E81" i="3"/>
  <c r="D80" i="3"/>
  <c r="E80" i="3"/>
  <c r="D79" i="3"/>
  <c r="E79" i="3"/>
  <c r="D78" i="3"/>
  <c r="E78" i="3"/>
  <c r="D77" i="3"/>
  <c r="E77" i="3"/>
  <c r="D76" i="3"/>
  <c r="E76" i="3"/>
  <c r="D75" i="3"/>
  <c r="E75" i="3"/>
  <c r="D74" i="3"/>
  <c r="E74" i="3"/>
  <c r="D73" i="3"/>
  <c r="E73" i="3"/>
  <c r="D72" i="3"/>
  <c r="E72" i="3"/>
  <c r="D71" i="3"/>
  <c r="E71" i="3"/>
  <c r="D70" i="3"/>
  <c r="E70" i="3"/>
  <c r="D69" i="3"/>
  <c r="E69" i="3"/>
  <c r="D68" i="3"/>
  <c r="E68" i="3"/>
  <c r="D67" i="3"/>
  <c r="E67" i="3"/>
  <c r="D66" i="3"/>
  <c r="E66" i="3"/>
  <c r="D65" i="3"/>
  <c r="E65" i="3"/>
  <c r="D64" i="3"/>
  <c r="E64" i="3"/>
  <c r="D63" i="3"/>
  <c r="E63" i="3"/>
  <c r="D62" i="3"/>
  <c r="E62" i="3"/>
  <c r="D61" i="3"/>
  <c r="E61" i="3"/>
  <c r="D60" i="3"/>
  <c r="E60" i="3"/>
  <c r="D59" i="3"/>
  <c r="E59" i="3"/>
  <c r="D58" i="3"/>
  <c r="E58" i="3"/>
  <c r="D57" i="3"/>
  <c r="E57" i="3"/>
  <c r="D56" i="3"/>
  <c r="E56" i="3"/>
  <c r="D55" i="3"/>
  <c r="E55" i="3"/>
  <c r="D54" i="3"/>
  <c r="E54" i="3"/>
  <c r="D53" i="3"/>
  <c r="E53" i="3"/>
  <c r="D52" i="3"/>
  <c r="E52" i="3"/>
  <c r="D51" i="3"/>
  <c r="E51" i="3"/>
  <c r="D50" i="3"/>
  <c r="E50" i="3"/>
  <c r="D49" i="3"/>
  <c r="E49" i="3"/>
  <c r="D48" i="3"/>
  <c r="E48" i="3"/>
  <c r="D47" i="3"/>
  <c r="E47" i="3"/>
  <c r="D46" i="3"/>
  <c r="E46" i="3"/>
  <c r="D45" i="3"/>
  <c r="F89" i="3" l="1"/>
  <c r="G89" i="3" s="1"/>
  <c r="N90" i="3"/>
  <c r="N91" i="3"/>
  <c r="N92" i="3"/>
  <c r="N93" i="3"/>
  <c r="F97" i="3"/>
  <c r="G97" i="3" s="1"/>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F73" i="3"/>
  <c r="G73" i="3" s="1"/>
  <c r="F57" i="3"/>
  <c r="G57" i="3" s="1"/>
  <c r="F81" i="3"/>
  <c r="G81" i="3" s="1"/>
  <c r="F49" i="3"/>
  <c r="G49" i="3" s="1"/>
  <c r="F65" i="3"/>
  <c r="G65" i="3" s="1"/>
  <c r="F53" i="3"/>
  <c r="G53" i="3" s="1"/>
  <c r="F61" i="3"/>
  <c r="G61" i="3" s="1"/>
  <c r="F69" i="3"/>
  <c r="G69" i="3" s="1"/>
  <c r="F77" i="3"/>
  <c r="G77" i="3" s="1"/>
  <c r="F85" i="3"/>
  <c r="G85" i="3" s="1"/>
  <c r="F93" i="3"/>
  <c r="G93" i="3" s="1"/>
  <c r="F47" i="3"/>
  <c r="G47" i="3" s="1"/>
  <c r="F51" i="3"/>
  <c r="G51" i="3" s="1"/>
  <c r="F55" i="3"/>
  <c r="G55" i="3" s="1"/>
  <c r="F59" i="3"/>
  <c r="G59" i="3" s="1"/>
  <c r="F63" i="3"/>
  <c r="G63" i="3" s="1"/>
  <c r="F67" i="3"/>
  <c r="G67" i="3" s="1"/>
  <c r="F71" i="3"/>
  <c r="G71" i="3" s="1"/>
  <c r="F75" i="3"/>
  <c r="G75" i="3" s="1"/>
  <c r="F79" i="3"/>
  <c r="G79" i="3" s="1"/>
  <c r="F83" i="3"/>
  <c r="G83" i="3" s="1"/>
  <c r="F87" i="3"/>
  <c r="G87" i="3" s="1"/>
  <c r="F91" i="3"/>
  <c r="G91" i="3" s="1"/>
  <c r="F95" i="3"/>
  <c r="G95" i="3" s="1"/>
  <c r="F46" i="3"/>
  <c r="G46" i="3" s="1"/>
  <c r="F48" i="3"/>
  <c r="G48" i="3" s="1"/>
  <c r="F50" i="3"/>
  <c r="G50" i="3" s="1"/>
  <c r="F52" i="3"/>
  <c r="G52" i="3" s="1"/>
  <c r="F54" i="3"/>
  <c r="G54" i="3" s="1"/>
  <c r="F56" i="3"/>
  <c r="G56" i="3" s="1"/>
  <c r="F58" i="3"/>
  <c r="G58" i="3" s="1"/>
  <c r="F60" i="3"/>
  <c r="G60" i="3" s="1"/>
  <c r="F62" i="3"/>
  <c r="G62" i="3" s="1"/>
  <c r="F64" i="3"/>
  <c r="G64" i="3" s="1"/>
  <c r="F66" i="3"/>
  <c r="G66" i="3" s="1"/>
  <c r="F68" i="3"/>
  <c r="G68" i="3" s="1"/>
  <c r="F70" i="3"/>
  <c r="G70" i="3" s="1"/>
  <c r="F72" i="3"/>
  <c r="G72" i="3" s="1"/>
  <c r="F74" i="3"/>
  <c r="G74" i="3" s="1"/>
  <c r="F76" i="3"/>
  <c r="G76" i="3" s="1"/>
  <c r="F78" i="3"/>
  <c r="G78" i="3" s="1"/>
  <c r="F80" i="3"/>
  <c r="G80" i="3" s="1"/>
  <c r="F82" i="3"/>
  <c r="G82" i="3" s="1"/>
  <c r="F84" i="3"/>
  <c r="G84" i="3" s="1"/>
  <c r="F86" i="3"/>
  <c r="G86" i="3" s="1"/>
  <c r="F88" i="3"/>
  <c r="G88" i="3" s="1"/>
  <c r="F90" i="3"/>
  <c r="G90" i="3" s="1"/>
  <c r="F92" i="3"/>
  <c r="G92" i="3" s="1"/>
  <c r="F94" i="3"/>
  <c r="G94" i="3" s="1"/>
  <c r="F96" i="3"/>
  <c r="G96" i="3" s="1"/>
  <c r="M97"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E45" i="3"/>
  <c r="D44" i="3"/>
  <c r="E44" i="3"/>
  <c r="D43" i="3"/>
  <c r="E43" i="3"/>
  <c r="D42" i="3"/>
  <c r="E42" i="3"/>
  <c r="D41" i="3"/>
  <c r="E41" i="3"/>
  <c r="D40" i="3"/>
  <c r="E40" i="3"/>
  <c r="D39" i="3"/>
  <c r="E39" i="3"/>
  <c r="D38" i="3"/>
  <c r="E38" i="3"/>
  <c r="D37" i="3"/>
  <c r="E37" i="3"/>
  <c r="D36" i="3"/>
  <c r="E36" i="3"/>
  <c r="D35" i="3"/>
  <c r="E35" i="3"/>
  <c r="D34" i="3"/>
  <c r="F36" i="3" l="1"/>
  <c r="G36" i="3" s="1"/>
  <c r="F38" i="3"/>
  <c r="G38" i="3" s="1"/>
  <c r="F40" i="3"/>
  <c r="G40" i="3" s="1"/>
  <c r="F42" i="3"/>
  <c r="G42" i="3" s="1"/>
  <c r="F35" i="3"/>
  <c r="G35" i="3" s="1"/>
  <c r="F37" i="3"/>
  <c r="G37" i="3" s="1"/>
  <c r="F39" i="3"/>
  <c r="G39" i="3" s="1"/>
  <c r="F41" i="3"/>
  <c r="G41" i="3" s="1"/>
  <c r="F43" i="3"/>
  <c r="G43" i="3" s="1"/>
  <c r="F44" i="3"/>
  <c r="G44" i="3" s="1"/>
  <c r="F45" i="3"/>
  <c r="G45" i="3" s="1"/>
  <c r="N35" i="3"/>
  <c r="N36" i="3"/>
  <c r="N37" i="3"/>
  <c r="N38" i="3"/>
  <c r="N39" i="3"/>
  <c r="N40" i="3"/>
  <c r="N41" i="3"/>
  <c r="N42" i="3"/>
  <c r="N43" i="3"/>
  <c r="N44" i="3"/>
  <c r="M45" i="3"/>
  <c r="N45" i="3"/>
  <c r="M35" i="3"/>
  <c r="M36" i="3"/>
  <c r="M37" i="3"/>
  <c r="M38" i="3"/>
  <c r="M39" i="3"/>
  <c r="M40" i="3"/>
  <c r="M41" i="3"/>
  <c r="M42" i="3"/>
  <c r="M43" i="3"/>
  <c r="M44" i="3"/>
  <c r="E34" i="3"/>
  <c r="D33" i="3"/>
  <c r="E33" i="3"/>
  <c r="D32" i="3"/>
  <c r="E32" i="3"/>
  <c r="D31" i="3"/>
  <c r="E31" i="3"/>
  <c r="D30" i="3"/>
  <c r="E30" i="3"/>
  <c r="D29" i="3"/>
  <c r="E29" i="3"/>
  <c r="D28" i="3"/>
  <c r="E28" i="3"/>
  <c r="D27" i="3"/>
  <c r="E27" i="3"/>
  <c r="D26" i="3"/>
  <c r="E26" i="3"/>
  <c r="D25" i="3"/>
  <c r="E25" i="3"/>
  <c r="D24" i="3"/>
  <c r="E24" i="3"/>
  <c r="D23" i="3"/>
  <c r="E23" i="3"/>
  <c r="D22" i="3"/>
  <c r="E22" i="3"/>
  <c r="D21" i="3"/>
  <c r="E21" i="3"/>
  <c r="D20" i="3"/>
  <c r="E20" i="3"/>
  <c r="D19" i="3"/>
  <c r="E19" i="3"/>
  <c r="D18" i="3"/>
  <c r="E18" i="3"/>
  <c r="E17" i="3"/>
  <c r="D16" i="3"/>
  <c r="E16" i="3"/>
  <c r="D15" i="3"/>
  <c r="E15" i="3"/>
  <c r="D14" i="3"/>
  <c r="E14" i="3"/>
  <c r="D13" i="3"/>
  <c r="E13" i="3"/>
  <c r="D12" i="3"/>
  <c r="E12" i="3"/>
  <c r="D11" i="3"/>
  <c r="E11" i="3"/>
  <c r="D10" i="3"/>
  <c r="E10" i="3"/>
  <c r="M12" i="3" l="1"/>
  <c r="N17" i="3"/>
  <c r="N9" i="3"/>
  <c r="F6" i="3"/>
  <c r="N12" i="3"/>
  <c r="N15" i="3"/>
  <c r="N11" i="3"/>
  <c r="N13" i="3"/>
  <c r="N14" i="3"/>
  <c r="N16" i="3"/>
  <c r="N18" i="3"/>
  <c r="N19" i="3"/>
  <c r="N20" i="3"/>
  <c r="N21" i="3"/>
  <c r="N22" i="3"/>
  <c r="N23" i="3"/>
  <c r="N24" i="3"/>
  <c r="N25" i="3"/>
  <c r="N26" i="3"/>
  <c r="N27" i="3"/>
  <c r="N28" i="3"/>
  <c r="N29" i="3"/>
  <c r="N30" i="3"/>
  <c r="N31" i="3"/>
  <c r="N32" i="3"/>
  <c r="N33" i="3"/>
  <c r="F34" i="3"/>
  <c r="G34" i="3" s="1"/>
  <c r="F9" i="3"/>
  <c r="G9"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M9" i="3"/>
  <c r="M34" i="3"/>
  <c r="N34" i="3"/>
  <c r="N10" i="3"/>
  <c r="F10" i="3"/>
  <c r="G10" i="3" s="1"/>
  <c r="M10" i="3"/>
  <c r="M11" i="3"/>
  <c r="M13" i="3"/>
  <c r="M14" i="3"/>
  <c r="M15" i="3"/>
  <c r="M16" i="3"/>
  <c r="M17" i="3"/>
  <c r="M18" i="3"/>
  <c r="M19" i="3"/>
  <c r="M20" i="3"/>
  <c r="M21" i="3"/>
  <c r="M22" i="3"/>
  <c r="M23" i="3"/>
  <c r="M24" i="3"/>
  <c r="M25" i="3"/>
  <c r="M26" i="3"/>
  <c r="M27" i="3"/>
  <c r="M28" i="3"/>
  <c r="M29" i="3"/>
  <c r="M30" i="3"/>
  <c r="M31" i="3"/>
  <c r="M32" i="3"/>
  <c r="M33" i="3"/>
  <c r="R3" i="3" l="1"/>
  <c r="H6" i="3"/>
  <c r="R2" i="9" l="1"/>
  <c r="D6" i="3"/>
  <c r="F2" i="9" l="1"/>
  <c r="A6" i="3"/>
  <c r="J2" i="3"/>
  <c r="J9" i="8"/>
  <c r="H9" i="3"/>
  <c r="H96" i="3"/>
  <c r="H120" i="3"/>
  <c r="H66" i="3"/>
  <c r="H70" i="3"/>
  <c r="H46" i="3"/>
  <c r="H33" i="3"/>
  <c r="B6" i="3"/>
  <c r="H88" i="3"/>
  <c r="H37" i="3"/>
  <c r="H26" i="3"/>
  <c r="H29" i="3"/>
  <c r="H113" i="3"/>
  <c r="H110" i="3"/>
  <c r="H109" i="3"/>
  <c r="H89" i="3"/>
  <c r="H53" i="3"/>
  <c r="H12" i="3"/>
  <c r="H74" i="3"/>
  <c r="H78" i="3"/>
  <c r="H54" i="3"/>
  <c r="H22" i="3"/>
  <c r="H57" i="3"/>
  <c r="H44" i="3"/>
  <c r="H38" i="3"/>
  <c r="H31" i="3"/>
  <c r="H104" i="3"/>
  <c r="H99" i="3"/>
  <c r="H71" i="3"/>
  <c r="H65" i="3"/>
  <c r="H14" i="3"/>
  <c r="H51" i="3"/>
  <c r="H45" i="3"/>
  <c r="H47" i="3"/>
  <c r="H85" i="3"/>
  <c r="H100" i="3"/>
  <c r="H86" i="3"/>
  <c r="H90" i="3"/>
  <c r="H127" i="3"/>
  <c r="H21" i="3"/>
  <c r="H30" i="3"/>
  <c r="H55" i="3"/>
  <c r="H128" i="3"/>
  <c r="H48" i="3"/>
  <c r="H82" i="3"/>
  <c r="AD6" i="3" l="1"/>
  <c r="P2" i="9" s="1"/>
  <c r="N2" i="9"/>
  <c r="C6" i="3"/>
  <c r="I113" i="3"/>
  <c r="I48" i="3"/>
  <c r="I12" i="3"/>
  <c r="I9" i="3"/>
  <c r="I38" i="3"/>
  <c r="I55" i="3"/>
  <c r="I86" i="3"/>
  <c r="I33" i="3"/>
  <c r="I66" i="3"/>
  <c r="I53" i="3"/>
  <c r="I88" i="3"/>
  <c r="I99" i="3"/>
  <c r="I109" i="3"/>
  <c r="I128" i="3"/>
  <c r="I14" i="3"/>
  <c r="I74" i="3"/>
  <c r="I21" i="3"/>
  <c r="I96" i="3"/>
  <c r="I51" i="3"/>
  <c r="I78" i="3"/>
  <c r="I44" i="3"/>
  <c r="I70" i="3"/>
  <c r="I89" i="3"/>
  <c r="I37" i="3"/>
  <c r="I85" i="3"/>
  <c r="I100" i="3"/>
  <c r="I104" i="3"/>
  <c r="I57" i="3"/>
  <c r="I110" i="3"/>
  <c r="I82" i="3"/>
  <c r="I65" i="3"/>
  <c r="I45" i="3"/>
  <c r="I26" i="3"/>
  <c r="I29" i="3"/>
  <c r="I47" i="3"/>
  <c r="I120" i="3"/>
  <c r="I46" i="3"/>
  <c r="I22" i="3"/>
  <c r="I71" i="3"/>
  <c r="I90" i="3"/>
  <c r="I31" i="3"/>
  <c r="I127" i="3"/>
  <c r="I30" i="3"/>
  <c r="I54" i="3"/>
  <c r="AE6" i="3" l="1"/>
  <c r="B9" i="8"/>
  <c r="O2" i="9"/>
  <c r="N94" i="3"/>
  <c r="N96" i="3"/>
  <c r="N99" i="3"/>
  <c r="N98" i="3"/>
  <c r="N95" i="3"/>
  <c r="C9" i="8" l="1"/>
  <c r="Q2" i="9"/>
  <c r="N97" i="3"/>
  <c r="M6" i="3" s="1"/>
  <c r="H60" i="3"/>
  <c r="H35" i="3"/>
  <c r="H17" i="3"/>
  <c r="H39" i="3"/>
  <c r="H62" i="3"/>
  <c r="H20" i="3"/>
  <c r="H27" i="3"/>
  <c r="H112" i="3"/>
  <c r="H11" i="3"/>
  <c r="H95" i="3"/>
  <c r="H79" i="3"/>
  <c r="H111" i="3"/>
  <c r="H102" i="3"/>
  <c r="H126" i="3"/>
  <c r="H77" i="3"/>
  <c r="H91" i="3"/>
  <c r="H73" i="3"/>
  <c r="H131" i="3"/>
  <c r="H122" i="3"/>
  <c r="H124" i="3"/>
  <c r="H130" i="3"/>
  <c r="H114" i="3"/>
  <c r="H52" i="3"/>
  <c r="H58" i="3"/>
  <c r="H28" i="3"/>
  <c r="H119" i="3"/>
  <c r="H129" i="3"/>
  <c r="H13" i="3"/>
  <c r="H41" i="3"/>
  <c r="H87" i="3"/>
  <c r="H10" i="3"/>
  <c r="H49" i="3"/>
  <c r="H115" i="3"/>
  <c r="H132" i="3"/>
  <c r="H76" i="3"/>
  <c r="H59" i="3"/>
  <c r="H97" i="3"/>
  <c r="H40" i="3"/>
  <c r="H105" i="3"/>
  <c r="H43" i="3"/>
  <c r="H42" i="3"/>
  <c r="H92" i="3"/>
  <c r="H93" i="3"/>
  <c r="H19" i="3"/>
  <c r="H107" i="3"/>
  <c r="H83" i="3"/>
  <c r="H101" i="3"/>
  <c r="H56" i="3"/>
  <c r="H18" i="3"/>
  <c r="H123" i="3"/>
  <c r="H121" i="3"/>
  <c r="H117" i="3"/>
  <c r="H84" i="3"/>
  <c r="H36" i="3"/>
  <c r="H63" i="3"/>
  <c r="H116" i="3"/>
  <c r="H32" i="3"/>
  <c r="H81" i="3"/>
  <c r="H61" i="3"/>
  <c r="H24" i="3"/>
  <c r="H108" i="3"/>
  <c r="H94" i="3"/>
  <c r="H15" i="3"/>
  <c r="H106" i="3"/>
  <c r="H16" i="3"/>
  <c r="H118" i="3"/>
  <c r="H50" i="3"/>
  <c r="H72" i="3"/>
  <c r="H68" i="3"/>
  <c r="H125" i="3"/>
  <c r="H23" i="3"/>
  <c r="H69" i="3"/>
  <c r="H80" i="3"/>
  <c r="H34" i="3"/>
  <c r="H133" i="3"/>
  <c r="H25" i="3"/>
  <c r="H103" i="3"/>
  <c r="H98" i="3"/>
  <c r="H64" i="3"/>
  <c r="H67" i="3"/>
  <c r="H75" i="3"/>
  <c r="D81" i="15" l="1"/>
  <c r="D41" i="15"/>
  <c r="D48" i="15"/>
  <c r="D82" i="15"/>
  <c r="D58" i="15"/>
  <c r="D79" i="15"/>
  <c r="D24" i="15"/>
  <c r="D83" i="15"/>
  <c r="D89" i="15"/>
  <c r="D92" i="15"/>
  <c r="D102" i="15"/>
  <c r="D2" i="15"/>
  <c r="D44" i="15"/>
  <c r="D97" i="15"/>
  <c r="D120" i="15"/>
  <c r="D93" i="15"/>
  <c r="D64" i="15"/>
  <c r="D37" i="15"/>
  <c r="D15" i="15"/>
  <c r="D46" i="15"/>
  <c r="D75" i="15"/>
  <c r="D40" i="15"/>
  <c r="D22" i="15"/>
  <c r="D5" i="15"/>
  <c r="D14" i="15"/>
  <c r="D121" i="15"/>
  <c r="D50" i="15"/>
  <c r="D39" i="15"/>
  <c r="D113" i="15"/>
  <c r="D106" i="15"/>
  <c r="D103" i="15"/>
  <c r="D63" i="15"/>
  <c r="D38" i="15"/>
  <c r="D23" i="15"/>
  <c r="D31" i="15"/>
  <c r="D78" i="15"/>
  <c r="D26" i="15"/>
  <c r="D47" i="15"/>
  <c r="D30" i="15"/>
  <c r="D59" i="15"/>
  <c r="D7" i="15"/>
  <c r="D67" i="15"/>
  <c r="D19" i="15"/>
  <c r="D71" i="15"/>
  <c r="K9" i="3"/>
  <c r="K53" i="3"/>
  <c r="H9" i="8"/>
  <c r="K33" i="3"/>
  <c r="K71" i="3"/>
  <c r="K55" i="3"/>
  <c r="K29" i="3"/>
  <c r="K38" i="3"/>
  <c r="K54" i="3"/>
  <c r="K120" i="3"/>
  <c r="K127" i="3"/>
  <c r="K44" i="3"/>
  <c r="K66" i="3"/>
  <c r="K89" i="3"/>
  <c r="K100" i="3"/>
  <c r="K26" i="3"/>
  <c r="K128" i="3"/>
  <c r="K22" i="3"/>
  <c r="K74" i="3"/>
  <c r="K85" i="3"/>
  <c r="K78" i="3"/>
  <c r="K37" i="3"/>
  <c r="K109" i="3"/>
  <c r="K21" i="3"/>
  <c r="K14" i="3"/>
  <c r="K31" i="3"/>
  <c r="K86" i="3"/>
  <c r="K51" i="3"/>
  <c r="K46" i="3"/>
  <c r="K90" i="3"/>
  <c r="K12" i="3"/>
  <c r="K104" i="3"/>
  <c r="K65" i="3"/>
  <c r="K113" i="3"/>
  <c r="K30" i="3"/>
  <c r="K70" i="3"/>
  <c r="K110" i="3"/>
  <c r="K45" i="3"/>
  <c r="K96" i="3"/>
  <c r="K57" i="3"/>
  <c r="K99" i="3"/>
  <c r="K47" i="3"/>
  <c r="K88" i="3"/>
  <c r="K82" i="3"/>
  <c r="K48" i="3"/>
  <c r="V9" i="3"/>
  <c r="V71" i="3"/>
  <c r="V54" i="3"/>
  <c r="V66" i="3"/>
  <c r="V128" i="3"/>
  <c r="V78" i="3"/>
  <c r="V14" i="3"/>
  <c r="V46" i="3"/>
  <c r="V65" i="3"/>
  <c r="V110" i="3"/>
  <c r="V99" i="3"/>
  <c r="V48" i="3"/>
  <c r="V53" i="3"/>
  <c r="V55" i="3"/>
  <c r="V120" i="3"/>
  <c r="V89" i="3"/>
  <c r="V22" i="3"/>
  <c r="V37" i="3"/>
  <c r="V31" i="3"/>
  <c r="V90" i="3"/>
  <c r="V113" i="3"/>
  <c r="V45" i="3"/>
  <c r="V47" i="3"/>
  <c r="V29" i="3"/>
  <c r="V127" i="3"/>
  <c r="V100" i="3"/>
  <c r="V74" i="3"/>
  <c r="V109" i="3"/>
  <c r="V86" i="3"/>
  <c r="V12" i="3"/>
  <c r="V30" i="3"/>
  <c r="V96" i="3"/>
  <c r="V88" i="3"/>
  <c r="V33" i="3"/>
  <c r="V38" i="3"/>
  <c r="V44" i="3"/>
  <c r="V26" i="3"/>
  <c r="V85" i="3"/>
  <c r="V21" i="3"/>
  <c r="V51" i="3"/>
  <c r="V104" i="3"/>
  <c r="V70" i="3"/>
  <c r="V57" i="3"/>
  <c r="V82" i="3"/>
  <c r="I34" i="3"/>
  <c r="I16" i="3"/>
  <c r="I72" i="3"/>
  <c r="I95" i="3"/>
  <c r="I49" i="3"/>
  <c r="I91" i="3"/>
  <c r="I73" i="3"/>
  <c r="I101" i="3"/>
  <c r="I125" i="3"/>
  <c r="I130" i="3"/>
  <c r="I19" i="3"/>
  <c r="I41" i="3"/>
  <c r="I10" i="3"/>
  <c r="I131" i="3"/>
  <c r="I50" i="3"/>
  <c r="I61" i="3"/>
  <c r="I124" i="3"/>
  <c r="I117" i="3"/>
  <c r="I20" i="3"/>
  <c r="I92" i="3"/>
  <c r="I132" i="3"/>
  <c r="I13" i="3"/>
  <c r="I23" i="3"/>
  <c r="I39" i="3"/>
  <c r="I87" i="3"/>
  <c r="I28" i="3"/>
  <c r="I62" i="3"/>
  <c r="I75" i="3"/>
  <c r="I80" i="3"/>
  <c r="I94" i="3"/>
  <c r="I133" i="3"/>
  <c r="I119" i="3"/>
  <c r="I77" i="3"/>
  <c r="I106" i="3"/>
  <c r="I84" i="3"/>
  <c r="I123" i="3"/>
  <c r="I81" i="3"/>
  <c r="I68" i="3"/>
  <c r="I83" i="3"/>
  <c r="I105" i="3"/>
  <c r="I11" i="3"/>
  <c r="I67" i="3"/>
  <c r="I69" i="3"/>
  <c r="I97" i="3"/>
  <c r="I102" i="3"/>
  <c r="I98" i="3"/>
  <c r="I116" i="3"/>
  <c r="I122" i="3"/>
  <c r="I108" i="3"/>
  <c r="I64" i="3"/>
  <c r="I27" i="3"/>
  <c r="I93" i="3"/>
  <c r="I115" i="3"/>
  <c r="I59" i="3"/>
  <c r="I129" i="3"/>
  <c r="I35" i="3"/>
  <c r="I40" i="3"/>
  <c r="I25" i="3"/>
  <c r="I63" i="3"/>
  <c r="I52" i="3"/>
  <c r="I18" i="3"/>
  <c r="I43" i="3"/>
  <c r="I118" i="3"/>
  <c r="I17" i="3"/>
  <c r="I15" i="3"/>
  <c r="I103" i="3"/>
  <c r="I107" i="3"/>
  <c r="I111" i="3"/>
  <c r="I24" i="3"/>
  <c r="I121" i="3"/>
  <c r="I42" i="3"/>
  <c r="I36" i="3"/>
  <c r="I79" i="3"/>
  <c r="I60" i="3"/>
  <c r="I76" i="3"/>
  <c r="I112" i="3"/>
  <c r="I58" i="3"/>
  <c r="I56" i="3"/>
  <c r="I114" i="3"/>
  <c r="I126" i="3"/>
  <c r="I32" i="3"/>
  <c r="W9" i="3" l="1"/>
  <c r="AE82" i="3"/>
  <c r="J75" i="15" s="1"/>
  <c r="AE57" i="3"/>
  <c r="J50" i="15" s="1"/>
  <c r="AE70" i="3"/>
  <c r="J63" i="15" s="1"/>
  <c r="AE104" i="3"/>
  <c r="J97" i="15" s="1"/>
  <c r="AE51" i="3"/>
  <c r="J44" i="15" s="1"/>
  <c r="AE21" i="3"/>
  <c r="J14" i="15" s="1"/>
  <c r="AE85" i="3"/>
  <c r="J78" i="15" s="1"/>
  <c r="AE26" i="3"/>
  <c r="J19" i="15" s="1"/>
  <c r="AE44" i="3"/>
  <c r="J37" i="15" s="1"/>
  <c r="AE38" i="3"/>
  <c r="J31" i="15" s="1"/>
  <c r="AE33" i="3"/>
  <c r="J26" i="15" s="1"/>
  <c r="AE88" i="3"/>
  <c r="J81" i="15" s="1"/>
  <c r="AE96" i="3"/>
  <c r="J89" i="15" s="1"/>
  <c r="AE30" i="3"/>
  <c r="J23" i="15" s="1"/>
  <c r="AE12" i="3"/>
  <c r="J5" i="15" s="1"/>
  <c r="AE86" i="3"/>
  <c r="J79" i="15" s="1"/>
  <c r="AE109" i="3"/>
  <c r="J102" i="15" s="1"/>
  <c r="AE74" i="3"/>
  <c r="J67" i="15" s="1"/>
  <c r="AE100" i="3"/>
  <c r="J93" i="15" s="1"/>
  <c r="AE127" i="3"/>
  <c r="J120" i="15" s="1"/>
  <c r="AE29" i="3"/>
  <c r="J22" i="15" s="1"/>
  <c r="AE47" i="3"/>
  <c r="J40" i="15" s="1"/>
  <c r="AE45" i="3"/>
  <c r="J38" i="15" s="1"/>
  <c r="AE113" i="3"/>
  <c r="J106" i="15" s="1"/>
  <c r="AE90" i="3"/>
  <c r="J83" i="15" s="1"/>
  <c r="AE31" i="3"/>
  <c r="J24" i="15" s="1"/>
  <c r="AE37" i="3"/>
  <c r="J30" i="15" s="1"/>
  <c r="AE22" i="3"/>
  <c r="J15" i="15" s="1"/>
  <c r="AE89" i="3"/>
  <c r="J82" i="15" s="1"/>
  <c r="AE120" i="3"/>
  <c r="J113" i="15" s="1"/>
  <c r="AE55" i="3"/>
  <c r="J48" i="15" s="1"/>
  <c r="AE53" i="3"/>
  <c r="J46" i="15" s="1"/>
  <c r="AE48" i="3"/>
  <c r="J41" i="15" s="1"/>
  <c r="AE99" i="3"/>
  <c r="J92" i="15" s="1"/>
  <c r="AE110" i="3"/>
  <c r="J103" i="15" s="1"/>
  <c r="AE65" i="3"/>
  <c r="J58" i="15" s="1"/>
  <c r="AE46" i="3"/>
  <c r="J39" i="15" s="1"/>
  <c r="AE14" i="3"/>
  <c r="J7" i="15" s="1"/>
  <c r="AE78" i="3"/>
  <c r="J71" i="15" s="1"/>
  <c r="AE128" i="3"/>
  <c r="J121" i="15" s="1"/>
  <c r="AE66" i="3"/>
  <c r="J59" i="15" s="1"/>
  <c r="AE54" i="3"/>
  <c r="J47" i="15" s="1"/>
  <c r="AE71" i="3"/>
  <c r="J64" i="15" s="1"/>
  <c r="AE9" i="3"/>
  <c r="J2" i="15" s="1"/>
  <c r="K118" i="3"/>
  <c r="D111" i="15"/>
  <c r="D118" i="15"/>
  <c r="K125" i="3"/>
  <c r="K124" i="3"/>
  <c r="D117" i="15"/>
  <c r="D42" i="15"/>
  <c r="K49" i="3"/>
  <c r="D73" i="15"/>
  <c r="K80" i="3"/>
  <c r="K40" i="3"/>
  <c r="D33" i="15"/>
  <c r="D8" i="15"/>
  <c r="K15" i="3"/>
  <c r="D99" i="15"/>
  <c r="K106" i="3"/>
  <c r="D25" i="15"/>
  <c r="K32" i="3"/>
  <c r="D68" i="15"/>
  <c r="K75" i="3"/>
  <c r="K102" i="3"/>
  <c r="D95" i="15"/>
  <c r="K27" i="3"/>
  <c r="D20" i="15"/>
  <c r="D10" i="15"/>
  <c r="K17" i="3"/>
  <c r="K52" i="3"/>
  <c r="D45" i="15"/>
  <c r="K114" i="3"/>
  <c r="D107" i="15"/>
  <c r="D21" i="15"/>
  <c r="K28" i="3"/>
  <c r="K121" i="3"/>
  <c r="D114" i="15"/>
  <c r="K132" i="3"/>
  <c r="D125" i="15"/>
  <c r="K19" i="3"/>
  <c r="D12" i="15"/>
  <c r="K84" i="3"/>
  <c r="D77" i="15"/>
  <c r="D72" i="15"/>
  <c r="K79" i="3"/>
  <c r="D55" i="15"/>
  <c r="K62" i="3"/>
  <c r="K119" i="3"/>
  <c r="D112" i="15"/>
  <c r="D32" i="15"/>
  <c r="K39" i="3"/>
  <c r="K18" i="3"/>
  <c r="D11" i="15"/>
  <c r="D110" i="15"/>
  <c r="K117" i="3"/>
  <c r="D96" i="15"/>
  <c r="K103" i="3"/>
  <c r="D104" i="15"/>
  <c r="K111" i="3"/>
  <c r="D76" i="15"/>
  <c r="K83" i="3"/>
  <c r="K64" i="3"/>
  <c r="D57" i="15"/>
  <c r="D98" i="15"/>
  <c r="K105" i="3"/>
  <c r="K101" i="3"/>
  <c r="D94" i="15"/>
  <c r="D9" i="15"/>
  <c r="K16" i="3"/>
  <c r="D36" i="15"/>
  <c r="K43" i="3"/>
  <c r="K108" i="3"/>
  <c r="D101" i="15"/>
  <c r="D69" i="15"/>
  <c r="K76" i="3"/>
  <c r="K72" i="3"/>
  <c r="D65" i="15"/>
  <c r="K50" i="3"/>
  <c r="D43" i="15"/>
  <c r="D29" i="15"/>
  <c r="K36" i="3"/>
  <c r="K24" i="3"/>
  <c r="D17" i="15"/>
  <c r="K131" i="3"/>
  <c r="D124" i="15"/>
  <c r="D6" i="15"/>
  <c r="K13" i="3"/>
  <c r="K122" i="3"/>
  <c r="D115" i="15"/>
  <c r="K73" i="3"/>
  <c r="D66" i="15"/>
  <c r="D34" i="15"/>
  <c r="K41" i="3"/>
  <c r="D116" i="15"/>
  <c r="K123" i="3"/>
  <c r="D119" i="15"/>
  <c r="K126" i="3"/>
  <c r="D52" i="15"/>
  <c r="K59" i="3"/>
  <c r="K93" i="3"/>
  <c r="D86" i="15"/>
  <c r="D53" i="15"/>
  <c r="K60" i="3"/>
  <c r="K23" i="3"/>
  <c r="D16" i="15"/>
  <c r="K95" i="3"/>
  <c r="D88" i="15"/>
  <c r="D126" i="15"/>
  <c r="K133" i="3"/>
  <c r="D84" i="15"/>
  <c r="K91" i="3"/>
  <c r="D56" i="15"/>
  <c r="K63" i="3"/>
  <c r="K129" i="3"/>
  <c r="D122" i="15"/>
  <c r="D90" i="15"/>
  <c r="K97" i="3"/>
  <c r="K77" i="3"/>
  <c r="D70" i="15"/>
  <c r="D28" i="15"/>
  <c r="K35" i="3"/>
  <c r="K98" i="3"/>
  <c r="D91" i="15"/>
  <c r="K25" i="3"/>
  <c r="D18" i="15"/>
  <c r="D80" i="15"/>
  <c r="K87" i="3"/>
  <c r="K61" i="3"/>
  <c r="D54" i="15"/>
  <c r="K116" i="3"/>
  <c r="D109" i="15"/>
  <c r="I6" i="3"/>
  <c r="F9" i="8" s="1"/>
  <c r="D61" i="15"/>
  <c r="K68" i="3"/>
  <c r="D62" i="15"/>
  <c r="K69" i="3"/>
  <c r="D35" i="15"/>
  <c r="K42" i="3"/>
  <c r="D3" i="15"/>
  <c r="J6" i="3"/>
  <c r="K6" i="3" s="1"/>
  <c r="K10" i="3"/>
  <c r="D105" i="15"/>
  <c r="K112" i="3"/>
  <c r="D4" i="15"/>
  <c r="K11" i="3"/>
  <c r="D13" i="15"/>
  <c r="K20" i="3"/>
  <c r="D87" i="15"/>
  <c r="K94" i="3"/>
  <c r="D27" i="15"/>
  <c r="K34" i="3"/>
  <c r="D123" i="15"/>
  <c r="K130" i="3"/>
  <c r="D51" i="15"/>
  <c r="K58" i="3"/>
  <c r="D85" i="15"/>
  <c r="K92" i="3"/>
  <c r="D100" i="15"/>
  <c r="K107" i="3"/>
  <c r="D108" i="15"/>
  <c r="K115" i="3"/>
  <c r="D74" i="15"/>
  <c r="K81" i="3"/>
  <c r="D49" i="15"/>
  <c r="K56" i="3"/>
  <c r="D60" i="15"/>
  <c r="K67" i="3"/>
  <c r="L46" i="3"/>
  <c r="J6" i="8"/>
  <c r="I6" i="8"/>
  <c r="V118" i="3"/>
  <c r="V124" i="3"/>
  <c r="V102" i="3"/>
  <c r="V114" i="3"/>
  <c r="V121" i="3"/>
  <c r="V19" i="3"/>
  <c r="V119" i="3"/>
  <c r="V18" i="3"/>
  <c r="V108" i="3"/>
  <c r="V72" i="3"/>
  <c r="V131" i="3"/>
  <c r="V122" i="3"/>
  <c r="V93" i="3"/>
  <c r="V23" i="3"/>
  <c r="V25" i="3"/>
  <c r="V61" i="3"/>
  <c r="V69" i="3"/>
  <c r="V34" i="3"/>
  <c r="V58" i="3"/>
  <c r="V107" i="3"/>
  <c r="V81" i="3"/>
  <c r="V67" i="3"/>
  <c r="V15" i="3"/>
  <c r="V79" i="3"/>
  <c r="V83" i="3"/>
  <c r="V16" i="3"/>
  <c r="V36" i="3"/>
  <c r="V126" i="3"/>
  <c r="V133" i="3"/>
  <c r="V97" i="3"/>
  <c r="V10" i="3"/>
  <c r="V40" i="3"/>
  <c r="V27" i="3"/>
  <c r="V52" i="3"/>
  <c r="V132" i="3"/>
  <c r="V84" i="3"/>
  <c r="V64" i="3"/>
  <c r="V101" i="3"/>
  <c r="V50" i="3"/>
  <c r="V24" i="3"/>
  <c r="V73" i="3"/>
  <c r="V95" i="3"/>
  <c r="V129" i="3"/>
  <c r="V77" i="3"/>
  <c r="V98" i="3"/>
  <c r="V116" i="3"/>
  <c r="V68" i="3"/>
  <c r="V42" i="3"/>
  <c r="V94" i="3"/>
  <c r="V130" i="3"/>
  <c r="V92" i="3"/>
  <c r="V115" i="3"/>
  <c r="V56" i="3"/>
  <c r="V125" i="3"/>
  <c r="V49" i="3"/>
  <c r="V106" i="3"/>
  <c r="V75" i="3"/>
  <c r="V28" i="3"/>
  <c r="V62" i="3"/>
  <c r="V39" i="3"/>
  <c r="V117" i="3"/>
  <c r="V111" i="3"/>
  <c r="V43" i="3"/>
  <c r="V76" i="3"/>
  <c r="V13" i="3"/>
  <c r="V123" i="3"/>
  <c r="V59" i="3"/>
  <c r="V60" i="3"/>
  <c r="V91" i="3"/>
  <c r="V87" i="3"/>
  <c r="V112" i="3"/>
  <c r="V20" i="3"/>
  <c r="V80" i="3"/>
  <c r="V32" i="3"/>
  <c r="V17" i="3"/>
  <c r="V103" i="3"/>
  <c r="V105" i="3"/>
  <c r="V41" i="3"/>
  <c r="V63" i="3"/>
  <c r="V35" i="3"/>
  <c r="V11" i="3"/>
  <c r="L52" i="3" l="1"/>
  <c r="Y133" i="3"/>
  <c r="I126" i="15" s="1"/>
  <c r="W11" i="3"/>
  <c r="W10" i="3"/>
  <c r="L120" i="3"/>
  <c r="L25" i="3"/>
  <c r="AE35" i="3"/>
  <c r="J28" i="15" s="1"/>
  <c r="AE63" i="3"/>
  <c r="J56" i="15" s="1"/>
  <c r="AE41" i="3"/>
  <c r="J34" i="15" s="1"/>
  <c r="AE105" i="3"/>
  <c r="J98" i="15" s="1"/>
  <c r="AE103" i="3"/>
  <c r="J96" i="15" s="1"/>
  <c r="AE17" i="3"/>
  <c r="J10" i="15" s="1"/>
  <c r="AE32" i="3"/>
  <c r="J25" i="15" s="1"/>
  <c r="AE80" i="3"/>
  <c r="J73" i="15" s="1"/>
  <c r="AE87" i="3"/>
  <c r="J80" i="15" s="1"/>
  <c r="AE91" i="3"/>
  <c r="J84" i="15" s="1"/>
  <c r="AE60" i="3"/>
  <c r="J53" i="15" s="1"/>
  <c r="AE59" i="3"/>
  <c r="J52" i="15" s="1"/>
  <c r="AE123" i="3"/>
  <c r="J116" i="15" s="1"/>
  <c r="AE13" i="3"/>
  <c r="J6" i="15" s="1"/>
  <c r="AE76" i="3"/>
  <c r="J69" i="15" s="1"/>
  <c r="AE43" i="3"/>
  <c r="J36" i="15" s="1"/>
  <c r="AE111" i="3"/>
  <c r="J104" i="15" s="1"/>
  <c r="AE117" i="3"/>
  <c r="J110" i="15" s="1"/>
  <c r="AE39" i="3"/>
  <c r="J32" i="15" s="1"/>
  <c r="AE62" i="3"/>
  <c r="J55" i="15" s="1"/>
  <c r="AE28" i="3"/>
  <c r="J21" i="15" s="1"/>
  <c r="AE75" i="3"/>
  <c r="J68" i="15" s="1"/>
  <c r="AE106" i="3"/>
  <c r="J99" i="15" s="1"/>
  <c r="AE49" i="3"/>
  <c r="J42" i="15" s="1"/>
  <c r="AE125" i="3"/>
  <c r="J118" i="15" s="1"/>
  <c r="L29" i="3"/>
  <c r="L47" i="3"/>
  <c r="AE68" i="3"/>
  <c r="J61" i="15" s="1"/>
  <c r="AE116" i="3"/>
  <c r="J109" i="15" s="1"/>
  <c r="AE98" i="3"/>
  <c r="J91" i="15" s="1"/>
  <c r="AE77" i="3"/>
  <c r="J70" i="15" s="1"/>
  <c r="AE129" i="3"/>
  <c r="J122" i="15" s="1"/>
  <c r="AE95" i="3"/>
  <c r="J88" i="15" s="1"/>
  <c r="AE73" i="3"/>
  <c r="J66" i="15" s="1"/>
  <c r="AE24" i="3"/>
  <c r="J17" i="15" s="1"/>
  <c r="AE50" i="3"/>
  <c r="J43" i="15" s="1"/>
  <c r="AE101" i="3"/>
  <c r="J94" i="15" s="1"/>
  <c r="AE64" i="3"/>
  <c r="J57" i="15" s="1"/>
  <c r="AE84" i="3"/>
  <c r="J77" i="15" s="1"/>
  <c r="AE132" i="3"/>
  <c r="J125" i="15" s="1"/>
  <c r="AE52" i="3"/>
  <c r="J45" i="15" s="1"/>
  <c r="AE27" i="3"/>
  <c r="J20" i="15" s="1"/>
  <c r="AE40" i="3"/>
  <c r="J33" i="15" s="1"/>
  <c r="AE10" i="3"/>
  <c r="J3" i="15" s="1"/>
  <c r="AE97" i="3"/>
  <c r="J90" i="15" s="1"/>
  <c r="AE133" i="3"/>
  <c r="J126" i="15" s="1"/>
  <c r="AE126" i="3"/>
  <c r="J119" i="15" s="1"/>
  <c r="AE36" i="3"/>
  <c r="J29" i="15" s="1"/>
  <c r="AE16" i="3"/>
  <c r="J9" i="15" s="1"/>
  <c r="AE83" i="3"/>
  <c r="J76" i="15" s="1"/>
  <c r="AE79" i="3"/>
  <c r="J72" i="15" s="1"/>
  <c r="AE15" i="3"/>
  <c r="J8" i="15" s="1"/>
  <c r="AE58" i="3"/>
  <c r="J51" i="15" s="1"/>
  <c r="AE61" i="3"/>
  <c r="J54" i="15" s="1"/>
  <c r="AE25" i="3"/>
  <c r="J18" i="15" s="1"/>
  <c r="AE23" i="3"/>
  <c r="J16" i="15" s="1"/>
  <c r="AE93" i="3"/>
  <c r="J86" i="15" s="1"/>
  <c r="AE122" i="3"/>
  <c r="J115" i="15" s="1"/>
  <c r="AE131" i="3"/>
  <c r="J124" i="15" s="1"/>
  <c r="AE72" i="3"/>
  <c r="J65" i="15" s="1"/>
  <c r="AE108" i="3"/>
  <c r="J101" i="15" s="1"/>
  <c r="AE18" i="3"/>
  <c r="J11" i="15" s="1"/>
  <c r="AE119" i="3"/>
  <c r="J112" i="15" s="1"/>
  <c r="AE19" i="3"/>
  <c r="J12" i="15" s="1"/>
  <c r="AE121" i="3"/>
  <c r="J114" i="15" s="1"/>
  <c r="AE114" i="3"/>
  <c r="J107" i="15" s="1"/>
  <c r="AE102" i="3"/>
  <c r="J95" i="15" s="1"/>
  <c r="AE124" i="3"/>
  <c r="J117" i="15" s="1"/>
  <c r="AE118" i="3"/>
  <c r="J111" i="15" s="1"/>
  <c r="L23" i="3"/>
  <c r="L72" i="3"/>
  <c r="L73" i="3"/>
  <c r="L100" i="3"/>
  <c r="L118" i="3"/>
  <c r="L24" i="3"/>
  <c r="L28" i="3"/>
  <c r="L51" i="3"/>
  <c r="L22" i="3"/>
  <c r="L45" i="3"/>
  <c r="L87" i="3"/>
  <c r="L26" i="3"/>
  <c r="L39" i="3"/>
  <c r="L121" i="3"/>
  <c r="L50" i="3"/>
  <c r="L74" i="3"/>
  <c r="L119" i="3"/>
  <c r="L75" i="3"/>
  <c r="L53" i="3"/>
  <c r="L86" i="3"/>
  <c r="L123" i="3"/>
  <c r="L122" i="3"/>
  <c r="L49" i="3"/>
  <c r="L101" i="3"/>
  <c r="L88" i="3"/>
  <c r="L77" i="3"/>
  <c r="L27" i="3"/>
  <c r="L76" i="3"/>
  <c r="L89" i="3"/>
  <c r="L48" i="3"/>
  <c r="L61" i="3"/>
  <c r="L63" i="3"/>
  <c r="L30" i="3"/>
  <c r="L102" i="3"/>
  <c r="L126" i="3"/>
  <c r="L124" i="3"/>
  <c r="L103" i="3"/>
  <c r="L98" i="3"/>
  <c r="L97" i="3"/>
  <c r="L31" i="3"/>
  <c r="L38" i="3"/>
  <c r="L125" i="3"/>
  <c r="L64" i="3"/>
  <c r="L14" i="3"/>
  <c r="L99" i="3"/>
  <c r="L104" i="3"/>
  <c r="L16" i="3"/>
  <c r="L127" i="3"/>
  <c r="L62" i="3"/>
  <c r="L37" i="3"/>
  <c r="L78" i="3"/>
  <c r="L15" i="3"/>
  <c r="L17" i="3"/>
  <c r="L84" i="3"/>
  <c r="L85" i="3"/>
  <c r="L111" i="3"/>
  <c r="AE112" i="3"/>
  <c r="J105" i="15" s="1"/>
  <c r="L54" i="3"/>
  <c r="AE56" i="3"/>
  <c r="J49" i="15" s="1"/>
  <c r="L115" i="3"/>
  <c r="AE115" i="3"/>
  <c r="J108" i="15" s="1"/>
  <c r="L94" i="3"/>
  <c r="AE92" i="3"/>
  <c r="J85" i="15" s="1"/>
  <c r="L131" i="3"/>
  <c r="AE130" i="3"/>
  <c r="J123" i="15" s="1"/>
  <c r="L96" i="3"/>
  <c r="AE94" i="3"/>
  <c r="J87" i="15" s="1"/>
  <c r="L42" i="3"/>
  <c r="AE42" i="3"/>
  <c r="J35" i="15" s="1"/>
  <c r="L21" i="3"/>
  <c r="AE20" i="3"/>
  <c r="J13" i="15" s="1"/>
  <c r="L13" i="3"/>
  <c r="AE11" i="3"/>
  <c r="J4" i="15" s="1"/>
  <c r="L66" i="3"/>
  <c r="AE67" i="3"/>
  <c r="J60" i="15" s="1"/>
  <c r="L81" i="3"/>
  <c r="AE81" i="3"/>
  <c r="J74" i="15" s="1"/>
  <c r="L105" i="3"/>
  <c r="AE107" i="3"/>
  <c r="J100" i="15" s="1"/>
  <c r="L33" i="3"/>
  <c r="AE34" i="3"/>
  <c r="J27" i="15" s="1"/>
  <c r="L71" i="3"/>
  <c r="AE69" i="3"/>
  <c r="J62" i="15" s="1"/>
  <c r="L56" i="3"/>
  <c r="L91" i="3"/>
  <c r="L130" i="3"/>
  <c r="L18" i="3"/>
  <c r="L110" i="3"/>
  <c r="L19" i="3"/>
  <c r="L129" i="3"/>
  <c r="L116" i="3"/>
  <c r="J95" i="3"/>
  <c r="L108" i="3"/>
  <c r="J92" i="3"/>
  <c r="J28" i="3"/>
  <c r="L128" i="3"/>
  <c r="L40" i="3"/>
  <c r="L93" i="3"/>
  <c r="J31" i="3"/>
  <c r="L92" i="3"/>
  <c r="L43" i="3"/>
  <c r="L80" i="3"/>
  <c r="J37" i="3"/>
  <c r="J51" i="3"/>
  <c r="J115" i="3"/>
  <c r="L83" i="3"/>
  <c r="L6" i="3"/>
  <c r="J60" i="3"/>
  <c r="J129" i="3"/>
  <c r="J63" i="3"/>
  <c r="J132" i="3"/>
  <c r="L20" i="3"/>
  <c r="L59" i="3"/>
  <c r="L82" i="3"/>
  <c r="L112" i="3"/>
  <c r="L57" i="3"/>
  <c r="L114" i="3"/>
  <c r="J110" i="3"/>
  <c r="J17" i="3"/>
  <c r="J76" i="3"/>
  <c r="J11" i="3"/>
  <c r="J79" i="3"/>
  <c r="L70" i="3"/>
  <c r="L55" i="3"/>
  <c r="J14" i="3"/>
  <c r="J30" i="3"/>
  <c r="J50" i="3"/>
  <c r="J62" i="3"/>
  <c r="J78" i="3"/>
  <c r="J94" i="3"/>
  <c r="J112" i="3"/>
  <c r="J131" i="3"/>
  <c r="J16" i="3"/>
  <c r="J33" i="3"/>
  <c r="J53" i="3"/>
  <c r="J65" i="3"/>
  <c r="J81" i="3"/>
  <c r="J97" i="3"/>
  <c r="J118" i="3"/>
  <c r="J109" i="3"/>
  <c r="L60" i="3"/>
  <c r="L90" i="3"/>
  <c r="L113" i="3"/>
  <c r="L117" i="3"/>
  <c r="L95" i="3"/>
  <c r="L36" i="3"/>
  <c r="L41" i="3"/>
  <c r="L44" i="3"/>
  <c r="Y132" i="3"/>
  <c r="I125" i="15" s="1"/>
  <c r="J20" i="3"/>
  <c r="J40" i="3"/>
  <c r="J57" i="3"/>
  <c r="J68" i="3"/>
  <c r="J84" i="3"/>
  <c r="J101" i="3"/>
  <c r="J121" i="3"/>
  <c r="J116" i="3"/>
  <c r="J23" i="3"/>
  <c r="J43" i="3"/>
  <c r="J48" i="3"/>
  <c r="J71" i="3"/>
  <c r="J87" i="3"/>
  <c r="J106" i="3"/>
  <c r="J124" i="3"/>
  <c r="J9" i="3"/>
  <c r="L65" i="3"/>
  <c r="L34" i="3"/>
  <c r="L68" i="3"/>
  <c r="L79" i="3"/>
  <c r="J22" i="3"/>
  <c r="J42" i="3"/>
  <c r="J47" i="3"/>
  <c r="J70" i="3"/>
  <c r="J86" i="3"/>
  <c r="J105" i="3"/>
  <c r="J123" i="3"/>
  <c r="J15" i="3"/>
  <c r="J25" i="3"/>
  <c r="J45" i="3"/>
  <c r="J56" i="3"/>
  <c r="J73" i="3"/>
  <c r="J89" i="3"/>
  <c r="J103" i="3"/>
  <c r="J126" i="3"/>
  <c r="L107" i="3"/>
  <c r="L106" i="3"/>
  <c r="L35" i="3"/>
  <c r="G9" i="8"/>
  <c r="L11" i="3"/>
  <c r="J24" i="3"/>
  <c r="J52" i="3"/>
  <c r="J72" i="3"/>
  <c r="J96" i="3"/>
  <c r="J125" i="3"/>
  <c r="J19" i="3"/>
  <c r="J36" i="3"/>
  <c r="J83" i="3"/>
  <c r="L109" i="3"/>
  <c r="L58" i="3"/>
  <c r="L69" i="3"/>
  <c r="L12" i="3"/>
  <c r="T2" i="9"/>
  <c r="Y9" i="3"/>
  <c r="I2" i="15" s="1"/>
  <c r="Y10" i="3"/>
  <c r="I3" i="15" s="1"/>
  <c r="J12" i="3"/>
  <c r="J32" i="3"/>
  <c r="J44" i="3"/>
  <c r="J49" i="3"/>
  <c r="J64" i="3"/>
  <c r="J80" i="3"/>
  <c r="J88" i="3"/>
  <c r="J100" i="3"/>
  <c r="J117" i="3"/>
  <c r="J107" i="3"/>
  <c r="J10" i="3"/>
  <c r="J27" i="3"/>
  <c r="J39" i="3"/>
  <c r="J55" i="3"/>
  <c r="J59" i="3"/>
  <c r="J67" i="3"/>
  <c r="J75" i="3"/>
  <c r="J91" i="3"/>
  <c r="J99" i="3"/>
  <c r="J108" i="3"/>
  <c r="J120" i="3"/>
  <c r="J128" i="3"/>
  <c r="J114" i="3"/>
  <c r="J18" i="3"/>
  <c r="J26" i="3"/>
  <c r="J34" i="3"/>
  <c r="J35" i="3"/>
  <c r="J54" i="3"/>
  <c r="J58" i="3"/>
  <c r="J66" i="3"/>
  <c r="J74" i="3"/>
  <c r="J82" i="3"/>
  <c r="J90" i="3"/>
  <c r="J98" i="3"/>
  <c r="J104" i="3"/>
  <c r="J119" i="3"/>
  <c r="J127" i="3"/>
  <c r="J113" i="3"/>
  <c r="J13" i="3"/>
  <c r="J21" i="3"/>
  <c r="J29" i="3"/>
  <c r="J41" i="3"/>
  <c r="J38" i="3"/>
  <c r="J46" i="3"/>
  <c r="J61" i="3"/>
  <c r="J69" i="3"/>
  <c r="J77" i="3"/>
  <c r="J85" i="3"/>
  <c r="J93" i="3"/>
  <c r="J102" i="3"/>
  <c r="J111" i="3"/>
  <c r="J122" i="3"/>
  <c r="J130" i="3"/>
  <c r="J133" i="3"/>
  <c r="L32" i="3"/>
  <c r="L67" i="3"/>
  <c r="R2" i="3"/>
  <c r="P126" i="3"/>
  <c r="P22" i="3"/>
  <c r="P45" i="3"/>
  <c r="P51" i="3"/>
  <c r="P130" i="3"/>
  <c r="P115" i="3"/>
  <c r="P31" i="3"/>
  <c r="P91" i="3"/>
  <c r="P69" i="3"/>
  <c r="P20" i="3"/>
  <c r="P29" i="3"/>
  <c r="P54" i="3"/>
  <c r="P12" i="3"/>
  <c r="P26" i="3"/>
  <c r="P72" i="3"/>
  <c r="P38" i="3"/>
  <c r="P114" i="3"/>
  <c r="P99" i="3"/>
  <c r="P128" i="3"/>
  <c r="P93" i="3"/>
  <c r="P107" i="3"/>
  <c r="P59" i="3"/>
  <c r="P104" i="3"/>
  <c r="P117" i="3"/>
  <c r="P79" i="3"/>
  <c r="P76" i="3"/>
  <c r="P58" i="3"/>
  <c r="P83" i="3"/>
  <c r="P42" i="3"/>
  <c r="P47" i="3"/>
  <c r="P100" i="3"/>
  <c r="P67" i="3"/>
  <c r="P116" i="3"/>
  <c r="P87" i="3"/>
  <c r="P32" i="3"/>
  <c r="P56" i="3"/>
  <c r="P16" i="3"/>
  <c r="P35" i="3"/>
  <c r="P48" i="3"/>
  <c r="P101" i="3"/>
  <c r="P71" i="3"/>
  <c r="P95" i="3"/>
  <c r="P11" i="3"/>
  <c r="P112" i="3"/>
  <c r="P123" i="3"/>
  <c r="P105" i="3"/>
  <c r="P28" i="3"/>
  <c r="P63" i="3"/>
  <c r="P74" i="3"/>
  <c r="P84" i="3"/>
  <c r="P121" i="3"/>
  <c r="P120" i="3"/>
  <c r="P13" i="3"/>
  <c r="P50" i="3"/>
  <c r="E113" i="15" l="1"/>
  <c r="E40" i="15"/>
  <c r="E22" i="15"/>
  <c r="E44" i="15"/>
  <c r="E93" i="15"/>
  <c r="E21" i="15"/>
  <c r="E65" i="15"/>
  <c r="E15" i="15"/>
  <c r="E116" i="15"/>
  <c r="E67" i="15"/>
  <c r="E19" i="15"/>
  <c r="E43" i="15"/>
  <c r="E80" i="15"/>
  <c r="E114" i="15"/>
  <c r="E38" i="15"/>
  <c r="E119" i="15"/>
  <c r="E41" i="15"/>
  <c r="E56" i="15"/>
  <c r="E69" i="15"/>
  <c r="E94" i="15"/>
  <c r="E92" i="15"/>
  <c r="E31" i="15"/>
  <c r="E24" i="15"/>
  <c r="E9" i="15"/>
  <c r="E97" i="15"/>
  <c r="E64" i="15"/>
  <c r="E98" i="15"/>
  <c r="E47" i="15"/>
  <c r="E35" i="15"/>
  <c r="E108" i="15"/>
  <c r="E49" i="15"/>
  <c r="E123" i="15"/>
  <c r="E84" i="15"/>
  <c r="E109" i="15"/>
  <c r="E121" i="15"/>
  <c r="E86" i="15"/>
  <c r="E76" i="15"/>
  <c r="E107" i="15"/>
  <c r="E52" i="15"/>
  <c r="E13" i="15"/>
  <c r="E105" i="15"/>
  <c r="Y11" i="3"/>
  <c r="E4" i="15"/>
  <c r="E72" i="15"/>
  <c r="E28" i="15"/>
  <c r="E100" i="15"/>
  <c r="E88" i="15"/>
  <c r="E110" i="15"/>
  <c r="E62" i="15"/>
  <c r="E5" i="15"/>
  <c r="E60" i="15"/>
  <c r="E25" i="15"/>
  <c r="E51" i="15"/>
  <c r="E6" i="15"/>
  <c r="E77" i="15"/>
  <c r="Q26" i="3"/>
  <c r="R26" i="3" s="1"/>
  <c r="Q12" i="3"/>
  <c r="R12" i="3" s="1"/>
  <c r="T12" i="3"/>
  <c r="W12" i="3" s="1"/>
  <c r="Q20" i="3"/>
  <c r="R20" i="3" s="1"/>
  <c r="Q28" i="3"/>
  <c r="R28" i="3" s="1"/>
  <c r="T28" i="3"/>
  <c r="W28" i="3" s="1"/>
  <c r="Q32" i="3"/>
  <c r="R32" i="3" s="1"/>
  <c r="Q72" i="3"/>
  <c r="R72" i="3" s="1"/>
  <c r="Q76" i="3"/>
  <c r="R76" i="3" s="1"/>
  <c r="Q84" i="3"/>
  <c r="R84" i="3" s="1"/>
  <c r="Q88" i="3"/>
  <c r="R88" i="3" s="1"/>
  <c r="Q92" i="3"/>
  <c r="R92" i="3" s="1"/>
  <c r="Q96" i="3"/>
  <c r="R96" i="3" s="1"/>
  <c r="Q101" i="3"/>
  <c r="R101" i="3" s="1"/>
  <c r="T101" i="3"/>
  <c r="W101" i="3" s="1"/>
  <c r="T100" i="3"/>
  <c r="W100" i="3" s="1"/>
  <c r="Q100" i="3"/>
  <c r="R100" i="3" s="1"/>
  <c r="Q117" i="3"/>
  <c r="R117" i="3" s="1"/>
  <c r="Q121" i="3"/>
  <c r="R121" i="3" s="1"/>
  <c r="Q107" i="3"/>
  <c r="R107" i="3" s="1"/>
  <c r="Q116" i="3"/>
  <c r="R116" i="3" s="1"/>
  <c r="Q31" i="3"/>
  <c r="R31" i="3" s="1"/>
  <c r="Q51" i="3"/>
  <c r="R51" i="3" s="1"/>
  <c r="Q48" i="3"/>
  <c r="R48" i="3" s="1"/>
  <c r="Q59" i="3"/>
  <c r="R59" i="3" s="1"/>
  <c r="Q63" i="3"/>
  <c r="R63" i="3" s="1"/>
  <c r="Q67" i="3"/>
  <c r="R67" i="3" s="1"/>
  <c r="Q71" i="3"/>
  <c r="R71" i="3" s="1"/>
  <c r="Q79" i="3"/>
  <c r="R79" i="3" s="1"/>
  <c r="Q83" i="3"/>
  <c r="R83" i="3" s="1"/>
  <c r="T87" i="3"/>
  <c r="W87" i="3" s="1"/>
  <c r="Q87" i="3"/>
  <c r="R87" i="3" s="1"/>
  <c r="T91" i="3"/>
  <c r="W91" i="3" s="1"/>
  <c r="Q91" i="3"/>
  <c r="R91" i="3" s="1"/>
  <c r="Q95" i="3"/>
  <c r="R95" i="3" s="1"/>
  <c r="T95" i="3"/>
  <c r="W95" i="3" s="1"/>
  <c r="Q99" i="3"/>
  <c r="R99" i="3" s="1"/>
  <c r="T99" i="3"/>
  <c r="W99" i="3" s="1"/>
  <c r="Q115" i="3"/>
  <c r="R115" i="3" s="1"/>
  <c r="Q120" i="3"/>
  <c r="R120" i="3" s="1"/>
  <c r="Q128" i="3"/>
  <c r="R128" i="3" s="1"/>
  <c r="T132" i="3"/>
  <c r="W132" i="3" s="1"/>
  <c r="Q132" i="3"/>
  <c r="R132" i="3" s="1"/>
  <c r="T114" i="3"/>
  <c r="W114" i="3" s="1"/>
  <c r="Q114" i="3"/>
  <c r="R114" i="3" s="1"/>
  <c r="Q22" i="3"/>
  <c r="R22" i="3" s="1"/>
  <c r="Q42" i="3"/>
  <c r="R42" i="3" s="1"/>
  <c r="Q35" i="3"/>
  <c r="R35" i="3" s="1"/>
  <c r="Q50" i="3"/>
  <c r="R50" i="3" s="1"/>
  <c r="Q54" i="3"/>
  <c r="R54" i="3" s="1"/>
  <c r="T54" i="3"/>
  <c r="W54" i="3" s="1"/>
  <c r="Q47" i="3"/>
  <c r="R47" i="3" s="1"/>
  <c r="T47" i="3"/>
  <c r="W47" i="3" s="1"/>
  <c r="Q58" i="3"/>
  <c r="R58" i="3" s="1"/>
  <c r="Q74" i="3"/>
  <c r="R74" i="3" s="1"/>
  <c r="Q86" i="3"/>
  <c r="R86" i="3" s="1"/>
  <c r="Q90" i="3"/>
  <c r="R90" i="3" s="1"/>
  <c r="Q94" i="3"/>
  <c r="R94" i="3" s="1"/>
  <c r="T94" i="3"/>
  <c r="W94" i="3" s="1"/>
  <c r="Q98" i="3"/>
  <c r="R98" i="3" s="1"/>
  <c r="Q105" i="3"/>
  <c r="R105" i="3" s="1"/>
  <c r="Q104" i="3"/>
  <c r="R104" i="3" s="1"/>
  <c r="Q112" i="3"/>
  <c r="R112" i="3" s="1"/>
  <c r="Q123" i="3"/>
  <c r="R123" i="3" s="1"/>
  <c r="T13" i="3"/>
  <c r="W13" i="3" s="1"/>
  <c r="Q13" i="3"/>
  <c r="R13" i="3" s="1"/>
  <c r="Q16" i="3"/>
  <c r="R16" i="3" s="1"/>
  <c r="T29" i="3"/>
  <c r="W29" i="3" s="1"/>
  <c r="Q29" i="3"/>
  <c r="R29" i="3" s="1"/>
  <c r="Q45" i="3"/>
  <c r="R45" i="3" s="1"/>
  <c r="Q38" i="3"/>
  <c r="R38" i="3" s="1"/>
  <c r="Q56" i="3"/>
  <c r="R56" i="3" s="1"/>
  <c r="Q69" i="3"/>
  <c r="R69" i="3" s="1"/>
  <c r="Q85" i="3"/>
  <c r="R85" i="3" s="1"/>
  <c r="T85" i="3"/>
  <c r="W85" i="3" s="1"/>
  <c r="Q89" i="3"/>
  <c r="R89" i="3" s="1"/>
  <c r="T93" i="3"/>
  <c r="W93" i="3" s="1"/>
  <c r="Q93" i="3"/>
  <c r="R93" i="3" s="1"/>
  <c r="T97" i="3"/>
  <c r="W97" i="3" s="1"/>
  <c r="Q97" i="3"/>
  <c r="R97" i="3" s="1"/>
  <c r="Q126" i="3"/>
  <c r="R126" i="3" s="1"/>
  <c r="Q130" i="3"/>
  <c r="R130" i="3" s="1"/>
  <c r="Q133" i="3"/>
  <c r="R133" i="3" s="1"/>
  <c r="T133" i="3"/>
  <c r="W133" i="3" s="1"/>
  <c r="S47" i="3"/>
  <c r="S51" i="3"/>
  <c r="P41" i="3"/>
  <c r="S45" i="3"/>
  <c r="P40" i="3"/>
  <c r="P55" i="3"/>
  <c r="P124" i="3"/>
  <c r="P49" i="3"/>
  <c r="S104" i="3"/>
  <c r="P46" i="3"/>
  <c r="P73" i="3"/>
  <c r="P68" i="3"/>
  <c r="P86" i="3"/>
  <c r="P97" i="3"/>
  <c r="P17" i="3"/>
  <c r="P52" i="3"/>
  <c r="P37" i="3"/>
  <c r="S58" i="3"/>
  <c r="P88" i="3"/>
  <c r="P61" i="3"/>
  <c r="S76" i="3"/>
  <c r="S95" i="3"/>
  <c r="S126" i="3"/>
  <c r="P108" i="3"/>
  <c r="S105" i="3"/>
  <c r="S69" i="3"/>
  <c r="P18" i="3"/>
  <c r="P36" i="3"/>
  <c r="S42" i="3"/>
  <c r="S50" i="3"/>
  <c r="S63" i="3"/>
  <c r="P65" i="3"/>
  <c r="S28" i="3"/>
  <c r="P85" i="3"/>
  <c r="S123" i="3"/>
  <c r="S71" i="3"/>
  <c r="S56" i="3"/>
  <c r="P92" i="3"/>
  <c r="P75" i="3"/>
  <c r="S116" i="3"/>
  <c r="P122" i="3"/>
  <c r="S20" i="3"/>
  <c r="P14" i="3"/>
  <c r="S38" i="3"/>
  <c r="S13" i="3"/>
  <c r="P110" i="3"/>
  <c r="P66" i="3"/>
  <c r="P78" i="3"/>
  <c r="P25" i="3"/>
  <c r="P64" i="3"/>
  <c r="S117" i="3"/>
  <c r="P98" i="3"/>
  <c r="P125" i="3"/>
  <c r="S128" i="3"/>
  <c r="P53" i="3"/>
  <c r="S26" i="3"/>
  <c r="S16" i="3"/>
  <c r="S67" i="3"/>
  <c r="S115" i="3"/>
  <c r="S83" i="3"/>
  <c r="S114" i="3"/>
  <c r="S29" i="3"/>
  <c r="S93" i="3"/>
  <c r="S35" i="3"/>
  <c r="S12" i="3"/>
  <c r="P30" i="3"/>
  <c r="S84" i="3"/>
  <c r="P23" i="3"/>
  <c r="S79" i="3"/>
  <c r="P70" i="3"/>
  <c r="P89" i="3"/>
  <c r="P103" i="3"/>
  <c r="S100" i="3"/>
  <c r="P44" i="3"/>
  <c r="P109" i="3"/>
  <c r="P82" i="3"/>
  <c r="S121" i="3"/>
  <c r="S74" i="3"/>
  <c r="P81" i="3"/>
  <c r="P57" i="3"/>
  <c r="S59" i="3"/>
  <c r="P33" i="3"/>
  <c r="P90" i="3"/>
  <c r="P119" i="3"/>
  <c r="P80" i="3"/>
  <c r="P127" i="3"/>
  <c r="P118" i="3"/>
  <c r="S32" i="3"/>
  <c r="P21" i="3"/>
  <c r="P19" i="3"/>
  <c r="S54" i="3"/>
  <c r="P27" i="3"/>
  <c r="P94" i="3"/>
  <c r="S130" i="3"/>
  <c r="P111" i="3"/>
  <c r="P96" i="3"/>
  <c r="P106" i="3"/>
  <c r="P34" i="3"/>
  <c r="S87" i="3"/>
  <c r="S65" i="3"/>
  <c r="S91" i="3"/>
  <c r="S48" i="3"/>
  <c r="S112" i="3"/>
  <c r="S101" i="3"/>
  <c r="P39" i="3"/>
  <c r="S107" i="3"/>
  <c r="P62" i="3"/>
  <c r="S31" i="3"/>
  <c r="S11" i="3"/>
  <c r="P131" i="3"/>
  <c r="P77" i="3"/>
  <c r="P102" i="3"/>
  <c r="P24" i="3"/>
  <c r="S24" i="3" s="1"/>
  <c r="S99" i="3"/>
  <c r="S120" i="3"/>
  <c r="S72" i="3"/>
  <c r="P129" i="3"/>
  <c r="P113" i="3"/>
  <c r="P43" i="3"/>
  <c r="P15" i="3"/>
  <c r="P60" i="3"/>
  <c r="S22" i="3"/>
  <c r="F47" i="15" l="1"/>
  <c r="F107" i="15"/>
  <c r="F40" i="15"/>
  <c r="T50" i="3"/>
  <c r="W50" i="3" s="1"/>
  <c r="T42" i="3"/>
  <c r="W42" i="3" s="1"/>
  <c r="T51" i="3"/>
  <c r="W51" i="3" s="1"/>
  <c r="Q129" i="3"/>
  <c r="R129" i="3" s="1"/>
  <c r="T128" i="3"/>
  <c r="W128" i="3" s="1"/>
  <c r="Q131" i="3"/>
  <c r="R131" i="3" s="1"/>
  <c r="T130" i="3"/>
  <c r="W130" i="3" s="1"/>
  <c r="Q127" i="3"/>
  <c r="R127" i="3" s="1"/>
  <c r="T126" i="3"/>
  <c r="W126" i="3" s="1"/>
  <c r="Q125" i="3"/>
  <c r="R125" i="3" s="1"/>
  <c r="Q110" i="3"/>
  <c r="R110" i="3" s="1"/>
  <c r="T107" i="3"/>
  <c r="W107" i="3" s="1"/>
  <c r="Q118" i="3"/>
  <c r="R118" i="3" s="1"/>
  <c r="T115" i="3"/>
  <c r="W115" i="3" s="1"/>
  <c r="T105" i="3"/>
  <c r="W105" i="3" s="1"/>
  <c r="Q113" i="3"/>
  <c r="R113" i="3" s="1"/>
  <c r="Q108" i="3"/>
  <c r="R108" i="3" s="1"/>
  <c r="T112" i="3"/>
  <c r="W112" i="3" s="1"/>
  <c r="Q119" i="3"/>
  <c r="R119" i="3" s="1"/>
  <c r="Q122" i="3"/>
  <c r="R122" i="3" s="1"/>
  <c r="T120" i="3"/>
  <c r="W120" i="3" s="1"/>
  <c r="T116" i="3"/>
  <c r="W116" i="3" s="1"/>
  <c r="T121" i="3"/>
  <c r="W121" i="3" s="1"/>
  <c r="Q109" i="3"/>
  <c r="R109" i="3" s="1"/>
  <c r="Q102" i="3"/>
  <c r="R102" i="3" s="1"/>
  <c r="Q106" i="3"/>
  <c r="R106" i="3" s="1"/>
  <c r="Q103" i="3"/>
  <c r="R103" i="3" s="1"/>
  <c r="T104" i="3"/>
  <c r="W104" i="3" s="1"/>
  <c r="T117" i="3"/>
  <c r="W117" i="3" s="1"/>
  <c r="Q111" i="3"/>
  <c r="R111" i="3" s="1"/>
  <c r="T123" i="3"/>
  <c r="W123" i="3" s="1"/>
  <c r="Q124" i="3"/>
  <c r="R124" i="3" s="1"/>
  <c r="F22" i="15"/>
  <c r="F43" i="15"/>
  <c r="T71" i="3"/>
  <c r="W71" i="3" s="1"/>
  <c r="F64" i="15"/>
  <c r="F110" i="15"/>
  <c r="F21" i="15"/>
  <c r="F113" i="15"/>
  <c r="F93" i="15"/>
  <c r="F108" i="15"/>
  <c r="F35" i="15"/>
  <c r="F44" i="15"/>
  <c r="F77" i="15"/>
  <c r="F114" i="15"/>
  <c r="Q17" i="3"/>
  <c r="R17" i="3" s="1"/>
  <c r="T16" i="3"/>
  <c r="W16" i="3" s="1"/>
  <c r="T18" i="3"/>
  <c r="W18" i="3" s="1"/>
  <c r="Q18" i="3"/>
  <c r="R18" i="3" s="1"/>
  <c r="Q19" i="3"/>
  <c r="R19" i="3" s="1"/>
  <c r="T20" i="3"/>
  <c r="W20" i="3" s="1"/>
  <c r="Q21" i="3"/>
  <c r="R21" i="3" s="1"/>
  <c r="T22" i="3"/>
  <c r="W22" i="3" s="1"/>
  <c r="Q23" i="3"/>
  <c r="R23" i="3" s="1"/>
  <c r="T26" i="3"/>
  <c r="W26" i="3" s="1"/>
  <c r="Q25" i="3"/>
  <c r="R25" i="3" s="1"/>
  <c r="Q24" i="3"/>
  <c r="R24" i="3" s="1"/>
  <c r="F116" i="15"/>
  <c r="F19" i="15"/>
  <c r="F97" i="15"/>
  <c r="F15" i="15"/>
  <c r="F94" i="15"/>
  <c r="F9" i="15"/>
  <c r="T48" i="3"/>
  <c r="W48" i="3" s="1"/>
  <c r="F41" i="15"/>
  <c r="Q27" i="3"/>
  <c r="R27" i="3" s="1"/>
  <c r="Q30" i="3"/>
  <c r="R30" i="3" s="1"/>
  <c r="F123" i="15"/>
  <c r="F121" i="15"/>
  <c r="F4" i="15"/>
  <c r="T56" i="3"/>
  <c r="W56" i="3" s="1"/>
  <c r="F72" i="15"/>
  <c r="T79" i="3"/>
  <c r="W79" i="3" s="1"/>
  <c r="F100" i="15"/>
  <c r="F5" i="15"/>
  <c r="F84" i="15"/>
  <c r="F76" i="15"/>
  <c r="T83" i="3"/>
  <c r="W83" i="3" s="1"/>
  <c r="T35" i="3"/>
  <c r="W35" i="3" s="1"/>
  <c r="T32" i="3"/>
  <c r="W32" i="3" s="1"/>
  <c r="T31" i="3"/>
  <c r="W31" i="3" s="1"/>
  <c r="T45" i="3"/>
  <c r="W45" i="3" s="1"/>
  <c r="T38" i="3"/>
  <c r="W38" i="3" s="1"/>
  <c r="Q53" i="3"/>
  <c r="R53" i="3" s="1"/>
  <c r="Q37" i="3"/>
  <c r="R37" i="3" s="1"/>
  <c r="Q49" i="3"/>
  <c r="R49" i="3" s="1"/>
  <c r="Q41" i="3"/>
  <c r="R41" i="3" s="1"/>
  <c r="Q55" i="3"/>
  <c r="R55" i="3" s="1"/>
  <c r="Q46" i="3"/>
  <c r="R46" i="3" s="1"/>
  <c r="Q39" i="3"/>
  <c r="R39" i="3" s="1"/>
  <c r="Q33" i="3"/>
  <c r="R33" i="3" s="1"/>
  <c r="Q52" i="3"/>
  <c r="R52" i="3" s="1"/>
  <c r="Q44" i="3"/>
  <c r="R44" i="3" s="1"/>
  <c r="Q34" i="3"/>
  <c r="R34" i="3" s="1"/>
  <c r="Q36" i="3"/>
  <c r="R36" i="3" s="1"/>
  <c r="Q40" i="3"/>
  <c r="R40" i="3" s="1"/>
  <c r="Q43" i="3"/>
  <c r="R43" i="3" s="1"/>
  <c r="F17" i="15"/>
  <c r="E91" i="15"/>
  <c r="Q57" i="3"/>
  <c r="R57" i="3" s="1"/>
  <c r="E50" i="15"/>
  <c r="E45" i="15"/>
  <c r="E42" i="15"/>
  <c r="E95" i="15"/>
  <c r="E90" i="15"/>
  <c r="E27" i="15"/>
  <c r="E32" i="15"/>
  <c r="E46" i="15"/>
  <c r="E103" i="15"/>
  <c r="E26" i="15"/>
  <c r="E81" i="15"/>
  <c r="F58" i="15"/>
  <c r="E101" i="15"/>
  <c r="E34" i="15"/>
  <c r="E85" i="15"/>
  <c r="E120" i="15"/>
  <c r="E79" i="15"/>
  <c r="F105" i="15"/>
  <c r="F92" i="15"/>
  <c r="F25" i="15"/>
  <c r="F31" i="15"/>
  <c r="F49" i="15"/>
  <c r="E83" i="15"/>
  <c r="E118" i="15"/>
  <c r="E122" i="15"/>
  <c r="E33" i="15"/>
  <c r="E61" i="15"/>
  <c r="Q68" i="3"/>
  <c r="R68" i="3" s="1"/>
  <c r="E63" i="15"/>
  <c r="Q70" i="3"/>
  <c r="R70" i="3" s="1"/>
  <c r="E89" i="15"/>
  <c r="E99" i="15"/>
  <c r="Q66" i="3"/>
  <c r="R66" i="3" s="1"/>
  <c r="E59" i="15"/>
  <c r="E112" i="15"/>
  <c r="E74" i="15"/>
  <c r="Q81" i="3"/>
  <c r="R81" i="3" s="1"/>
  <c r="E12" i="15"/>
  <c r="E58" i="15"/>
  <c r="Q65" i="3"/>
  <c r="R65" i="3" s="1"/>
  <c r="E37" i="15"/>
  <c r="E39" i="15"/>
  <c r="E54" i="15"/>
  <c r="Q61" i="3"/>
  <c r="R61" i="3" s="1"/>
  <c r="F67" i="15"/>
  <c r="T74" i="3"/>
  <c r="W74" i="3" s="1"/>
  <c r="F65" i="15"/>
  <c r="T72" i="3"/>
  <c r="W72" i="3" s="1"/>
  <c r="F38" i="15"/>
  <c r="T76" i="3"/>
  <c r="W76" i="3" s="1"/>
  <c r="F69" i="15"/>
  <c r="F119" i="15"/>
  <c r="T63" i="3"/>
  <c r="W63" i="3" s="1"/>
  <c r="F56" i="15"/>
  <c r="E106" i="15"/>
  <c r="E36" i="15"/>
  <c r="E124" i="15"/>
  <c r="E78" i="15"/>
  <c r="E18" i="15"/>
  <c r="E20" i="15"/>
  <c r="E96" i="15"/>
  <c r="E23" i="15"/>
  <c r="E48" i="15"/>
  <c r="E68" i="15"/>
  <c r="Q75" i="3"/>
  <c r="R75" i="3" s="1"/>
  <c r="E102" i="15"/>
  <c r="Q60" i="3"/>
  <c r="R60" i="3" s="1"/>
  <c r="E53" i="15"/>
  <c r="E17" i="15"/>
  <c r="E14" i="15"/>
  <c r="Q77" i="3"/>
  <c r="R77" i="3" s="1"/>
  <c r="E70" i="15"/>
  <c r="E11" i="15"/>
  <c r="T59" i="3"/>
  <c r="W59" i="3" s="1"/>
  <c r="F52" i="15"/>
  <c r="F24" i="15"/>
  <c r="T69" i="3"/>
  <c r="W69" i="3" s="1"/>
  <c r="F62" i="15"/>
  <c r="F28" i="15"/>
  <c r="F98" i="15"/>
  <c r="F51" i="15"/>
  <c r="T58" i="3"/>
  <c r="W58" i="3" s="1"/>
  <c r="E30" i="15"/>
  <c r="E73" i="15"/>
  <c r="Q80" i="3"/>
  <c r="R80" i="3" s="1"/>
  <c r="Q78" i="3"/>
  <c r="R78" i="3" s="1"/>
  <c r="E71" i="15"/>
  <c r="E66" i="15"/>
  <c r="Q73" i="3"/>
  <c r="R73" i="3" s="1"/>
  <c r="E111" i="15"/>
  <c r="E16" i="15"/>
  <c r="E29" i="15"/>
  <c r="E75" i="15"/>
  <c r="Q82" i="3"/>
  <c r="R82" i="3" s="1"/>
  <c r="E117" i="15"/>
  <c r="Q64" i="3"/>
  <c r="R64" i="3" s="1"/>
  <c r="E57" i="15"/>
  <c r="E10" i="15"/>
  <c r="E82" i="15"/>
  <c r="E87" i="15"/>
  <c r="E104" i="15"/>
  <c r="E115" i="15"/>
  <c r="Q62" i="3"/>
  <c r="R62" i="3" s="1"/>
  <c r="E55" i="15"/>
  <c r="F80" i="15"/>
  <c r="F86" i="15"/>
  <c r="F109" i="15"/>
  <c r="T67" i="3"/>
  <c r="W67" i="3" s="1"/>
  <c r="F60" i="15"/>
  <c r="F13" i="15"/>
  <c r="F88" i="15"/>
  <c r="F6" i="15"/>
  <c r="Q15" i="3"/>
  <c r="R15" i="3" s="1"/>
  <c r="Q14" i="3"/>
  <c r="R14" i="3" s="1"/>
  <c r="T24" i="3"/>
  <c r="W24" i="3" s="1"/>
  <c r="T92" i="3"/>
  <c r="W92" i="3" s="1"/>
  <c r="T90" i="3"/>
  <c r="W90" i="3" s="1"/>
  <c r="T98" i="3"/>
  <c r="W98" i="3" s="1"/>
  <c r="T86" i="3"/>
  <c r="W86" i="3" s="1"/>
  <c r="T84" i="3"/>
  <c r="W84" i="3" s="1"/>
  <c r="T65" i="3"/>
  <c r="W65" i="3" s="1"/>
  <c r="T89" i="3"/>
  <c r="W89" i="3" s="1"/>
  <c r="T88" i="3"/>
  <c r="W88" i="3" s="1"/>
  <c r="T96" i="3"/>
  <c r="W96" i="3" s="1"/>
  <c r="E8" i="15"/>
  <c r="E7" i="15"/>
  <c r="S46" i="3"/>
  <c r="S66" i="3"/>
  <c r="S118" i="3"/>
  <c r="S96" i="3"/>
  <c r="S102" i="3"/>
  <c r="S109" i="3"/>
  <c r="S55" i="3"/>
  <c r="S127" i="3"/>
  <c r="S73" i="3"/>
  <c r="S61" i="3"/>
  <c r="S21" i="3"/>
  <c r="S57" i="3"/>
  <c r="S88" i="3"/>
  <c r="S125" i="3"/>
  <c r="S44" i="3"/>
  <c r="S62" i="3"/>
  <c r="S85" i="3"/>
  <c r="S37" i="3"/>
  <c r="S94" i="3"/>
  <c r="S23" i="3"/>
  <c r="S89" i="3"/>
  <c r="S111" i="3"/>
  <c r="S81" i="3"/>
  <c r="S108" i="3"/>
  <c r="S68" i="3"/>
  <c r="S113" i="3"/>
  <c r="S75" i="3"/>
  <c r="S106" i="3"/>
  <c r="S39" i="3"/>
  <c r="S97" i="3"/>
  <c r="S129" i="3"/>
  <c r="S124" i="3"/>
  <c r="S14" i="3"/>
  <c r="S53" i="3"/>
  <c r="S19" i="3"/>
  <c r="S92" i="3"/>
  <c r="S25" i="3"/>
  <c r="S80" i="3"/>
  <c r="S30" i="3"/>
  <c r="S122" i="3"/>
  <c r="S34" i="3"/>
  <c r="S64" i="3"/>
  <c r="S43" i="3"/>
  <c r="S17" i="3"/>
  <c r="S119" i="3"/>
  <c r="S40" i="3"/>
  <c r="S52" i="3"/>
  <c r="S78" i="3"/>
  <c r="S70" i="3"/>
  <c r="S86" i="3"/>
  <c r="S82" i="3"/>
  <c r="S41" i="3"/>
  <c r="S98" i="3"/>
  <c r="S103" i="3"/>
  <c r="S49" i="3"/>
  <c r="S110" i="3"/>
  <c r="S131" i="3"/>
  <c r="S33" i="3"/>
  <c r="S15" i="3"/>
  <c r="S60" i="3"/>
  <c r="S36" i="3"/>
  <c r="S27" i="3"/>
  <c r="S77" i="3"/>
  <c r="S18" i="3"/>
  <c r="S90" i="3"/>
  <c r="C26" i="14"/>
  <c r="T49" i="3" l="1"/>
  <c r="W49" i="3" s="1"/>
  <c r="T44" i="3"/>
  <c r="W44" i="3" s="1"/>
  <c r="T55" i="3"/>
  <c r="W55" i="3" s="1"/>
  <c r="T131" i="3"/>
  <c r="W131" i="3" s="1"/>
  <c r="T129" i="3"/>
  <c r="W129" i="3" s="1"/>
  <c r="T125" i="3"/>
  <c r="W125" i="3" s="1"/>
  <c r="T127" i="3"/>
  <c r="W127" i="3" s="1"/>
  <c r="T124" i="3"/>
  <c r="W124" i="3" s="1"/>
  <c r="T111" i="3"/>
  <c r="W111" i="3" s="1"/>
  <c r="T119" i="3"/>
  <c r="W119" i="3" s="1"/>
  <c r="T110" i="3"/>
  <c r="W110" i="3" s="1"/>
  <c r="T103" i="3"/>
  <c r="W103" i="3" s="1"/>
  <c r="T122" i="3"/>
  <c r="W122" i="3" s="1"/>
  <c r="T106" i="3"/>
  <c r="W106" i="3" s="1"/>
  <c r="T109" i="3"/>
  <c r="W109" i="3" s="1"/>
  <c r="T102" i="3"/>
  <c r="W102" i="3" s="1"/>
  <c r="T113" i="3"/>
  <c r="W113" i="3" s="1"/>
  <c r="T118" i="3"/>
  <c r="W118" i="3" s="1"/>
  <c r="T108" i="3"/>
  <c r="W108" i="3" s="1"/>
  <c r="F42" i="15"/>
  <c r="F68" i="15"/>
  <c r="T75" i="3"/>
  <c r="W75" i="3" s="1"/>
  <c r="F37" i="15"/>
  <c r="F11" i="15"/>
  <c r="F120" i="15"/>
  <c r="F96" i="15"/>
  <c r="F54" i="15"/>
  <c r="T61" i="3"/>
  <c r="W61" i="3" s="1"/>
  <c r="F112" i="15"/>
  <c r="F75" i="15"/>
  <c r="T82" i="3"/>
  <c r="W82" i="3" s="1"/>
  <c r="F90" i="15"/>
  <c r="T77" i="3"/>
  <c r="W77" i="3" s="1"/>
  <c r="T62" i="3"/>
  <c r="W62" i="3" s="1"/>
  <c r="T17" i="3"/>
  <c r="W17" i="3" s="1"/>
  <c r="T19" i="3"/>
  <c r="W19" i="3" s="1"/>
  <c r="T21" i="3"/>
  <c r="W21" i="3" s="1"/>
  <c r="T23" i="3"/>
  <c r="W23" i="3" s="1"/>
  <c r="T25" i="3"/>
  <c r="W25" i="3" s="1"/>
  <c r="F101" i="15"/>
  <c r="T40" i="3"/>
  <c r="W40" i="3" s="1"/>
  <c r="F33" i="15"/>
  <c r="F70" i="15"/>
  <c r="T39" i="3"/>
  <c r="W39" i="3" s="1"/>
  <c r="F32" i="15"/>
  <c r="F55" i="15"/>
  <c r="F117" i="15"/>
  <c r="T53" i="3"/>
  <c r="W53" i="3" s="1"/>
  <c r="T27" i="3"/>
  <c r="W27" i="3" s="1"/>
  <c r="T46" i="3"/>
  <c r="W46" i="3" s="1"/>
  <c r="T33" i="3"/>
  <c r="W33" i="3" s="1"/>
  <c r="T34" i="3"/>
  <c r="W34" i="3" s="1"/>
  <c r="T30" i="3"/>
  <c r="W30" i="3" s="1"/>
  <c r="T41" i="3"/>
  <c r="W41" i="3" s="1"/>
  <c r="F79" i="15"/>
  <c r="F74" i="15"/>
  <c r="T81" i="3"/>
  <c r="W81" i="3" s="1"/>
  <c r="F85" i="15"/>
  <c r="F14" i="15"/>
  <c r="F103" i="15"/>
  <c r="F16" i="15"/>
  <c r="F12" i="15"/>
  <c r="F34" i="15"/>
  <c r="F48" i="15"/>
  <c r="F87" i="15"/>
  <c r="F39" i="15"/>
  <c r="F18" i="15"/>
  <c r="F26" i="15"/>
  <c r="F82" i="15"/>
  <c r="F46" i="15"/>
  <c r="F104" i="15"/>
  <c r="T66" i="3"/>
  <c r="W66" i="3" s="1"/>
  <c r="F59" i="15"/>
  <c r="F27" i="15"/>
  <c r="F95" i="15"/>
  <c r="F10" i="15"/>
  <c r="F115" i="15"/>
  <c r="F57" i="15"/>
  <c r="T64" i="3"/>
  <c r="W64" i="3" s="1"/>
  <c r="T36" i="3"/>
  <c r="W36" i="3" s="1"/>
  <c r="T37" i="3"/>
  <c r="W37" i="3" s="1"/>
  <c r="T43" i="3"/>
  <c r="W43" i="3" s="1"/>
  <c r="T52" i="3"/>
  <c r="W52" i="3" s="1"/>
  <c r="F30" i="15"/>
  <c r="F83" i="15"/>
  <c r="F53" i="15"/>
  <c r="T60" i="3"/>
  <c r="W60" i="3" s="1"/>
  <c r="F20" i="15"/>
  <c r="F71" i="15"/>
  <c r="T78" i="3"/>
  <c r="W78" i="3" s="1"/>
  <c r="F66" i="15"/>
  <c r="T73" i="3"/>
  <c r="W73" i="3" s="1"/>
  <c r="F102" i="15"/>
  <c r="F106" i="15"/>
  <c r="F99" i="15"/>
  <c r="F61" i="15"/>
  <c r="T68" i="3"/>
  <c r="W68" i="3" s="1"/>
  <c r="F122" i="15"/>
  <c r="F111" i="15"/>
  <c r="F78" i="15"/>
  <c r="F63" i="15"/>
  <c r="T70" i="3"/>
  <c r="W70" i="3" s="1"/>
  <c r="F91" i="15"/>
  <c r="F29" i="15"/>
  <c r="F36" i="15"/>
  <c r="F89" i="15"/>
  <c r="F45" i="15"/>
  <c r="F73" i="15"/>
  <c r="T80" i="3"/>
  <c r="W80" i="3" s="1"/>
  <c r="F23" i="15"/>
  <c r="F124" i="15"/>
  <c r="F118" i="15"/>
  <c r="F81" i="15"/>
  <c r="F50" i="15"/>
  <c r="T57" i="3"/>
  <c r="W57" i="3" s="1"/>
  <c r="Q6" i="3"/>
  <c r="P6" i="3"/>
  <c r="F8" i="15"/>
  <c r="T15" i="3"/>
  <c r="W15" i="3" s="1"/>
  <c r="F7" i="15"/>
  <c r="T14" i="3"/>
  <c r="W14" i="3" s="1"/>
  <c r="J10" i="8"/>
  <c r="E10" i="13"/>
  <c r="E4" i="13"/>
  <c r="H4" i="13" l="1"/>
  <c r="Z6" i="3"/>
  <c r="T6" i="3"/>
  <c r="R6" i="3"/>
  <c r="U6" i="3"/>
  <c r="AA6" i="3"/>
  <c r="S6" i="3" l="1"/>
  <c r="K2" i="9"/>
  <c r="A9" i="8"/>
  <c r="K2" i="3"/>
  <c r="M1" i="3" s="1"/>
  <c r="A10" i="8" s="1"/>
  <c r="V6" i="3"/>
  <c r="N6" i="3" s="1"/>
  <c r="U10" i="3" l="1"/>
  <c r="U9" i="3"/>
  <c r="U80" i="3"/>
  <c r="U36" i="3"/>
  <c r="U116" i="3"/>
  <c r="U99" i="3"/>
  <c r="U13" i="3"/>
  <c r="U49" i="3"/>
  <c r="U102" i="3"/>
  <c r="U38" i="3"/>
  <c r="U121" i="3"/>
  <c r="U75" i="3"/>
  <c r="U31" i="3"/>
  <c r="U56" i="3"/>
  <c r="U92" i="3"/>
  <c r="U70" i="3"/>
  <c r="U123" i="3"/>
  <c r="U79" i="3"/>
  <c r="U32" i="3"/>
  <c r="U120" i="3"/>
  <c r="U35" i="3"/>
  <c r="U71" i="3"/>
  <c r="U118" i="3"/>
  <c r="U54" i="3"/>
  <c r="U37" i="3"/>
  <c r="U117" i="3"/>
  <c r="U73" i="3"/>
  <c r="U77" i="3"/>
  <c r="U113" i="3"/>
  <c r="U28" i="3"/>
  <c r="U86" i="3"/>
  <c r="U22" i="3"/>
  <c r="U112" i="3"/>
  <c r="U101" i="3"/>
  <c r="U59" i="3"/>
  <c r="U16" i="3"/>
  <c r="U100" i="3"/>
  <c r="U57" i="3"/>
  <c r="U15" i="3"/>
  <c r="U96" i="3"/>
  <c r="U53" i="3"/>
  <c r="U11" i="3"/>
  <c r="U95" i="3"/>
  <c r="U52" i="3"/>
  <c r="U131" i="3"/>
  <c r="U109" i="3"/>
  <c r="U88" i="3"/>
  <c r="U67" i="3"/>
  <c r="U45" i="3"/>
  <c r="U24" i="3"/>
  <c r="U124" i="3"/>
  <c r="U103" i="3"/>
  <c r="U81" i="3"/>
  <c r="U60" i="3"/>
  <c r="U39" i="3"/>
  <c r="U17" i="3"/>
  <c r="U126" i="3"/>
  <c r="U110" i="3"/>
  <c r="U94" i="3"/>
  <c r="U78" i="3"/>
  <c r="U62" i="3"/>
  <c r="U46" i="3"/>
  <c r="U30" i="3"/>
  <c r="U14" i="3"/>
  <c r="U69" i="3"/>
  <c r="U27" i="3"/>
  <c r="U111" i="3"/>
  <c r="U68" i="3"/>
  <c r="U25" i="3"/>
  <c r="U107" i="3"/>
  <c r="U64" i="3"/>
  <c r="U21" i="3"/>
  <c r="U105" i="3"/>
  <c r="U63" i="3"/>
  <c r="U20" i="3"/>
  <c r="U115" i="3"/>
  <c r="U93" i="3"/>
  <c r="U72" i="3"/>
  <c r="U51" i="3"/>
  <c r="U29" i="3"/>
  <c r="U129" i="3"/>
  <c r="U108" i="3"/>
  <c r="U87" i="3"/>
  <c r="U65" i="3"/>
  <c r="U44" i="3"/>
  <c r="U23" i="3"/>
  <c r="U130" i="3"/>
  <c r="U114" i="3"/>
  <c r="U98" i="3"/>
  <c r="U82" i="3"/>
  <c r="U66" i="3"/>
  <c r="U50" i="3"/>
  <c r="U34" i="3"/>
  <c r="U18" i="3"/>
  <c r="U133" i="3"/>
  <c r="U91" i="3"/>
  <c r="U48" i="3"/>
  <c r="U132" i="3"/>
  <c r="U89" i="3"/>
  <c r="U47" i="3"/>
  <c r="U128" i="3"/>
  <c r="U85" i="3"/>
  <c r="U43" i="3"/>
  <c r="U127" i="3"/>
  <c r="U84" i="3"/>
  <c r="U41" i="3"/>
  <c r="U125" i="3"/>
  <c r="U104" i="3"/>
  <c r="U83" i="3"/>
  <c r="U61" i="3"/>
  <c r="U40" i="3"/>
  <c r="U19" i="3"/>
  <c r="U119" i="3"/>
  <c r="U97" i="3"/>
  <c r="U76" i="3"/>
  <c r="U55" i="3"/>
  <c r="U33" i="3"/>
  <c r="U12" i="3"/>
  <c r="U122" i="3"/>
  <c r="U106" i="3"/>
  <c r="U90" i="3"/>
  <c r="U74" i="3"/>
  <c r="U58" i="3"/>
  <c r="U42" i="3"/>
  <c r="U26" i="3"/>
  <c r="L2" i="9"/>
  <c r="D9" i="8"/>
  <c r="X10" i="3"/>
  <c r="H3" i="15" s="1"/>
  <c r="X11" i="3"/>
  <c r="H4" i="15" s="1"/>
  <c r="X9" i="3"/>
  <c r="H2" i="15" s="1"/>
  <c r="O55" i="3"/>
  <c r="Y55" i="3" s="1"/>
  <c r="O28" i="3"/>
  <c r="Y28" i="3" s="1"/>
  <c r="O56" i="3"/>
  <c r="Y56" i="3" s="1"/>
  <c r="O66" i="3"/>
  <c r="Y66" i="3" s="1"/>
  <c r="O133" i="3"/>
  <c r="O53" i="3"/>
  <c r="Y53" i="3" s="1"/>
  <c r="X6" i="3"/>
  <c r="O107" i="3"/>
  <c r="Y107" i="3" s="1"/>
  <c r="O76" i="3"/>
  <c r="Y76" i="3" s="1"/>
  <c r="O58" i="3"/>
  <c r="Y58" i="3" s="1"/>
  <c r="O75" i="3"/>
  <c r="Y75" i="3" s="1"/>
  <c r="O42" i="3"/>
  <c r="Y42" i="3" s="1"/>
  <c r="O60" i="3"/>
  <c r="Y60" i="3" s="1"/>
  <c r="W6" i="3"/>
  <c r="O6" i="3"/>
  <c r="O29" i="3"/>
  <c r="Y29" i="3" s="1"/>
  <c r="O116" i="3"/>
  <c r="Y116" i="3" s="1"/>
  <c r="O122" i="3"/>
  <c r="Y122" i="3" s="1"/>
  <c r="O38" i="3"/>
  <c r="Y38" i="3" s="1"/>
  <c r="O104" i="3"/>
  <c r="Y104" i="3" s="1"/>
  <c r="O33" i="3"/>
  <c r="Y33" i="3" s="1"/>
  <c r="O59" i="3"/>
  <c r="Y59" i="3" s="1"/>
  <c r="O13" i="3"/>
  <c r="Y13" i="3" s="1"/>
  <c r="O62" i="3"/>
  <c r="Y62" i="3" s="1"/>
  <c r="O117" i="3"/>
  <c r="Y117" i="3" s="1"/>
  <c r="Y6" i="3"/>
  <c r="O95" i="3"/>
  <c r="Y95" i="3" s="1"/>
  <c r="O97" i="3"/>
  <c r="Y97" i="3" s="1"/>
  <c r="O105" i="3"/>
  <c r="Y105" i="3" s="1"/>
  <c r="O20" i="3"/>
  <c r="Y20" i="3" s="1"/>
  <c r="O18" i="3"/>
  <c r="Y18" i="3" s="1"/>
  <c r="O70" i="3"/>
  <c r="Y70" i="3" s="1"/>
  <c r="O115" i="3"/>
  <c r="Y115" i="3" s="1"/>
  <c r="O110" i="3"/>
  <c r="Y110" i="3" s="1"/>
  <c r="O44" i="3"/>
  <c r="Y44" i="3" s="1"/>
  <c r="O31" i="3"/>
  <c r="Y31" i="3" s="1"/>
  <c r="O103" i="3"/>
  <c r="Y103" i="3" s="1"/>
  <c r="O81" i="3"/>
  <c r="Y81" i="3" s="1"/>
  <c r="O129" i="3"/>
  <c r="Y129" i="3" s="1"/>
  <c r="O100" i="3"/>
  <c r="Y100" i="3" s="1"/>
  <c r="O35" i="3"/>
  <c r="Y35" i="3" s="1"/>
  <c r="O25" i="3"/>
  <c r="Y25" i="3" s="1"/>
  <c r="O84" i="3"/>
  <c r="Y84" i="3" s="1"/>
  <c r="O24" i="3"/>
  <c r="Y24" i="3" s="1"/>
  <c r="O111" i="3"/>
  <c r="Y111" i="3" s="1"/>
  <c r="O57" i="3"/>
  <c r="Y57" i="3" s="1"/>
  <c r="S2" i="9"/>
  <c r="I9" i="8"/>
  <c r="O32" i="3"/>
  <c r="Y32" i="3" s="1"/>
  <c r="O63" i="3"/>
  <c r="Y63" i="3" s="1"/>
  <c r="O92" i="3"/>
  <c r="Y92" i="3" s="1"/>
  <c r="O123" i="3"/>
  <c r="Y123" i="3" s="1"/>
  <c r="O10" i="3"/>
  <c r="G3" i="15" s="1"/>
  <c r="O89" i="3"/>
  <c r="Y89" i="3" s="1"/>
  <c r="O43" i="3"/>
  <c r="Y43" i="3" s="1"/>
  <c r="O78" i="3"/>
  <c r="Y78" i="3" s="1"/>
  <c r="O109" i="3"/>
  <c r="Y109" i="3" s="1"/>
  <c r="O23" i="3"/>
  <c r="Y23" i="3" s="1"/>
  <c r="O113" i="3"/>
  <c r="Y113" i="3" s="1"/>
  <c r="O77" i="3"/>
  <c r="Y77" i="3" s="1"/>
  <c r="O47" i="3"/>
  <c r="Y47" i="3" s="1"/>
  <c r="O112" i="3"/>
  <c r="Y112" i="3" s="1"/>
  <c r="O93" i="3"/>
  <c r="Y93" i="3" s="1"/>
  <c r="O9" i="3"/>
  <c r="G2" i="15" s="1"/>
  <c r="O67" i="3"/>
  <c r="Y67" i="3" s="1"/>
  <c r="O96" i="3"/>
  <c r="Y96" i="3" s="1"/>
  <c r="O127" i="3"/>
  <c r="Y127" i="3" s="1"/>
  <c r="O11" i="3"/>
  <c r="O52" i="3"/>
  <c r="Y52" i="3" s="1"/>
  <c r="O108" i="3"/>
  <c r="Y108" i="3" s="1"/>
  <c r="O48" i="3"/>
  <c r="Y48" i="3" s="1"/>
  <c r="O49" i="3"/>
  <c r="Y49" i="3" s="1"/>
  <c r="O132" i="3"/>
  <c r="O36" i="3"/>
  <c r="Y36" i="3" s="1"/>
  <c r="O71" i="3"/>
  <c r="Y71" i="3" s="1"/>
  <c r="O101" i="3"/>
  <c r="Y101" i="3" s="1"/>
  <c r="O131" i="3"/>
  <c r="Y131" i="3" s="1"/>
  <c r="O41" i="3"/>
  <c r="Y41" i="3" s="1"/>
  <c r="O106" i="3"/>
  <c r="Y106" i="3" s="1"/>
  <c r="O54" i="3"/>
  <c r="Y54" i="3" s="1"/>
  <c r="O83" i="3"/>
  <c r="Y83" i="3" s="1"/>
  <c r="O114" i="3"/>
  <c r="Y114" i="3" s="1"/>
  <c r="O99" i="3"/>
  <c r="Y99" i="3" s="1"/>
  <c r="O37" i="3"/>
  <c r="Y37" i="3" s="1"/>
  <c r="O65" i="3"/>
  <c r="Y65" i="3" s="1"/>
  <c r="O125" i="3"/>
  <c r="Y125" i="3" s="1"/>
  <c r="O15" i="3"/>
  <c r="Y15" i="3" s="1"/>
  <c r="O19" i="3"/>
  <c r="Y19" i="3" s="1"/>
  <c r="O124" i="3"/>
  <c r="Y124" i="3" s="1"/>
  <c r="O73" i="3"/>
  <c r="Y73" i="3" s="1"/>
  <c r="O27" i="3"/>
  <c r="Y27" i="3" s="1"/>
  <c r="O126" i="3"/>
  <c r="Y126" i="3" s="1"/>
  <c r="O87" i="3"/>
  <c r="Y87" i="3" s="1"/>
  <c r="O39" i="3"/>
  <c r="Y39" i="3" s="1"/>
  <c r="O21" i="3"/>
  <c r="Y21" i="3" s="1"/>
  <c r="O88" i="3"/>
  <c r="Y88" i="3" s="1"/>
  <c r="O50" i="3"/>
  <c r="Y50" i="3" s="1"/>
  <c r="O64" i="3"/>
  <c r="Y64" i="3" s="1"/>
  <c r="O94" i="3"/>
  <c r="Y94" i="3" s="1"/>
  <c r="O118" i="3"/>
  <c r="Y118" i="3" s="1"/>
  <c r="O74" i="3"/>
  <c r="Y74" i="3" s="1"/>
  <c r="O128" i="3"/>
  <c r="Y128" i="3" s="1"/>
  <c r="O68" i="3"/>
  <c r="Y68" i="3" s="1"/>
  <c r="O119" i="3"/>
  <c r="Y119" i="3" s="1"/>
  <c r="O51" i="3"/>
  <c r="Y51" i="3" s="1"/>
  <c r="O40" i="3"/>
  <c r="Y40" i="3" s="1"/>
  <c r="O14" i="3"/>
  <c r="Y14" i="3" s="1"/>
  <c r="O45" i="3"/>
  <c r="Y45" i="3" s="1"/>
  <c r="O91" i="3"/>
  <c r="Y91" i="3" s="1"/>
  <c r="O120" i="3"/>
  <c r="Y120" i="3" s="1"/>
  <c r="O17" i="3"/>
  <c r="Y17" i="3" s="1"/>
  <c r="O79" i="3"/>
  <c r="Y79" i="3" s="1"/>
  <c r="O16" i="3"/>
  <c r="Y16" i="3" s="1"/>
  <c r="O80" i="3"/>
  <c r="Y80" i="3" s="1"/>
  <c r="O12" i="3"/>
  <c r="O102" i="3"/>
  <c r="Y102" i="3" s="1"/>
  <c r="O121" i="3"/>
  <c r="Y121" i="3" s="1"/>
  <c r="O90" i="3"/>
  <c r="Y90" i="3" s="1"/>
  <c r="O30" i="3"/>
  <c r="Y30" i="3" s="1"/>
  <c r="O82" i="3"/>
  <c r="Y82" i="3" s="1"/>
  <c r="O22" i="3"/>
  <c r="Y22" i="3" s="1"/>
  <c r="O72" i="3"/>
  <c r="Y72" i="3" s="1"/>
  <c r="O69" i="3"/>
  <c r="Y69" i="3" s="1"/>
  <c r="O34" i="3"/>
  <c r="Y34" i="3" s="1"/>
  <c r="O130" i="3"/>
  <c r="Y130" i="3" s="1"/>
  <c r="O46" i="3"/>
  <c r="Y46" i="3" s="1"/>
  <c r="O85" i="3"/>
  <c r="Y85" i="3" s="1"/>
  <c r="O86" i="3"/>
  <c r="Y86" i="3" s="1"/>
  <c r="O26" i="3"/>
  <c r="Y26" i="3" s="1"/>
  <c r="O61" i="3"/>
  <c r="Y61" i="3" s="1"/>
  <c r="O98" i="3"/>
  <c r="Y98" i="3" s="1"/>
  <c r="I4" i="15"/>
  <c r="Z15" i="3"/>
  <c r="X12" i="3"/>
  <c r="X109" i="3"/>
  <c r="X49" i="3"/>
  <c r="X62" i="3"/>
  <c r="X87" i="3"/>
  <c r="X99" i="3"/>
  <c r="X13" i="3"/>
  <c r="X60" i="3"/>
  <c r="X102" i="3"/>
  <c r="X56" i="3"/>
  <c r="X67" i="3"/>
  <c r="X88" i="3"/>
  <c r="X71" i="3"/>
  <c r="X97" i="3"/>
  <c r="X59" i="3"/>
  <c r="X16" i="3"/>
  <c r="X128" i="3"/>
  <c r="X28" i="3"/>
  <c r="X44" i="3"/>
  <c r="X68" i="3"/>
  <c r="X61" i="3"/>
  <c r="X91" i="3"/>
  <c r="X121" i="3"/>
  <c r="X104" i="3"/>
  <c r="X125" i="3"/>
  <c r="X70" i="3"/>
  <c r="X30" i="3"/>
  <c r="X74" i="3"/>
  <c r="X129" i="3"/>
  <c r="X26" i="3"/>
  <c r="X118" i="3"/>
  <c r="X108" i="3"/>
  <c r="X22" i="3"/>
  <c r="X110" i="3"/>
  <c r="X50" i="3"/>
  <c r="X93" i="3"/>
  <c r="X29" i="3"/>
  <c r="X45" i="3"/>
  <c r="X36" i="3"/>
  <c r="X85" i="3"/>
  <c r="X37" i="3"/>
  <c r="X40" i="3"/>
  <c r="X79" i="3"/>
  <c r="X106" i="3"/>
  <c r="X111" i="3"/>
  <c r="X114" i="3"/>
  <c r="X47" i="3"/>
  <c r="X58" i="3"/>
  <c r="X34" i="3"/>
  <c r="X92" i="3"/>
  <c r="X113" i="3"/>
  <c r="X57" i="3"/>
  <c r="X116" i="3"/>
  <c r="X86" i="3"/>
  <c r="X120" i="3"/>
  <c r="X132" i="3"/>
  <c r="X39" i="3"/>
  <c r="X96" i="3"/>
  <c r="X131" i="3"/>
  <c r="X105" i="3"/>
  <c r="X21" i="3"/>
  <c r="X52" i="3"/>
  <c r="X19" i="3"/>
  <c r="X31" i="3"/>
  <c r="X112" i="3"/>
  <c r="X124" i="3"/>
  <c r="X18" i="3"/>
  <c r="X75" i="3"/>
  <c r="X20" i="3"/>
  <c r="X17" i="3"/>
  <c r="X38" i="3"/>
  <c r="X98" i="3"/>
  <c r="X72" i="3"/>
  <c r="X77" i="3"/>
  <c r="X115" i="3"/>
  <c r="X84" i="3"/>
  <c r="X103" i="3"/>
  <c r="X123" i="3"/>
  <c r="X27" i="3"/>
  <c r="X76" i="3"/>
  <c r="X117" i="3"/>
  <c r="X42" i="3"/>
  <c r="X54" i="3"/>
  <c r="X64" i="3"/>
  <c r="X83" i="3"/>
  <c r="X63" i="3"/>
  <c r="X53" i="3"/>
  <c r="X35" i="3"/>
  <c r="X133" i="3"/>
  <c r="X127" i="3"/>
  <c r="X119" i="3"/>
  <c r="X80" i="3"/>
  <c r="X51" i="3"/>
  <c r="X126" i="3"/>
  <c r="X90" i="3"/>
  <c r="X25" i="3"/>
  <c r="X94" i="3"/>
  <c r="X32" i="3"/>
  <c r="X78" i="3"/>
  <c r="X46" i="3"/>
  <c r="X14" i="3"/>
  <c r="X23" i="3"/>
  <c r="X95" i="3"/>
  <c r="X69" i="3"/>
  <c r="X89" i="3"/>
  <c r="X100" i="3"/>
  <c r="X66" i="3"/>
  <c r="X65" i="3"/>
  <c r="X33" i="3"/>
  <c r="X101" i="3"/>
  <c r="X130" i="3"/>
  <c r="X81" i="3"/>
  <c r="X82" i="3"/>
  <c r="X41" i="3"/>
  <c r="X122" i="3"/>
  <c r="X15" i="3"/>
  <c r="X48" i="3"/>
  <c r="X43" i="3"/>
  <c r="X73" i="3"/>
  <c r="X107" i="3"/>
  <c r="X24" i="3"/>
  <c r="X55" i="3"/>
  <c r="Z14" i="3" l="1"/>
  <c r="Z13" i="3"/>
  <c r="G4" i="15"/>
  <c r="Z11" i="3"/>
  <c r="Z12" i="3"/>
  <c r="Y12" i="3"/>
  <c r="AB6" i="3" s="1"/>
  <c r="M2" i="9"/>
  <c r="G19" i="15"/>
  <c r="G73" i="15"/>
  <c r="G33" i="15"/>
  <c r="G121" i="15"/>
  <c r="G32" i="15"/>
  <c r="G89" i="15"/>
  <c r="G18" i="15"/>
  <c r="G103" i="15"/>
  <c r="G115" i="15"/>
  <c r="G79" i="15"/>
  <c r="G123" i="15"/>
  <c r="G15" i="15"/>
  <c r="G114" i="15"/>
  <c r="G9" i="15"/>
  <c r="G84" i="15"/>
  <c r="G44" i="15"/>
  <c r="G67" i="15"/>
  <c r="G43" i="15"/>
  <c r="G80" i="15"/>
  <c r="G58" i="15"/>
  <c r="G76" i="15"/>
  <c r="G124" i="15"/>
  <c r="G45" i="15"/>
  <c r="G60" i="15"/>
  <c r="G40" i="15"/>
  <c r="G102" i="15"/>
  <c r="G25" i="15"/>
  <c r="G104" i="15"/>
  <c r="G96" i="15"/>
  <c r="G108" i="15"/>
  <c r="G98" i="15"/>
  <c r="G110" i="15"/>
  <c r="G26" i="15"/>
  <c r="G109" i="15"/>
  <c r="G53" i="15"/>
  <c r="G65" i="15"/>
  <c r="G101" i="15"/>
  <c r="G105" i="15"/>
  <c r="G16" i="15"/>
  <c r="G50" i="15"/>
  <c r="G74" i="15"/>
  <c r="G52" i="15"/>
  <c r="G51" i="15"/>
  <c r="G46" i="15"/>
  <c r="G91" i="15"/>
  <c r="G78" i="15"/>
  <c r="G27" i="15"/>
  <c r="G75" i="15"/>
  <c r="G95" i="15"/>
  <c r="G72" i="15"/>
  <c r="G38" i="15"/>
  <c r="G112" i="15"/>
  <c r="G111" i="15"/>
  <c r="G81" i="15"/>
  <c r="G119" i="15"/>
  <c r="G12" i="15"/>
  <c r="G30" i="15"/>
  <c r="G47" i="15"/>
  <c r="G94" i="15"/>
  <c r="G42" i="15"/>
  <c r="G70" i="15"/>
  <c r="G71" i="15"/>
  <c r="G17" i="15"/>
  <c r="G93" i="15"/>
  <c r="G24" i="15"/>
  <c r="G63" i="15"/>
  <c r="G90" i="15"/>
  <c r="G22" i="15"/>
  <c r="G35" i="15"/>
  <c r="G100" i="15"/>
  <c r="G59" i="15"/>
  <c r="G83" i="15"/>
  <c r="G21" i="15"/>
  <c r="G54" i="15"/>
  <c r="G62" i="15"/>
  <c r="G23" i="15"/>
  <c r="G61" i="15"/>
  <c r="G87" i="15"/>
  <c r="G14" i="15"/>
  <c r="G20" i="15"/>
  <c r="I8" i="15"/>
  <c r="G92" i="15"/>
  <c r="G99" i="15"/>
  <c r="G64" i="15"/>
  <c r="G120" i="15"/>
  <c r="G86" i="15"/>
  <c r="G36" i="15"/>
  <c r="G85" i="15"/>
  <c r="G37" i="15"/>
  <c r="G88" i="15"/>
  <c r="G68" i="15"/>
  <c r="G49" i="15"/>
  <c r="G13" i="15"/>
  <c r="I13" i="15"/>
  <c r="G10" i="15"/>
  <c r="G11" i="15"/>
  <c r="H48" i="15"/>
  <c r="I48" i="15"/>
  <c r="G48" i="15"/>
  <c r="I6" i="15"/>
  <c r="H21" i="15"/>
  <c r="H49" i="15"/>
  <c r="I21" i="15"/>
  <c r="I49" i="15"/>
  <c r="H59" i="15"/>
  <c r="I59" i="15"/>
  <c r="H69" i="15"/>
  <c r="H126" i="15"/>
  <c r="H100" i="15"/>
  <c r="H46" i="15"/>
  <c r="I69" i="15"/>
  <c r="G126" i="15"/>
  <c r="I100" i="15"/>
  <c r="G69" i="15"/>
  <c r="I46" i="15"/>
  <c r="H115" i="15"/>
  <c r="H53" i="15"/>
  <c r="H109" i="15"/>
  <c r="H35" i="15"/>
  <c r="H31" i="15"/>
  <c r="H51" i="15"/>
  <c r="H22" i="15"/>
  <c r="H68" i="15"/>
  <c r="I115" i="15"/>
  <c r="I53" i="15"/>
  <c r="G6" i="15"/>
  <c r="I109" i="15"/>
  <c r="I35" i="15"/>
  <c r="I31" i="15"/>
  <c r="I51" i="15"/>
  <c r="G31" i="15"/>
  <c r="I22" i="15"/>
  <c r="I68" i="15"/>
  <c r="H55" i="15"/>
  <c r="H97" i="15"/>
  <c r="H6" i="15"/>
  <c r="H52" i="15"/>
  <c r="H110" i="15"/>
  <c r="H26" i="15"/>
  <c r="I55" i="15"/>
  <c r="I97" i="15"/>
  <c r="G55" i="15"/>
  <c r="G97" i="15"/>
  <c r="I52" i="15"/>
  <c r="I110" i="15"/>
  <c r="I26" i="15"/>
  <c r="H11" i="15"/>
  <c r="H108" i="15"/>
  <c r="H98" i="15"/>
  <c r="H88" i="15"/>
  <c r="H13" i="15"/>
  <c r="H63" i="15"/>
  <c r="H90" i="15"/>
  <c r="I11" i="15"/>
  <c r="I108" i="15"/>
  <c r="I98" i="15"/>
  <c r="I88" i="15"/>
  <c r="I63" i="15"/>
  <c r="I90" i="15"/>
  <c r="G5" i="15"/>
  <c r="H38" i="15"/>
  <c r="H121" i="15"/>
  <c r="H57" i="15"/>
  <c r="H80" i="15"/>
  <c r="H66" i="15"/>
  <c r="H8" i="15"/>
  <c r="H107" i="15"/>
  <c r="H34" i="15"/>
  <c r="H29" i="15"/>
  <c r="H41" i="15"/>
  <c r="H89" i="15"/>
  <c r="H40" i="15"/>
  <c r="H70" i="15"/>
  <c r="H82" i="15"/>
  <c r="H56" i="15"/>
  <c r="H77" i="15"/>
  <c r="H28" i="15"/>
  <c r="H9" i="15"/>
  <c r="H10" i="15"/>
  <c r="H33" i="15"/>
  <c r="H67" i="15"/>
  <c r="H119" i="15"/>
  <c r="H20" i="15"/>
  <c r="H76" i="15"/>
  <c r="H124" i="15"/>
  <c r="H101" i="15"/>
  <c r="H60" i="15"/>
  <c r="H102" i="15"/>
  <c r="H25" i="15"/>
  <c r="H50" i="15"/>
  <c r="H104" i="15"/>
  <c r="H93" i="15"/>
  <c r="H74" i="15"/>
  <c r="H72" i="15"/>
  <c r="H113" i="15"/>
  <c r="H7" i="15"/>
  <c r="H44" i="15"/>
  <c r="H111" i="15"/>
  <c r="H43" i="15"/>
  <c r="H14" i="15"/>
  <c r="H117" i="15"/>
  <c r="H118" i="15"/>
  <c r="H30" i="15"/>
  <c r="H47" i="15"/>
  <c r="H94" i="15"/>
  <c r="H125" i="15"/>
  <c r="H45" i="15"/>
  <c r="H106" i="15"/>
  <c r="H71" i="15"/>
  <c r="H116" i="15"/>
  <c r="H122" i="15"/>
  <c r="H96" i="15"/>
  <c r="H37" i="15"/>
  <c r="H73" i="15"/>
  <c r="H84" i="15"/>
  <c r="H112" i="15"/>
  <c r="H61" i="15"/>
  <c r="H87" i="15"/>
  <c r="H81" i="15"/>
  <c r="H32" i="15"/>
  <c r="H12" i="15"/>
  <c r="H58" i="15"/>
  <c r="H92" i="15"/>
  <c r="H99" i="15"/>
  <c r="H64" i="15"/>
  <c r="H42" i="15"/>
  <c r="H120" i="15"/>
  <c r="H86" i="15"/>
  <c r="H105" i="15"/>
  <c r="H16" i="15"/>
  <c r="H36" i="15"/>
  <c r="H85" i="15"/>
  <c r="H17" i="15"/>
  <c r="H18" i="15"/>
  <c r="H24" i="15"/>
  <c r="H103" i="15"/>
  <c r="I38" i="15"/>
  <c r="I121" i="15"/>
  <c r="I57" i="15"/>
  <c r="I80" i="15"/>
  <c r="I66" i="15"/>
  <c r="I107" i="15"/>
  <c r="I34" i="15"/>
  <c r="I29" i="15"/>
  <c r="I41" i="15"/>
  <c r="I89" i="15"/>
  <c r="I40" i="15"/>
  <c r="I70" i="15"/>
  <c r="I82" i="15"/>
  <c r="I56" i="15"/>
  <c r="I77" i="15"/>
  <c r="I28" i="15"/>
  <c r="G82" i="15"/>
  <c r="G57" i="15"/>
  <c r="G41" i="15"/>
  <c r="G29" i="15"/>
  <c r="G34" i="15"/>
  <c r="G107" i="15"/>
  <c r="I9" i="15"/>
  <c r="I10" i="15"/>
  <c r="I33" i="15"/>
  <c r="I67" i="15"/>
  <c r="I119" i="15"/>
  <c r="I20" i="15"/>
  <c r="I76" i="15"/>
  <c r="I124" i="15"/>
  <c r="I101" i="15"/>
  <c r="I60" i="15"/>
  <c r="I102" i="15"/>
  <c r="I25" i="15"/>
  <c r="I50" i="15"/>
  <c r="I104" i="15"/>
  <c r="I93" i="15"/>
  <c r="I74" i="15"/>
  <c r="I72" i="15"/>
  <c r="I113" i="15"/>
  <c r="I44" i="15"/>
  <c r="I111" i="15"/>
  <c r="I43" i="15"/>
  <c r="I14" i="15"/>
  <c r="I117" i="15"/>
  <c r="I118" i="15"/>
  <c r="I30" i="15"/>
  <c r="I47" i="15"/>
  <c r="I94" i="15"/>
  <c r="G125" i="15"/>
  <c r="I45" i="15"/>
  <c r="I106" i="15"/>
  <c r="I71" i="15"/>
  <c r="I116" i="15"/>
  <c r="I122" i="15"/>
  <c r="I96" i="15"/>
  <c r="I37" i="15"/>
  <c r="G7" i="15"/>
  <c r="G8" i="15"/>
  <c r="G66" i="15"/>
  <c r="G56" i="15"/>
  <c r="G116" i="15"/>
  <c r="G113" i="15"/>
  <c r="G106" i="15"/>
  <c r="G118" i="15"/>
  <c r="G117" i="15"/>
  <c r="G77" i="15"/>
  <c r="G28" i="15"/>
  <c r="G122" i="15"/>
  <c r="I7" i="15"/>
  <c r="I73" i="15"/>
  <c r="I84" i="15"/>
  <c r="I112" i="15"/>
  <c r="I61" i="15"/>
  <c r="I87" i="15"/>
  <c r="I81" i="15"/>
  <c r="I32" i="15"/>
  <c r="I12" i="15"/>
  <c r="I58" i="15"/>
  <c r="I92" i="15"/>
  <c r="I99" i="15"/>
  <c r="I64" i="15"/>
  <c r="I42" i="15"/>
  <c r="I120" i="15"/>
  <c r="I86" i="15"/>
  <c r="I105" i="15"/>
  <c r="I16" i="15"/>
  <c r="I36" i="15"/>
  <c r="I85" i="15"/>
  <c r="I17" i="15"/>
  <c r="I18" i="15"/>
  <c r="I24" i="15"/>
  <c r="I103" i="15"/>
  <c r="H5" i="15"/>
  <c r="H95" i="15"/>
  <c r="I95" i="15"/>
  <c r="H114" i="15"/>
  <c r="I114" i="15"/>
  <c r="H83" i="15"/>
  <c r="I83" i="15"/>
  <c r="H23" i="15"/>
  <c r="I23" i="15"/>
  <c r="H15" i="15"/>
  <c r="H75" i="15"/>
  <c r="I15" i="15"/>
  <c r="I75" i="15"/>
  <c r="H65" i="15"/>
  <c r="I65" i="15"/>
  <c r="E9" i="8"/>
  <c r="H62" i="15"/>
  <c r="I62" i="15"/>
  <c r="H27" i="15"/>
  <c r="I27" i="15"/>
  <c r="H123" i="15"/>
  <c r="I123" i="15"/>
  <c r="H54" i="15"/>
  <c r="H19" i="15"/>
  <c r="H39" i="15"/>
  <c r="H91" i="15"/>
  <c r="H78" i="15"/>
  <c r="H79" i="15"/>
  <c r="I54" i="15"/>
  <c r="I19" i="15"/>
  <c r="I39" i="15"/>
  <c r="G39" i="15"/>
  <c r="I91" i="15"/>
  <c r="I78" i="15"/>
  <c r="I79" i="15"/>
  <c r="AC6" i="3" l="1"/>
  <c r="J4" i="3" s="1"/>
  <c r="R1" i="3" s="1"/>
  <c r="M8" i="8" s="1"/>
  <c r="I5" i="15"/>
  <c r="K9" i="8"/>
  <c r="U2" i="9" l="1"/>
</calcChain>
</file>

<file path=xl/comments1.xml><?xml version="1.0" encoding="utf-8"?>
<comments xmlns="http://schemas.openxmlformats.org/spreadsheetml/2006/main">
  <authors>
    <author xml:space="preserve"> </author>
    <author>James Swirhun</author>
    <author>ablum</author>
  </authors>
  <commentList>
    <comment ref="A5" authorId="0" shapeId="0">
      <text>
        <r>
          <rPr>
            <b/>
            <sz val="10"/>
            <color indexed="81"/>
            <rFont val="Tahoma"/>
            <family val="2"/>
          </rPr>
          <t>The Sample Name is also used for the filename when saving data so avoid special characters: / ? * etc</t>
        </r>
      </text>
    </comment>
    <comment ref="B5" authorId="0" shapeId="0">
      <text>
        <r>
          <rPr>
            <b/>
            <sz val="10"/>
            <color indexed="81"/>
            <rFont val="Tahoma"/>
            <family val="2"/>
          </rPr>
          <t>Thickness of the wafer in cm
e.g. A 100 µm wafer is 0.01 cm thick.</t>
        </r>
      </text>
    </comment>
    <comment ref="C5" authorId="0" shape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shapeId="0">
      <text>
        <r>
          <rPr>
            <b/>
            <sz val="10"/>
            <color indexed="81"/>
            <rFont val="Tahoma"/>
            <family val="2"/>
          </rPr>
          <t xml:space="preserve">Select p-type or n-type from the drop-down menu.
</t>
        </r>
      </text>
    </comment>
    <comment ref="E5" authorId="0" shapeId="0">
      <text>
        <r>
          <rPr>
            <b/>
            <sz val="10"/>
            <color indexed="81"/>
            <rFont val="Tahoma"/>
            <family val="2"/>
          </rPr>
          <t>Photogeneration fraction compared to 38 mA/cm² default.  See User Manual for more details.</t>
        </r>
      </text>
    </comment>
    <comment ref="F5" authorId="0" shapeId="0">
      <text>
        <r>
          <rPr>
            <b/>
            <sz val="10"/>
            <color indexed="81"/>
            <rFont val="Tahoma"/>
            <family val="2"/>
          </rPr>
          <t>Minority Carrier Density (MCD) for calculating the lifetime. For most materials the lifetime is not a single parameter but a function of minority carrier density.</t>
        </r>
      </text>
    </comment>
    <comment ref="G5" authorId="0" shape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shapeId="0">
      <text>
        <r>
          <rPr>
            <b/>
            <sz val="10"/>
            <color indexed="81"/>
            <rFont val="Tahoma"/>
            <family val="2"/>
          </rPr>
          <t>Select Analysis Mode from Drop-down Menu.  
Use QSS mode for samples with lifetime less than 100us.  Set flash to 1/1 for QSS mode.  
Use transient mode for samples with lifetime greater than 200us, with flash set to 1/64.  For samples between 100-200us, use Generalized 1/1 or Generalized 1/64, with the corresponding flash setting.</t>
        </r>
      </text>
    </comment>
    <comment ref="I5" authorId="0" shapeId="0">
      <text>
        <r>
          <rPr>
            <b/>
            <sz val="10"/>
            <color indexed="81"/>
            <rFont val="Tahoma"/>
            <family val="2"/>
          </rPr>
          <t>Date of the measurement</t>
        </r>
      </text>
    </comment>
    <comment ref="J5" authorId="0" shapeId="0">
      <text>
        <r>
          <rPr>
            <b/>
            <sz val="10"/>
            <color indexed="81"/>
            <rFont val="Tahoma"/>
            <family val="2"/>
          </rPr>
          <t>Time of the Measurement</t>
        </r>
      </text>
    </comment>
    <comment ref="K5" authorId="1" shapeId="0">
      <text>
        <r>
          <rPr>
            <b/>
            <sz val="10"/>
            <color indexed="81"/>
            <rFont val="Tahoma"/>
            <family val="2"/>
          </rPr>
          <t>Notes if data has been logged to summary file(s).  See Settings sheet for options.</t>
        </r>
      </text>
    </comment>
    <comment ref="L5" authorId="0" shapeId="0">
      <text>
        <r>
          <rPr>
            <b/>
            <sz val="10"/>
            <color indexed="81"/>
            <rFont val="Tahoma"/>
            <family val="2"/>
          </rPr>
          <t>The specified starting temperature of the temperture sweep</t>
        </r>
      </text>
    </comment>
    <comment ref="M5" authorId="2" shapeId="0">
      <text>
        <r>
          <rPr>
            <b/>
            <sz val="10"/>
            <color indexed="81"/>
            <rFont val="Tahoma"/>
            <family val="2"/>
          </rPr>
          <t>Specified ending temperture of the temperture sweep</t>
        </r>
        <r>
          <rPr>
            <sz val="10"/>
            <color indexed="81"/>
            <rFont val="Tahoma"/>
            <family val="2"/>
          </rPr>
          <t xml:space="preserve">
</t>
        </r>
      </text>
    </comment>
    <comment ref="N5" authorId="0" shapeId="0">
      <text>
        <r>
          <rPr>
            <b/>
            <sz val="10"/>
            <color indexed="81"/>
            <rFont val="Tahoma"/>
            <family val="2"/>
          </rPr>
          <t>Temperature sweep step size</t>
        </r>
      </text>
    </comment>
    <comment ref="O5" authorId="0" shapeId="0">
      <text>
        <r>
          <rPr>
            <b/>
            <sz val="10"/>
            <color indexed="81"/>
            <rFont val="Tahoma"/>
            <family val="2"/>
          </rPr>
          <t>Temperature sweep tolerance</t>
        </r>
      </text>
    </comment>
    <comment ref="A8" authorId="0" shapeId="0">
      <text>
        <r>
          <rPr>
            <b/>
            <sz val="10"/>
            <color indexed="81"/>
            <rFont val="Tahoma"/>
            <family val="2"/>
          </rPr>
          <t>Lifetime of minority carriers at the specified MCD.
(Auger Corrected)</t>
        </r>
      </text>
    </comment>
    <comment ref="B8" authorId="0" shapeId="0">
      <text>
        <r>
          <rPr>
            <b/>
            <sz val="10"/>
            <color indexed="81"/>
            <rFont val="Tahoma"/>
            <family val="2"/>
          </rPr>
          <t>Sheet resistivity of the entire wafer thickness.  If wafer is diffused, parallel combination of bulk and emitter diffusion.</t>
        </r>
      </text>
    </comment>
    <comment ref="C8" authorId="0" shapeId="0">
      <text>
        <r>
          <rPr>
            <b/>
            <sz val="10"/>
            <color indexed="81"/>
            <rFont val="Tahoma"/>
            <family val="2"/>
          </rPr>
          <t>Measured wafer resistivity based on Ohm/sq and the width.  Only valid for wafers without diffusions.</t>
        </r>
      </text>
    </comment>
    <comment ref="D8" authorId="0" shape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shape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shapeId="0">
      <text>
        <r>
          <rPr>
            <b/>
            <sz val="10"/>
            <color indexed="81"/>
            <rFont val="Tahoma"/>
            <family val="2"/>
          </rPr>
          <t>Minimum Apparent Minority Carrier Density (MCD).</t>
        </r>
      </text>
    </comment>
    <comment ref="G8" authorId="1" shapeId="0">
      <text>
        <r>
          <rPr>
            <b/>
            <sz val="10"/>
            <color indexed="81"/>
            <rFont val="Tahoma"/>
            <family val="2"/>
          </rPr>
          <t>Maximum Apparent Minority Carrier Density (MCD).</t>
        </r>
      </text>
    </comment>
    <comment ref="H8" authorId="0" shapeId="0">
      <text>
        <r>
          <rPr>
            <b/>
            <sz val="10"/>
            <color indexed="81"/>
            <rFont val="Tahoma"/>
            <family val="2"/>
          </rPr>
          <t>Bias Point Carrier Density</t>
        </r>
      </text>
    </comment>
    <comment ref="I8" authorId="0" shape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shapeId="0">
      <text>
        <r>
          <rPr>
            <b/>
            <sz val="10"/>
            <color indexed="81"/>
            <rFont val="Tahoma"/>
            <family val="2"/>
          </rPr>
          <t>The wafer doping of the base region as calculated from the resistivity and dopant type.</t>
        </r>
      </text>
    </comment>
    <comment ref="K8" authorId="1" shapeId="0">
      <text>
        <r>
          <rPr>
            <b/>
            <sz val="10"/>
            <color indexed="81"/>
            <rFont val="Tahoma"/>
            <family val="2"/>
          </rPr>
          <t>The Implied Voc at an intensity of 1 sun.  This value depends heavily on the input resistivity.</t>
        </r>
      </text>
    </comment>
    <comment ref="L8" authorId="1" shapeId="0">
      <text>
        <r>
          <rPr>
            <b/>
            <sz val="10"/>
            <color indexed="81"/>
            <rFont val="Tahoma"/>
            <family val="2"/>
          </rPr>
          <t>The measured temperature at which the data is analyzed.</t>
        </r>
      </text>
    </comment>
    <comment ref="M8" authorId="1" shapeId="0">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2.xml><?xml version="1.0" encoding="utf-8"?>
<comments xmlns="http://schemas.openxmlformats.org/spreadsheetml/2006/main">
  <authors>
    <author>Adrienne Blum</author>
    <author>James Swirhun</author>
    <author xml:space="preserve"> </author>
    <author>Office</author>
  </authors>
  <commentList>
    <comment ref="B3" authorId="0" shapeId="0">
      <text>
        <r>
          <rPr>
            <b/>
            <sz val="8"/>
            <color indexed="81"/>
            <rFont val="Tahoma"/>
            <family val="2"/>
          </rPr>
          <t xml:space="preserve">Instrument Type
</t>
        </r>
      </text>
    </comment>
    <comment ref="B4" authorId="1" shapeId="0">
      <text>
        <r>
          <rPr>
            <b/>
            <sz val="8"/>
            <color indexed="81"/>
            <rFont val="Tahoma"/>
            <family val="2"/>
          </rPr>
          <t>Instrument Serial Number</t>
        </r>
      </text>
    </comment>
    <comment ref="F4" authorId="1" shapeId="0">
      <text>
        <r>
          <rPr>
            <b/>
            <sz val="8"/>
            <color indexed="81"/>
            <rFont val="Tahoma"/>
            <family val="2"/>
          </rPr>
          <t>Save summary of measurement of to Excel summary File.  Location can be specified as file path, otherwise default is to save to same location as measurement file.</t>
        </r>
      </text>
    </comment>
    <comment ref="B5" authorId="2" shapeId="0">
      <text>
        <r>
          <rPr>
            <b/>
            <sz val="8"/>
            <color indexed="81"/>
            <rFont val="Tahoma"/>
            <family val="2"/>
          </rPr>
          <t>Calibration constant of the reference  cell that measures the light intensity.  Do Not Change this Value.</t>
        </r>
      </text>
    </comment>
    <comment ref="F5" authorId="1" shapeId="0">
      <text>
        <r>
          <rPr>
            <b/>
            <sz val="8"/>
            <color indexed="81"/>
            <rFont val="Tahoma"/>
            <family val="2"/>
          </rPr>
          <t>Save summary of measurement of to Text File.  Location can be specified as file path, otherwise default is to save to same location as measurement file.</t>
        </r>
      </text>
    </comment>
    <comment ref="B6" authorId="2" shapeId="0">
      <text>
        <r>
          <rPr>
            <b/>
            <sz val="8"/>
            <color indexed="81"/>
            <rFont val="Tahoma"/>
            <family val="2"/>
          </rPr>
          <t xml:space="preserve">Calibration of the photoconductivity sensor.  </t>
        </r>
      </text>
    </comment>
    <comment ref="F6" authorId="1" shapeId="0">
      <text>
        <r>
          <rPr>
            <b/>
            <sz val="8"/>
            <color indexed="81"/>
            <rFont val="Tahoma"/>
            <family val="2"/>
          </rPr>
          <t>Save summary of measurement of to Access Database.  Location can be specified as file path, otherwise default is to save to same location as measurement file.</t>
        </r>
      </text>
    </comment>
    <comment ref="F7" authorId="1" shapeId="0">
      <text>
        <r>
          <rPr>
            <b/>
            <sz val="8"/>
            <color indexed="81"/>
            <rFont val="Tahoma"/>
            <family val="2"/>
          </rPr>
          <t xml:space="preserve">True to automatically save summary of each measurement to files specified above.  </t>
        </r>
      </text>
    </comment>
    <comment ref="F11" authorId="1" shapeId="0">
      <text>
        <r>
          <rPr>
            <b/>
            <sz val="8"/>
            <color indexed="81"/>
            <rFont val="Tahoma"/>
            <family val="2"/>
          </rPr>
          <t>True to Automatically save a new Excel measurement file as SampleName.xlsm.</t>
        </r>
      </text>
    </comment>
    <comment ref="B13" authorId="2" shapeId="0">
      <text>
        <r>
          <rPr>
            <b/>
            <sz val="8"/>
            <color indexed="81"/>
            <rFont val="Tahoma"/>
            <family val="2"/>
          </rPr>
          <t>Don't change this value</t>
        </r>
      </text>
    </comment>
    <comment ref="B14" authorId="2" shapeId="0">
      <text>
        <r>
          <rPr>
            <b/>
            <sz val="8"/>
            <color indexed="81"/>
            <rFont val="Tahoma"/>
            <family val="2"/>
          </rPr>
          <t>Normally Set do DC.</t>
        </r>
      </text>
    </comment>
    <comment ref="F14" authorId="1" shapeId="0">
      <text>
        <r>
          <rPr>
            <b/>
            <sz val="8"/>
            <color indexed="81"/>
            <rFont val="Tahoma"/>
            <family val="2"/>
          </rPr>
          <t>True to automatically rescale graphs after each measurement.</t>
        </r>
      </text>
    </comment>
    <comment ref="B15" authorId="3" shapeId="0">
      <text>
        <r>
          <rPr>
            <b/>
            <sz val="8"/>
            <color indexed="81"/>
            <rFont val="Tahoma"/>
            <family val="2"/>
          </rPr>
          <t xml:space="preserve">For standard instrument = 1.  </t>
        </r>
      </text>
    </comment>
    <comment ref="B16" authorId="2" shapeId="0">
      <text>
        <r>
          <rPr>
            <b/>
            <sz val="8"/>
            <color indexed="81"/>
            <rFont val="Tahoma"/>
            <family val="2"/>
          </rPr>
          <t xml:space="preserve">Fit will cover specified carrier density +/- Fit Range.
</t>
        </r>
      </text>
    </comment>
    <comment ref="B17" authorId="2" shapeId="0">
      <text>
        <r>
          <rPr>
            <b/>
            <sz val="8"/>
            <color indexed="81"/>
            <rFont val="Tahoma"/>
            <family val="2"/>
          </rPr>
          <t xml:space="preserve">Sinton Auger model implemented
</t>
        </r>
      </text>
    </comment>
    <comment ref="F17" authorId="1" shapeId="0">
      <text>
        <r>
          <rPr>
            <b/>
            <sz val="8"/>
            <color indexed="81"/>
            <rFont val="Tahoma"/>
            <family val="2"/>
          </rPr>
          <t>Set to TRUE to enable the "Taking Data" Screen.  False to just take a measurement without making adjustments.</t>
        </r>
      </text>
    </comment>
    <comment ref="B18" authorId="0" shapeId="0">
      <text>
        <r>
          <rPr>
            <b/>
            <sz val="9"/>
            <color indexed="81"/>
            <rFont val="Tahoma"/>
            <family val="2"/>
          </rPr>
          <t>For temperatures above 30C, use Dorkel/Leturcq mobility model.</t>
        </r>
      </text>
    </comment>
    <comment ref="F20" authorId="1" shapeId="0">
      <text>
        <r>
          <rPr>
            <b/>
            <sz val="8"/>
            <color indexed="81"/>
            <rFont val="Tahoma"/>
            <family val="2"/>
          </rPr>
          <t xml:space="preserve">Initial Value for Average Function in "Taking Data" Window.  </t>
        </r>
      </text>
    </comment>
    <comment ref="F21" authorId="1" shapeId="0">
      <text>
        <r>
          <rPr>
            <b/>
            <sz val="8"/>
            <color indexed="81"/>
            <rFont val="Tahoma"/>
            <family val="2"/>
          </rPr>
          <t>Time between consectutive flashes in Average mode for QSS measurements.  Must be set to 6 seconds for flash to recharge fully.</t>
        </r>
      </text>
    </comment>
    <comment ref="F22" authorId="1" shapeId="0">
      <text>
        <r>
          <rPr>
            <b/>
            <sz val="8"/>
            <color indexed="81"/>
            <rFont val="Tahoma"/>
            <family val="2"/>
          </rPr>
          <t>Time between consectutive flashes in Average mode for Transient measurements.  Must be set to 0.3 seconds for flash to recharge fully at 1/64.</t>
        </r>
      </text>
    </comment>
    <comment ref="F23" authorId="1" shapeId="0">
      <text>
        <r>
          <rPr>
            <b/>
            <sz val="8"/>
            <color indexed="81"/>
            <rFont val="Tahoma"/>
            <family val="2"/>
          </rPr>
          <t>Time between consectutive flashes in Average mode for Transient measurements.  Must be set to 0.3 seconds for flash to recharge fully at 1/64.</t>
        </r>
      </text>
    </comment>
    <comment ref="F26" authorId="1" shapeId="0">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<sst xmlns="http://schemas.openxmlformats.org/spreadsheetml/2006/main" count="4637" uniqueCount="391">
  <si>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</si>
  <si>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</si>
  <si>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</si>
  <si>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</si>
  <si>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</si>
  <si>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</si>
  <si>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</si>
  <si>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</si>
  <si>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</si>
  <si>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</si>
  <si>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</si>
  <si>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</si>
  <si>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</si>
  <si>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</si>
  <si>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</si>
  <si>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</si>
  <si>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</si>
  <si>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</si>
  <si>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</si>
  <si>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</si>
  <si>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</si>
  <si>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</si>
  <si>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</si>
  <si>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</si>
  <si>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</si>
  <si>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</si>
  <si>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</si>
  <si>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</si>
  <si>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</si>
  <si>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</si>
  <si>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</si>
  <si>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</si>
  <si>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</si>
  <si>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</si>
  <si>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</si>
  <si>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</si>
  <si>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</si>
  <si>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</si>
  <si>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</si>
  <si>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</si>
  <si>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</si>
  <si>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</si>
  <si>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</si>
  <si>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</si>
  <si>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</si>
  <si>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</si>
  <si>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</si>
  <si>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</si>
  <si>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</si>
  <si>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</si>
  <si>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</si>
  <si>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</si>
  <si>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</si>
  <si>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</si>
  <si>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</si>
  <si>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</si>
  <si>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</si>
  <si>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</si>
  <si>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</si>
  <si>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</si>
  <si>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</si>
  <si>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</si>
  <si>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</si>
  <si>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</si>
  <si>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</si>
  <si>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</si>
  <si>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</si>
  <si>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</si>
  <si>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</si>
  <si>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</si>
  <si>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</si>
  <si>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</si>
  <si>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</si>
  <si>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</si>
  <si>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</si>
  <si>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</si>
  <si>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</si>
  <si>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</si>
  <si>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</si>
  <si>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</si>
  <si>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</si>
  <si>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</si>
  <si>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</si>
  <si>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</si>
  <si>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</si>
  <si>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[Analysis parameters]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</si>
  <si>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</si>
  <si>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</si>
  <si>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</si>
  <si>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</si>
  <si>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</si>
  <si>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</si>
  <si>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</si>
  <si>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</si>
  <si>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</si>
  <si>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</si>
  <si>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</si>
  <si>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</si>
  <si>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</si>
  <si>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Use lifetime limits</t>
  </si>
  <si>
    <t>Low lifetime limit</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</si>
  <si>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</si>
  <si>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</si>
  <si>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</si>
  <si>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</si>
  <si>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</si>
  <si>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</si>
  <si>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</si>
  <si>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</si>
  <si>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</si>
  <si>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</si>
  <si>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</si>
  <si>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</si>
  <si>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</si>
  <si>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</si>
  <si>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</si>
  <si>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</si>
  <si>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</si>
  <si>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</si>
  <si>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</si>
  <si>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</si>
  <si>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</si>
  <si>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</si>
  <si>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</si>
  <si>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</si>
  <si>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</si>
  <si>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</si>
  <si>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</si>
  <si>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</si>
  <si>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</si>
  <si>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The row above (row 2) is copied to summary.xlsm when the user presses the "log data to summary" button.</t>
  </si>
  <si>
    <t xml:space="preserve"> true</t>
  </si>
  <si>
    <t xml:space="preserve"> false</t>
  </si>
  <si>
    <t>Auger_coef_used</t>
  </si>
  <si>
    <t>Use_linear_divisions</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</si>
  <si>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</si>
  <si>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</si>
  <si>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</si>
  <si>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</si>
  <si>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</si>
  <si>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</si>
  <si>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</si>
  <si>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</si>
  <si>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</si>
  <si>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</si>
  <si>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</si>
  <si>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</si>
  <si>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</si>
  <si>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</si>
  <si>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Coupling_channel_0</t>
  </si>
  <si>
    <t>Coupling_channel_1</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</si>
  <si>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</si>
  <si>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</si>
  <si>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</si>
  <si>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</si>
  <si>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</si>
  <si>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</si>
  <si>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</si>
  <si>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</si>
  <si>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</si>
  <si>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</si>
  <si>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</si>
  <si>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</si>
  <si>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</si>
  <si>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</si>
  <si>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</si>
  <si>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</si>
  <si>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</si>
  <si>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</si>
  <si>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</si>
  <si>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</si>
  <si>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</si>
  <si>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</si>
  <si>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</si>
  <si>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</si>
  <si>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Apparent CD In Range</t>
  </si>
  <si>
    <t>Tau In Range</t>
  </si>
  <si>
    <t>1/Tau Fit Slope</t>
  </si>
  <si>
    <t>1/Tau Fit Intercept</t>
  </si>
  <si>
    <t>CD near bias point</t>
  </si>
  <si>
    <t>Apparent CD</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</si>
  <si>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</si>
  <si>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</si>
  <si>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</si>
  <si>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</si>
  <si>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</si>
  <si>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</si>
  <si>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</si>
  <si>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</si>
  <si>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</si>
  <si>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</si>
  <si>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</si>
  <si>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</si>
  <si>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</si>
  <si>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</si>
  <si>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</si>
  <si>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</si>
  <si>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</si>
  <si>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</si>
  <si>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</si>
  <si>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</si>
  <si>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</si>
  <si>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</si>
  <si>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</si>
  <si>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</si>
  <si>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</si>
  <si>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</si>
  <si>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</si>
  <si>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</si>
  <si>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</si>
  <si>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</si>
  <si>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</si>
  <si>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</si>
  <si>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</si>
  <si>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</si>
  <si>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</si>
  <si>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</si>
  <si>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</si>
  <si>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</si>
  <si>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</si>
  <si>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</si>
  <si>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</si>
  <si>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</si>
  <si>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</si>
  <si>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</si>
  <si>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</si>
  <si>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</si>
  <si>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</si>
  <si>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</si>
  <si>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</si>
  <si>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</si>
  <si>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</si>
  <si>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</si>
  <si>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</si>
  <si>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</si>
  <si>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</si>
  <si>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</si>
  <si>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</si>
  <si>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</si>
  <si>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</si>
  <si>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</si>
  <si>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</si>
  <si>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</si>
  <si>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</si>
  <si>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</si>
  <si>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</si>
  <si>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</si>
  <si>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</si>
  <si>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</si>
  <si>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</si>
  <si>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</si>
  <si>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</si>
  <si>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</si>
  <si>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</si>
  <si>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</si>
  <si>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t>Sat. Ref Cell</t>
  </si>
  <si>
    <t>MCD out of Range</t>
  </si>
  <si>
    <t>Light Bias out of Range</t>
  </si>
  <si>
    <t xml:space="preserve"> </t>
  </si>
  <si>
    <t>Pulse Length</t>
  </si>
  <si>
    <t>Time Scale Flags</t>
  </si>
  <si>
    <t>Sample Type</t>
  </si>
  <si>
    <t>Fit Intercept (µs)</t>
  </si>
  <si>
    <t>Automatically save file after each measurement</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</si>
  <si>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</si>
  <si>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</si>
  <si>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</si>
  <si>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</si>
  <si>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</si>
  <si>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</si>
  <si>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</si>
  <si>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</si>
  <si>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</si>
  <si>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</si>
  <si>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</si>
  <si>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Time (s)</t>
  </si>
  <si>
    <t>Time in s</t>
  </si>
  <si>
    <t>Implied Suns</t>
  </si>
  <si>
    <t>Implied Voc</t>
  </si>
  <si>
    <t>1/Tau (auger corrected) Fit Slope</t>
  </si>
  <si>
    <t>1/Tau (auger corrected) Fit Intercept</t>
  </si>
  <si>
    <t>1/Tau in Range</t>
  </si>
  <si>
    <t>C:\SintonInstruments\LifetimeSummaryData\summary.xlsm</t>
  </si>
  <si>
    <t>C:\SintonInstruments\LifetimeSummaryData\summary.txt</t>
  </si>
  <si>
    <t>C:\SintonInstruments\LifetimeSummaryData\summary.accdb</t>
  </si>
  <si>
    <t>C:\lifetime\lifetime.exe /subbase=2 /basetime_us=20000</t>
  </si>
  <si>
    <t>Generalized (1/64)</t>
  </si>
  <si>
    <t>Generalized (1/1)</t>
  </si>
  <si>
    <t>Auger Model</t>
  </si>
  <si>
    <t>Sinton</t>
  </si>
  <si>
    <t>Richter</t>
  </si>
  <si>
    <t>ON</t>
  </si>
  <si>
    <t>OFF</t>
  </si>
  <si>
    <t>Analysis Parameters\Settings</t>
  </si>
  <si>
    <t>1/Tau Fit (auger corrected)</t>
  </si>
  <si>
    <t>ni</t>
  </si>
  <si>
    <t>PC/Ref</t>
  </si>
  <si>
    <t xml:space="preserve">Delay between flashes Transient/Generalized (1/64) (sec) </t>
  </si>
  <si>
    <t xml:space="preserve">Delay between flashes QSS/Generalized (1/1) (sec) </t>
  </si>
  <si>
    <t>1/Tau Corrected</t>
  </si>
  <si>
    <t>1/Tau corrected in Range</t>
  </si>
  <si>
    <t>1/Tau corrected</t>
  </si>
  <si>
    <t>Tau @ specMCD (s)</t>
  </si>
  <si>
    <t>Resistivity Ohm-cm</t>
  </si>
  <si>
    <t>Temp</t>
  </si>
  <si>
    <t>Undoped ohm/sq</t>
  </si>
  <si>
    <t>Undoped Cond</t>
  </si>
  <si>
    <t>Polynomial Fit</t>
  </si>
  <si>
    <t>Mobility</t>
  </si>
  <si>
    <t>Temp Command</t>
  </si>
  <si>
    <t>C:\lifetime\lifetime.exe /temponly=true /switchedTCgain=2</t>
  </si>
  <si>
    <t>Corrected ShtRho</t>
  </si>
  <si>
    <t>Corrected Res</t>
  </si>
  <si>
    <t>Temperature</t>
  </si>
  <si>
    <t>Tau (corrected) @ specMCD (µs)</t>
  </si>
  <si>
    <t>Tau (corrected) @ specMCD (s)</t>
  </si>
  <si>
    <t>1/Tau (corrected) @ specMCD</t>
  </si>
  <si>
    <t>Mobility Model</t>
  </si>
  <si>
    <t>Dannhauser/ Krausse</t>
  </si>
  <si>
    <t>Dorkel/ Leturcq</t>
  </si>
  <si>
    <t>Temperature Scan Parameters</t>
  </si>
  <si>
    <t>Low Temp (⁰C)</t>
  </si>
  <si>
    <t>High Temp (⁰C)</t>
  </si>
  <si>
    <t>Step Size (⁰C)</t>
  </si>
  <si>
    <t>Tolerance (⁰C)</t>
  </si>
  <si>
    <t xml:space="preserve">Temp (C) </t>
  </si>
  <si>
    <t>Corrected Ohms/sq</t>
  </si>
  <si>
    <t>Corrected Ohm-cm</t>
  </si>
  <si>
    <t>CorrOhmSq</t>
  </si>
  <si>
    <t>CorrOhmcm</t>
  </si>
  <si>
    <t>Transient/Generalized (1/64) Mode Total Acquisition Time (µs)</t>
  </si>
  <si>
    <t xml:space="preserve">Transient/Generalized (1/64) Mode # of Taus Beyond 150mV </t>
  </si>
  <si>
    <t>ni2/tau</t>
  </si>
  <si>
    <t>Number of Flashes to average during temperature scan</t>
  </si>
  <si>
    <t>Cutoff</t>
  </si>
  <si>
    <t>4.6.0TS</t>
  </si>
  <si>
    <t>© Sinton Instruments 2014</t>
  </si>
  <si>
    <r>
      <t>Specified MCD (cm</t>
    </r>
    <r>
      <rPr>
        <b/>
        <vertAlign val="superscript"/>
        <sz val="12"/>
        <rFont val="Calibri"/>
        <family val="2"/>
        <scheme val="minor"/>
      </rPr>
      <t>-3</t>
    </r>
    <r>
      <rPr>
        <b/>
        <sz val="12"/>
        <rFont val="Calibri"/>
        <family val="2"/>
        <scheme val="minor"/>
      </rPr>
      <t>)</t>
    </r>
  </si>
  <si>
    <r>
      <t>Corected Sheet Resistance (</t>
    </r>
    <r>
      <rPr>
        <sz val="10"/>
        <rFont val="Calibri"/>
        <family val="2"/>
        <scheme val="minor"/>
      </rPr>
      <t>Ω</t>
    </r>
    <r>
      <rPr>
        <b/>
        <sz val="10"/>
        <rFont val="Calibri"/>
        <family val="2"/>
        <scheme val="minor"/>
      </rPr>
      <t>/sq)</t>
    </r>
  </si>
  <si>
    <r>
      <t>Corrected Resistivity (</t>
    </r>
    <r>
      <rPr>
        <sz val="12"/>
        <rFont val="Calibri"/>
        <family val="2"/>
        <scheme val="minor"/>
      </rPr>
      <t>Ω</t>
    </r>
    <r>
      <rPr>
        <b/>
        <sz val="12"/>
        <rFont val="Calibri"/>
        <family val="2"/>
        <scheme val="minor"/>
      </rPr>
      <t>-cm)</t>
    </r>
  </si>
  <si>
    <r>
      <t>J0 (A/cm</t>
    </r>
    <r>
      <rPr>
        <b/>
        <vertAlign val="superscript"/>
        <sz val="12"/>
        <rFont val="Calibri"/>
        <family val="2"/>
        <scheme val="minor"/>
      </rPr>
      <t>2</t>
    </r>
    <r>
      <rPr>
        <b/>
        <sz val="12"/>
        <rFont val="Calibri"/>
        <family val="2"/>
        <scheme val="minor"/>
      </rPr>
      <t>)</t>
    </r>
  </si>
  <si>
    <r>
      <t>Min MCD (cm</t>
    </r>
    <r>
      <rPr>
        <b/>
        <vertAlign val="superscript"/>
        <sz val="12"/>
        <rFont val="Calibri"/>
        <family val="2"/>
        <scheme val="minor"/>
      </rPr>
      <t>-3</t>
    </r>
    <r>
      <rPr>
        <b/>
        <sz val="12"/>
        <rFont val="Calibri"/>
        <family val="2"/>
        <scheme val="minor"/>
      </rPr>
      <t>)</t>
    </r>
  </si>
  <si>
    <r>
      <t>Max MCD (cm</t>
    </r>
    <r>
      <rPr>
        <b/>
        <vertAlign val="superscript"/>
        <sz val="12"/>
        <rFont val="Calibri"/>
        <family val="2"/>
        <scheme val="minor"/>
      </rPr>
      <t>-3</t>
    </r>
    <r>
      <rPr>
        <b/>
        <sz val="12"/>
        <rFont val="Calibri"/>
        <family val="2"/>
        <scheme val="minor"/>
      </rPr>
      <t>)</t>
    </r>
  </si>
  <si>
    <r>
      <t>Bias point CD (cm</t>
    </r>
    <r>
      <rPr>
        <b/>
        <vertAlign val="superscript"/>
        <sz val="12"/>
        <rFont val="Calibri"/>
        <family val="2"/>
        <scheme val="minor"/>
      </rPr>
      <t>-3</t>
    </r>
    <r>
      <rPr>
        <b/>
        <sz val="12"/>
        <rFont val="Calibri"/>
        <family val="2"/>
        <scheme val="minor"/>
      </rPr>
      <t>)</t>
    </r>
  </si>
  <si>
    <r>
      <t>Trap Density (cm</t>
    </r>
    <r>
      <rPr>
        <b/>
        <vertAlign val="superscript"/>
        <sz val="12"/>
        <rFont val="Calibri"/>
        <family val="2"/>
        <scheme val="minor"/>
      </rPr>
      <t>-3</t>
    </r>
    <r>
      <rPr>
        <b/>
        <sz val="12"/>
        <rFont val="Calibri"/>
        <family val="2"/>
        <scheme val="minor"/>
      </rPr>
      <t>)</t>
    </r>
  </si>
  <si>
    <r>
      <t>Doping
 (cm</t>
    </r>
    <r>
      <rPr>
        <b/>
        <vertAlign val="superscript"/>
        <sz val="12"/>
        <rFont val="Calibri"/>
        <family val="2"/>
        <scheme val="minor"/>
      </rPr>
      <t>-3</t>
    </r>
    <r>
      <rPr>
        <b/>
        <sz val="12"/>
        <rFont val="Calibri"/>
        <family val="2"/>
        <scheme val="minor"/>
      </rPr>
      <t>)</t>
    </r>
  </si>
  <si>
    <r>
      <t>Temp (</t>
    </r>
    <r>
      <rPr>
        <b/>
        <vertAlign val="superscript"/>
        <sz val="12"/>
        <rFont val="Calibri"/>
        <family val="2"/>
        <scheme val="minor"/>
      </rPr>
      <t>o</t>
    </r>
    <r>
      <rPr>
        <b/>
        <sz val="12"/>
        <rFont val="Calibri"/>
        <family val="2"/>
        <scheme val="minor"/>
      </rPr>
      <t xml:space="preserve">C) </t>
    </r>
  </si>
  <si>
    <t>QSS/Generalized (1/1) Mode Acquisition Time (µs)</t>
  </si>
  <si>
    <r>
      <t>Wafer Doping (cm</t>
    </r>
    <r>
      <rPr>
        <b/>
        <vertAlign val="superscript"/>
        <sz val="8"/>
        <rFont val="Calibri"/>
        <family val="2"/>
        <scheme val="minor"/>
      </rPr>
      <t>-3</t>
    </r>
    <r>
      <rPr>
        <b/>
        <sz val="8"/>
        <rFont val="Calibri"/>
        <family val="2"/>
        <scheme val="minor"/>
      </rPr>
      <t>)</t>
    </r>
  </si>
  <si>
    <r>
      <t>cm</t>
    </r>
    <r>
      <rPr>
        <vertAlign val="superscript"/>
        <sz val="10"/>
        <rFont val="Calibri"/>
        <family val="2"/>
        <scheme val="minor"/>
      </rPr>
      <t>-3</t>
    </r>
  </si>
  <si>
    <t>Tau @ specMCD (μs)</t>
  </si>
  <si>
    <r>
      <t>Tau fit (µs) (intercept @ -N</t>
    </r>
    <r>
      <rPr>
        <b/>
        <vertAlign val="subscript"/>
        <sz val="10"/>
        <rFont val="Calibri"/>
        <family val="2"/>
        <scheme val="minor"/>
      </rPr>
      <t>A</t>
    </r>
    <r>
      <rPr>
        <b/>
        <sz val="10"/>
        <rFont val="Calibri"/>
        <family val="2"/>
        <scheme val="minor"/>
      </rPr>
      <t>)</t>
    </r>
  </si>
  <si>
    <r>
      <t>ni</t>
    </r>
    <r>
      <rPr>
        <b/>
        <vertAlign val="superscript"/>
        <sz val="10"/>
        <rFont val="Calibri"/>
        <family val="2"/>
        <scheme val="minor"/>
      </rPr>
      <t>2</t>
    </r>
    <r>
      <rPr>
        <b/>
        <sz val="10"/>
        <rFont val="Calibri"/>
        <family val="2"/>
        <scheme val="minor"/>
      </rPr>
      <t>/tau fit slope</t>
    </r>
  </si>
  <si>
    <t>WCT-120TS</t>
  </si>
  <si>
    <t>14-127027</t>
  </si>
  <si>
    <t>Logged</t>
  </si>
  <si>
    <t>130_091-1</t>
  </si>
  <si>
    <t>130_091-2</t>
  </si>
  <si>
    <t>130_091-3</t>
  </si>
  <si>
    <t>130_091-4</t>
  </si>
  <si>
    <t>130_091-5</t>
  </si>
  <si>
    <t>130_091-6</t>
  </si>
  <si>
    <t>130_091-7</t>
  </si>
  <si>
    <t>130_091-8</t>
  </si>
  <si>
    <t>130_091-9</t>
  </si>
  <si>
    <t>130_091-10</t>
  </si>
  <si>
    <t>130_091-11</t>
  </si>
  <si>
    <t>130_091-12</t>
  </si>
  <si>
    <t>130_091-13</t>
  </si>
  <si>
    <t>130_091-14</t>
  </si>
  <si>
    <t>130_091-15</t>
  </si>
  <si>
    <t>130_091-16</t>
  </si>
  <si>
    <t>130_091-17</t>
  </si>
  <si>
    <t>130_091-18</t>
  </si>
  <si>
    <t>130_091-19</t>
  </si>
  <si>
    <t>130_091-20</t>
  </si>
  <si>
    <t>130_091-21</t>
  </si>
  <si>
    <t>130_091-22</t>
  </si>
  <si>
    <t>130_091-23</t>
  </si>
  <si>
    <t>130_091-24</t>
  </si>
  <si>
    <t>130_091-25</t>
  </si>
  <si>
    <t>130_091-26</t>
  </si>
  <si>
    <t>130_091-27</t>
  </si>
  <si>
    <t>130_091-28</t>
  </si>
  <si>
    <t>130_091-29</t>
  </si>
  <si>
    <t>130_091-30</t>
  </si>
  <si>
    <t>130_091-31</t>
  </si>
  <si>
    <t>130_091-32</t>
  </si>
  <si>
    <t>130_091-33</t>
  </si>
  <si>
    <t>130_091-34</t>
  </si>
  <si>
    <t>130_091-35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</si>
</sst>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38" x14ac:knownFonts="1">
    <font>
      <sz val="10"/>
      <name val="Arial"/>
      <family val="2"/>
    </font>
    <font>
      <sz val="10"/>
      <name val="Arial"/>
      <family val="2"/>
    </font>
    <font>
      <b/>
      <sz val="10"/>
      <name val="Arial"/>
      <family val="2"/>
    </font>
    <font>
      <sz val="8"/>
      <name val="Arial"/>
      <family val="2"/>
    </font>
    <font>
      <b/>
      <sz val="8"/>
      <color indexed="81"/>
      <name val="Tahoma"/>
      <family val="2"/>
    </font>
    <font>
      <sz val="8"/>
      <color indexed="81"/>
      <name val="Tahoma"/>
      <family val="2"/>
    </font>
    <font>
      <b/>
      <sz val="10"/>
      <color indexed="10"/>
      <name val="Arial"/>
      <family val="2"/>
    </font>
    <font>
      <b/>
      <sz val="10"/>
      <color rgb="FFFF0000"/>
      <name val="Arial"/>
      <family val="2"/>
    </font>
    <font>
      <b/>
      <sz val="10"/>
      <color indexed="81"/>
      <name val="Tahoma"/>
      <family val="2"/>
    </font>
    <font>
      <b/>
      <sz val="10"/>
      <color indexed="10"/>
      <name val="Tahoma"/>
      <family val="2"/>
    </font>
    <font>
      <b/>
      <sz val="11"/>
      <color indexed="81"/>
      <name val="Tahoma"/>
      <family val="2"/>
    </font>
    <font>
      <b/>
      <sz val="10"/>
      <color rgb="FF000000"/>
      <name val="Arial"/>
      <family val="2"/>
    </font>
    <font>
      <sz val="10"/>
      <color indexed="81"/>
      <name val="Tahoma"/>
      <family val="2"/>
    </font>
    <font>
      <b/>
      <sz val="9"/>
      <color indexed="81"/>
      <name val="Tahoma"/>
      <family val="2"/>
    </font>
    <font>
      <b/>
      <sz val="10"/>
      <name val="Calibri"/>
      <family val="2"/>
      <scheme val="minor"/>
    </font>
    <font>
      <b/>
      <sz val="12"/>
      <name val="Calibri"/>
      <family val="2"/>
      <scheme val="minor"/>
    </font>
    <font>
      <b/>
      <vertAlign val="superscript"/>
      <sz val="12"/>
      <name val="Calibri"/>
      <family val="2"/>
      <scheme val="minor"/>
    </font>
    <font>
      <b/>
      <sz val="9"/>
      <name val="Calibri"/>
      <family val="2"/>
      <scheme val="minor"/>
    </font>
    <font>
      <b/>
      <sz val="12"/>
      <color rgb="FF2004EC"/>
      <name val="Calibri"/>
      <family val="2"/>
      <scheme val="minor"/>
    </font>
    <font>
      <b/>
      <sz val="11"/>
      <color rgb="FF2004EC"/>
      <name val="Calibri"/>
      <family val="2"/>
      <scheme val="minor"/>
    </font>
    <font>
      <sz val="10"/>
      <name val="Calibri"/>
      <family val="2"/>
      <scheme val="minor"/>
    </font>
    <font>
      <b/>
      <sz val="12"/>
      <color rgb="FFFF0000"/>
      <name val="Calibri"/>
      <family val="2"/>
      <scheme val="minor"/>
    </font>
    <font>
      <sz val="12"/>
      <name val="Calibri"/>
      <family val="2"/>
      <scheme val="minor"/>
    </font>
    <font>
      <b/>
      <sz val="11"/>
      <color rgb="FFFF0000"/>
      <name val="Calibri"/>
      <family val="2"/>
      <scheme val="minor"/>
    </font>
    <font>
      <b/>
      <sz val="20"/>
      <name val="Calibri"/>
      <family val="2"/>
      <scheme val="minor"/>
    </font>
    <font>
      <sz val="20"/>
      <color rgb="FF00B050"/>
      <name val="Calibri"/>
      <family val="2"/>
      <scheme val="minor"/>
    </font>
    <font>
      <b/>
      <sz val="11"/>
      <name val="Calibri"/>
      <family val="2"/>
      <scheme val="minor"/>
    </font>
    <font>
      <b/>
      <sz val="10"/>
      <color rgb="FF2004EC"/>
      <name val="Calibri"/>
      <family val="2"/>
      <scheme val="minor"/>
    </font>
    <font>
      <b/>
      <sz val="10"/>
      <color indexed="10"/>
      <name val="Calibri"/>
      <family val="2"/>
      <scheme val="minor"/>
    </font>
    <font>
      <b/>
      <sz val="10"/>
      <color indexed="8"/>
      <name val="Calibri"/>
      <family val="2"/>
      <scheme val="minor"/>
    </font>
    <font>
      <b/>
      <sz val="8"/>
      <name val="Calibri"/>
      <family val="2"/>
      <scheme val="minor"/>
    </font>
    <font>
      <b/>
      <vertAlign val="superscript"/>
      <sz val="8"/>
      <name val="Calibri"/>
      <family val="2"/>
      <scheme val="minor"/>
    </font>
    <font>
      <b/>
      <sz val="10"/>
      <color indexed="12"/>
      <name val="Calibri"/>
      <family val="2"/>
      <scheme val="minor"/>
    </font>
    <font>
      <sz val="10"/>
      <color rgb="FFC00000"/>
      <name val="Calibri"/>
      <family val="2"/>
      <scheme val="minor"/>
    </font>
    <font>
      <vertAlign val="superscript"/>
      <sz val="10"/>
      <name val="Calibri"/>
      <family val="2"/>
      <scheme val="minor"/>
    </font>
    <font>
      <b/>
      <vertAlign val="subscript"/>
      <sz val="10"/>
      <name val="Calibri"/>
      <family val="2"/>
      <scheme val="minor"/>
    </font>
    <font>
      <b/>
      <vertAlign val="superscript"/>
      <sz val="10"/>
      <name val="Calibri"/>
      <family val="2"/>
      <scheme val="minor"/>
    </font>
    <font>
      <sz val="10"/>
      <color theme="3" tint="0.3999755851924192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00000"/>
        <bgColor indexed="64"/>
      </patternFill>
    </fill>
    <fill>
      <patternFill patternType="solid">
        <fgColor theme="5"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7030A0"/>
        <bgColor indexed="64"/>
      </patternFill>
    </fill>
    <fill>
      <patternFill patternType="solid">
        <fgColor theme="7" tint="-0.499984740745262"/>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1" fillId="0" borderId="0"/>
  </cellStyleXfs>
  <cellXfs count="304">
    <xf numFmtId="0" fontId="0" fillId="0" borderId="0" xfId="0"/>
    <xf numFmtId="0" fontId="2" fillId="3" borderId="0" xfId="0" applyFont="1" applyFill="1" applyBorder="1"/>
    <xf numFmtId="0" fontId="2" fillId="3" borderId="7" xfId="0" applyFont="1" applyFill="1" applyBorder="1" applyAlignment="1">
      <alignment horizontal="center"/>
    </xf>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6"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7"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7" fillId="3" borderId="0" xfId="1" applyFont="1" applyFill="1"/>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7" fillId="3" borderId="0" xfId="0" applyFont="1" applyFill="1"/>
    <xf numFmtId="0" fontId="7" fillId="3" borderId="0" xfId="0" applyFont="1" applyFill="1" applyAlignment="1"/>
    <xf numFmtId="0" fontId="14" fillId="0" borderId="0" xfId="0" applyFont="1"/>
    <xf numFmtId="0" fontId="14" fillId="0" borderId="0" xfId="0" applyFont="1" applyFill="1" applyBorder="1" applyAlignment="1" applyProtection="1">
      <alignment horizontal="center" wrapText="1"/>
    </xf>
    <xf numFmtId="0" fontId="14" fillId="0" borderId="0" xfId="0" applyFont="1" applyProtection="1"/>
    <xf numFmtId="0" fontId="15" fillId="0" borderId="0" xfId="0" applyFont="1"/>
    <xf numFmtId="0" fontId="14" fillId="0" borderId="0" xfId="0" applyFont="1" applyBorder="1" applyProtection="1"/>
    <xf numFmtId="0" fontId="14" fillId="0" borderId="0" xfId="0" applyFont="1" applyFill="1" applyBorder="1" applyAlignment="1" applyProtection="1">
      <alignment horizontal="center" vertical="top" wrapText="1"/>
    </xf>
    <xf numFmtId="0" fontId="15" fillId="0" borderId="0" xfId="0" applyFont="1" applyBorder="1" applyProtection="1">
      <protection locked="0"/>
    </xf>
    <xf numFmtId="0" fontId="14" fillId="0" borderId="0" xfId="0" applyFont="1" applyBorder="1"/>
    <xf numFmtId="0" fontId="14" fillId="0" borderId="0" xfId="0" applyFont="1" applyBorder="1" applyAlignment="1">
      <alignment horizontal="center"/>
    </xf>
    <xf numFmtId="49" fontId="14" fillId="0" borderId="0" xfId="0" applyNumberFormat="1" applyFont="1" applyBorder="1" applyAlignment="1" applyProtection="1">
      <alignment horizontal="left"/>
    </xf>
    <xf numFmtId="0" fontId="14" fillId="2" borderId="0" xfId="0" applyFont="1" applyFill="1" applyBorder="1" applyAlignment="1" applyProtection="1">
      <alignment horizontal="left"/>
    </xf>
    <xf numFmtId="0" fontId="14" fillId="2" borderId="0" xfId="0" applyFont="1" applyFill="1" applyBorder="1" applyProtection="1"/>
    <xf numFmtId="0" fontId="14" fillId="0" borderId="0" xfId="0" applyFont="1" applyBorder="1" applyAlignment="1" applyProtection="1">
      <alignment horizontal="left"/>
    </xf>
    <xf numFmtId="14" fontId="14" fillId="0" borderId="0" xfId="0" applyNumberFormat="1" applyFont="1" applyBorder="1" applyAlignment="1" applyProtection="1">
      <alignment horizontal="centerContinuous"/>
    </xf>
    <xf numFmtId="0" fontId="14" fillId="0" borderId="0" xfId="0" applyFont="1" applyBorder="1" applyAlignment="1" applyProtection="1">
      <alignment horizontal="center"/>
    </xf>
    <xf numFmtId="0" fontId="14" fillId="0" borderId="0" xfId="0" applyFont="1" applyBorder="1" applyAlignment="1" applyProtection="1">
      <alignment horizontal="centerContinuous"/>
    </xf>
    <xf numFmtId="16" fontId="14" fillId="0" borderId="0" xfId="0" applyNumberFormat="1" applyFont="1" applyBorder="1" applyProtection="1"/>
    <xf numFmtId="0" fontId="15" fillId="2" borderId="0" xfId="0" applyFont="1" applyFill="1" applyBorder="1" applyProtection="1"/>
    <xf numFmtId="0" fontId="15" fillId="2" borderId="0" xfId="0" applyFont="1" applyFill="1" applyBorder="1" applyAlignment="1" applyProtection="1">
      <alignment horizontal="left"/>
    </xf>
    <xf numFmtId="0" fontId="15" fillId="0" borderId="0" xfId="0" applyFont="1" applyBorder="1"/>
    <xf numFmtId="0" fontId="14" fillId="0" borderId="0" xfId="0" applyFont="1" applyFill="1" applyBorder="1" applyProtection="1"/>
    <xf numFmtId="0" fontId="15" fillId="3" borderId="4" xfId="0" applyFont="1" applyFill="1" applyBorder="1" applyAlignment="1" applyProtection="1">
      <alignment horizontal="center" wrapText="1"/>
    </xf>
    <xf numFmtId="0" fontId="15" fillId="3" borderId="5" xfId="0" applyFont="1" applyFill="1" applyBorder="1" applyAlignment="1" applyProtection="1">
      <alignment horizontal="center" wrapText="1"/>
    </xf>
    <xf numFmtId="0" fontId="15" fillId="3" borderId="6" xfId="0" applyFont="1" applyFill="1" applyBorder="1" applyAlignment="1" applyProtection="1">
      <alignment horizontal="center" wrapText="1"/>
    </xf>
    <xf numFmtId="16" fontId="15" fillId="3" borderId="5" xfId="0" applyNumberFormat="1" applyFont="1" applyFill="1" applyBorder="1" applyAlignment="1" applyProtection="1">
      <alignment horizontal="center" wrapText="1"/>
    </xf>
    <xf numFmtId="16" fontId="15" fillId="3" borderId="10" xfId="0" applyNumberFormat="1" applyFont="1" applyFill="1" applyBorder="1" applyAlignment="1" applyProtection="1">
      <alignment horizontal="center" wrapText="1"/>
    </xf>
    <xf numFmtId="0" fontId="17" fillId="3" borderId="9" xfId="0" applyFont="1" applyFill="1" applyBorder="1" applyAlignment="1" applyProtection="1">
      <alignment horizontal="center" wrapText="1"/>
    </xf>
    <xf numFmtId="0" fontId="17" fillId="3" borderId="8" xfId="0" applyFont="1" applyFill="1" applyBorder="1" applyAlignment="1" applyProtection="1">
      <alignment horizontal="center" wrapText="1"/>
    </xf>
    <xf numFmtId="0" fontId="17" fillId="3" borderId="10" xfId="0" applyFont="1" applyFill="1" applyBorder="1" applyAlignment="1" applyProtection="1">
      <alignment horizontal="center" wrapText="1"/>
    </xf>
    <xf numFmtId="16" fontId="18" fillId="0" borderId="2" xfId="0" applyNumberFormat="1" applyFont="1" applyBorder="1" applyAlignment="1" applyProtection="1">
      <alignment horizontal="center"/>
      <protection locked="0"/>
    </xf>
    <xf numFmtId="0" fontId="18" fillId="0" borderId="1" xfId="0" applyFont="1" applyBorder="1" applyAlignment="1" applyProtection="1">
      <alignment horizontal="center"/>
      <protection locked="0"/>
    </xf>
    <xf numFmtId="166" fontId="18" fillId="0" borderId="1" xfId="0" applyNumberFormat="1" applyFont="1" applyBorder="1" applyAlignment="1" applyProtection="1">
      <alignment horizontal="center"/>
      <protection locked="0"/>
    </xf>
    <xf numFmtId="0" fontId="18" fillId="0" borderId="3" xfId="0" applyFont="1" applyBorder="1" applyAlignment="1" applyProtection="1">
      <alignment horizontal="center"/>
      <protection locked="0"/>
    </xf>
    <xf numFmtId="2" fontId="18" fillId="0" borderId="4" xfId="0" applyNumberFormat="1" applyFont="1" applyBorder="1" applyAlignment="1" applyProtection="1">
      <alignment horizontal="center"/>
      <protection locked="0"/>
    </xf>
    <xf numFmtId="167" fontId="18" fillId="0" borderId="5" xfId="0" applyNumberFormat="1" applyFont="1" applyBorder="1" applyAlignment="1" applyProtection="1">
      <alignment horizontal="center"/>
      <protection locked="0"/>
    </xf>
    <xf numFmtId="1" fontId="18" fillId="0" borderId="5" xfId="0" applyNumberFormat="1" applyFont="1" applyBorder="1" applyAlignment="1" applyProtection="1">
      <alignment horizontal="center"/>
      <protection locked="0"/>
    </xf>
    <xf numFmtId="0" fontId="19" fillId="2" borderId="6" xfId="0" applyFont="1" applyFill="1" applyBorder="1" applyAlignment="1" applyProtection="1">
      <alignment horizontal="center"/>
      <protection locked="0"/>
    </xf>
    <xf numFmtId="14" fontId="15" fillId="0" borderId="5" xfId="0" applyNumberFormat="1" applyFont="1" applyBorder="1" applyAlignment="1" applyProtection="1">
      <alignment horizontal="center"/>
    </xf>
    <xf numFmtId="21" fontId="15" fillId="0" borderId="5" xfId="0" applyNumberFormat="1" applyFont="1" applyBorder="1" applyAlignment="1" applyProtection="1">
      <alignment horizontal="center"/>
    </xf>
    <xf numFmtId="0" fontId="15" fillId="0" borderId="5" xfId="0" applyFont="1" applyBorder="1" applyAlignment="1" applyProtection="1">
      <alignment horizontal="center"/>
    </xf>
    <xf numFmtId="1" fontId="18" fillId="0" borderId="4" xfId="0" applyNumberFormat="1" applyFont="1" applyBorder="1" applyAlignment="1" applyProtection="1">
      <alignment horizontal="center"/>
      <protection locked="0"/>
    </xf>
    <xf numFmtId="2" fontId="18" fillId="0" borderId="6" xfId="0" applyNumberFormat="1" applyFont="1" applyBorder="1" applyAlignment="1" applyProtection="1">
      <alignment horizontal="center"/>
      <protection locked="0"/>
    </xf>
    <xf numFmtId="0" fontId="20" fillId="0" borderId="0" xfId="0" applyFont="1" applyBorder="1"/>
    <xf numFmtId="0" fontId="20" fillId="0" borderId="0" xfId="0" applyFont="1" applyBorder="1" applyProtection="1"/>
    <xf numFmtId="0" fontId="20" fillId="0" borderId="0" xfId="0" applyFont="1"/>
    <xf numFmtId="0" fontId="14" fillId="2" borderId="0" xfId="0" applyFont="1" applyFill="1" applyBorder="1" applyAlignment="1" applyProtection="1">
      <alignment horizontal="centerContinuous" wrapText="1"/>
    </xf>
    <xf numFmtId="0" fontId="14" fillId="2" borderId="0" xfId="0" applyFont="1" applyFill="1" applyBorder="1" applyAlignment="1" applyProtection="1">
      <alignment horizontal="centerContinuous"/>
    </xf>
    <xf numFmtId="0" fontId="21" fillId="0" borderId="0" xfId="0" applyFont="1"/>
    <xf numFmtId="0" fontId="14" fillId="3" borderId="5" xfId="0" applyFont="1" applyFill="1" applyBorder="1" applyAlignment="1" applyProtection="1">
      <alignment horizontal="center" wrapText="1"/>
    </xf>
    <xf numFmtId="0" fontId="15" fillId="3" borderId="5" xfId="0" applyFont="1" applyFill="1" applyBorder="1" applyAlignment="1">
      <alignment horizontal="center" wrapText="1"/>
    </xf>
    <xf numFmtId="2" fontId="15" fillId="0" borderId="4" xfId="0" applyNumberFormat="1" applyFont="1" applyBorder="1" applyAlignment="1" applyProtection="1">
      <alignment horizontal="center"/>
    </xf>
    <xf numFmtId="166" fontId="15" fillId="0" borderId="5" xfId="0" applyNumberFormat="1" applyFont="1" applyBorder="1" applyAlignment="1" applyProtection="1">
      <alignment horizontal="center"/>
    </xf>
    <xf numFmtId="2" fontId="15" fillId="0" borderId="5" xfId="0" applyNumberFormat="1" applyFont="1" applyBorder="1" applyAlignment="1" applyProtection="1">
      <alignment horizontal="center" wrapText="1"/>
    </xf>
    <xf numFmtId="11" fontId="15" fillId="0" borderId="5" xfId="0" applyNumberFormat="1" applyFont="1" applyBorder="1" applyAlignment="1" applyProtection="1">
      <alignment horizontal="center"/>
    </xf>
    <xf numFmtId="167" fontId="15" fillId="0" borderId="5" xfId="0" applyNumberFormat="1" applyFont="1" applyBorder="1" applyAlignment="1" applyProtection="1">
      <alignment horizontal="center"/>
    </xf>
    <xf numFmtId="168" fontId="15" fillId="0" borderId="5" xfId="0" applyNumberFormat="1" applyFont="1" applyBorder="1" applyAlignment="1">
      <alignment horizontal="center"/>
    </xf>
    <xf numFmtId="2" fontId="15" fillId="0" borderId="5" xfId="0" applyNumberFormat="1" applyFont="1" applyBorder="1" applyAlignment="1">
      <alignment horizontal="center"/>
    </xf>
    <xf numFmtId="0" fontId="20" fillId="0" borderId="0" xfId="0" applyFont="1" applyBorder="1" applyAlignment="1"/>
    <xf numFmtId="0" fontId="20" fillId="0" borderId="0" xfId="0" applyFont="1" applyProtection="1"/>
    <xf numFmtId="0" fontId="14" fillId="0" borderId="0" xfId="0" applyFont="1" applyBorder="1" applyAlignment="1" applyProtection="1">
      <alignment wrapText="1"/>
    </xf>
    <xf numFmtId="16" fontId="20" fillId="0" borderId="0" xfId="0" applyNumberFormat="1" applyFont="1" applyBorder="1" applyProtection="1"/>
    <xf numFmtId="167" fontId="20" fillId="0" borderId="0" xfId="0" applyNumberFormat="1" applyFont="1" applyBorder="1" applyProtection="1"/>
    <xf numFmtId="2" fontId="20" fillId="0" borderId="0" xfId="0" applyNumberFormat="1" applyFont="1" applyBorder="1" applyProtection="1"/>
    <xf numFmtId="167" fontId="14" fillId="0" borderId="0" xfId="0" applyNumberFormat="1" applyFont="1" applyBorder="1" applyProtection="1"/>
    <xf numFmtId="2" fontId="14" fillId="0" borderId="0" xfId="0" applyNumberFormat="1" applyFont="1" applyBorder="1" applyProtection="1"/>
    <xf numFmtId="0" fontId="14" fillId="0" borderId="0" xfId="0" applyFont="1" applyAlignment="1">
      <alignment horizontal="right"/>
    </xf>
    <xf numFmtId="11" fontId="14" fillId="0" borderId="0" xfId="0" applyNumberFormat="1" applyFont="1"/>
    <xf numFmtId="0" fontId="15" fillId="3" borderId="0" xfId="0" applyFont="1" applyFill="1" applyBorder="1"/>
    <xf numFmtId="0" fontId="14" fillId="3" borderId="0" xfId="0" applyFont="1" applyFill="1" applyBorder="1"/>
    <xf numFmtId="0" fontId="26" fillId="3" borderId="0" xfId="0" applyFont="1" applyFill="1" applyBorder="1"/>
    <xf numFmtId="0" fontId="14" fillId="3" borderId="7" xfId="0" applyFont="1" applyFill="1" applyBorder="1" applyAlignment="1">
      <alignment horizontal="center"/>
    </xf>
    <xf numFmtId="0" fontId="14" fillId="3" borderId="7" xfId="0" applyFont="1" applyFill="1" applyBorder="1" applyAlignment="1" applyProtection="1">
      <alignment horizontal="center"/>
      <protection locked="0"/>
    </xf>
    <xf numFmtId="0" fontId="27" fillId="3" borderId="7" xfId="0" applyFont="1" applyFill="1" applyBorder="1" applyProtection="1">
      <protection locked="0"/>
    </xf>
    <xf numFmtId="165" fontId="20" fillId="3" borderId="7" xfId="0" applyNumberFormat="1" applyFont="1" applyFill="1" applyBorder="1" applyAlignment="1">
      <alignment horizontal="center"/>
    </xf>
    <xf numFmtId="165" fontId="20" fillId="3" borderId="0" xfId="0" applyNumberFormat="1" applyFont="1" applyFill="1" applyBorder="1" applyAlignment="1"/>
    <xf numFmtId="0" fontId="14" fillId="3" borderId="7" xfId="0" applyFont="1" applyFill="1" applyBorder="1" applyAlignment="1" applyProtection="1">
      <alignment horizontal="center" wrapText="1"/>
    </xf>
    <xf numFmtId="11" fontId="14" fillId="3" borderId="7" xfId="0" applyNumberFormat="1" applyFont="1" applyFill="1" applyBorder="1" applyAlignment="1" applyProtection="1">
      <alignment horizontal="center"/>
      <protection locked="0"/>
    </xf>
    <xf numFmtId="164" fontId="14" fillId="3" borderId="7" xfId="0" applyNumberFormat="1" applyFont="1" applyFill="1" applyBorder="1" applyAlignment="1" applyProtection="1">
      <alignment horizontal="center"/>
      <protection locked="0"/>
    </xf>
    <xf numFmtId="0" fontId="14" fillId="3" borderId="7" xfId="0" applyFont="1" applyFill="1" applyBorder="1" applyAlignment="1" applyProtection="1">
      <alignment horizontal="center"/>
    </xf>
    <xf numFmtId="0" fontId="27" fillId="3" borderId="11" xfId="0" applyFont="1" applyFill="1" applyBorder="1" applyProtection="1">
      <protection locked="0"/>
    </xf>
    <xf numFmtId="0" fontId="27" fillId="3" borderId="8" xfId="0" applyFont="1" applyFill="1" applyBorder="1"/>
    <xf numFmtId="164" fontId="14" fillId="3" borderId="7" xfId="0" applyNumberFormat="1" applyFont="1" applyFill="1" applyBorder="1" applyAlignment="1" applyProtection="1">
      <alignment horizontal="center"/>
    </xf>
    <xf numFmtId="0" fontId="14" fillId="3" borderId="0" xfId="0" applyFont="1" applyFill="1" applyBorder="1" applyAlignment="1" applyProtection="1">
      <alignment horizontal="center"/>
    </xf>
    <xf numFmtId="0" fontId="28" fillId="3" borderId="0" xfId="0" applyFont="1" applyFill="1" applyBorder="1"/>
    <xf numFmtId="0" fontId="15" fillId="3" borderId="1" xfId="0" applyFont="1" applyFill="1" applyBorder="1"/>
    <xf numFmtId="0" fontId="14" fillId="3" borderId="1" xfId="0" applyFont="1" applyFill="1" applyBorder="1"/>
    <xf numFmtId="0" fontId="29" fillId="3" borderId="7" xfId="0" applyFont="1" applyFill="1" applyBorder="1" applyAlignment="1" applyProtection="1">
      <alignment horizontal="center"/>
    </xf>
    <xf numFmtId="0" fontId="27" fillId="3" borderId="15" xfId="0" applyFont="1" applyFill="1" applyBorder="1" applyProtection="1">
      <protection locked="0"/>
    </xf>
    <xf numFmtId="0" fontId="28" fillId="3" borderId="8" xfId="0" applyFont="1" applyFill="1" applyBorder="1"/>
    <xf numFmtId="0" fontId="14" fillId="3" borderId="8" xfId="0" applyFont="1" applyFill="1" applyBorder="1"/>
    <xf numFmtId="168" fontId="14" fillId="3" borderId="0" xfId="0" applyNumberFormat="1" applyFont="1" applyFill="1" applyBorder="1" applyAlignment="1">
      <alignment horizontal="center"/>
    </xf>
    <xf numFmtId="9" fontId="14" fillId="3" borderId="7" xfId="0" applyNumberFormat="1" applyFont="1" applyFill="1" applyBorder="1" applyAlignment="1" applyProtection="1">
      <alignment horizontal="center"/>
      <protection locked="0"/>
    </xf>
    <xf numFmtId="0" fontId="14" fillId="3" borderId="1" xfId="0" applyFont="1" applyFill="1" applyBorder="1" applyAlignment="1"/>
    <xf numFmtId="22" fontId="14" fillId="3" borderId="0" xfId="0" applyNumberFormat="1" applyFont="1" applyFill="1" applyBorder="1" applyAlignment="1">
      <alignment horizontal="center"/>
    </xf>
    <xf numFmtId="0" fontId="14" fillId="3" borderId="7" xfId="0" applyFont="1" applyFill="1" applyBorder="1" applyAlignment="1" applyProtection="1">
      <alignment horizontal="center" vertical="center" wrapText="1"/>
      <protection locked="0"/>
    </xf>
    <xf numFmtId="2" fontId="14" fillId="3" borderId="0" xfId="0" applyNumberFormat="1" applyFont="1" applyFill="1" applyBorder="1"/>
    <xf numFmtId="0" fontId="30" fillId="3" borderId="0" xfId="0" applyFont="1" applyFill="1" applyBorder="1"/>
    <xf numFmtId="0" fontId="14" fillId="3" borderId="11" xfId="0" applyFont="1" applyFill="1" applyBorder="1" applyAlignment="1">
      <alignment horizontal="center"/>
    </xf>
    <xf numFmtId="0" fontId="14" fillId="3" borderId="7" xfId="0" applyFont="1" applyFill="1" applyBorder="1"/>
    <xf numFmtId="0" fontId="28" fillId="3" borderId="0" xfId="0" applyFont="1" applyFill="1" applyBorder="1" applyAlignment="1">
      <alignment horizontal="center"/>
    </xf>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0" xfId="0" applyFont="1" applyFill="1" applyBorder="1" applyAlignment="1">
      <alignment horizontal="center"/>
    </xf>
    <xf numFmtId="0" fontId="30" fillId="3" borderId="9" xfId="0" applyFont="1" applyFill="1" applyBorder="1" applyAlignment="1">
      <alignment horizontal="center" wrapText="1"/>
    </xf>
    <xf numFmtId="14" fontId="30" fillId="3" borderId="8" xfId="0" applyNumberFormat="1" applyFont="1" applyFill="1" applyBorder="1" applyAlignment="1">
      <alignment horizontal="center" wrapText="1"/>
    </xf>
    <xf numFmtId="169" fontId="30" fillId="3" borderId="8" xfId="0" applyNumberFormat="1" applyFont="1" applyFill="1" applyBorder="1" applyAlignment="1">
      <alignment horizontal="center" wrapText="1"/>
    </xf>
    <xf numFmtId="0" fontId="30" fillId="3" borderId="8" xfId="0" applyFont="1" applyFill="1" applyBorder="1" applyAlignment="1">
      <alignment horizontal="center" wrapText="1"/>
    </xf>
    <xf numFmtId="11" fontId="30" fillId="3" borderId="8" xfId="0" applyNumberFormat="1" applyFont="1" applyFill="1" applyBorder="1" applyAlignment="1">
      <alignment horizontal="center" wrapText="1"/>
    </xf>
    <xf numFmtId="0" fontId="30" fillId="3" borderId="0" xfId="0" applyFont="1" applyFill="1" applyAlignment="1">
      <alignment horizontal="center" wrapText="1"/>
    </xf>
    <xf numFmtId="0" fontId="30" fillId="3" borderId="10" xfId="0" applyFont="1" applyFill="1" applyBorder="1" applyAlignment="1">
      <alignment horizontal="center" wrapText="1"/>
    </xf>
    <xf numFmtId="0" fontId="30" fillId="3" borderId="0" xfId="0" applyFont="1" applyFill="1" applyAlignment="1">
      <alignment wrapText="1"/>
    </xf>
    <xf numFmtId="16" fontId="20" fillId="3" borderId="4" xfId="0" applyNumberFormat="1" applyFont="1" applyFill="1" applyBorder="1" applyAlignment="1">
      <alignment horizontal="center"/>
    </xf>
    <xf numFmtId="169" fontId="20" fillId="3" borderId="5" xfId="0" applyNumberFormat="1" applyFont="1" applyFill="1" applyBorder="1" applyAlignment="1">
      <alignment horizontal="center"/>
    </xf>
    <xf numFmtId="19" fontId="20" fillId="3" borderId="5" xfId="0" applyNumberFormat="1" applyFont="1" applyFill="1" applyBorder="1" applyAlignment="1">
      <alignment horizontal="center"/>
    </xf>
    <xf numFmtId="2" fontId="20" fillId="3" borderId="5" xfId="0" applyNumberFormat="1" applyFont="1" applyFill="1" applyBorder="1" applyAlignment="1">
      <alignment horizontal="center"/>
    </xf>
    <xf numFmtId="0" fontId="20" fillId="3" borderId="5" xfId="0" applyFont="1" applyFill="1" applyBorder="1" applyAlignment="1">
      <alignment horizontal="center"/>
    </xf>
    <xf numFmtId="11" fontId="20" fillId="3" borderId="5" xfId="0" applyNumberFormat="1" applyFont="1" applyFill="1" applyBorder="1" applyAlignment="1">
      <alignment horizontal="center"/>
    </xf>
    <xf numFmtId="166" fontId="20" fillId="3" borderId="5" xfId="0" applyNumberFormat="1" applyFont="1" applyFill="1" applyBorder="1" applyAlignment="1">
      <alignment horizontal="center"/>
    </xf>
    <xf numFmtId="168" fontId="20" fillId="3" borderId="5" xfId="0" applyNumberFormat="1" applyFont="1" applyFill="1" applyBorder="1" applyAlignment="1">
      <alignment horizontal="center"/>
    </xf>
    <xf numFmtId="164" fontId="20" fillId="3" borderId="5" xfId="0" applyNumberFormat="1" applyFont="1" applyFill="1" applyBorder="1" applyAlignment="1">
      <alignment horizontal="center"/>
    </xf>
    <xf numFmtId="0" fontId="20" fillId="3" borderId="6" xfId="0" applyFont="1" applyFill="1" applyBorder="1" applyAlignment="1">
      <alignment horizontal="center"/>
    </xf>
    <xf numFmtId="0" fontId="20" fillId="3" borderId="0" xfId="0" applyFont="1" applyFill="1"/>
    <xf numFmtId="0" fontId="32" fillId="3" borderId="0" xfId="0" applyFont="1" applyFill="1"/>
    <xf numFmtId="2" fontId="20" fillId="3" borderId="0" xfId="0" applyNumberFormat="1" applyFont="1" applyFill="1"/>
    <xf numFmtId="11" fontId="20" fillId="3" borderId="0" xfId="0" applyNumberFormat="1" applyFont="1" applyFill="1"/>
    <xf numFmtId="0" fontId="14" fillId="3" borderId="0" xfId="0" applyFont="1" applyFill="1"/>
    <xf numFmtId="11" fontId="14" fillId="3" borderId="0" xfId="0" applyNumberFormat="1" applyFont="1" applyFill="1"/>
    <xf numFmtId="14" fontId="20" fillId="3" borderId="0" xfId="0" applyNumberFormat="1" applyFont="1" applyFill="1"/>
    <xf numFmtId="0" fontId="20" fillId="3" borderId="0" xfId="0" applyNumberFormat="1" applyFont="1" applyFill="1"/>
    <xf numFmtId="170" fontId="20" fillId="3" borderId="0" xfId="0" applyNumberFormat="1" applyFont="1" applyFill="1"/>
    <xf numFmtId="16" fontId="20" fillId="0" borderId="0" xfId="0" applyNumberFormat="1" applyFont="1"/>
    <xf numFmtId="0" fontId="14" fillId="0" borderId="1" xfId="0" applyNumberFormat="1" applyFont="1" applyBorder="1" applyAlignment="1">
      <alignment horizontal="center" vertical="center" wrapText="1"/>
    </xf>
    <xf numFmtId="14" fontId="20" fillId="0" borderId="0" xfId="0" applyNumberFormat="1" applyFont="1"/>
    <xf numFmtId="11" fontId="20" fillId="0" borderId="0" xfId="0" applyNumberFormat="1" applyFont="1" applyAlignment="1">
      <alignment horizontal="center"/>
    </xf>
    <xf numFmtId="166" fontId="20" fillId="0" borderId="0" xfId="0" applyNumberFormat="1" applyFont="1" applyAlignment="1">
      <alignment horizontal="center"/>
    </xf>
    <xf numFmtId="0" fontId="20" fillId="0" borderId="0" xfId="0" applyNumberFormat="1" applyFont="1"/>
    <xf numFmtId="11" fontId="20" fillId="0" borderId="0" xfId="0" applyNumberFormat="1" applyFont="1"/>
    <xf numFmtId="165" fontId="20" fillId="0" borderId="0" xfId="0" applyNumberFormat="1" applyFont="1" applyAlignment="1">
      <alignment horizontal="center"/>
    </xf>
    <xf numFmtId="2" fontId="20" fillId="0" borderId="0" xfId="0" applyNumberFormat="1" applyFont="1" applyAlignment="1">
      <alignment horizontal="center"/>
    </xf>
    <xf numFmtId="0" fontId="33" fillId="6" borderId="0" xfId="0" applyFont="1" applyFill="1"/>
    <xf numFmtId="0" fontId="20" fillId="5" borderId="0" xfId="0" applyFont="1" applyFill="1"/>
    <xf numFmtId="0" fontId="20" fillId="7" borderId="0" xfId="0" applyFont="1" applyFill="1"/>
    <xf numFmtId="0" fontId="20" fillId="8" borderId="0" xfId="0" applyFont="1" applyFill="1"/>
    <xf numFmtId="0" fontId="20" fillId="11" borderId="0" xfId="0" applyFont="1" applyFill="1"/>
    <xf numFmtId="0" fontId="20" fillId="10" borderId="0" xfId="0" applyFont="1" applyFill="1"/>
    <xf numFmtId="0" fontId="20" fillId="12" borderId="0" xfId="0" applyFont="1" applyFill="1"/>
    <xf numFmtId="0" fontId="20" fillId="9" borderId="0" xfId="0" applyFont="1" applyFill="1"/>
    <xf numFmtId="0" fontId="20" fillId="13" borderId="0" xfId="0" applyFont="1" applyFill="1"/>
    <xf numFmtId="0" fontId="20" fillId="14" borderId="0" xfId="0" applyFont="1" applyFill="1"/>
    <xf numFmtId="0" fontId="20" fillId="15" borderId="0" xfId="0" applyFont="1" applyFill="1"/>
    <xf numFmtId="0" fontId="20" fillId="16" borderId="0" xfId="0" applyFont="1" applyFill="1"/>
    <xf numFmtId="0" fontId="20" fillId="17" borderId="0" xfId="0" applyFont="1" applyFill="1"/>
    <xf numFmtId="0" fontId="20" fillId="18" borderId="0" xfId="0" applyFont="1" applyFill="1"/>
    <xf numFmtId="0" fontId="20" fillId="19" borderId="0" xfId="0" applyFont="1" applyFill="1"/>
    <xf numFmtId="0" fontId="20" fillId="0" borderId="0" xfId="0" applyFont="1" applyFill="1"/>
    <xf numFmtId="0" fontId="15"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protection locked="0"/>
    </xf>
    <xf numFmtId="0" fontId="20" fillId="4" borderId="7" xfId="0" applyFont="1" applyFill="1" applyBorder="1" applyAlignment="1">
      <alignment horizontal="center"/>
    </xf>
    <xf numFmtId="14" fontId="20" fillId="3" borderId="7" xfId="0" applyNumberFormat="1" applyFont="1" applyFill="1" applyBorder="1" applyAlignment="1">
      <alignment horizontal="center"/>
    </xf>
    <xf numFmtId="16" fontId="14" fillId="3" borderId="0" xfId="0" applyNumberFormat="1" applyFont="1" applyFill="1" applyBorder="1" applyAlignment="1" applyProtection="1">
      <alignment horizontal="center"/>
      <protection locked="0"/>
    </xf>
    <xf numFmtId="0" fontId="20" fillId="3" borderId="0" xfId="0" applyFont="1" applyFill="1" applyAlignment="1">
      <alignment horizontal="center"/>
    </xf>
    <xf numFmtId="0" fontId="20" fillId="3" borderId="0" xfId="0" applyFont="1" applyFill="1" applyBorder="1" applyAlignment="1">
      <alignment horizontal="center"/>
    </xf>
    <xf numFmtId="0" fontId="20" fillId="3" borderId="0" xfId="0" applyFont="1" applyFill="1" applyBorder="1" applyAlignment="1" applyProtection="1">
      <alignment horizontal="left"/>
    </xf>
    <xf numFmtId="0" fontId="20" fillId="3" borderId="7" xfId="0" applyFont="1" applyFill="1" applyBorder="1" applyAlignment="1">
      <alignment horizontal="left"/>
    </xf>
    <xf numFmtId="0" fontId="20" fillId="3" borderId="7" xfId="0" applyFont="1" applyFill="1" applyBorder="1" applyAlignment="1" applyProtection="1">
      <alignment horizontal="center"/>
      <protection locked="0"/>
    </xf>
    <xf numFmtId="0" fontId="14" fillId="3" borderId="0" xfId="0" applyFont="1" applyFill="1" applyBorder="1" applyAlignment="1" applyProtection="1">
      <alignment horizontal="center" wrapText="1"/>
    </xf>
    <xf numFmtId="16" fontId="20" fillId="4" borderId="7" xfId="0" applyNumberFormat="1" applyFont="1" applyFill="1" applyBorder="1" applyAlignment="1">
      <alignment horizontal="center"/>
    </xf>
    <xf numFmtId="19" fontId="20" fillId="3" borderId="7" xfId="0" applyNumberFormat="1" applyFont="1" applyFill="1" applyBorder="1" applyAlignment="1" applyProtection="1">
      <alignment horizontal="center"/>
    </xf>
    <xf numFmtId="0" fontId="20" fillId="3" borderId="0" xfId="0" applyFont="1" applyFill="1" applyBorder="1" applyAlignment="1" applyProtection="1">
      <alignment horizontal="center"/>
    </xf>
    <xf numFmtId="0" fontId="20" fillId="3" borderId="0" xfId="0" applyFont="1" applyFill="1" applyBorder="1" applyAlignment="1">
      <alignment horizontal="left"/>
    </xf>
    <xf numFmtId="0" fontId="20" fillId="3" borderId="0" xfId="0" quotePrefix="1" applyFont="1" applyFill="1" applyAlignment="1">
      <alignment horizontal="center"/>
    </xf>
    <xf numFmtId="14" fontId="20" fillId="3" borderId="0" xfId="0" applyNumberFormat="1" applyFont="1" applyFill="1" applyBorder="1" applyAlignment="1" applyProtection="1">
      <alignment horizontal="center"/>
      <protection locked="0"/>
    </xf>
    <xf numFmtId="2" fontId="20" fillId="3" borderId="7" xfId="0" applyNumberFormat="1" applyFont="1" applyFill="1" applyBorder="1" applyAlignment="1" applyProtection="1">
      <alignment horizontal="center"/>
    </xf>
    <xf numFmtId="19" fontId="20" fillId="3" borderId="0" xfId="0" applyNumberFormat="1" applyFont="1" applyFill="1" applyBorder="1" applyAlignment="1">
      <alignment horizontal="center"/>
    </xf>
    <xf numFmtId="0" fontId="20" fillId="3" borderId="0" xfId="0" applyFont="1" applyFill="1" applyAlignment="1">
      <alignment horizontal="left"/>
    </xf>
    <xf numFmtId="0" fontId="14" fillId="3" borderId="0" xfId="0" applyFont="1" applyFill="1" applyBorder="1" applyAlignment="1" applyProtection="1">
      <alignment horizontal="center"/>
      <protection locked="0"/>
    </xf>
    <xf numFmtId="0" fontId="20" fillId="3" borderId="7" xfId="0" applyFont="1" applyFill="1" applyBorder="1" applyAlignment="1" applyProtection="1">
      <alignment horizontal="left"/>
      <protection locked="0"/>
    </xf>
    <xf numFmtId="11" fontId="14" fillId="3" borderId="0" xfId="0" applyNumberFormat="1" applyFont="1" applyFill="1" applyBorder="1" applyAlignment="1">
      <alignment horizontal="center"/>
    </xf>
    <xf numFmtId="0" fontId="14" fillId="4" borderId="4" xfId="0" applyFont="1" applyFill="1" applyBorder="1" applyAlignment="1" applyProtection="1">
      <alignment horizontal="center" wrapText="1"/>
    </xf>
    <xf numFmtId="0" fontId="14" fillId="4" borderId="5" xfId="0" applyFont="1" applyFill="1" applyBorder="1" applyAlignment="1" applyProtection="1">
      <alignment horizontal="center" wrapText="1"/>
    </xf>
    <xf numFmtId="0" fontId="14" fillId="4" borderId="5" xfId="0" applyFont="1" applyFill="1" applyBorder="1" applyAlignment="1">
      <alignment horizontal="center" wrapText="1"/>
    </xf>
    <xf numFmtId="0" fontId="14" fillId="4" borderId="6" xfId="0" applyFont="1" applyFill="1" applyBorder="1" applyAlignment="1" applyProtection="1">
      <alignment horizontal="center" wrapText="1"/>
    </xf>
    <xf numFmtId="0" fontId="20" fillId="3" borderId="4" xfId="0" applyNumberFormat="1" applyFont="1" applyFill="1" applyBorder="1" applyAlignment="1" applyProtection="1">
      <alignment horizontal="center"/>
      <protection locked="0"/>
    </xf>
    <xf numFmtId="2" fontId="20" fillId="3" borderId="5" xfId="0" applyNumberFormat="1" applyFont="1" applyFill="1" applyBorder="1" applyAlignment="1" applyProtection="1">
      <alignment horizontal="center" wrapText="1"/>
      <protection locked="0"/>
    </xf>
    <xf numFmtId="11" fontId="20" fillId="3" borderId="5" xfId="0" applyNumberFormat="1" applyFont="1" applyFill="1" applyBorder="1" applyAlignment="1" applyProtection="1">
      <alignment horizontal="center"/>
      <protection locked="0"/>
    </xf>
    <xf numFmtId="165" fontId="20" fillId="3" borderId="5" xfId="0" applyNumberFormat="1" applyFont="1" applyFill="1" applyBorder="1" applyAlignment="1">
      <alignment horizontal="center"/>
    </xf>
    <xf numFmtId="167" fontId="20" fillId="3" borderId="5" xfId="0" applyNumberFormat="1" applyFont="1" applyFill="1" applyBorder="1" applyAlignment="1" applyProtection="1">
      <alignment horizontal="center"/>
    </xf>
    <xf numFmtId="11" fontId="20" fillId="3" borderId="5" xfId="0" applyNumberFormat="1" applyFont="1" applyFill="1" applyBorder="1" applyAlignment="1" applyProtection="1">
      <alignment horizontal="center"/>
    </xf>
    <xf numFmtId="171" fontId="20" fillId="3" borderId="5" xfId="0" applyNumberFormat="1" applyFont="1" applyFill="1" applyBorder="1" applyAlignment="1" applyProtection="1">
      <alignment horizontal="center"/>
    </xf>
    <xf numFmtId="2" fontId="20" fillId="3" borderId="5" xfId="0" applyNumberFormat="1" applyFont="1" applyFill="1" applyBorder="1" applyAlignment="1" applyProtection="1">
      <alignment horizontal="center"/>
    </xf>
    <xf numFmtId="166" fontId="20" fillId="3" borderId="5" xfId="0" applyNumberFormat="1" applyFont="1" applyFill="1" applyBorder="1" applyAlignment="1" applyProtection="1">
      <alignment horizontal="center"/>
    </xf>
    <xf numFmtId="168" fontId="20" fillId="3" borderId="5" xfId="0" applyNumberFormat="1" applyFont="1" applyFill="1" applyBorder="1" applyAlignment="1" applyProtection="1">
      <alignment horizontal="center"/>
    </xf>
    <xf numFmtId="167" fontId="20" fillId="3" borderId="1" xfId="0" applyNumberFormat="1" applyFont="1" applyFill="1" applyBorder="1" applyAlignment="1" applyProtection="1">
      <alignment horizontal="center"/>
    </xf>
    <xf numFmtId="2" fontId="20" fillId="3" borderId="1" xfId="0" applyNumberFormat="1" applyFont="1" applyFill="1" applyBorder="1" applyAlignment="1">
      <alignment horizontal="center"/>
    </xf>
    <xf numFmtId="2" fontId="20" fillId="3" borderId="3" xfId="0" applyNumberFormat="1" applyFont="1" applyFill="1" applyBorder="1" applyAlignment="1">
      <alignment horizontal="center"/>
    </xf>
    <xf numFmtId="11" fontId="20" fillId="3" borderId="0" xfId="0" applyNumberFormat="1" applyFont="1" applyFill="1" applyBorder="1" applyAlignment="1" applyProtection="1">
      <alignment horizontal="center"/>
    </xf>
    <xf numFmtId="167" fontId="20" fillId="3" borderId="0" xfId="0" applyNumberFormat="1" applyFont="1" applyFill="1" applyBorder="1" applyAlignment="1" applyProtection="1">
      <alignment horizontal="center"/>
    </xf>
    <xf numFmtId="2" fontId="20" fillId="3" borderId="0" xfId="0" applyNumberFormat="1" applyFont="1" applyFill="1" applyBorder="1" applyAlignment="1" applyProtection="1">
      <alignment horizontal="center"/>
    </xf>
    <xf numFmtId="1" fontId="20" fillId="3" borderId="0" xfId="0" applyNumberFormat="1" applyFont="1" applyFill="1" applyBorder="1" applyAlignment="1" applyProtection="1">
      <alignment horizontal="center"/>
    </xf>
    <xf numFmtId="0" fontId="20"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wrapText="1"/>
    </xf>
    <xf numFmtId="14" fontId="14" fillId="4" borderId="4" xfId="0" applyNumberFormat="1" applyFont="1" applyFill="1" applyBorder="1" applyAlignment="1" applyProtection="1">
      <alignment horizontal="center" wrapText="1"/>
    </xf>
    <xf numFmtId="21" fontId="14" fillId="4" borderId="5" xfId="0" applyNumberFormat="1" applyFont="1" applyFill="1" applyBorder="1" applyAlignment="1" applyProtection="1">
      <alignment horizontal="center" wrapText="1"/>
    </xf>
    <xf numFmtId="0" fontId="14" fillId="4" borderId="6" xfId="0" applyFont="1" applyFill="1" applyBorder="1" applyAlignment="1">
      <alignment horizontal="center" wrapText="1"/>
    </xf>
    <xf numFmtId="11" fontId="37" fillId="3" borderId="0" xfId="0" applyNumberFormat="1" applyFont="1" applyFill="1" applyBorder="1" applyAlignment="1" applyProtection="1">
      <alignment horizontal="center"/>
      <protection locked="0"/>
    </xf>
    <xf numFmtId="165" fontId="37" fillId="3" borderId="0" xfId="0" applyNumberFormat="1" applyFont="1" applyFill="1" applyBorder="1" applyAlignment="1" applyProtection="1">
      <alignment horizontal="center"/>
      <protection locked="0"/>
    </xf>
    <xf numFmtId="165"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pplyProtection="1">
      <alignment horizontal="center"/>
      <protection locked="0"/>
    </xf>
    <xf numFmtId="11" fontId="20" fillId="3" borderId="0" xfId="0" applyNumberFormat="1" applyFont="1" applyFill="1" applyBorder="1" applyAlignment="1" applyProtection="1">
      <alignment horizontal="center"/>
      <protection locked="0"/>
    </xf>
    <xf numFmtId="171" fontId="20" fillId="3" borderId="0" xfId="0" applyNumberFormat="1" applyFont="1" applyFill="1" applyBorder="1" applyAlignment="1">
      <alignment horizontal="center"/>
    </xf>
    <xf numFmtId="11" fontId="20" fillId="3" borderId="0" xfId="0" applyNumberFormat="1" applyFont="1" applyFill="1" applyBorder="1" applyAlignment="1">
      <alignment horizontal="center"/>
    </xf>
    <xf numFmtId="11" fontId="20" fillId="3" borderId="0" xfId="0" applyNumberFormat="1" applyFont="1" applyFill="1" applyAlignment="1">
      <alignment horizontal="center"/>
    </xf>
    <xf numFmtId="1"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lignment horizontal="center"/>
    </xf>
    <xf numFmtId="168" fontId="20" fillId="3" borderId="0" xfId="0" applyNumberFormat="1" applyFont="1" applyFill="1" applyAlignment="1">
      <alignment horizontal="center"/>
    </xf>
    <xf numFmtId="0" fontId="37" fillId="3" borderId="0" xfId="0" applyFont="1" applyFill="1" applyBorder="1" applyAlignment="1">
      <alignment horizontal="left"/>
    </xf>
    <xf numFmtId="0" fontId="37" fillId="3" borderId="0" xfId="0" applyNumberFormat="1" applyFont="1" applyFill="1" applyBorder="1" applyAlignment="1" applyProtection="1">
      <alignment horizontal="center"/>
      <protection locked="0"/>
    </xf>
    <xf numFmtId="11" fontId="37" fillId="3" borderId="0" xfId="0" applyNumberFormat="1" applyFont="1" applyFill="1" applyBorder="1" applyAlignment="1">
      <alignment horizontal="center"/>
    </xf>
    <xf numFmtId="0" fontId="20" fillId="3" borderId="0" xfId="0" applyNumberFormat="1" applyFont="1" applyFill="1" applyAlignment="1">
      <alignment horizontal="center"/>
    </xf>
    <xf numFmtId="0" fontId="37" fillId="3" borderId="0" xfId="0" applyNumberFormat="1" applyFont="1" applyFill="1" applyBorder="1" applyAlignment="1">
      <alignment horizontal="center"/>
    </xf>
    <xf numFmtId="0" fontId="37" fillId="3" borderId="0" xfId="0" applyFont="1" applyFill="1" applyBorder="1" applyAlignment="1">
      <alignment horizontal="center"/>
    </xf>
    <xf numFmtId="0" fontId="37" fillId="3" borderId="0" xfId="0" applyFont="1" applyFill="1" applyBorder="1" applyAlignment="1" applyProtection="1">
      <alignment horizontal="center"/>
      <protection locked="0"/>
    </xf>
    <xf numFmtId="0" fontId="37" fillId="3" borderId="0" xfId="0" applyNumberFormat="1" applyFont="1" applyFill="1" applyBorder="1" applyAlignment="1">
      <alignment horizontal="left"/>
    </xf>
    <xf numFmtId="0" fontId="20" fillId="3" borderId="0" xfId="0" applyNumberFormat="1" applyFont="1" applyFill="1" applyBorder="1" applyAlignment="1">
      <alignment horizontal="center"/>
    </xf>
    <xf numFmtId="0" fontId="37" fillId="3" borderId="0" xfId="0" applyNumberFormat="1" applyFont="1" applyFill="1" applyBorder="1" applyAlignment="1">
      <alignment horizontal="center" wrapText="1"/>
    </xf>
    <xf numFmtId="0" fontId="37" fillId="3" borderId="0" xfId="0" applyFont="1" applyFill="1" applyBorder="1" applyAlignment="1">
      <alignment horizontal="center" wrapText="1"/>
    </xf>
    <xf numFmtId="0" fontId="20" fillId="3" borderId="0" xfId="0" applyFont="1" applyFill="1" applyBorder="1" applyAlignment="1">
      <alignment horizontal="center" wrapText="1"/>
    </xf>
    <xf numFmtId="11" fontId="20" fillId="3" borderId="0" xfId="0" applyNumberFormat="1" applyFont="1" applyFill="1" applyBorder="1" applyAlignment="1">
      <alignment horizontal="center" wrapText="1"/>
    </xf>
    <xf numFmtId="16" fontId="37" fillId="3" borderId="0" xfId="0" applyNumberFormat="1" applyFont="1" applyFill="1" applyBorder="1" applyAlignment="1">
      <alignment horizontal="left"/>
    </xf>
    <xf numFmtId="167" fontId="20" fillId="3" borderId="0" xfId="0" applyNumberFormat="1" applyFont="1" applyFill="1" applyBorder="1" applyAlignment="1">
      <alignment horizontal="center"/>
    </xf>
    <xf numFmtId="166" fontId="20" fillId="3" borderId="0" xfId="0" applyNumberFormat="1" applyFont="1" applyFill="1" applyBorder="1" applyAlignment="1">
      <alignment horizontal="center"/>
    </xf>
    <xf numFmtId="0" fontId="37" fillId="3" borderId="0" xfId="0" applyFont="1" applyFill="1" applyAlignment="1">
      <alignment horizontal="left"/>
    </xf>
    <xf numFmtId="0" fontId="37" fillId="3" borderId="0" xfId="0" applyNumberFormat="1" applyFont="1" applyFill="1" applyAlignment="1">
      <alignment horizontal="center"/>
    </xf>
    <xf numFmtId="0" fontId="37" fillId="3" borderId="0" xfId="0" applyFont="1" applyFill="1" applyAlignment="1">
      <alignment horizontal="center"/>
    </xf>
    <xf numFmtId="11" fontId="37" fillId="3" borderId="0" xfId="0" applyNumberFormat="1" applyFont="1" applyFill="1" applyAlignment="1">
      <alignment horizontal="center"/>
    </xf>
    <xf numFmtId="0" fontId="24" fillId="0" borderId="9" xfId="0" applyFont="1" applyBorder="1" applyAlignment="1">
      <alignment horizontal="center" vertical="center"/>
    </xf>
    <xf numFmtId="0" fontId="24" fillId="0" borderId="8" xfId="0" applyFont="1" applyBorder="1" applyAlignment="1">
      <alignment horizontal="center" vertical="center"/>
    </xf>
    <xf numFmtId="0" fontId="24" fillId="0" borderId="10" xfId="0" applyFont="1" applyBorder="1" applyAlignment="1">
      <alignment horizontal="center" vertical="center"/>
    </xf>
    <xf numFmtId="0" fontId="24" fillId="0" borderId="2" xfId="0" applyFont="1" applyBorder="1" applyAlignment="1">
      <alignment horizontal="center" vertical="center"/>
    </xf>
    <xf numFmtId="0" fontId="24" fillId="0" borderId="1" xfId="0" applyFont="1" applyBorder="1" applyAlignment="1">
      <alignment horizontal="center" vertical="center"/>
    </xf>
    <xf numFmtId="0" fontId="24" fillId="0" borderId="3" xfId="0" applyFont="1" applyBorder="1" applyAlignment="1">
      <alignment horizontal="center" vertical="center"/>
    </xf>
    <xf numFmtId="0" fontId="25" fillId="2" borderId="11" xfId="0" applyFont="1" applyFill="1" applyBorder="1" applyAlignment="1">
      <alignment horizontal="center" vertical="center"/>
    </xf>
    <xf numFmtId="0" fontId="25" fillId="2" borderId="12" xfId="0" applyFont="1" applyFill="1" applyBorder="1" applyAlignment="1">
      <alignment horizontal="center" vertical="center"/>
    </xf>
    <xf numFmtId="0" fontId="2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4"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1" xfId="0" applyFont="1" applyBorder="1" applyAlignment="1">
      <alignment horizontal="center" vertical="center" wrapText="1"/>
    </xf>
    <xf numFmtId="0" fontId="23" fillId="0" borderId="3" xfId="0" applyFont="1" applyBorder="1" applyAlignment="1">
      <alignment horizontal="center" vertical="center" wrapText="1"/>
    </xf>
    <xf numFmtId="0" fontId="20" fillId="3" borderId="0" xfId="0" applyFont="1" applyFill="1" applyAlignment="1">
      <alignment horizontal="left"/>
    </xf>
    <xf numFmtId="0" fontId="14" fillId="3" borderId="7" xfId="0" applyFont="1" applyFill="1" applyBorder="1" applyProtection="1">
      <protection locked="0"/>
    </xf>
    <xf numFmtId="0" fontId="14" fillId="3" borderId="11" xfId="0" applyFont="1" applyFill="1" applyBorder="1"/>
    <xf numFmtId="0" fontId="14" fillId="3" borderId="8" xfId="0" applyFont="1" applyFill="1" applyBorder="1"/>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7" xfId="0" applyFont="1" applyFill="1" applyBorder="1"/>
    <xf numFmtId="0" fontId="14" fillId="3" borderId="4" xfId="0" applyFont="1" applyFill="1" applyBorder="1"/>
    <xf numFmtId="0" fontId="14" fillId="3" borderId="5" xfId="0" applyFont="1" applyFill="1" applyBorder="1"/>
    <xf numFmtId="0" fontId="14" fillId="3" borderId="6" xfId="0" applyFont="1" applyFill="1" applyBorder="1"/>
    <xf numFmtId="0" fontId="14" fillId="3" borderId="15" xfId="0" applyFont="1" applyFill="1" applyBorder="1"/>
  </cellXfs>
  <cellStyles count="2">
    <cellStyle name="Normal" xfId="0" builtinId="0"/>
    <cellStyle name="Normal_CommandLineGenerator" xfId="1"/>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2004EC"/>
      <color rgb="FF6D6D6D"/>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Illumination and Photoconductance</a:t>
            </a: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Calc!$E$9:$E$133</c:f>
              <c:numCache>
                <c:formatCode>0.00</c:formatCode>
                <c:ptCount val="125"/>
                <c:pt idx="0">
                  <c:v>34.999011869310337</c:v>
                </c:pt>
                <c:pt idx="1">
                  <c:v>52.344251113670076</c:v>
                </c:pt>
                <c:pt idx="2">
                  <c:v>58.180824679858233</c:v>
                </c:pt>
                <c:pt idx="3">
                  <c:v>59.653651103990761</c:v>
                </c:pt>
                <c:pt idx="4">
                  <c:v>58.348916934328585</c:v>
                </c:pt>
                <c:pt idx="5">
                  <c:v>55.879699679005491</c:v>
                </c:pt>
                <c:pt idx="6">
                  <c:v>52.766239639448948</c:v>
                </c:pt>
                <c:pt idx="7">
                  <c:v>49.63349032478925</c:v>
                </c:pt>
                <c:pt idx="8">
                  <c:v>46.678335370562046</c:v>
                </c:pt>
                <c:pt idx="9">
                  <c:v>43.910466924848727</c:v>
                </c:pt>
                <c:pt idx="10">
                  <c:v>41.335206166988094</c:v>
                </c:pt>
                <c:pt idx="11">
                  <c:v>38.937539769559962</c:v>
                </c:pt>
                <c:pt idx="12">
                  <c:v>36.688201246200919</c:v>
                </c:pt>
                <c:pt idx="13">
                  <c:v>34.587190596910958</c:v>
                </c:pt>
                <c:pt idx="14">
                  <c:v>32.616643862481254</c:v>
                </c:pt>
                <c:pt idx="15">
                  <c:v>30.752235651648714</c:v>
                </c:pt>
                <c:pt idx="16">
                  <c:v>29.00755397593921</c:v>
                </c:pt>
                <c:pt idx="17">
                  <c:v>27.364734876143903</c:v>
                </c:pt>
                <c:pt idx="18">
                  <c:v>25.815891604314206</c:v>
                </c:pt>
                <c:pt idx="19">
                  <c:v>24.366535381908182</c:v>
                </c:pt>
                <c:pt idx="20">
                  <c:v>23.010774903229279</c:v>
                </c:pt>
                <c:pt idx="21">
                  <c:v>21.739488146553853</c:v>
                </c:pt>
                <c:pt idx="22">
                  <c:v>20.545073427112182</c:v>
                </c:pt>
                <c:pt idx="23">
                  <c:v>19.41831370212099</c:v>
                </c:pt>
                <c:pt idx="24">
                  <c:v>18.365480361515285</c:v>
                </c:pt>
                <c:pt idx="25">
                  <c:v>17.371750119994125</c:v>
                </c:pt>
                <c:pt idx="26">
                  <c:v>16.440638756763502</c:v>
                </c:pt>
                <c:pt idx="27">
                  <c:v>15.565969902948021</c:v>
                </c:pt>
                <c:pt idx="28">
                  <c:v>14.716956735230335</c:v>
                </c:pt>
                <c:pt idx="29">
                  <c:v>13.930752487922428</c:v>
                </c:pt>
                <c:pt idx="30">
                  <c:v>13.197855055062158</c:v>
                </c:pt>
                <c:pt idx="31">
                  <c:v>12.507527056912298</c:v>
                </c:pt>
                <c:pt idx="32">
                  <c:v>11.859198367115123</c:v>
                </c:pt>
                <c:pt idx="33">
                  <c:v>11.249828311762741</c:v>
                </c:pt>
                <c:pt idx="34">
                  <c:v>10.672005248204682</c:v>
                </c:pt>
                <c:pt idx="35">
                  <c:v>10.128769850348833</c:v>
                </c:pt>
                <c:pt idx="36">
                  <c:v>9.613375622962069</c:v>
                </c:pt>
                <c:pt idx="37">
                  <c:v>9.131685365423035</c:v>
                </c:pt>
                <c:pt idx="38">
                  <c:v>8.6730947274779755</c:v>
                </c:pt>
                <c:pt idx="39">
                  <c:v>8.2348290941859457</c:v>
                </c:pt>
                <c:pt idx="40">
                  <c:v>7.824024547124516</c:v>
                </c:pt>
                <c:pt idx="41">
                  <c:v>7.4355879574979777</c:v>
                </c:pt>
                <c:pt idx="42">
                  <c:v>7.066735208259419</c:v>
                </c:pt>
                <c:pt idx="43">
                  <c:v>6.7208965596611776</c:v>
                </c:pt>
                <c:pt idx="44">
                  <c:v>6.3918481322980458</c:v>
                </c:pt>
                <c:pt idx="45">
                  <c:v>6.0812622968193635</c:v>
                </c:pt>
                <c:pt idx="46">
                  <c:v>5.7875712057413748</c:v>
                </c:pt>
                <c:pt idx="47">
                  <c:v>5.5064038903214945</c:v>
                </c:pt>
                <c:pt idx="48">
                  <c:v>5.2422168382559668</c:v>
                </c:pt>
                <c:pt idx="49">
                  <c:v>4.9877789469076008</c:v>
                </c:pt>
                <c:pt idx="50">
                  <c:v>4.7514330653111596</c:v>
                </c:pt>
                <c:pt idx="51">
                  <c:v>4.5251974244584412</c:v>
                </c:pt>
                <c:pt idx="52">
                  <c:v>4.3115900824294133</c:v>
                </c:pt>
                <c:pt idx="53">
                  <c:v>4.1045676998321534</c:v>
                </c:pt>
                <c:pt idx="54">
                  <c:v>3.9092329075683314</c:v>
                </c:pt>
                <c:pt idx="55">
                  <c:v>3.725690228803531</c:v>
                </c:pt>
                <c:pt idx="56">
                  <c:v>3.5505854201331166</c:v>
                </c:pt>
                <c:pt idx="57">
                  <c:v>3.3858759153852898</c:v>
                </c:pt>
                <c:pt idx="58">
                  <c:v>3.2248817340686609</c:v>
                </c:pt>
                <c:pt idx="59">
                  <c:v>3.0707480732567012</c:v>
                </c:pt>
                <c:pt idx="60">
                  <c:v>2.9271997584865717</c:v>
                </c:pt>
                <c:pt idx="61">
                  <c:v>2.7908825463536342</c:v>
                </c:pt>
                <c:pt idx="62">
                  <c:v>2.6529879846309812</c:v>
                </c:pt>
                <c:pt idx="63">
                  <c:v>2.5279972828049209</c:v>
                </c:pt>
                <c:pt idx="64">
                  <c:v>2.4121856153382937</c:v>
                </c:pt>
                <c:pt idx="65">
                  <c:v>2.2984264027594898</c:v>
                </c:pt>
                <c:pt idx="66">
                  <c:v>2.1932856002883514</c:v>
                </c:pt>
                <c:pt idx="67">
                  <c:v>2.0913089991026075</c:v>
                </c:pt>
                <c:pt idx="68">
                  <c:v>1.9922970549770529</c:v>
                </c:pt>
                <c:pt idx="69">
                  <c:v>1.8973710164152209</c:v>
                </c:pt>
                <c:pt idx="70">
                  <c:v>1.8091249583447768</c:v>
                </c:pt>
                <c:pt idx="71">
                  <c:v>1.726162071189286</c:v>
                </c:pt>
                <c:pt idx="72">
                  <c:v>1.6463633853191892</c:v>
                </c:pt>
                <c:pt idx="73">
                  <c:v>1.5691587743767583</c:v>
                </c:pt>
                <c:pt idx="74">
                  <c:v>1.4972373343492804</c:v>
                </c:pt>
                <c:pt idx="75">
                  <c:v>1.428385074547575</c:v>
                </c:pt>
                <c:pt idx="76">
                  <c:v>1.3620413707198764</c:v>
                </c:pt>
                <c:pt idx="77">
                  <c:v>1.2985673028927454</c:v>
                </c:pt>
                <c:pt idx="78">
                  <c:v>1.2355588382577596</c:v>
                </c:pt>
                <c:pt idx="79">
                  <c:v>1.1764557391732153</c:v>
                </c:pt>
                <c:pt idx="80">
                  <c:v>1.1231869331494286</c:v>
                </c:pt>
                <c:pt idx="81">
                  <c:v>1.068435798595547</c:v>
                </c:pt>
                <c:pt idx="82">
                  <c:v>1.0184262149167762</c:v>
                </c:pt>
                <c:pt idx="83">
                  <c:v>0.97072564298680653</c:v>
                </c:pt>
                <c:pt idx="84">
                  <c:v>0.92562959830106095</c:v>
                </c:pt>
                <c:pt idx="85">
                  <c:v>0.88201588214541005</c:v>
                </c:pt>
                <c:pt idx="86">
                  <c:v>0.84025887749476225</c:v>
                </c:pt>
                <c:pt idx="87">
                  <c:v>0.79933710795818713</c:v>
                </c:pt>
                <c:pt idx="88">
                  <c:v>0.7611053846194954</c:v>
                </c:pt>
                <c:pt idx="89">
                  <c:v>0.72547248726145031</c:v>
                </c:pt>
                <c:pt idx="90">
                  <c:v>0.68965429883714346</c:v>
                </c:pt>
                <c:pt idx="91">
                  <c:v>0.65661927724914881</c:v>
                </c:pt>
                <c:pt idx="92">
                  <c:v>0.62404890864270324</c:v>
                </c:pt>
                <c:pt idx="93">
                  <c:v>0.59426170687257007</c:v>
                </c:pt>
                <c:pt idx="94">
                  <c:v>0.56410392296991319</c:v>
                </c:pt>
                <c:pt idx="95">
                  <c:v>0.53561565908480513</c:v>
                </c:pt>
                <c:pt idx="96">
                  <c:v>0.50889098606627137</c:v>
                </c:pt>
                <c:pt idx="97">
                  <c:v>0.48457984796212256</c:v>
                </c:pt>
                <c:pt idx="98">
                  <c:v>0.45804046600985054</c:v>
                </c:pt>
                <c:pt idx="99">
                  <c:v>0.43660466516984686</c:v>
                </c:pt>
                <c:pt idx="100">
                  <c:v>0.41396304708324694</c:v>
                </c:pt>
                <c:pt idx="101">
                  <c:v>0.39243507581541043</c:v>
                </c:pt>
                <c:pt idx="102">
                  <c:v>0.37053557220445404</c:v>
                </c:pt>
                <c:pt idx="103">
                  <c:v>0.35290441459169336</c:v>
                </c:pt>
                <c:pt idx="104">
                  <c:v>0.33471738378014715</c:v>
                </c:pt>
                <c:pt idx="105">
                  <c:v>0.31671469382426659</c:v>
                </c:pt>
                <c:pt idx="106">
                  <c:v>0.30038342430712739</c:v>
                </c:pt>
                <c:pt idx="107">
                  <c:v>0.28321596946531941</c:v>
                </c:pt>
                <c:pt idx="108">
                  <c:v>0.2702256404044705</c:v>
                </c:pt>
                <c:pt idx="109">
                  <c:v>0.25556389090488019</c:v>
                </c:pt>
                <c:pt idx="110">
                  <c:v>0.24006690629121732</c:v>
                </c:pt>
                <c:pt idx="111">
                  <c:v>0.22772557106758298</c:v>
                </c:pt>
                <c:pt idx="112">
                  <c:v>0.21519799456709054</c:v>
                </c:pt>
                <c:pt idx="113">
                  <c:v>0.20434183850533949</c:v>
                </c:pt>
                <c:pt idx="114">
                  <c:v>0.19237108541422879</c:v>
                </c:pt>
                <c:pt idx="115">
                  <c:v>0.18318444937002665</c:v>
                </c:pt>
                <c:pt idx="116">
                  <c:v>0.17177051968829765</c:v>
                </c:pt>
                <c:pt idx="117">
                  <c:v>0.16295541598721544</c:v>
                </c:pt>
                <c:pt idx="118">
                  <c:v>0.15237672141955902</c:v>
                </c:pt>
                <c:pt idx="119">
                  <c:v>0.14662319625948</c:v>
                </c:pt>
                <c:pt idx="120">
                  <c:v>0.13762280149213593</c:v>
                </c:pt>
                <c:pt idx="121">
                  <c:v>0.1297351033329591</c:v>
                </c:pt>
                <c:pt idx="122">
                  <c:v>0.1217552347459494</c:v>
                </c:pt>
                <c:pt idx="123">
                  <c:v>0.11609483022429942</c:v>
                </c:pt>
                <c:pt idx="124">
                  <c:v>0.10904236717919515</c:v>
                </c:pt>
              </c:numCache>
            </c:numRef>
          </c:yVal>
          <c:smooth val="0"/>
        </c:ser>
        <c:dLbls>
          <c:showLegendKey val="0"/>
          <c:showVal val="0"/>
          <c:showCatName val="0"/>
          <c:showSerName val="0"/>
          <c:showPercent val="0"/>
          <c:showBubbleSize val="0"/>
        </c:dLbls>
        <c:axId val="318849376"/>
        <c:axId val="318849768"/>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Calc!$H$9:$H$133</c:f>
              <c:numCache>
                <c:formatCode>0.000E+00</c:formatCode>
                <c:ptCount val="125"/>
                <c:pt idx="0">
                  <c:v>8.7402319923967908E-3</c:v>
                </c:pt>
                <c:pt idx="1">
                  <c:v>1.6538043799340534E-2</c:v>
                </c:pt>
                <c:pt idx="2">
                  <c:v>1.9137960127476913E-2</c:v>
                </c:pt>
                <c:pt idx="3">
                  <c:v>1.9359016543326446E-2</c:v>
                </c:pt>
                <c:pt idx="4">
                  <c:v>1.8560558917311093E-2</c:v>
                </c:pt>
                <c:pt idx="5">
                  <c:v>1.7709823947802392E-2</c:v>
                </c:pt>
                <c:pt idx="6">
                  <c:v>1.6830151246975247E-2</c:v>
                </c:pt>
                <c:pt idx="7">
                  <c:v>1.5953965570774914E-2</c:v>
                </c:pt>
                <c:pt idx="8">
                  <c:v>1.5097581758801014E-2</c:v>
                </c:pt>
                <c:pt idx="9">
                  <c:v>1.4274384820193185E-2</c:v>
                </c:pt>
                <c:pt idx="10">
                  <c:v>1.3495719943130084E-2</c:v>
                </c:pt>
                <c:pt idx="11">
                  <c:v>1.2749740011281659E-2</c:v>
                </c:pt>
                <c:pt idx="12">
                  <c:v>1.2045970666818763E-2</c:v>
                </c:pt>
                <c:pt idx="13">
                  <c:v>1.1355170866649049E-2</c:v>
                </c:pt>
                <c:pt idx="14">
                  <c:v>1.0728863890839872E-2</c:v>
                </c:pt>
                <c:pt idx="15">
                  <c:v>1.0108558719010299E-2</c:v>
                </c:pt>
                <c:pt idx="16">
                  <c:v>9.5315860663547219E-3</c:v>
                </c:pt>
                <c:pt idx="17">
                  <c:v>8.9763506781234889E-3</c:v>
                </c:pt>
                <c:pt idx="18">
                  <c:v>8.4621259012026898E-3</c:v>
                </c:pt>
                <c:pt idx="19">
                  <c:v>7.9705215266111448E-3</c:v>
                </c:pt>
                <c:pt idx="20">
                  <c:v>7.5081652326407927E-3</c:v>
                </c:pt>
                <c:pt idx="21">
                  <c:v>7.0631091229668846E-3</c:v>
                </c:pt>
                <c:pt idx="22">
                  <c:v>6.6537980013352538E-3</c:v>
                </c:pt>
                <c:pt idx="23">
                  <c:v>6.2450445909001673E-3</c:v>
                </c:pt>
                <c:pt idx="24">
                  <c:v>5.8775431138393536E-3</c:v>
                </c:pt>
                <c:pt idx="25">
                  <c:v>5.5407550808790201E-3</c:v>
                </c:pt>
                <c:pt idx="26">
                  <c:v>5.2057167835954238E-3</c:v>
                </c:pt>
                <c:pt idx="27">
                  <c:v>4.8881002479842714E-3</c:v>
                </c:pt>
                <c:pt idx="28">
                  <c:v>4.593165115244574E-3</c:v>
                </c:pt>
                <c:pt idx="29">
                  <c:v>4.3125484260313693E-3</c:v>
                </c:pt>
                <c:pt idx="30">
                  <c:v>4.0565354568761688E-3</c:v>
                </c:pt>
                <c:pt idx="31">
                  <c:v>3.8052028067803167E-3</c:v>
                </c:pt>
                <c:pt idx="32">
                  <c:v>3.5726208664381143E-3</c:v>
                </c:pt>
                <c:pt idx="33">
                  <c:v>3.3641704288893473E-3</c:v>
                </c:pt>
                <c:pt idx="34">
                  <c:v>3.1653352597832626E-3</c:v>
                </c:pt>
                <c:pt idx="35">
                  <c:v>2.9673328455677925E-3</c:v>
                </c:pt>
                <c:pt idx="36">
                  <c:v>2.7898638923576566E-3</c:v>
                </c:pt>
                <c:pt idx="37">
                  <c:v>2.6308183836046342E-3</c:v>
                </c:pt>
                <c:pt idx="38">
                  <c:v>2.4483848508758746E-3</c:v>
                </c:pt>
                <c:pt idx="39">
                  <c:v>2.2965264627350379E-3</c:v>
                </c:pt>
                <c:pt idx="40">
                  <c:v>2.1700818218400308E-3</c:v>
                </c:pt>
                <c:pt idx="41">
                  <c:v>2.0347646765164484E-3</c:v>
                </c:pt>
                <c:pt idx="42">
                  <c:v>1.9092575521142061E-3</c:v>
                </c:pt>
                <c:pt idx="43">
                  <c:v>1.7949466174561821E-3</c:v>
                </c:pt>
                <c:pt idx="44">
                  <c:v>1.6851224605905143E-3</c:v>
                </c:pt>
                <c:pt idx="45">
                  <c:v>1.5828036835917533E-3</c:v>
                </c:pt>
                <c:pt idx="46">
                  <c:v>1.477289288500723E-3</c:v>
                </c:pt>
                <c:pt idx="47">
                  <c:v>1.3932985172723233E-3</c:v>
                </c:pt>
                <c:pt idx="48">
                  <c:v>1.3157146499027522E-3</c:v>
                </c:pt>
                <c:pt idx="49">
                  <c:v>1.2375362726121733E-3</c:v>
                </c:pt>
                <c:pt idx="50">
                  <c:v>1.1562210583885429E-3</c:v>
                </c:pt>
                <c:pt idx="51">
                  <c:v>1.0871749060841762E-3</c:v>
                </c:pt>
                <c:pt idx="52">
                  <c:v>1.0190980708410027E-3</c:v>
                </c:pt>
                <c:pt idx="53">
                  <c:v>9.5211406687528699E-4</c:v>
                </c:pt>
                <c:pt idx="54">
                  <c:v>9.0482265046396698E-4</c:v>
                </c:pt>
                <c:pt idx="55">
                  <c:v>8.5402990448918414E-4</c:v>
                </c:pt>
                <c:pt idx="56">
                  <c:v>7.9943640146957345E-4</c:v>
                </c:pt>
                <c:pt idx="57">
                  <c:v>7.5323692382893437E-4</c:v>
                </c:pt>
                <c:pt idx="58">
                  <c:v>7.0329844991130069E-4</c:v>
                </c:pt>
                <c:pt idx="59">
                  <c:v>6.6586157127626611E-4</c:v>
                </c:pt>
                <c:pt idx="60">
                  <c:v>6.2166182092471267E-4</c:v>
                </c:pt>
                <c:pt idx="61">
                  <c:v>5.7987823087797541E-4</c:v>
                </c:pt>
                <c:pt idx="62">
                  <c:v>5.5150303967404363E-4</c:v>
                </c:pt>
                <c:pt idx="63">
                  <c:v>5.1932025156868622E-4</c:v>
                </c:pt>
                <c:pt idx="64">
                  <c:v>4.9191107968104414E-4</c:v>
                </c:pt>
                <c:pt idx="65">
                  <c:v>4.4922995512673702E-4</c:v>
                </c:pt>
                <c:pt idx="66">
                  <c:v>4.252009294470685E-4</c:v>
                </c:pt>
                <c:pt idx="67">
                  <c:v>4.1029046838075844E-4</c:v>
                </c:pt>
                <c:pt idx="68">
                  <c:v>3.838483984419036E-4</c:v>
                </c:pt>
                <c:pt idx="69">
                  <c:v>3.6271993582254192E-4</c:v>
                </c:pt>
                <c:pt idx="70">
                  <c:v>3.4352356012734564E-4</c:v>
                </c:pt>
                <c:pt idx="71">
                  <c:v>3.2028499873522354E-4</c:v>
                </c:pt>
                <c:pt idx="72">
                  <c:v>2.917933339603232E-4</c:v>
                </c:pt>
                <c:pt idx="73">
                  <c:v>2.792983933255222E-4</c:v>
                </c:pt>
                <c:pt idx="74">
                  <c:v>2.671661085213925E-4</c:v>
                </c:pt>
                <c:pt idx="75">
                  <c:v>2.5080843120732499E-4</c:v>
                </c:pt>
                <c:pt idx="76">
                  <c:v>2.330628111414032E-4</c:v>
                </c:pt>
                <c:pt idx="77">
                  <c:v>2.2684594885900855E-4</c:v>
                </c:pt>
                <c:pt idx="78">
                  <c:v>2.1664539084656487E-4</c:v>
                </c:pt>
                <c:pt idx="79">
                  <c:v>1.9503751153590598E-4</c:v>
                </c:pt>
                <c:pt idx="80">
                  <c:v>1.889416970172822E-4</c:v>
                </c:pt>
                <c:pt idx="81">
                  <c:v>1.8224208871674141E-4</c:v>
                </c:pt>
                <c:pt idx="82">
                  <c:v>1.7415440679216521E-4</c:v>
                </c:pt>
                <c:pt idx="83">
                  <c:v>1.5647030801972661E-4</c:v>
                </c:pt>
                <c:pt idx="84">
                  <c:v>1.5381495259129269E-4</c:v>
                </c:pt>
                <c:pt idx="85">
                  <c:v>1.4108027666048101E-4</c:v>
                </c:pt>
                <c:pt idx="86">
                  <c:v>1.3178592167853442E-4</c:v>
                </c:pt>
                <c:pt idx="87">
                  <c:v>1.2804385248389727E-4</c:v>
                </c:pt>
                <c:pt idx="88">
                  <c:v>1.1953416982081466E-4</c:v>
                </c:pt>
                <c:pt idx="89">
                  <c:v>1.2502641309931201E-4</c:v>
                </c:pt>
                <c:pt idx="90">
                  <c:v>9.8592275316167211E-5</c:v>
                </c:pt>
                <c:pt idx="91">
                  <c:v>9.4186597303723418E-5</c:v>
                </c:pt>
                <c:pt idx="92">
                  <c:v>8.3444086158381003E-5</c:v>
                </c:pt>
                <c:pt idx="93">
                  <c:v>8.9177470224993671E-5</c:v>
                </c:pt>
                <c:pt idx="94">
                  <c:v>7.3244886992986091E-5</c:v>
                </c:pt>
                <c:pt idx="95">
                  <c:v>7.1374261522767768E-5</c:v>
                </c:pt>
                <c:pt idx="96">
                  <c:v>7.1193193554371093E-5</c:v>
                </c:pt>
                <c:pt idx="97">
                  <c:v>7.4210482020546642E-5</c:v>
                </c:pt>
                <c:pt idx="98">
                  <c:v>5.9425076896241213E-5</c:v>
                </c:pt>
                <c:pt idx="99">
                  <c:v>5.4295298526733926E-5</c:v>
                </c:pt>
                <c:pt idx="100">
                  <c:v>4.7294960990436341E-5</c:v>
                </c:pt>
                <c:pt idx="101">
                  <c:v>5.1459130511251339E-5</c:v>
                </c:pt>
                <c:pt idx="102">
                  <c:v>5.0976188603377159E-5</c:v>
                </c:pt>
                <c:pt idx="103">
                  <c:v>4.4519062915922281E-5</c:v>
                </c:pt>
                <c:pt idx="104">
                  <c:v>4.5303568558217877E-5</c:v>
                </c:pt>
                <c:pt idx="105">
                  <c:v>4.2587927004879289E-5</c:v>
                </c:pt>
                <c:pt idx="106">
                  <c:v>3.2268304414814764E-5</c:v>
                </c:pt>
                <c:pt idx="107">
                  <c:v>2.6173318977446014E-5</c:v>
                </c:pt>
                <c:pt idx="108">
                  <c:v>4.2225800784667644E-5</c:v>
                </c:pt>
                <c:pt idx="109">
                  <c:v>3.2690678114996596E-5</c:v>
                </c:pt>
                <c:pt idx="110">
                  <c:v>3.4380483552587382E-5</c:v>
                </c:pt>
                <c:pt idx="111">
                  <c:v>3.1725120338853274E-5</c:v>
                </c:pt>
                <c:pt idx="112">
                  <c:v>1.9655875719608307E-5</c:v>
                </c:pt>
                <c:pt idx="113">
                  <c:v>1.917310257078253E-5</c:v>
                </c:pt>
                <c:pt idx="114">
                  <c:v>1.0241822934228817E-5</c:v>
                </c:pt>
                <c:pt idx="115">
                  <c:v>2.0561079819583772E-5</c:v>
                </c:pt>
                <c:pt idx="116">
                  <c:v>3.4621796266218197E-5</c:v>
                </c:pt>
                <c:pt idx="117">
                  <c:v>1.9957589736663284E-5</c:v>
                </c:pt>
                <c:pt idx="118">
                  <c:v>2.8828606697048342E-5</c:v>
                </c:pt>
                <c:pt idx="119">
                  <c:v>1.6578181295578975E-5</c:v>
                </c:pt>
                <c:pt idx="120">
                  <c:v>4.0261857121165479E-6</c:v>
                </c:pt>
                <c:pt idx="121">
                  <c:v>1.5974724343600921E-5</c:v>
                </c:pt>
                <c:pt idx="122">
                  <c:v>2.5207767048784913E-5</c:v>
                </c:pt>
                <c:pt idx="123">
                  <c:v>9.7590540086914257E-6</c:v>
                </c:pt>
                <c:pt idx="124">
                  <c:v>5.836568379408158E-6</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3.4989999999999999E-4</c:v>
                </c:pt>
              </c:numCache>
            </c:numRef>
          </c:xVal>
          <c:yVal>
            <c:numRef>
              <c:f>[0]!FirstPoint</c:f>
              <c:numCache>
                <c:formatCode>0.00E+00</c:formatCode>
                <c:ptCount val="1"/>
                <c:pt idx="0">
                  <c:v>1.9359016543326446E-2</c:v>
                </c:pt>
              </c:numCache>
            </c:numRef>
          </c:yVal>
          <c:smooth val="0"/>
        </c:ser>
        <c:dLbls>
          <c:showLegendKey val="0"/>
          <c:showVal val="0"/>
          <c:showCatName val="0"/>
          <c:showSerName val="0"/>
          <c:showPercent val="0"/>
          <c:showBubbleSize val="0"/>
        </c:dLbls>
        <c:axId val="318850552"/>
        <c:axId val="318850160"/>
      </c:scatterChart>
      <c:valAx>
        <c:axId val="318849376"/>
        <c:scaling>
          <c:orientation val="minMax"/>
        </c:scaling>
        <c:delete val="0"/>
        <c:axPos val="b"/>
        <c:majorGridlines/>
        <c:title>
          <c:tx>
            <c:rich>
              <a:bodyPr/>
              <a:lstStyle/>
              <a:p>
                <a:pPr>
                  <a:defRPr sz="1200"/>
                </a:pPr>
                <a:r>
                  <a:rPr lang="en-US" sz="1200"/>
                  <a:t>Time (seconds)</a:t>
                </a:r>
              </a:p>
            </c:rich>
          </c:tx>
          <c:layout/>
          <c:overlay val="0"/>
        </c:title>
        <c:numFmt formatCode="0.0E+00" sourceLinked="0"/>
        <c:majorTickMark val="out"/>
        <c:minorTickMark val="none"/>
        <c:tickLblPos val="nextTo"/>
        <c:txPr>
          <a:bodyPr/>
          <a:lstStyle/>
          <a:p>
            <a:pPr>
              <a:defRPr b="1"/>
            </a:pPr>
            <a:endParaRPr lang="en-US"/>
          </a:p>
        </c:txPr>
        <c:crossAx val="318849768"/>
        <c:crosses val="autoZero"/>
        <c:crossBetween val="midCat"/>
      </c:valAx>
      <c:valAx>
        <c:axId val="318849768"/>
        <c:scaling>
          <c:orientation val="minMax"/>
          <c:min val="0"/>
        </c:scaling>
        <c:delete val="0"/>
        <c:axPos val="l"/>
        <c:majorGridlines/>
        <c:title>
          <c:tx>
            <c:rich>
              <a:bodyPr rot="-5400000" vert="horz"/>
              <a:lstStyle/>
              <a:p>
                <a:pPr>
                  <a:defRPr sz="1200">
                    <a:solidFill>
                      <a:srgbClr val="2004EC"/>
                    </a:solidFill>
                  </a:defRPr>
                </a:pPr>
                <a:r>
                  <a:rPr lang="en-US" sz="1200">
                    <a:solidFill>
                      <a:srgbClr val="2004EC"/>
                    </a:solidFill>
                  </a:rPr>
                  <a:t>Illumination (suns)</a:t>
                </a:r>
              </a:p>
            </c:rich>
          </c:tx>
          <c:layout/>
          <c:overlay val="0"/>
        </c:title>
        <c:numFmt formatCode="0" sourceLinked="0"/>
        <c:majorTickMark val="out"/>
        <c:minorTickMark val="none"/>
        <c:tickLblPos val="nextTo"/>
        <c:spPr>
          <a:ln>
            <a:solidFill>
              <a:srgbClr val="2004EC"/>
            </a:solidFill>
          </a:ln>
        </c:spPr>
        <c:txPr>
          <a:bodyPr/>
          <a:lstStyle/>
          <a:p>
            <a:pPr>
              <a:defRPr b="1">
                <a:solidFill>
                  <a:srgbClr val="2004EC"/>
                </a:solidFill>
              </a:defRPr>
            </a:pPr>
            <a:endParaRPr lang="en-US"/>
          </a:p>
        </c:txPr>
        <c:crossAx val="318849376"/>
        <c:crosses val="autoZero"/>
        <c:crossBetween val="midCat"/>
      </c:valAx>
      <c:valAx>
        <c:axId val="318850160"/>
        <c:scaling>
          <c:orientation val="minMax"/>
          <c:min val="0"/>
        </c:scaling>
        <c:delete val="0"/>
        <c:axPos val="r"/>
        <c:title>
          <c:tx>
            <c:rich>
              <a:bodyPr rot="-5400000" vert="horz"/>
              <a:lstStyle/>
              <a:p>
                <a:pPr>
                  <a:defRPr sz="1200">
                    <a:solidFill>
                      <a:srgbClr val="FF0000"/>
                    </a:solidFill>
                  </a:defRPr>
                </a:pPr>
                <a:r>
                  <a:rPr lang="en-US" sz="1200">
                    <a:solidFill>
                      <a:srgbClr val="FF0000"/>
                    </a:solidFill>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b="1">
                <a:solidFill>
                  <a:srgbClr val="FF0000"/>
                </a:solidFill>
              </a:defRPr>
            </a:pPr>
            <a:endParaRPr lang="en-US"/>
          </a:p>
        </c:txPr>
        <c:crossAx val="318850552"/>
        <c:crosses val="max"/>
        <c:crossBetween val="midCat"/>
      </c:valAx>
      <c:valAx>
        <c:axId val="318850552"/>
        <c:scaling>
          <c:orientation val="minMax"/>
        </c:scaling>
        <c:delete val="1"/>
        <c:axPos val="b"/>
        <c:numFmt formatCode="0.00E+00" sourceLinked="1"/>
        <c:majorTickMark val="out"/>
        <c:minorTickMark val="none"/>
        <c:tickLblPos val="none"/>
        <c:crossAx val="318850160"/>
        <c:crosses val="autoZero"/>
        <c:crossBetween val="midCat"/>
      </c:valAx>
      <c:spPr>
        <a:ln>
          <a:solidFill>
            <a:sysClr val="windowText" lastClr="000000"/>
          </a:solidFill>
        </a:ln>
      </c:spPr>
    </c:plotArea>
    <c:legend>
      <c:legendPos val="r"/>
      <c:layout>
        <c:manualLayout>
          <c:xMode val="edge"/>
          <c:yMode val="edge"/>
          <c:x val="0.43917475730124861"/>
          <c:y val="0.12421172623002825"/>
          <c:w val="0.41499146159421246"/>
          <c:h val="0.16559176041105386"/>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Inverse Lifetime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4421635896884549</c:v>
                </c:pt>
                <c:pt idx="1">
                  <c:v>4176652239164759</c:v>
                </c:pt>
                <c:pt idx="2">
                  <c:v>3938569906425649.5</c:v>
                </c:pt>
                <c:pt idx="3">
                  <c:v>3710998509972983.5</c:v>
                </c:pt>
                <c:pt idx="4">
                  <c:v>3496909519520986</c:v>
                </c:pt>
                <c:pt idx="5">
                  <c:v>3292887666362797.5</c:v>
                </c:pt>
                <c:pt idx="6">
                  <c:v>3101391318795048</c:v>
                </c:pt>
                <c:pt idx="7">
                  <c:v>2914362280747193</c:v>
                </c:pt>
                <c:pt idx="8">
                  <c:v>2745608404093400.5</c:v>
                </c:pt>
                <c:pt idx="9">
                  <c:v>2579245728297773</c:v>
                </c:pt>
                <c:pt idx="10">
                  <c:v>2425206289963866</c:v>
                </c:pt>
                <c:pt idx="11">
                  <c:v>2277618747495413.5</c:v>
                </c:pt>
                <c:pt idx="12">
                  <c:v>2141508752184578.2</c:v>
                </c:pt>
                <c:pt idx="13">
                  <c:v>2011913213514131.3</c:v>
                </c:pt>
                <c:pt idx="14">
                  <c:v>1890506320955255.5</c:v>
                </c:pt>
                <c:pt idx="15">
                  <c:v>1774088120472812</c:v>
                </c:pt>
                <c:pt idx="16">
                  <c:v>1667413560865581</c:v>
                </c:pt>
                <c:pt idx="17">
                  <c:v>1561268006305190.7</c:v>
                </c:pt>
                <c:pt idx="18">
                  <c:v>1466168775928969.8</c:v>
                </c:pt>
                <c:pt idx="19">
                  <c:v>1379300832227081.2</c:v>
                </c:pt>
                <c:pt idx="20">
                  <c:v>1293158965979789.7</c:v>
                </c:pt>
                <c:pt idx="21">
                  <c:v>1211755079137380.5</c:v>
                </c:pt>
                <c:pt idx="22">
                  <c:v>1136395005684116.5</c:v>
                </c:pt>
                <c:pt idx="23">
                  <c:v>1064904616541912.4</c:v>
                </c:pt>
                <c:pt idx="24">
                  <c:v>999866240541793.5</c:v>
                </c:pt>
                <c:pt idx="25">
                  <c:v>936191837522815.87</c:v>
                </c:pt>
                <c:pt idx="26">
                  <c:v>877426244764711.75</c:v>
                </c:pt>
                <c:pt idx="27">
                  <c:v>824890574658911.12</c:v>
                </c:pt>
                <c:pt idx="28">
                  <c:v>774898165429531.25</c:v>
                </c:pt>
                <c:pt idx="29">
                  <c:v>725234586236742.87</c:v>
                </c:pt>
                <c:pt idx="30">
                  <c:v>680825335673179.75</c:v>
                </c:pt>
                <c:pt idx="31">
                  <c:v>641112180605925</c:v>
                </c:pt>
                <c:pt idx="32">
                  <c:v>595661946587995.87</c:v>
                </c:pt>
                <c:pt idx="33">
                  <c:v>557915277517240.19</c:v>
                </c:pt>
                <c:pt idx="34">
                  <c:v>526547172111212.12</c:v>
                </c:pt>
                <c:pt idx="35">
                  <c:v>493041792977399.44</c:v>
                </c:pt>
                <c:pt idx="36">
                  <c:v>462026119368176.62</c:v>
                </c:pt>
                <c:pt idx="37">
                  <c:v>433829643464896.94</c:v>
                </c:pt>
                <c:pt idx="38">
                  <c:v>406788351334993.5</c:v>
                </c:pt>
                <c:pt idx="39">
                  <c:v>381639097352997.81</c:v>
                </c:pt>
                <c:pt idx="40">
                  <c:v>355750301436222.44</c:v>
                </c:pt>
                <c:pt idx="41">
                  <c:v>335176883048881.5</c:v>
                </c:pt>
                <c:pt idx="42">
                  <c:v>316200749543348.5</c:v>
                </c:pt>
                <c:pt idx="43">
                  <c:v>297107141657940.62</c:v>
                </c:pt>
                <c:pt idx="44">
                  <c:v>277278115845822.03</c:v>
                </c:pt>
                <c:pt idx="45">
                  <c:v>260466323609453.09</c:v>
                </c:pt>
                <c:pt idx="46">
                  <c:v>243914129151085.81</c:v>
                </c:pt>
                <c:pt idx="47">
                  <c:v>227651270364176.5</c:v>
                </c:pt>
                <c:pt idx="48">
                  <c:v>216184085536803.12</c:v>
                </c:pt>
                <c:pt idx="49">
                  <c:v>203881745329685.59</c:v>
                </c:pt>
                <c:pt idx="50">
                  <c:v>190675314649954.25</c:v>
                </c:pt>
                <c:pt idx="51">
                  <c:v>179513208037814.31</c:v>
                </c:pt>
                <c:pt idx="52">
                  <c:v>167462420251761.12</c:v>
                </c:pt>
                <c:pt idx="53">
                  <c:v>158438758264840.47</c:v>
                </c:pt>
                <c:pt idx="54">
                  <c:v>147796785023002.94</c:v>
                </c:pt>
                <c:pt idx="55">
                  <c:v>137748694260660.3</c:v>
                </c:pt>
                <c:pt idx="56">
                  <c:v>130932004767992</c:v>
                </c:pt>
                <c:pt idx="57">
                  <c:v>123207633973800.05</c:v>
                </c:pt>
                <c:pt idx="58">
                  <c:v>116635075123572.48</c:v>
                </c:pt>
                <c:pt idx="59">
                  <c:v>106411919822766.7</c:v>
                </c:pt>
                <c:pt idx="60">
                  <c:v>100662792697314.45</c:v>
                </c:pt>
                <c:pt idx="61">
                  <c:v>97097747864390.266</c:v>
                </c:pt>
                <c:pt idx="62">
                  <c:v>90780173175973.406</c:v>
                </c:pt>
                <c:pt idx="63">
                  <c:v>85736522583347.094</c:v>
                </c:pt>
                <c:pt idx="64">
                  <c:v>81157578416633.703</c:v>
                </c:pt>
                <c:pt idx="65">
                  <c:v>75619039211329.937</c:v>
                </c:pt>
                <c:pt idx="66">
                  <c:v>68835646478881.273</c:v>
                </c:pt>
                <c:pt idx="67">
                  <c:v>65863384195330.937</c:v>
                </c:pt>
                <c:pt idx="68">
                  <c:v>62978942874832.312</c:v>
                </c:pt>
                <c:pt idx="69">
                  <c:v>59092407678519.133</c:v>
                </c:pt>
                <c:pt idx="70">
                  <c:v>54879441940064.508</c:v>
                </c:pt>
                <c:pt idx="71">
                  <c:v>53404351572723.078</c:v>
                </c:pt>
                <c:pt idx="72">
                  <c:v>50985018007305.523</c:v>
                </c:pt>
                <c:pt idx="73">
                  <c:v>45864279282712.633</c:v>
                </c:pt>
                <c:pt idx="74">
                  <c:v>44420716729771.094</c:v>
                </c:pt>
                <c:pt idx="75">
                  <c:v>42834720206595.516</c:v>
                </c:pt>
                <c:pt idx="76">
                  <c:v>40920911006855.859</c:v>
                </c:pt>
                <c:pt idx="77">
                  <c:v>36739373449218.555</c:v>
                </c:pt>
                <c:pt idx="78">
                  <c:v>36111873304960.227</c:v>
                </c:pt>
                <c:pt idx="79">
                  <c:v>33103906660121.973</c:v>
                </c:pt>
                <c:pt idx="80">
                  <c:v>30910091647007.52</c:v>
                </c:pt>
                <c:pt idx="81">
                  <c:v>30027202548986.285</c:v>
                </c:pt>
                <c:pt idx="82">
                  <c:v>28020296324098.75</c:v>
                </c:pt>
                <c:pt idx="83">
                  <c:v>29315441789346.539</c:v>
                </c:pt>
                <c:pt idx="84">
                  <c:v>23086600001695.137</c:v>
                </c:pt>
                <c:pt idx="85">
                  <c:v>22049662632956.566</c:v>
                </c:pt>
                <c:pt idx="86">
                  <c:v>19522813683744.777</c:v>
                </c:pt>
                <c:pt idx="87">
                  <c:v>20871139181704.516</c:v>
                </c:pt>
                <c:pt idx="88">
                  <c:v>17125907608606.83</c:v>
                </c:pt>
                <c:pt idx="89">
                  <c:v>16686532065524.437</c:v>
                </c:pt>
                <c:pt idx="90">
                  <c:v>16644006573714.744</c:v>
                </c:pt>
                <c:pt idx="91">
                  <c:v>17352737737357.102</c:v>
                </c:pt>
                <c:pt idx="92">
                  <c:v>13881744201277.66</c:v>
                </c:pt>
                <c:pt idx="93">
                  <c:v>12678689272355.176</c:v>
                </c:pt>
                <c:pt idx="94">
                  <c:v>11038029655723.979</c:v>
                </c:pt>
                <c:pt idx="95">
                  <c:v>12013825248258.893</c:v>
                </c:pt>
                <c:pt idx="96">
                  <c:v>11900633169939.781</c:v>
                </c:pt>
                <c:pt idx="97">
                  <c:v>10387812015799.9</c:v>
                </c:pt>
                <c:pt idx="98">
                  <c:v>10571550365572.541</c:v>
                </c:pt>
                <c:pt idx="99">
                  <c:v>9935596974684.25</c:v>
                </c:pt>
                <c:pt idx="100">
                  <c:v>7520950601937.8154</c:v>
                </c:pt>
                <c:pt idx="101">
                  <c:v>6096463953347.5107</c:v>
                </c:pt>
                <c:pt idx="102">
                  <c:v>9850809655496.25</c:v>
                </c:pt>
                <c:pt idx="103">
                  <c:v>7619713454214.334</c:v>
                </c:pt>
                <c:pt idx="104">
                  <c:v>8014896807774.1533</c:v>
                </c:pt>
                <c:pt idx="105">
                  <c:v>7393947729350.4189</c:v>
                </c:pt>
                <c:pt idx="106">
                  <c:v>4574805701668.0166</c:v>
                </c:pt>
                <c:pt idx="107">
                  <c:v>4462161218964.7549</c:v>
                </c:pt>
                <c:pt idx="108">
                  <c:v>2380308219748.499</c:v>
                </c:pt>
                <c:pt idx="109">
                  <c:v>4786042744442.8574</c:v>
                </c:pt>
                <c:pt idx="110">
                  <c:v>8071338623400.7637</c:v>
                </c:pt>
                <c:pt idx="111">
                  <c:v>4645209251346.9893</c:v>
                </c:pt>
                <c:pt idx="112">
                  <c:v>6716880326317.8936</c:v>
                </c:pt>
                <c:pt idx="113">
                  <c:v>3856875738431.2085</c:v>
                </c:pt>
                <c:pt idx="114">
                  <c:v>934386149398.05164</c:v>
                </c:pt>
                <c:pt idx="115">
                  <c:v>3716160452613.4868</c:v>
                </c:pt>
              </c:numCache>
            </c:numRef>
          </c:xVal>
          <c:yVal>
            <c:numRef>
              <c:f>Calc!$S$15:$S$130</c:f>
              <c:numCache>
                <c:formatCode>0</c:formatCode>
                <c:ptCount val="116"/>
                <c:pt idx="0">
                  <c:v>110600.97652074756</c:v>
                </c:pt>
                <c:pt idx="1">
                  <c:v>110166.28180105846</c:v>
                </c:pt>
                <c:pt idx="2">
                  <c:v>109888.04404216731</c:v>
                </c:pt>
                <c:pt idx="3">
                  <c:v>109722.48690190945</c:v>
                </c:pt>
                <c:pt idx="4">
                  <c:v>109617.19592437365</c:v>
                </c:pt>
                <c:pt idx="5">
                  <c:v>109664.22858504683</c:v>
                </c:pt>
                <c:pt idx="6">
                  <c:v>109713.62029640362</c:v>
                </c:pt>
                <c:pt idx="7">
                  <c:v>110073.58235529724</c:v>
                </c:pt>
                <c:pt idx="8">
                  <c:v>110186.13641132432</c:v>
                </c:pt>
                <c:pt idx="9">
                  <c:v>110591.19835834847</c:v>
                </c:pt>
                <c:pt idx="10">
                  <c:v>110946.71094243108</c:v>
                </c:pt>
                <c:pt idx="11">
                  <c:v>111444.00094183652</c:v>
                </c:pt>
                <c:pt idx="12">
                  <c:v>111818.16070276769</c:v>
                </c:pt>
                <c:pt idx="13">
                  <c:v>112338.64750686706</c:v>
                </c:pt>
                <c:pt idx="14">
                  <c:v>112900.72919849264</c:v>
                </c:pt>
                <c:pt idx="15">
                  <c:v>113665.58841206964</c:v>
                </c:pt>
                <c:pt idx="16">
                  <c:v>114292.86981478437</c:v>
                </c:pt>
                <c:pt idx="17">
                  <c:v>115361.55029257658</c:v>
                </c:pt>
                <c:pt idx="18">
                  <c:v>116179.73126235367</c:v>
                </c:pt>
                <c:pt idx="19">
                  <c:v>116809.02479632068</c:v>
                </c:pt>
                <c:pt idx="20">
                  <c:v>117913.96213532241</c:v>
                </c:pt>
                <c:pt idx="21">
                  <c:v>119143.00663626932</c:v>
                </c:pt>
                <c:pt idx="22">
                  <c:v>120106.78466689576</c:v>
                </c:pt>
                <c:pt idx="23">
                  <c:v>121316.96561461143</c:v>
                </c:pt>
                <c:pt idx="24">
                  <c:v>122406.03880562466</c:v>
                </c:pt>
                <c:pt idx="25">
                  <c:v>123882.51009351827</c:v>
                </c:pt>
                <c:pt idx="26">
                  <c:v>125316.79485190779</c:v>
                </c:pt>
                <c:pt idx="27">
                  <c:v>126439.14190233947</c:v>
                </c:pt>
                <c:pt idx="28">
                  <c:v>127677.23567932242</c:v>
                </c:pt>
                <c:pt idx="29">
                  <c:v>129467.96786570881</c:v>
                </c:pt>
                <c:pt idx="30">
                  <c:v>130902.04274857492</c:v>
                </c:pt>
                <c:pt idx="31">
                  <c:v>132044.48900738862</c:v>
                </c:pt>
                <c:pt idx="32">
                  <c:v>134970.95518304923</c:v>
                </c:pt>
                <c:pt idx="33">
                  <c:v>136808.96237818964</c:v>
                </c:pt>
                <c:pt idx="34">
                  <c:v>137699.43134483494</c:v>
                </c:pt>
                <c:pt idx="35">
                  <c:v>139750.16555103939</c:v>
                </c:pt>
                <c:pt idx="36">
                  <c:v>141737.08003981315</c:v>
                </c:pt>
                <c:pt idx="37">
                  <c:v>143547.95513864106</c:v>
                </c:pt>
                <c:pt idx="38">
                  <c:v>145595.97676641948</c:v>
                </c:pt>
                <c:pt idx="39">
                  <c:v>147640.38745855616</c:v>
                </c:pt>
                <c:pt idx="40">
                  <c:v>150710.98545222706</c:v>
                </c:pt>
                <c:pt idx="41">
                  <c:v>152166.86727952224</c:v>
                </c:pt>
                <c:pt idx="42">
                  <c:v>153548.69438394543</c:v>
                </c:pt>
                <c:pt idx="43">
                  <c:v>155494.30350408313</c:v>
                </c:pt>
                <c:pt idx="44">
                  <c:v>158725.67077488828</c:v>
                </c:pt>
                <c:pt idx="45">
                  <c:v>160924.04276209063</c:v>
                </c:pt>
                <c:pt idx="46">
                  <c:v>163695.26631797489</c:v>
                </c:pt>
                <c:pt idx="47">
                  <c:v>166938.64369820521</c:v>
                </c:pt>
                <c:pt idx="48">
                  <c:v>167409.47186004859</c:v>
                </c:pt>
                <c:pt idx="49">
                  <c:v>169165.21770485508</c:v>
                </c:pt>
                <c:pt idx="50">
                  <c:v>172410.6817104005</c:v>
                </c:pt>
                <c:pt idx="51">
                  <c:v>174624.33079784442</c:v>
                </c:pt>
                <c:pt idx="52">
                  <c:v>178278.83090675267</c:v>
                </c:pt>
                <c:pt idx="53">
                  <c:v>179435.580142436</c:v>
                </c:pt>
                <c:pt idx="54">
                  <c:v>183332.37092044909</c:v>
                </c:pt>
                <c:pt idx="55">
                  <c:v>187530.22106209144</c:v>
                </c:pt>
                <c:pt idx="56">
                  <c:v>187498.5548712888</c:v>
                </c:pt>
                <c:pt idx="57">
                  <c:v>189896.36249870737</c:v>
                </c:pt>
                <c:pt idx="58">
                  <c:v>191440.96743200158</c:v>
                </c:pt>
                <c:pt idx="59">
                  <c:v>199885.58802954882</c:v>
                </c:pt>
                <c:pt idx="60">
                  <c:v>201595.45614981992</c:v>
                </c:pt>
                <c:pt idx="61">
                  <c:v>199208.32659068779</c:v>
                </c:pt>
                <c:pt idx="62">
                  <c:v>203001.09707791902</c:v>
                </c:pt>
                <c:pt idx="63">
                  <c:v>204755.56856305187</c:v>
                </c:pt>
                <c:pt idx="64">
                  <c:v>206295.26634426077</c:v>
                </c:pt>
                <c:pt idx="65">
                  <c:v>211258.81050380922</c:v>
                </c:pt>
                <c:pt idx="66">
                  <c:v>221297.02495303738</c:v>
                </c:pt>
                <c:pt idx="67">
                  <c:v>220361.29667121253</c:v>
                </c:pt>
                <c:pt idx="68">
                  <c:v>219852.35835921919</c:v>
                </c:pt>
                <c:pt idx="69">
                  <c:v>223535.82607948195</c:v>
                </c:pt>
                <c:pt idx="70">
                  <c:v>229483.67000492915</c:v>
                </c:pt>
                <c:pt idx="71">
                  <c:v>224870.98047093119</c:v>
                </c:pt>
                <c:pt idx="72">
                  <c:v>224104.44428498414</c:v>
                </c:pt>
                <c:pt idx="73">
                  <c:v>237221.95377649675</c:v>
                </c:pt>
                <c:pt idx="74">
                  <c:v>233766.73194338672</c:v>
                </c:pt>
                <c:pt idx="75">
                  <c:v>230598.48063235031</c:v>
                </c:pt>
                <c:pt idx="76">
                  <c:v>230133.37617564134</c:v>
                </c:pt>
                <c:pt idx="77">
                  <c:v>244391.95515974361</c:v>
                </c:pt>
                <c:pt idx="78">
                  <c:v>237102.11851582775</c:v>
                </c:pt>
                <c:pt idx="79">
                  <c:v>246341.09059137676</c:v>
                </c:pt>
                <c:pt idx="80">
                  <c:v>251383.76999894727</c:v>
                </c:pt>
                <c:pt idx="81">
                  <c:v>245910.88948937977</c:v>
                </c:pt>
                <c:pt idx="82">
                  <c:v>251147.82615043101</c:v>
                </c:pt>
                <c:pt idx="83">
                  <c:v>228994.26380394062</c:v>
                </c:pt>
                <c:pt idx="84">
                  <c:v>276612.07113476505</c:v>
                </c:pt>
                <c:pt idx="85">
                  <c:v>275627.33183918602</c:v>
                </c:pt>
                <c:pt idx="86">
                  <c:v>295535.7415016563</c:v>
                </c:pt>
                <c:pt idx="87">
                  <c:v>263279.25799479103</c:v>
                </c:pt>
                <c:pt idx="88">
                  <c:v>304425.57062859792</c:v>
                </c:pt>
                <c:pt idx="89">
                  <c:v>296547.44196153316</c:v>
                </c:pt>
                <c:pt idx="90">
                  <c:v>282391.61653553095</c:v>
                </c:pt>
                <c:pt idx="91">
                  <c:v>258219.98625733203</c:v>
                </c:pt>
                <c:pt idx="92">
                  <c:v>305517.59454326483</c:v>
                </c:pt>
                <c:pt idx="93">
                  <c:v>318725.08900044899</c:v>
                </c:pt>
                <c:pt idx="94">
                  <c:v>346371.82609588816</c:v>
                </c:pt>
                <c:pt idx="95">
                  <c:v>301633.15815213462</c:v>
                </c:pt>
                <c:pt idx="96">
                  <c:v>287429.59233380965</c:v>
                </c:pt>
                <c:pt idx="97">
                  <c:v>313914.10177383205</c:v>
                </c:pt>
                <c:pt idx="98">
                  <c:v>292940.85392134561</c:v>
                </c:pt>
                <c:pt idx="99">
                  <c:v>295220.65500704042</c:v>
                </c:pt>
                <c:pt idx="100">
                  <c:v>369127.76119705051</c:v>
                </c:pt>
                <c:pt idx="101">
                  <c:v>428912.62942712329</c:v>
                </c:pt>
                <c:pt idx="102">
                  <c:v>252792.11412641389</c:v>
                </c:pt>
                <c:pt idx="103">
                  <c:v>309291.23700499273</c:v>
                </c:pt>
                <c:pt idx="104">
                  <c:v>277644.77836221259</c:v>
                </c:pt>
                <c:pt idx="105">
                  <c:v>285426.42013878509</c:v>
                </c:pt>
                <c:pt idx="106">
                  <c:v>437026.68345211417</c:v>
                </c:pt>
                <c:pt idx="107">
                  <c:v>424094.49813268543</c:v>
                </c:pt>
                <c:pt idx="108">
                  <c:v>742435.61368269473</c:v>
                </c:pt>
                <c:pt idx="109">
                  <c:v>351802.65657167917</c:v>
                </c:pt>
                <c:pt idx="110">
                  <c:v>195256.16860924859</c:v>
                </c:pt>
                <c:pt idx="111">
                  <c:v>324292.84552759229</c:v>
                </c:pt>
                <c:pt idx="112">
                  <c:v>211507.94484528145</c:v>
                </c:pt>
                <c:pt idx="113">
                  <c:v>352663.17719788518</c:v>
                </c:pt>
                <c:pt idx="114">
                  <c:v>1360620.7905551454</c:v>
                </c:pt>
                <c:pt idx="115">
                  <c:v>321566.65781300096</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4421635896884549</c:v>
                </c:pt>
                <c:pt idx="1">
                  <c:v>4176652239164759</c:v>
                </c:pt>
                <c:pt idx="2">
                  <c:v>3938569906425649.5</c:v>
                </c:pt>
                <c:pt idx="3">
                  <c:v>3710998509972983.5</c:v>
                </c:pt>
                <c:pt idx="4">
                  <c:v>3496909519520986</c:v>
                </c:pt>
                <c:pt idx="5">
                  <c:v>3292887666362797.5</c:v>
                </c:pt>
                <c:pt idx="6">
                  <c:v>3101391318795048</c:v>
                </c:pt>
                <c:pt idx="7">
                  <c:v>2914362280747193</c:v>
                </c:pt>
                <c:pt idx="8">
                  <c:v>2745608404093400.5</c:v>
                </c:pt>
                <c:pt idx="9">
                  <c:v>2579245728297773</c:v>
                </c:pt>
                <c:pt idx="10">
                  <c:v>2425206289963866</c:v>
                </c:pt>
                <c:pt idx="11">
                  <c:v>2277618747495413.5</c:v>
                </c:pt>
                <c:pt idx="12">
                  <c:v>2141508752184578.2</c:v>
                </c:pt>
                <c:pt idx="13">
                  <c:v>2011913213514131.3</c:v>
                </c:pt>
                <c:pt idx="14">
                  <c:v>1890506320955255.5</c:v>
                </c:pt>
                <c:pt idx="15">
                  <c:v>1774088120472812</c:v>
                </c:pt>
                <c:pt idx="16">
                  <c:v>1667413560865581</c:v>
                </c:pt>
                <c:pt idx="17">
                  <c:v>1561268006305190.7</c:v>
                </c:pt>
                <c:pt idx="18">
                  <c:v>1466168775928969.8</c:v>
                </c:pt>
                <c:pt idx="19">
                  <c:v>1379300832227081.2</c:v>
                </c:pt>
                <c:pt idx="20">
                  <c:v>1293158965979789.7</c:v>
                </c:pt>
                <c:pt idx="21">
                  <c:v>1211755079137380.5</c:v>
                </c:pt>
                <c:pt idx="22">
                  <c:v>1136395005684116.5</c:v>
                </c:pt>
                <c:pt idx="23">
                  <c:v>1064904616541912.4</c:v>
                </c:pt>
                <c:pt idx="24">
                  <c:v>999866240541793.5</c:v>
                </c:pt>
                <c:pt idx="25">
                  <c:v>936191837522815.87</c:v>
                </c:pt>
                <c:pt idx="26">
                  <c:v>877426244764711.75</c:v>
                </c:pt>
                <c:pt idx="27">
                  <c:v>824890574658911.12</c:v>
                </c:pt>
                <c:pt idx="28">
                  <c:v>774898165429531.25</c:v>
                </c:pt>
                <c:pt idx="29">
                  <c:v>725234586236742.87</c:v>
                </c:pt>
                <c:pt idx="30">
                  <c:v>680825335673179.75</c:v>
                </c:pt>
                <c:pt idx="31">
                  <c:v>641112180605925</c:v>
                </c:pt>
                <c:pt idx="32">
                  <c:v>595661946587995.87</c:v>
                </c:pt>
                <c:pt idx="33">
                  <c:v>557915277517240.19</c:v>
                </c:pt>
                <c:pt idx="34">
                  <c:v>526547172111212.12</c:v>
                </c:pt>
                <c:pt idx="35">
                  <c:v>493041792977399.44</c:v>
                </c:pt>
                <c:pt idx="36">
                  <c:v>462026119368176.62</c:v>
                </c:pt>
                <c:pt idx="37">
                  <c:v>433829643464896.94</c:v>
                </c:pt>
                <c:pt idx="38">
                  <c:v>406788351334993.5</c:v>
                </c:pt>
                <c:pt idx="39">
                  <c:v>381639097352997.81</c:v>
                </c:pt>
                <c:pt idx="40">
                  <c:v>355750301436222.44</c:v>
                </c:pt>
                <c:pt idx="41">
                  <c:v>335176883048881.5</c:v>
                </c:pt>
                <c:pt idx="42">
                  <c:v>316200749543348.5</c:v>
                </c:pt>
                <c:pt idx="43">
                  <c:v>297107141657940.62</c:v>
                </c:pt>
                <c:pt idx="44">
                  <c:v>277278115845822.03</c:v>
                </c:pt>
                <c:pt idx="45">
                  <c:v>260466323609453.09</c:v>
                </c:pt>
                <c:pt idx="46">
                  <c:v>243914129151085.81</c:v>
                </c:pt>
                <c:pt idx="47">
                  <c:v>227651270364176.5</c:v>
                </c:pt>
                <c:pt idx="48">
                  <c:v>216184085536803.12</c:v>
                </c:pt>
                <c:pt idx="49">
                  <c:v>203881745329685.59</c:v>
                </c:pt>
                <c:pt idx="50">
                  <c:v>190675314649954.25</c:v>
                </c:pt>
                <c:pt idx="51">
                  <c:v>179513208037814.31</c:v>
                </c:pt>
                <c:pt idx="52">
                  <c:v>167462420251761.12</c:v>
                </c:pt>
                <c:pt idx="53">
                  <c:v>158438758264840.47</c:v>
                </c:pt>
                <c:pt idx="54">
                  <c:v>147796785023002.94</c:v>
                </c:pt>
                <c:pt idx="55">
                  <c:v>137748694260660.3</c:v>
                </c:pt>
                <c:pt idx="56">
                  <c:v>130932004767992</c:v>
                </c:pt>
                <c:pt idx="57">
                  <c:v>123207633973800.05</c:v>
                </c:pt>
                <c:pt idx="58">
                  <c:v>116635075123572.48</c:v>
                </c:pt>
                <c:pt idx="59">
                  <c:v>106411919822766.7</c:v>
                </c:pt>
                <c:pt idx="60">
                  <c:v>100662792697314.45</c:v>
                </c:pt>
                <c:pt idx="61">
                  <c:v>97097747864390.266</c:v>
                </c:pt>
                <c:pt idx="62">
                  <c:v>90780173175973.406</c:v>
                </c:pt>
                <c:pt idx="63">
                  <c:v>85736522583347.094</c:v>
                </c:pt>
                <c:pt idx="64">
                  <c:v>81157578416633.703</c:v>
                </c:pt>
                <c:pt idx="65">
                  <c:v>75619039211329.937</c:v>
                </c:pt>
                <c:pt idx="66">
                  <c:v>68835646478881.273</c:v>
                </c:pt>
                <c:pt idx="67">
                  <c:v>65863384195330.937</c:v>
                </c:pt>
                <c:pt idx="68">
                  <c:v>62978942874832.312</c:v>
                </c:pt>
                <c:pt idx="69">
                  <c:v>59092407678519.133</c:v>
                </c:pt>
                <c:pt idx="70">
                  <c:v>54879441940064.508</c:v>
                </c:pt>
                <c:pt idx="71">
                  <c:v>53404351572723.078</c:v>
                </c:pt>
                <c:pt idx="72">
                  <c:v>50985018007305.523</c:v>
                </c:pt>
                <c:pt idx="73">
                  <c:v>45864279282712.633</c:v>
                </c:pt>
                <c:pt idx="74">
                  <c:v>44420716729771.094</c:v>
                </c:pt>
                <c:pt idx="75">
                  <c:v>42834720206595.516</c:v>
                </c:pt>
                <c:pt idx="76">
                  <c:v>40920911006855.859</c:v>
                </c:pt>
                <c:pt idx="77">
                  <c:v>36739373449218.555</c:v>
                </c:pt>
                <c:pt idx="78">
                  <c:v>36111873304960.227</c:v>
                </c:pt>
                <c:pt idx="79">
                  <c:v>33103906660121.973</c:v>
                </c:pt>
                <c:pt idx="80">
                  <c:v>30910091647007.52</c:v>
                </c:pt>
                <c:pt idx="81">
                  <c:v>30027202548986.285</c:v>
                </c:pt>
                <c:pt idx="82">
                  <c:v>28020296324098.75</c:v>
                </c:pt>
                <c:pt idx="83">
                  <c:v>29315441789346.539</c:v>
                </c:pt>
                <c:pt idx="84">
                  <c:v>23086600001695.137</c:v>
                </c:pt>
                <c:pt idx="85">
                  <c:v>22049662632956.566</c:v>
                </c:pt>
                <c:pt idx="86">
                  <c:v>19522813683744.777</c:v>
                </c:pt>
                <c:pt idx="87">
                  <c:v>20871139181704.516</c:v>
                </c:pt>
                <c:pt idx="88">
                  <c:v>17125907608606.83</c:v>
                </c:pt>
                <c:pt idx="89">
                  <c:v>16686532065524.437</c:v>
                </c:pt>
                <c:pt idx="90">
                  <c:v>16644006573714.744</c:v>
                </c:pt>
                <c:pt idx="91">
                  <c:v>17352737737357.102</c:v>
                </c:pt>
                <c:pt idx="92">
                  <c:v>13881744201277.66</c:v>
                </c:pt>
                <c:pt idx="93">
                  <c:v>12678689272355.176</c:v>
                </c:pt>
                <c:pt idx="94">
                  <c:v>11038029655723.979</c:v>
                </c:pt>
                <c:pt idx="95">
                  <c:v>12013825248258.893</c:v>
                </c:pt>
                <c:pt idx="96">
                  <c:v>11900633169939.781</c:v>
                </c:pt>
                <c:pt idx="97">
                  <c:v>10387812015799.9</c:v>
                </c:pt>
                <c:pt idx="98">
                  <c:v>10571550365572.541</c:v>
                </c:pt>
                <c:pt idx="99">
                  <c:v>9935596974684.25</c:v>
                </c:pt>
                <c:pt idx="100">
                  <c:v>7520950601937.8154</c:v>
                </c:pt>
                <c:pt idx="101">
                  <c:v>6096463953347.5107</c:v>
                </c:pt>
                <c:pt idx="102">
                  <c:v>9850809655496.25</c:v>
                </c:pt>
                <c:pt idx="103">
                  <c:v>7619713454214.334</c:v>
                </c:pt>
                <c:pt idx="104">
                  <c:v>8014896807774.1533</c:v>
                </c:pt>
                <c:pt idx="105">
                  <c:v>7393947729350.4189</c:v>
                </c:pt>
                <c:pt idx="106">
                  <c:v>4574805701668.0166</c:v>
                </c:pt>
                <c:pt idx="107">
                  <c:v>4462161218964.7549</c:v>
                </c:pt>
                <c:pt idx="108">
                  <c:v>2380308219748.499</c:v>
                </c:pt>
                <c:pt idx="109">
                  <c:v>4786042744442.8574</c:v>
                </c:pt>
                <c:pt idx="110">
                  <c:v>8071338623400.7637</c:v>
                </c:pt>
                <c:pt idx="111">
                  <c:v>4645209251346.9893</c:v>
                </c:pt>
                <c:pt idx="112">
                  <c:v>6716880326317.8936</c:v>
                </c:pt>
                <c:pt idx="113">
                  <c:v>3856875738431.2085</c:v>
                </c:pt>
                <c:pt idx="114">
                  <c:v>934386149398.05164</c:v>
                </c:pt>
                <c:pt idx="115">
                  <c:v>3716160452613.4868</c:v>
                </c:pt>
              </c:numCache>
            </c:numRef>
          </c:xVal>
          <c:yVal>
            <c:numRef>
              <c:f>Calc!$S$15:$S$130</c:f>
              <c:numCache>
                <c:formatCode>0</c:formatCode>
                <c:ptCount val="116"/>
                <c:pt idx="0">
                  <c:v>110600.97652074756</c:v>
                </c:pt>
                <c:pt idx="1">
                  <c:v>110166.28180105846</c:v>
                </c:pt>
                <c:pt idx="2">
                  <c:v>109888.04404216731</c:v>
                </c:pt>
                <c:pt idx="3">
                  <c:v>109722.48690190945</c:v>
                </c:pt>
                <c:pt idx="4">
                  <c:v>109617.19592437365</c:v>
                </c:pt>
                <c:pt idx="5">
                  <c:v>109664.22858504683</c:v>
                </c:pt>
                <c:pt idx="6">
                  <c:v>109713.62029640362</c:v>
                </c:pt>
                <c:pt idx="7">
                  <c:v>110073.58235529724</c:v>
                </c:pt>
                <c:pt idx="8">
                  <c:v>110186.13641132432</c:v>
                </c:pt>
                <c:pt idx="9">
                  <c:v>110591.19835834847</c:v>
                </c:pt>
                <c:pt idx="10">
                  <c:v>110946.71094243108</c:v>
                </c:pt>
                <c:pt idx="11">
                  <c:v>111444.00094183652</c:v>
                </c:pt>
                <c:pt idx="12">
                  <c:v>111818.16070276769</c:v>
                </c:pt>
                <c:pt idx="13">
                  <c:v>112338.64750686706</c:v>
                </c:pt>
                <c:pt idx="14">
                  <c:v>112900.72919849264</c:v>
                </c:pt>
                <c:pt idx="15">
                  <c:v>113665.58841206964</c:v>
                </c:pt>
                <c:pt idx="16">
                  <c:v>114292.86981478437</c:v>
                </c:pt>
                <c:pt idx="17">
                  <c:v>115361.55029257658</c:v>
                </c:pt>
                <c:pt idx="18">
                  <c:v>116179.73126235367</c:v>
                </c:pt>
                <c:pt idx="19">
                  <c:v>116809.02479632068</c:v>
                </c:pt>
                <c:pt idx="20">
                  <c:v>117913.96213532241</c:v>
                </c:pt>
                <c:pt idx="21">
                  <c:v>119143.00663626932</c:v>
                </c:pt>
                <c:pt idx="22">
                  <c:v>120106.78466689576</c:v>
                </c:pt>
                <c:pt idx="23">
                  <c:v>121316.96561461143</c:v>
                </c:pt>
                <c:pt idx="24">
                  <c:v>122406.03880562466</c:v>
                </c:pt>
                <c:pt idx="25">
                  <c:v>123882.51009351827</c:v>
                </c:pt>
                <c:pt idx="26">
                  <c:v>125316.79485190779</c:v>
                </c:pt>
                <c:pt idx="27">
                  <c:v>126439.14190233947</c:v>
                </c:pt>
                <c:pt idx="28">
                  <c:v>127677.23567932242</c:v>
                </c:pt>
                <c:pt idx="29">
                  <c:v>129467.96786570881</c:v>
                </c:pt>
                <c:pt idx="30">
                  <c:v>130902.04274857492</c:v>
                </c:pt>
                <c:pt idx="31">
                  <c:v>132044.48900738862</c:v>
                </c:pt>
                <c:pt idx="32">
                  <c:v>134970.95518304923</c:v>
                </c:pt>
                <c:pt idx="33">
                  <c:v>136808.96237818964</c:v>
                </c:pt>
                <c:pt idx="34">
                  <c:v>137699.43134483494</c:v>
                </c:pt>
                <c:pt idx="35">
                  <c:v>139750.16555103939</c:v>
                </c:pt>
                <c:pt idx="36">
                  <c:v>141737.08003981315</c:v>
                </c:pt>
                <c:pt idx="37">
                  <c:v>143547.95513864106</c:v>
                </c:pt>
                <c:pt idx="38">
                  <c:v>145595.97676641948</c:v>
                </c:pt>
                <c:pt idx="39">
                  <c:v>147640.38745855616</c:v>
                </c:pt>
                <c:pt idx="40">
                  <c:v>150710.98545222706</c:v>
                </c:pt>
                <c:pt idx="41">
                  <c:v>152166.86727952224</c:v>
                </c:pt>
                <c:pt idx="42">
                  <c:v>153548.69438394543</c:v>
                </c:pt>
                <c:pt idx="43">
                  <c:v>155494.30350408313</c:v>
                </c:pt>
                <c:pt idx="44">
                  <c:v>158725.67077488828</c:v>
                </c:pt>
                <c:pt idx="45">
                  <c:v>160924.04276209063</c:v>
                </c:pt>
                <c:pt idx="46">
                  <c:v>163695.26631797489</c:v>
                </c:pt>
                <c:pt idx="47">
                  <c:v>166938.64369820521</c:v>
                </c:pt>
                <c:pt idx="48">
                  <c:v>167409.47186004859</c:v>
                </c:pt>
                <c:pt idx="49">
                  <c:v>169165.21770485508</c:v>
                </c:pt>
                <c:pt idx="50">
                  <c:v>172410.6817104005</c:v>
                </c:pt>
                <c:pt idx="51">
                  <c:v>174624.33079784442</c:v>
                </c:pt>
                <c:pt idx="52">
                  <c:v>178278.83090675267</c:v>
                </c:pt>
                <c:pt idx="53">
                  <c:v>179435.580142436</c:v>
                </c:pt>
                <c:pt idx="54">
                  <c:v>183332.37092044909</c:v>
                </c:pt>
                <c:pt idx="55">
                  <c:v>187530.22106209144</c:v>
                </c:pt>
                <c:pt idx="56">
                  <c:v>187498.5548712888</c:v>
                </c:pt>
                <c:pt idx="57">
                  <c:v>189896.36249870737</c:v>
                </c:pt>
                <c:pt idx="58">
                  <c:v>191440.96743200158</c:v>
                </c:pt>
                <c:pt idx="59">
                  <c:v>199885.58802954882</c:v>
                </c:pt>
                <c:pt idx="60">
                  <c:v>201595.45614981992</c:v>
                </c:pt>
                <c:pt idx="61">
                  <c:v>199208.32659068779</c:v>
                </c:pt>
                <c:pt idx="62">
                  <c:v>203001.09707791902</c:v>
                </c:pt>
                <c:pt idx="63">
                  <c:v>204755.56856305187</c:v>
                </c:pt>
                <c:pt idx="64">
                  <c:v>206295.26634426077</c:v>
                </c:pt>
                <c:pt idx="65">
                  <c:v>211258.81050380922</c:v>
                </c:pt>
                <c:pt idx="66">
                  <c:v>221297.02495303738</c:v>
                </c:pt>
                <c:pt idx="67">
                  <c:v>220361.29667121253</c:v>
                </c:pt>
                <c:pt idx="68">
                  <c:v>219852.35835921919</c:v>
                </c:pt>
                <c:pt idx="69">
                  <c:v>223535.82607948195</c:v>
                </c:pt>
                <c:pt idx="70">
                  <c:v>229483.67000492915</c:v>
                </c:pt>
                <c:pt idx="71">
                  <c:v>224870.98047093119</c:v>
                </c:pt>
                <c:pt idx="72">
                  <c:v>224104.44428498414</c:v>
                </c:pt>
                <c:pt idx="73">
                  <c:v>237221.95377649675</c:v>
                </c:pt>
                <c:pt idx="74">
                  <c:v>233766.73194338672</c:v>
                </c:pt>
                <c:pt idx="75">
                  <c:v>230598.48063235031</c:v>
                </c:pt>
                <c:pt idx="76">
                  <c:v>230133.37617564134</c:v>
                </c:pt>
                <c:pt idx="77">
                  <c:v>244391.95515974361</c:v>
                </c:pt>
                <c:pt idx="78">
                  <c:v>237102.11851582775</c:v>
                </c:pt>
                <c:pt idx="79">
                  <c:v>246341.09059137676</c:v>
                </c:pt>
                <c:pt idx="80">
                  <c:v>251383.76999894727</c:v>
                </c:pt>
                <c:pt idx="81">
                  <c:v>245910.88948937977</c:v>
                </c:pt>
                <c:pt idx="82">
                  <c:v>251147.82615043101</c:v>
                </c:pt>
                <c:pt idx="83">
                  <c:v>228994.26380394062</c:v>
                </c:pt>
                <c:pt idx="84">
                  <c:v>276612.07113476505</c:v>
                </c:pt>
                <c:pt idx="85">
                  <c:v>275627.33183918602</c:v>
                </c:pt>
                <c:pt idx="86">
                  <c:v>295535.7415016563</c:v>
                </c:pt>
                <c:pt idx="87">
                  <c:v>263279.25799479103</c:v>
                </c:pt>
                <c:pt idx="88">
                  <c:v>304425.57062859792</c:v>
                </c:pt>
                <c:pt idx="89">
                  <c:v>296547.44196153316</c:v>
                </c:pt>
                <c:pt idx="90">
                  <c:v>282391.61653553095</c:v>
                </c:pt>
                <c:pt idx="91">
                  <c:v>258219.98625733203</c:v>
                </c:pt>
                <c:pt idx="92">
                  <c:v>305517.59454326483</c:v>
                </c:pt>
                <c:pt idx="93">
                  <c:v>318725.08900044899</c:v>
                </c:pt>
                <c:pt idx="94">
                  <c:v>346371.82609588816</c:v>
                </c:pt>
                <c:pt idx="95">
                  <c:v>301633.15815213462</c:v>
                </c:pt>
                <c:pt idx="96">
                  <c:v>287429.59233380965</c:v>
                </c:pt>
                <c:pt idx="97">
                  <c:v>313914.10177383205</c:v>
                </c:pt>
                <c:pt idx="98">
                  <c:v>292940.85392134561</c:v>
                </c:pt>
                <c:pt idx="99">
                  <c:v>295220.65500704042</c:v>
                </c:pt>
                <c:pt idx="100">
                  <c:v>369127.76119705051</c:v>
                </c:pt>
                <c:pt idx="101">
                  <c:v>428912.62942712329</c:v>
                </c:pt>
                <c:pt idx="102">
                  <c:v>252792.11412641389</c:v>
                </c:pt>
                <c:pt idx="103">
                  <c:v>309291.23700499273</c:v>
                </c:pt>
                <c:pt idx="104">
                  <c:v>277644.77836221259</c:v>
                </c:pt>
                <c:pt idx="105">
                  <c:v>285426.42013878509</c:v>
                </c:pt>
                <c:pt idx="106">
                  <c:v>437026.68345211417</c:v>
                </c:pt>
                <c:pt idx="107">
                  <c:v>424094.49813268543</c:v>
                </c:pt>
                <c:pt idx="108">
                  <c:v>742435.61368269473</c:v>
                </c:pt>
                <c:pt idx="109">
                  <c:v>351802.65657167917</c:v>
                </c:pt>
                <c:pt idx="110">
                  <c:v>195256.16860924859</c:v>
                </c:pt>
                <c:pt idx="111">
                  <c:v>324292.84552759229</c:v>
                </c:pt>
                <c:pt idx="112">
                  <c:v>211507.94484528145</c:v>
                </c:pt>
                <c:pt idx="113">
                  <c:v>352663.17719788518</c:v>
                </c:pt>
                <c:pt idx="114">
                  <c:v>1360620.7905551454</c:v>
                </c:pt>
                <c:pt idx="115">
                  <c:v>321566.65781300096</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5136517295787239</c:v>
                </c:pt>
                <c:pt idx="1">
                  <c:v>4909560353549486</c:v>
                </c:pt>
                <c:pt idx="2">
                  <c:v>4669001849558041</c:v>
                </c:pt>
                <c:pt idx="3">
                  <c:v>4421635896884549</c:v>
                </c:pt>
                <c:pt idx="4">
                  <c:v>4176652239164759</c:v>
                </c:pt>
                <c:pt idx="5">
                  <c:v>3938569906425649.5</c:v>
                </c:pt>
                <c:pt idx="6">
                  <c:v>3710998509972983.5</c:v>
                </c:pt>
                <c:pt idx="7">
                  <c:v>3496909519520986</c:v>
                </c:pt>
                <c:pt idx="8">
                  <c:v>3292887666362797.5</c:v>
                </c:pt>
                <c:pt idx="9">
                  <c:v>3101391318795048</c:v>
                </c:pt>
                <c:pt idx="10">
                  <c:v>2914362280747193</c:v>
                </c:pt>
                <c:pt idx="11">
                  <c:v>2745608404093400.5</c:v>
                </c:pt>
                <c:pt idx="12">
                  <c:v>2579245728297773</c:v>
                </c:pt>
                <c:pt idx="13">
                  <c:v>2425206289963866</c:v>
                </c:pt>
                <c:pt idx="14">
                  <c:v>2277618747495413.5</c:v>
                </c:pt>
                <c:pt idx="15">
                  <c:v>2141508752184578.2</c:v>
                </c:pt>
                <c:pt idx="16">
                  <c:v>2011913213514131.3</c:v>
                </c:pt>
                <c:pt idx="17">
                  <c:v>1890506320955255.5</c:v>
                </c:pt>
                <c:pt idx="18">
                  <c:v>1774088120472812</c:v>
                </c:pt>
                <c:pt idx="19">
                  <c:v>1667413560865581</c:v>
                </c:pt>
                <c:pt idx="20">
                  <c:v>1561268006305190.7</c:v>
                </c:pt>
                <c:pt idx="21">
                  <c:v>1466168775928969.8</c:v>
                </c:pt>
                <c:pt idx="22">
                  <c:v>1379300832227081.2</c:v>
                </c:pt>
                <c:pt idx="23">
                  <c:v>1293158965979789.7</c:v>
                </c:pt>
                <c:pt idx="24">
                  <c:v>1211755079137380.5</c:v>
                </c:pt>
                <c:pt idx="25">
                  <c:v>1136395005684116.5</c:v>
                </c:pt>
                <c:pt idx="26">
                  <c:v>1064904616541912.4</c:v>
                </c:pt>
                <c:pt idx="27">
                  <c:v>999866240541793.5</c:v>
                </c:pt>
                <c:pt idx="28">
                  <c:v>936191837522815.87</c:v>
                </c:pt>
                <c:pt idx="29">
                  <c:v>877426244764711.75</c:v>
                </c:pt>
                <c:pt idx="30">
                  <c:v>824890574658911.12</c:v>
                </c:pt>
                <c:pt idx="31">
                  <c:v>774898165429531.25</c:v>
                </c:pt>
                <c:pt idx="32">
                  <c:v>725234586236742.87</c:v>
                </c:pt>
                <c:pt idx="33">
                  <c:v>680825335673179.75</c:v>
                </c:pt>
                <c:pt idx="34">
                  <c:v>641112180605925</c:v>
                </c:pt>
                <c:pt idx="35">
                  <c:v>595661946587995.87</c:v>
                </c:pt>
                <c:pt idx="36">
                  <c:v>557915277517240.19</c:v>
                </c:pt>
                <c:pt idx="37">
                  <c:v>526547172111212.12</c:v>
                </c:pt>
                <c:pt idx="38">
                  <c:v>493041792977399.44</c:v>
                </c:pt>
                <c:pt idx="39">
                  <c:v>462026119368176.62</c:v>
                </c:pt>
                <c:pt idx="40">
                  <c:v>433829643464896.94</c:v>
                </c:pt>
                <c:pt idx="41">
                  <c:v>406788351334993.5</c:v>
                </c:pt>
                <c:pt idx="42">
                  <c:v>381639097352997.81</c:v>
                </c:pt>
                <c:pt idx="43">
                  <c:v>355750301436222.44</c:v>
                </c:pt>
                <c:pt idx="44">
                  <c:v>335176883048881.5</c:v>
                </c:pt>
                <c:pt idx="45">
                  <c:v>316200749543348.5</c:v>
                </c:pt>
                <c:pt idx="46">
                  <c:v>297107141657940.62</c:v>
                </c:pt>
                <c:pt idx="47">
                  <c:v>277278115845822.03</c:v>
                </c:pt>
                <c:pt idx="48">
                  <c:v>260466323609453.09</c:v>
                </c:pt>
                <c:pt idx="49">
                  <c:v>243914129151085.81</c:v>
                </c:pt>
                <c:pt idx="50">
                  <c:v>227651270364176.5</c:v>
                </c:pt>
                <c:pt idx="51">
                  <c:v>216184085536803.12</c:v>
                </c:pt>
                <c:pt idx="52">
                  <c:v>203881745329685.59</c:v>
                </c:pt>
                <c:pt idx="53">
                  <c:v>190675314649954.25</c:v>
                </c:pt>
                <c:pt idx="54">
                  <c:v>179513208037814.31</c:v>
                </c:pt>
                <c:pt idx="55">
                  <c:v>167462420251761.12</c:v>
                </c:pt>
                <c:pt idx="56">
                  <c:v>158438758264840.47</c:v>
                </c:pt>
                <c:pt idx="57">
                  <c:v>147796785023002.94</c:v>
                </c:pt>
                <c:pt idx="58">
                  <c:v>137748694260660.3</c:v>
                </c:pt>
                <c:pt idx="59">
                  <c:v>130932004767992</c:v>
                </c:pt>
                <c:pt idx="60">
                  <c:v>123207633973800.05</c:v>
                </c:pt>
                <c:pt idx="61">
                  <c:v>116635075123572.48</c:v>
                </c:pt>
                <c:pt idx="62">
                  <c:v>106411919822766.7</c:v>
                </c:pt>
                <c:pt idx="63">
                  <c:v>100662792697314.45</c:v>
                </c:pt>
                <c:pt idx="64">
                  <c:v>97097747864390.266</c:v>
                </c:pt>
                <c:pt idx="65">
                  <c:v>90780173175973.406</c:v>
                </c:pt>
                <c:pt idx="66">
                  <c:v>85736522583347.094</c:v>
                </c:pt>
                <c:pt idx="67">
                  <c:v>81157578416633.703</c:v>
                </c:pt>
                <c:pt idx="68">
                  <c:v>75619039211329.937</c:v>
                </c:pt>
                <c:pt idx="69">
                  <c:v>68835646478881.273</c:v>
                </c:pt>
                <c:pt idx="70">
                  <c:v>65863384195330.937</c:v>
                </c:pt>
                <c:pt idx="71">
                  <c:v>62978942874832.312</c:v>
                </c:pt>
                <c:pt idx="72">
                  <c:v>59092407678519.133</c:v>
                </c:pt>
                <c:pt idx="73">
                  <c:v>54879441940064.508</c:v>
                </c:pt>
                <c:pt idx="74">
                  <c:v>53404351572723.078</c:v>
                </c:pt>
                <c:pt idx="75">
                  <c:v>50985018007305.523</c:v>
                </c:pt>
                <c:pt idx="76">
                  <c:v>45864279282712.633</c:v>
                </c:pt>
                <c:pt idx="77">
                  <c:v>44420716729771.094</c:v>
                </c:pt>
                <c:pt idx="78">
                  <c:v>42834720206595.516</c:v>
                </c:pt>
                <c:pt idx="79">
                  <c:v>40920911006855.859</c:v>
                </c:pt>
                <c:pt idx="80">
                  <c:v>36739373449218.555</c:v>
                </c:pt>
                <c:pt idx="81">
                  <c:v>36111873304960.227</c:v>
                </c:pt>
                <c:pt idx="82">
                  <c:v>33103906660121.973</c:v>
                </c:pt>
                <c:pt idx="83">
                  <c:v>30910091647007.52</c:v>
                </c:pt>
                <c:pt idx="84">
                  <c:v>30027202548986.285</c:v>
                </c:pt>
                <c:pt idx="85">
                  <c:v>28020296324098.75</c:v>
                </c:pt>
                <c:pt idx="86">
                  <c:v>29315441789346.539</c:v>
                </c:pt>
                <c:pt idx="87">
                  <c:v>23086600001695.137</c:v>
                </c:pt>
                <c:pt idx="88">
                  <c:v>22049662632956.566</c:v>
                </c:pt>
                <c:pt idx="89">
                  <c:v>19522813683744.777</c:v>
                </c:pt>
                <c:pt idx="90">
                  <c:v>20871139181704.516</c:v>
                </c:pt>
                <c:pt idx="91">
                  <c:v>17125907608606.83</c:v>
                </c:pt>
                <c:pt idx="92">
                  <c:v>16686532065524.437</c:v>
                </c:pt>
                <c:pt idx="93">
                  <c:v>16644006573714.744</c:v>
                </c:pt>
                <c:pt idx="94">
                  <c:v>17352737737357.102</c:v>
                </c:pt>
                <c:pt idx="95">
                  <c:v>13881744201277.66</c:v>
                </c:pt>
                <c:pt idx="96">
                  <c:v>12678689272355.176</c:v>
                </c:pt>
                <c:pt idx="97">
                  <c:v>11038029655723.979</c:v>
                </c:pt>
                <c:pt idx="98">
                  <c:v>12013825248258.893</c:v>
                </c:pt>
                <c:pt idx="99">
                  <c:v>11900633169939.781</c:v>
                </c:pt>
                <c:pt idx="100">
                  <c:v>10387812015799.9</c:v>
                </c:pt>
                <c:pt idx="101">
                  <c:v>10571550365572.541</c:v>
                </c:pt>
                <c:pt idx="102">
                  <c:v>9935596974684.25</c:v>
                </c:pt>
                <c:pt idx="103">
                  <c:v>7520950601937.8154</c:v>
                </c:pt>
                <c:pt idx="104">
                  <c:v>6096463953347.5107</c:v>
                </c:pt>
                <c:pt idx="105">
                  <c:v>9850809655496.25</c:v>
                </c:pt>
                <c:pt idx="106">
                  <c:v>7619713454214.334</c:v>
                </c:pt>
                <c:pt idx="107">
                  <c:v>8014896807774.1533</c:v>
                </c:pt>
                <c:pt idx="108">
                  <c:v>7393947729350.4189</c:v>
                </c:pt>
                <c:pt idx="109">
                  <c:v>4574805701668.0166</c:v>
                </c:pt>
                <c:pt idx="110">
                  <c:v>4462161218964.7549</c:v>
                </c:pt>
                <c:pt idx="111">
                  <c:v>2380308219748.499</c:v>
                </c:pt>
                <c:pt idx="112">
                  <c:v>4786042744442.8574</c:v>
                </c:pt>
                <c:pt idx="113">
                  <c:v>8071338623400.7637</c:v>
                </c:pt>
                <c:pt idx="114">
                  <c:v>4645209251346.9893</c:v>
                </c:pt>
                <c:pt idx="115">
                  <c:v>6716880326317.8936</c:v>
                </c:pt>
                <c:pt idx="116">
                  <c:v>3856875738431.2085</c:v>
                </c:pt>
                <c:pt idx="117">
                  <c:v>934386149398.05164</c:v>
                </c:pt>
                <c:pt idx="118">
                  <c:v>3716160452613.4868</c:v>
                </c:pt>
              </c:numCache>
            </c:numRef>
          </c:xVal>
          <c:yVal>
            <c:numRef>
              <c:f>Calc!$U$12:$U$130</c:f>
              <c:numCache>
                <c:formatCode>0</c:formatCode>
                <c:ptCount val="119"/>
                <c:pt idx="0">
                  <c:v>110510.51129443159</c:v>
                </c:pt>
                <c:pt idx="1">
                  <c:v>110424.51688900351</c:v>
                </c:pt>
                <c:pt idx="2">
                  <c:v>110333.36882665545</c:v>
                </c:pt>
                <c:pt idx="3">
                  <c:v>110239.64140940367</c:v>
                </c:pt>
                <c:pt idx="4">
                  <c:v>110146.81664811861</c:v>
                </c:pt>
                <c:pt idx="5">
                  <c:v>110056.60681164054</c:v>
                </c:pt>
                <c:pt idx="6">
                  <c:v>109970.3795883733</c:v>
                </c:pt>
                <c:pt idx="7">
                  <c:v>109889.26087369071</c:v>
                </c:pt>
                <c:pt idx="8">
                  <c:v>109811.95661595934</c:v>
                </c:pt>
                <c:pt idx="9">
                  <c:v>109739.39829547631</c:v>
                </c:pt>
                <c:pt idx="10">
                  <c:v>109668.5326468377</c:v>
                </c:pt>
                <c:pt idx="11">
                  <c:v>109604.59149067196</c:v>
                </c:pt>
                <c:pt idx="12">
                  <c:v>109541.55636493659</c:v>
                </c:pt>
                <c:pt idx="13">
                  <c:v>109483.19053668129</c:v>
                </c:pt>
                <c:pt idx="14">
                  <c:v>109427.2693437095</c:v>
                </c:pt>
                <c:pt idx="15">
                  <c:v>109375.69701459646</c:v>
                </c:pt>
                <c:pt idx="16">
                  <c:v>109326.59302516034</c:v>
                </c:pt>
                <c:pt idx="17">
                  <c:v>109280.59172889008</c:v>
                </c:pt>
                <c:pt idx="18">
                  <c:v>109236.48065727983</c:v>
                </c:pt>
                <c:pt idx="19">
                  <c:v>109196.0614692291</c:v>
                </c:pt>
                <c:pt idx="20">
                  <c:v>109155.84272216962</c:v>
                </c:pt>
                <c:pt idx="21">
                  <c:v>109119.80944778622</c:v>
                </c:pt>
                <c:pt idx="22">
                  <c:v>109086.89502315682</c:v>
                </c:pt>
                <c:pt idx="23">
                  <c:v>109054.25571061867</c:v>
                </c:pt>
                <c:pt idx="24">
                  <c:v>109023.4116272453</c:v>
                </c:pt>
                <c:pt idx="25">
                  <c:v>108994.85755594994</c:v>
                </c:pt>
                <c:pt idx="26">
                  <c:v>108967.76971520143</c:v>
                </c:pt>
                <c:pt idx="27">
                  <c:v>108943.12655417278</c:v>
                </c:pt>
                <c:pt idx="28">
                  <c:v>108919.00020503088</c:v>
                </c:pt>
                <c:pt idx="29">
                  <c:v>108896.73381318124</c:v>
                </c:pt>
                <c:pt idx="30">
                  <c:v>108876.82795055387</c:v>
                </c:pt>
                <c:pt idx="31">
                  <c:v>108857.88573417922</c:v>
                </c:pt>
                <c:pt idx="32">
                  <c:v>108839.06811211396</c:v>
                </c:pt>
                <c:pt idx="33">
                  <c:v>108822.24136489017</c:v>
                </c:pt>
                <c:pt idx="34">
                  <c:v>108807.19397694067</c:v>
                </c:pt>
                <c:pt idx="35">
                  <c:v>108789.97279915954</c:v>
                </c:pt>
                <c:pt idx="36">
                  <c:v>108775.67051639338</c:v>
                </c:pt>
                <c:pt idx="37">
                  <c:v>108763.78508320416</c:v>
                </c:pt>
                <c:pt idx="38">
                  <c:v>108751.08983304417</c:v>
                </c:pt>
                <c:pt idx="39">
                  <c:v>108739.33793691498</c:v>
                </c:pt>
                <c:pt idx="40">
                  <c:v>108728.65424001387</c:v>
                </c:pt>
                <c:pt idx="41">
                  <c:v>108718.40824438233</c:v>
                </c:pt>
                <c:pt idx="42">
                  <c:v>108708.87914550648</c:v>
                </c:pt>
                <c:pt idx="43">
                  <c:v>108699.06983282293</c:v>
                </c:pt>
                <c:pt idx="44">
                  <c:v>108691.27452652212</c:v>
                </c:pt>
                <c:pt idx="45">
                  <c:v>108684.08443441898</c:v>
                </c:pt>
                <c:pt idx="46">
                  <c:v>108676.84983105594</c:v>
                </c:pt>
                <c:pt idx="47">
                  <c:v>108669.33657647946</c:v>
                </c:pt>
                <c:pt idx="48">
                  <c:v>108662.96655728863</c:v>
                </c:pt>
                <c:pt idx="49">
                  <c:v>108656.6949001763</c:v>
                </c:pt>
                <c:pt idx="50">
                  <c:v>108650.53287288533</c:v>
                </c:pt>
                <c:pt idx="51">
                  <c:v>108646.18793533269</c:v>
                </c:pt>
                <c:pt idx="52">
                  <c:v>108641.52655586108</c:v>
                </c:pt>
                <c:pt idx="53">
                  <c:v>108636.52261483627</c:v>
                </c:pt>
                <c:pt idx="54">
                  <c:v>108632.29327198396</c:v>
                </c:pt>
                <c:pt idx="55">
                  <c:v>108627.72720619022</c:v>
                </c:pt>
                <c:pt idx="56">
                  <c:v>108624.30812396389</c:v>
                </c:pt>
                <c:pt idx="57">
                  <c:v>108620.27586060816</c:v>
                </c:pt>
                <c:pt idx="58">
                  <c:v>108616.46862042297</c:v>
                </c:pt>
                <c:pt idx="59">
                  <c:v>108613.885764159</c:v>
                </c:pt>
                <c:pt idx="60">
                  <c:v>108610.95898577011</c:v>
                </c:pt>
                <c:pt idx="61">
                  <c:v>108608.46863105835</c:v>
                </c:pt>
                <c:pt idx="62">
                  <c:v>108604.59505859556</c:v>
                </c:pt>
                <c:pt idx="63">
                  <c:v>108602.4167036882</c:v>
                </c:pt>
                <c:pt idx="64">
                  <c:v>108601.0659016034</c:v>
                </c:pt>
                <c:pt idx="65">
                  <c:v>108598.67216086245</c:v>
                </c:pt>
                <c:pt idx="66">
                  <c:v>108596.76111231896</c:v>
                </c:pt>
                <c:pt idx="67">
                  <c:v>108595.02614190023</c:v>
                </c:pt>
                <c:pt idx="68">
                  <c:v>108592.92757914554</c:v>
                </c:pt>
                <c:pt idx="69">
                  <c:v>108590.35733908563</c:v>
                </c:pt>
                <c:pt idx="70">
                  <c:v>108589.23114340584</c:v>
                </c:pt>
                <c:pt idx="71">
                  <c:v>108588.13822325144</c:v>
                </c:pt>
                <c:pt idx="72">
                  <c:v>108586.66560787302</c:v>
                </c:pt>
                <c:pt idx="73">
                  <c:v>108585.06930735806</c:v>
                </c:pt>
                <c:pt idx="74">
                  <c:v>108584.51039288801</c:v>
                </c:pt>
                <c:pt idx="75">
                  <c:v>108583.59370292278</c:v>
                </c:pt>
                <c:pt idx="76">
                  <c:v>108581.65344554342</c:v>
                </c:pt>
                <c:pt idx="77">
                  <c:v>108581.1064770206</c:v>
                </c:pt>
                <c:pt idx="78">
                  <c:v>108580.50554000288</c:v>
                </c:pt>
                <c:pt idx="79">
                  <c:v>108579.78039415533</c:v>
                </c:pt>
                <c:pt idx="80">
                  <c:v>108578.19600183624</c:v>
                </c:pt>
                <c:pt idx="81">
                  <c:v>108577.95824087031</c:v>
                </c:pt>
                <c:pt idx="82">
                  <c:v>108576.81851674194</c:v>
                </c:pt>
                <c:pt idx="83">
                  <c:v>108575.98727617353</c:v>
                </c:pt>
                <c:pt idx="84">
                  <c:v>108575.65274786038</c:v>
                </c:pt>
                <c:pt idx="85">
                  <c:v>108574.89232737772</c:v>
                </c:pt>
                <c:pt idx="86">
                  <c:v>108575.38306039135</c:v>
                </c:pt>
                <c:pt idx="87">
                  <c:v>108573.0229407107</c:v>
                </c:pt>
                <c:pt idx="88">
                  <c:v>108572.6300432227</c:v>
                </c:pt>
                <c:pt idx="89">
                  <c:v>108571.67261547956</c:v>
                </c:pt>
                <c:pt idx="90">
                  <c:v>108572.183498506</c:v>
                </c:pt>
                <c:pt idx="91">
                  <c:v>108570.7644233319</c:v>
                </c:pt>
                <c:pt idx="92">
                  <c:v>108570.5979431255</c:v>
                </c:pt>
                <c:pt idx="93">
                  <c:v>108570.58183013796</c:v>
                </c:pt>
                <c:pt idx="94">
                  <c:v>108570.85036968747</c:v>
                </c:pt>
                <c:pt idx="95">
                  <c:v>108569.53520381311</c:v>
                </c:pt>
                <c:pt idx="96">
                  <c:v>108569.07936407412</c:v>
                </c:pt>
                <c:pt idx="97">
                  <c:v>108568.45771510912</c:v>
                </c:pt>
                <c:pt idx="98">
                  <c:v>108568.82744586497</c:v>
                </c:pt>
                <c:pt idx="99">
                  <c:v>108568.78455717702</c:v>
                </c:pt>
                <c:pt idx="100">
                  <c:v>108568.21134644204</c:v>
                </c:pt>
                <c:pt idx="101">
                  <c:v>108568.2809652428</c:v>
                </c:pt>
                <c:pt idx="102">
                  <c:v>108568.04000132608</c:v>
                </c:pt>
                <c:pt idx="103">
                  <c:v>108567.12508734681</c:v>
                </c:pt>
                <c:pt idx="104">
                  <c:v>108566.58534671945</c:v>
                </c:pt>
                <c:pt idx="105">
                  <c:v>108568.00787525393</c:v>
                </c:pt>
                <c:pt idx="106">
                  <c:v>108567.16250877432</c:v>
                </c:pt>
                <c:pt idx="107">
                  <c:v>108567.31224447832</c:v>
                </c:pt>
                <c:pt idx="108">
                  <c:v>108567.07696572336</c:v>
                </c:pt>
                <c:pt idx="109">
                  <c:v>108566.00878759187</c:v>
                </c:pt>
                <c:pt idx="110">
                  <c:v>108565.96610638891</c:v>
                </c:pt>
                <c:pt idx="111">
                  <c:v>108565.17728843476</c:v>
                </c:pt>
                <c:pt idx="112">
                  <c:v>108566.0888256983</c:v>
                </c:pt>
                <c:pt idx="113">
                  <c:v>108567.33363038671</c:v>
                </c:pt>
                <c:pt idx="114">
                  <c:v>108566.03546362714</c:v>
                </c:pt>
                <c:pt idx="115">
                  <c:v>108566.82042363135</c:v>
                </c:pt>
                <c:pt idx="116">
                  <c:v>108565.73676260017</c:v>
                </c:pt>
                <c:pt idx="117">
                  <c:v>108564.62942588642</c:v>
                </c:pt>
                <c:pt idx="118">
                  <c:v>108565.68344531796</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4000000000000000</c:v>
                </c:pt>
              </c:numCache>
            </c:numRef>
          </c:xVal>
          <c:yVal>
            <c:numRef>
              <c:f>Calc!$X$6</c:f>
              <c:numCache>
                <c:formatCode>0.00E+00</c:formatCode>
                <c:ptCount val="1"/>
                <c:pt idx="0">
                  <c:v>110079.88278778047</c:v>
                </c:pt>
              </c:numCache>
            </c:numRef>
          </c:yVal>
          <c:smooth val="0"/>
        </c:ser>
        <c:dLbls>
          <c:showLegendKey val="0"/>
          <c:showVal val="0"/>
          <c:showCatName val="0"/>
          <c:showSerName val="0"/>
          <c:showPercent val="0"/>
          <c:showBubbleSize val="0"/>
        </c:dLbls>
        <c:axId val="318919832"/>
        <c:axId val="318920224"/>
      </c:scatterChart>
      <c:valAx>
        <c:axId val="318919832"/>
        <c:scaling>
          <c:orientation val="minMax"/>
          <c:min val="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318920224"/>
        <c:crosses val="autoZero"/>
        <c:crossBetween val="midCat"/>
      </c:valAx>
      <c:valAx>
        <c:axId val="318920224"/>
        <c:scaling>
          <c:orientation val="minMax"/>
          <c:max val="506632.90718932822"/>
          <c:min val="0"/>
        </c:scaling>
        <c:delete val="0"/>
        <c:axPos val="l"/>
        <c:majorGridlines/>
        <c:title>
          <c:tx>
            <c:rich>
              <a:bodyPr rot="-5400000" vert="horz"/>
              <a:lstStyle/>
              <a:p>
                <a:pPr>
                  <a:defRPr sz="1200"/>
                </a:pPr>
                <a:r>
                  <a:rPr lang="en-US" sz="1200"/>
                  <a:t>Inverse Lifetime - Correction Term (s-1)</a:t>
                </a:r>
              </a:p>
            </c:rich>
          </c:tx>
          <c:layout/>
          <c:overlay val="0"/>
        </c:title>
        <c:numFmt formatCode="0" sourceLinked="0"/>
        <c:majorTickMark val="out"/>
        <c:minorTickMark val="none"/>
        <c:tickLblPos val="nextTo"/>
        <c:spPr>
          <a:ln>
            <a:solidFill>
              <a:schemeClr val="tx1"/>
            </a:solidFill>
          </a:ln>
        </c:spPr>
        <c:txPr>
          <a:bodyPr/>
          <a:lstStyle/>
          <a:p>
            <a:pPr>
              <a:defRPr b="1"/>
            </a:pPr>
            <a:endParaRPr lang="en-US"/>
          </a:p>
        </c:txPr>
        <c:crossAx val="318919832"/>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Implied Voc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numRef>
              <c:f>Calc!$X$15:$X$130</c:f>
              <c:numCache>
                <c:formatCode>0.0000</c:formatCode>
                <c:ptCount val="116"/>
                <c:pt idx="0">
                  <c:v>0.7056326942171931</c:v>
                </c:pt>
                <c:pt idx="1">
                  <c:v>0.70372151805906502</c:v>
                </c:pt>
                <c:pt idx="2">
                  <c:v>0.70177186980018813</c:v>
                </c:pt>
                <c:pt idx="3">
                  <c:v>0.69981332583947264</c:v>
                </c:pt>
                <c:pt idx="4">
                  <c:v>0.69787601550702405</c:v>
                </c:pt>
                <c:pt idx="5">
                  <c:v>0.69593400186650423</c:v>
                </c:pt>
                <c:pt idx="6">
                  <c:v>0.69401587141060739</c:v>
                </c:pt>
                <c:pt idx="7">
                  <c:v>0.69204238549838704</c:v>
                </c:pt>
                <c:pt idx="8">
                  <c:v>0.69016636763091321</c:v>
                </c:pt>
                <c:pt idx="9">
                  <c:v>0.68821725352731411</c:v>
                </c:pt>
                <c:pt idx="10">
                  <c:v>0.68631319853416084</c:v>
                </c:pt>
                <c:pt idx="11">
                  <c:v>0.68438782461373959</c:v>
                </c:pt>
                <c:pt idx="12">
                  <c:v>0.68251329884540324</c:v>
                </c:pt>
                <c:pt idx="13">
                  <c:v>0.68062894665337625</c:v>
                </c:pt>
                <c:pt idx="14">
                  <c:v>0.67876422025897909</c:v>
                </c:pt>
                <c:pt idx="15">
                  <c:v>0.67687397929719839</c:v>
                </c:pt>
                <c:pt idx="16">
                  <c:v>0.67504269481538026</c:v>
                </c:pt>
                <c:pt idx="17">
                  <c:v>0.6731137219802017</c:v>
                </c:pt>
                <c:pt idx="18">
                  <c:v>0.67128299971700456</c:v>
                </c:pt>
                <c:pt idx="19">
                  <c:v>0.66951485007402856</c:v>
                </c:pt>
                <c:pt idx="20">
                  <c:v>0.66765915679524968</c:v>
                </c:pt>
                <c:pt idx="21">
                  <c:v>0.66579937644523057</c:v>
                </c:pt>
                <c:pt idx="22">
                  <c:v>0.66397320276715488</c:v>
                </c:pt>
                <c:pt idx="23">
                  <c:v>0.66213526719892324</c:v>
                </c:pt>
                <c:pt idx="24">
                  <c:v>0.66036185785750923</c:v>
                </c:pt>
                <c:pt idx="25">
                  <c:v>0.65851931058019519</c:v>
                </c:pt>
                <c:pt idx="26">
                  <c:v>0.65671269814781497</c:v>
                </c:pt>
                <c:pt idx="27">
                  <c:v>0.65499965640518598</c:v>
                </c:pt>
                <c:pt idx="28">
                  <c:v>0.65327221239338462</c:v>
                </c:pt>
                <c:pt idx="29">
                  <c:v>0.65144949812400288</c:v>
                </c:pt>
                <c:pt idx="30">
                  <c:v>0.64971738974795257</c:v>
                </c:pt>
                <c:pt idx="31">
                  <c:v>0.64807572376876388</c:v>
                </c:pt>
                <c:pt idx="32">
                  <c:v>0.64607447992169464</c:v>
                </c:pt>
                <c:pt idx="33">
                  <c:v>0.64429907301656308</c:v>
                </c:pt>
                <c:pt idx="34">
                  <c:v>0.6427344632174774</c:v>
                </c:pt>
                <c:pt idx="35">
                  <c:v>0.64096181705797217</c:v>
                </c:pt>
                <c:pt idx="36">
                  <c:v>0.6392150361346316</c:v>
                </c:pt>
                <c:pt idx="37">
                  <c:v>0.63752656558951126</c:v>
                </c:pt>
                <c:pt idx="38">
                  <c:v>0.63580511743664225</c:v>
                </c:pt>
                <c:pt idx="39">
                  <c:v>0.6341021746772697</c:v>
                </c:pt>
                <c:pt idx="40">
                  <c:v>0.63223204889904228</c:v>
                </c:pt>
                <c:pt idx="41">
                  <c:v>0.63064950835367295</c:v>
                </c:pt>
                <c:pt idx="42">
                  <c:v>0.62910405328625418</c:v>
                </c:pt>
                <c:pt idx="43">
                  <c:v>0.62745536170284488</c:v>
                </c:pt>
                <c:pt idx="44">
                  <c:v>0.62563033446580141</c:v>
                </c:pt>
                <c:pt idx="45">
                  <c:v>0.6239805345865217</c:v>
                </c:pt>
                <c:pt idx="46">
                  <c:v>0.6222514346628254</c:v>
                </c:pt>
                <c:pt idx="47">
                  <c:v>0.62043710107043226</c:v>
                </c:pt>
                <c:pt idx="48">
                  <c:v>0.61907988516623602</c:v>
                </c:pt>
                <c:pt idx="49">
                  <c:v>0.61754308557581894</c:v>
                </c:pt>
                <c:pt idx="50">
                  <c:v>0.61578868967127665</c:v>
                </c:pt>
                <c:pt idx="51">
                  <c:v>0.6142102249281064</c:v>
                </c:pt>
                <c:pt idx="52">
                  <c:v>0.61239394564408889</c:v>
                </c:pt>
                <c:pt idx="53">
                  <c:v>0.6109476532969097</c:v>
                </c:pt>
                <c:pt idx="54">
                  <c:v>0.60913392271353917</c:v>
                </c:pt>
                <c:pt idx="55">
                  <c:v>0.60729915956426939</c:v>
                </c:pt>
                <c:pt idx="56">
                  <c:v>0.60597766588983881</c:v>
                </c:pt>
                <c:pt idx="57">
                  <c:v>0.60439551191940322</c:v>
                </c:pt>
                <c:pt idx="58">
                  <c:v>0.6029701151704977</c:v>
                </c:pt>
                <c:pt idx="59">
                  <c:v>0.60058697219233526</c:v>
                </c:pt>
                <c:pt idx="60">
                  <c:v>0.59914517962437108</c:v>
                </c:pt>
                <c:pt idx="61">
                  <c:v>0.5982095822696718</c:v>
                </c:pt>
                <c:pt idx="62">
                  <c:v>0.59646480119379852</c:v>
                </c:pt>
                <c:pt idx="63">
                  <c:v>0.59498318660739458</c:v>
                </c:pt>
                <c:pt idx="64">
                  <c:v>0.5935612400071052</c:v>
                </c:pt>
                <c:pt idx="65">
                  <c:v>0.59173092823906892</c:v>
                </c:pt>
                <c:pt idx="66">
                  <c:v>0.58929874054823572</c:v>
                </c:pt>
                <c:pt idx="67">
                  <c:v>0.58815705814296182</c:v>
                </c:pt>
                <c:pt idx="68">
                  <c:v>0.58699907965074549</c:v>
                </c:pt>
                <c:pt idx="69">
                  <c:v>0.58535253845949786</c:v>
                </c:pt>
                <c:pt idx="70">
                  <c:v>0.58344141637873481</c:v>
                </c:pt>
                <c:pt idx="71">
                  <c:v>0.58273760043962886</c:v>
                </c:pt>
                <c:pt idx="72">
                  <c:v>0.5815402837781577</c:v>
                </c:pt>
                <c:pt idx="73">
                  <c:v>0.57880774226814835</c:v>
                </c:pt>
                <c:pt idx="74">
                  <c:v>0.57798238746280539</c:v>
                </c:pt>
                <c:pt idx="75">
                  <c:v>0.57704423191661947</c:v>
                </c:pt>
                <c:pt idx="76">
                  <c:v>0.57586499588396178</c:v>
                </c:pt>
                <c:pt idx="77">
                  <c:v>0.57308488041734906</c:v>
                </c:pt>
                <c:pt idx="78">
                  <c:v>0.57264066944372372</c:v>
                </c:pt>
                <c:pt idx="79">
                  <c:v>0.57039853060914825</c:v>
                </c:pt>
                <c:pt idx="80">
                  <c:v>0.56863126312847234</c:v>
                </c:pt>
                <c:pt idx="81">
                  <c:v>0.56788448199594033</c:v>
                </c:pt>
                <c:pt idx="82">
                  <c:v>0.56610213320765124</c:v>
                </c:pt>
                <c:pt idx="83">
                  <c:v>0.56726633338185262</c:v>
                </c:pt>
                <c:pt idx="84">
                  <c:v>0.56111365869414431</c:v>
                </c:pt>
                <c:pt idx="85">
                  <c:v>0.55993035716537487</c:v>
                </c:pt>
                <c:pt idx="86">
                  <c:v>0.55679691542054988</c:v>
                </c:pt>
                <c:pt idx="87">
                  <c:v>0.55851611832049886</c:v>
                </c:pt>
                <c:pt idx="88">
                  <c:v>0.55342546724637076</c:v>
                </c:pt>
                <c:pt idx="89">
                  <c:v>0.55275662105887435</c:v>
                </c:pt>
                <c:pt idx="90">
                  <c:v>0.55269095528160328</c:v>
                </c:pt>
                <c:pt idx="91">
                  <c:v>0.5537640883231375</c:v>
                </c:pt>
                <c:pt idx="92">
                  <c:v>0.54802160725170579</c:v>
                </c:pt>
                <c:pt idx="93">
                  <c:v>0.54568960234032737</c:v>
                </c:pt>
                <c:pt idx="94">
                  <c:v>0.54212528231258073</c:v>
                </c:pt>
                <c:pt idx="95">
                  <c:v>0.54430408049338064</c:v>
                </c:pt>
                <c:pt idx="96">
                  <c:v>0.54406058970862448</c:v>
                </c:pt>
                <c:pt idx="97">
                  <c:v>0.54056385108752603</c:v>
                </c:pt>
                <c:pt idx="98">
                  <c:v>0.54101476259008474</c:v>
                </c:pt>
                <c:pt idx="99">
                  <c:v>0.53941922286744337</c:v>
                </c:pt>
                <c:pt idx="100">
                  <c:v>0.5322599860955266</c:v>
                </c:pt>
                <c:pt idx="101">
                  <c:v>0.52686176987898592</c:v>
                </c:pt>
                <c:pt idx="102">
                  <c:v>0.53919882918697892</c:v>
                </c:pt>
                <c:pt idx="103">
                  <c:v>0.53259540269142369</c:v>
                </c:pt>
                <c:pt idx="104">
                  <c:v>0.53389540657383139</c:v>
                </c:pt>
                <c:pt idx="105">
                  <c:v>0.53182213299560332</c:v>
                </c:pt>
                <c:pt idx="106">
                  <c:v>0.51948103002525647</c:v>
                </c:pt>
                <c:pt idx="107">
                  <c:v>0.51884025701140835</c:v>
                </c:pt>
                <c:pt idx="108">
                  <c:v>0.50269111410050782</c:v>
                </c:pt>
                <c:pt idx="109">
                  <c:v>0.52064122301770277</c:v>
                </c:pt>
                <c:pt idx="110">
                  <c:v>0.53407583250695367</c:v>
                </c:pt>
                <c:pt idx="111">
                  <c:v>0.51987355737456875</c:v>
                </c:pt>
                <c:pt idx="112">
                  <c:v>0.52935314102259512</c:v>
                </c:pt>
                <c:pt idx="113">
                  <c:v>0.51509368921675669</c:v>
                </c:pt>
                <c:pt idx="114">
                  <c:v>0.47866471604779798</c:v>
                </c:pt>
                <c:pt idx="115">
                  <c:v>0.51413851351310502</c:v>
                </c:pt>
              </c:numCache>
            </c:numRef>
          </c:xVal>
          <c:yVal>
            <c:numRef>
              <c:f>Calc!$Y$15:$Y$130</c:f>
              <c:numCache>
                <c:formatCode>0.00</c:formatCode>
                <c:ptCount val="116"/>
                <c:pt idx="0">
                  <c:v>53.030135708741525</c:v>
                </c:pt>
                <c:pt idx="1">
                  <c:v>49.893564232689343</c:v>
                </c:pt>
                <c:pt idx="2">
                  <c:v>46.929306838871376</c:v>
                </c:pt>
                <c:pt idx="3">
                  <c:v>44.149956358530744</c:v>
                </c:pt>
                <c:pt idx="4">
                  <c:v>41.562042286507548</c:v>
                </c:pt>
                <c:pt idx="5">
                  <c:v>39.153136639665384</c:v>
                </c:pt>
                <c:pt idx="6">
                  <c:v>36.892126794879665</c:v>
                </c:pt>
                <c:pt idx="7">
                  <c:v>34.780485762250883</c:v>
                </c:pt>
                <c:pt idx="8">
                  <c:v>32.799577561312766</c:v>
                </c:pt>
                <c:pt idx="9">
                  <c:v>30.925022826132675</c:v>
                </c:pt>
                <c:pt idx="10">
                  <c:v>29.171228226853874</c:v>
                </c:pt>
                <c:pt idx="11">
                  <c:v>27.518493909948436</c:v>
                </c:pt>
                <c:pt idx="12">
                  <c:v>25.960625068188449</c:v>
                </c:pt>
                <c:pt idx="13">
                  <c:v>24.502917052692304</c:v>
                </c:pt>
                <c:pt idx="14">
                  <c:v>23.139346114720588</c:v>
                </c:pt>
                <c:pt idx="15">
                  <c:v>21.861378045877537</c:v>
                </c:pt>
                <c:pt idx="16">
                  <c:v>20.660145892183209</c:v>
                </c:pt>
                <c:pt idx="17">
                  <c:v>19.525724480715507</c:v>
                </c:pt>
                <c:pt idx="18">
                  <c:v>18.4663495962069</c:v>
                </c:pt>
                <c:pt idx="19">
                  <c:v>17.466284031329902</c:v>
                </c:pt>
                <c:pt idx="20">
                  <c:v>16.530300644784763</c:v>
                </c:pt>
                <c:pt idx="21">
                  <c:v>15.651128940955843</c:v>
                </c:pt>
                <c:pt idx="22">
                  <c:v>14.796465599895237</c:v>
                </c:pt>
                <c:pt idx="23">
                  <c:v>14.005298453118062</c:v>
                </c:pt>
                <c:pt idx="24">
                  <c:v>13.267955837301024</c:v>
                </c:pt>
                <c:pt idx="25">
                  <c:v>12.572838220602916</c:v>
                </c:pt>
                <c:pt idx="26">
                  <c:v>11.920039878558047</c:v>
                </c:pt>
                <c:pt idx="27">
                  <c:v>11.306681042183339</c:v>
                </c:pt>
                <c:pt idx="28">
                  <c:v>10.725433998998925</c:v>
                </c:pt>
                <c:pt idx="29">
                  <c:v>10.178813277644618</c:v>
                </c:pt>
                <c:pt idx="30">
                  <c:v>9.6613555662019159</c:v>
                </c:pt>
                <c:pt idx="31">
                  <c:v>9.1771944280551079</c:v>
                </c:pt>
                <c:pt idx="32">
                  <c:v>8.7155631340434301</c:v>
                </c:pt>
                <c:pt idx="33">
                  <c:v>8.2744249928029561</c:v>
                </c:pt>
                <c:pt idx="34">
                  <c:v>7.8600310780553908</c:v>
                </c:pt>
                <c:pt idx="35">
                  <c:v>7.469485685933936</c:v>
                </c:pt>
                <c:pt idx="36">
                  <c:v>7.0991193144817828</c:v>
                </c:pt>
                <c:pt idx="37">
                  <c:v>6.7510381105674009</c:v>
                </c:pt>
                <c:pt idx="38">
                  <c:v>6.4205477772583999</c:v>
                </c:pt>
                <c:pt idx="39">
                  <c:v>6.1081842336824961</c:v>
                </c:pt>
                <c:pt idx="40">
                  <c:v>5.8122484710879947</c:v>
                </c:pt>
                <c:pt idx="41">
                  <c:v>5.5290188445591957</c:v>
                </c:pt>
                <c:pt idx="42">
                  <c:v>5.2633575410759619</c:v>
                </c:pt>
                <c:pt idx="43">
                  <c:v>5.0081965425816328</c:v>
                </c:pt>
                <c:pt idx="44">
                  <c:v>4.7710777592980333</c:v>
                </c:pt>
                <c:pt idx="45">
                  <c:v>4.5438731497576272</c:v>
                </c:pt>
                <c:pt idx="46">
                  <c:v>4.3283933523217542</c:v>
                </c:pt>
                <c:pt idx="47">
                  <c:v>4.1198420206449802</c:v>
                </c:pt>
                <c:pt idx="48">
                  <c:v>3.9233524825074437</c:v>
                </c:pt>
                <c:pt idx="49">
                  <c:v>3.7388924440207449</c:v>
                </c:pt>
                <c:pt idx="50">
                  <c:v>3.5637905593123165</c:v>
                </c:pt>
                <c:pt idx="51">
                  <c:v>3.3982449190426953</c:v>
                </c:pt>
                <c:pt idx="52">
                  <c:v>3.2364629122427169</c:v>
                </c:pt>
                <c:pt idx="53">
                  <c:v>3.0819349954221611</c:v>
                </c:pt>
                <c:pt idx="54">
                  <c:v>2.9373629194166635</c:v>
                </c:pt>
                <c:pt idx="55">
                  <c:v>2.8003493215549362</c:v>
                </c:pt>
                <c:pt idx="56">
                  <c:v>2.66132055661501</c:v>
                </c:pt>
                <c:pt idx="57">
                  <c:v>2.5363413456568336</c:v>
                </c:pt>
                <c:pt idx="58">
                  <c:v>2.4205691010969379</c:v>
                </c:pt>
                <c:pt idx="59">
                  <c:v>2.3058188316607886</c:v>
                </c:pt>
                <c:pt idx="60">
                  <c:v>2.1999009663323879</c:v>
                </c:pt>
                <c:pt idx="61">
                  <c:v>2.0968630093511385</c:v>
                </c:pt>
                <c:pt idx="62">
                  <c:v>1.9977576452409611</c:v>
                </c:pt>
                <c:pt idx="63">
                  <c:v>1.903071005993866</c:v>
                </c:pt>
                <c:pt idx="64">
                  <c:v>1.8149795917815816</c:v>
                </c:pt>
                <c:pt idx="65">
                  <c:v>1.7318065782060927</c:v>
                </c:pt>
                <c:pt idx="66">
                  <c:v>1.6513623038793699</c:v>
                </c:pt>
                <c:pt idx="67">
                  <c:v>1.5733768488086626</c:v>
                </c:pt>
                <c:pt idx="68">
                  <c:v>1.5009972219695864</c:v>
                </c:pt>
                <c:pt idx="69">
                  <c:v>1.4319643773233872</c:v>
                </c:pt>
                <c:pt idx="70">
                  <c:v>1.365258417414714</c:v>
                </c:pt>
                <c:pt idx="71">
                  <c:v>1.3018574992437528</c:v>
                </c:pt>
                <c:pt idx="72">
                  <c:v>1.2386438048926571</c:v>
                </c:pt>
                <c:pt idx="73">
                  <c:v>1.1794589721498556</c:v>
                </c:pt>
                <c:pt idx="74">
                  <c:v>1.125697375045853</c:v>
                </c:pt>
                <c:pt idx="75">
                  <c:v>1.0707935879453789</c:v>
                </c:pt>
                <c:pt idx="76">
                  <c:v>1.0208884443795259</c:v>
                </c:pt>
                <c:pt idx="77">
                  <c:v>0.97335672903952875</c:v>
                </c:pt>
                <c:pt idx="78">
                  <c:v>0.92819417083659328</c:v>
                </c:pt>
                <c:pt idx="79">
                  <c:v>0.88403506596513515</c:v>
                </c:pt>
                <c:pt idx="80">
                  <c:v>0.84234676195863012</c:v>
                </c:pt>
                <c:pt idx="81">
                  <c:v>0.80047176391291919</c:v>
                </c:pt>
                <c:pt idx="82">
                  <c:v>0.76287877087300449</c:v>
                </c:pt>
                <c:pt idx="83">
                  <c:v>0.72773695624336787</c:v>
                </c:pt>
                <c:pt idx="84">
                  <c:v>0.69228430946341457</c:v>
                </c:pt>
                <c:pt idx="85">
                  <c:v>0.65883643951325532</c:v>
                </c:pt>
                <c:pt idx="86">
                  <c:v>0.62546901749208095</c:v>
                </c:pt>
                <c:pt idx="87">
                  <c:v>0.59568433713447855</c:v>
                </c:pt>
                <c:pt idx="88">
                  <c:v>0.56518171956559671</c:v>
                </c:pt>
                <c:pt idx="89">
                  <c:v>0.53643073181540857</c:v>
                </c:pt>
                <c:pt idx="90">
                  <c:v>0.50952213901843124</c:v>
                </c:pt>
                <c:pt idx="91">
                  <c:v>0.48574824235061609</c:v>
                </c:pt>
                <c:pt idx="92">
                  <c:v>0.45976260421417814</c:v>
                </c:pt>
                <c:pt idx="93">
                  <c:v>0.43807048138678989</c:v>
                </c:pt>
                <c:pt idx="94">
                  <c:v>0.41446465104714986</c:v>
                </c:pt>
                <c:pt idx="95">
                  <c:v>0.39283825415452372</c:v>
                </c:pt>
                <c:pt idx="96">
                  <c:v>0.37081298014126907</c:v>
                </c:pt>
                <c:pt idx="97">
                  <c:v>0.35349908005312319</c:v>
                </c:pt>
                <c:pt idx="98">
                  <c:v>0.33571597447934792</c:v>
                </c:pt>
                <c:pt idx="99">
                  <c:v>0.31797581307329637</c:v>
                </c:pt>
                <c:pt idx="100">
                  <c:v>0.30095587467567925</c:v>
                </c:pt>
                <c:pt idx="101">
                  <c:v>0.2834655101372146</c:v>
                </c:pt>
                <c:pt idx="102">
                  <c:v>0.26995341751653812</c:v>
                </c:pt>
                <c:pt idx="103">
                  <c:v>0.25548160480919324</c:v>
                </c:pt>
                <c:pt idx="104">
                  <c:v>0.24123528178169612</c:v>
                </c:pt>
                <c:pt idx="105">
                  <c:v>0.22878309294595511</c:v>
                </c:pt>
                <c:pt idx="106">
                  <c:v>0.21673746445003078</c:v>
                </c:pt>
                <c:pt idx="107">
                  <c:v>0.20514516040638542</c:v>
                </c:pt>
                <c:pt idx="108">
                  <c:v>0.1915778843077218</c:v>
                </c:pt>
                <c:pt idx="109">
                  <c:v>0.18252782042700683</c:v>
                </c:pt>
                <c:pt idx="110">
                  <c:v>0.17084556588407523</c:v>
                </c:pt>
                <c:pt idx="111">
                  <c:v>0.1633037019985891</c:v>
                </c:pt>
                <c:pt idx="112">
                  <c:v>0.15400955866865346</c:v>
                </c:pt>
                <c:pt idx="113">
                  <c:v>0.14745148236627031</c:v>
                </c:pt>
                <c:pt idx="114">
                  <c:v>0.13782146917595636</c:v>
                </c:pt>
                <c:pt idx="115">
                  <c:v>0.12954446129502345</c:v>
                </c:pt>
              </c:numCache>
            </c:numRef>
          </c:yVal>
          <c:smooth val="0"/>
        </c:ser>
        <c:dLbls>
          <c:showLegendKey val="0"/>
          <c:showVal val="0"/>
          <c:showCatName val="0"/>
          <c:showSerName val="0"/>
          <c:showPercent val="0"/>
          <c:showBubbleSize val="0"/>
        </c:dLbls>
        <c:axId val="318921008"/>
        <c:axId val="318921400"/>
      </c:scatterChart>
      <c:valAx>
        <c:axId val="318921008"/>
        <c:scaling>
          <c:orientation val="minMax"/>
          <c:min val="0.4"/>
        </c:scaling>
        <c:delete val="0"/>
        <c:axPos val="b"/>
        <c:majorGridlines/>
        <c:title>
          <c:tx>
            <c:rich>
              <a:bodyPr/>
              <a:lstStyle/>
              <a:p>
                <a:pPr>
                  <a:defRPr sz="1200"/>
                </a:pPr>
                <a:r>
                  <a:rPr lang="en-US" sz="1200"/>
                  <a:t>Implied Open Circuit Voltage (V)</a:t>
                </a:r>
              </a:p>
            </c:rich>
          </c:tx>
          <c:layout/>
          <c:overlay val="0"/>
        </c:title>
        <c:numFmt formatCode="0.0000" sourceLinked="1"/>
        <c:majorTickMark val="out"/>
        <c:minorTickMark val="none"/>
        <c:tickLblPos val="low"/>
        <c:txPr>
          <a:bodyPr/>
          <a:lstStyle/>
          <a:p>
            <a:pPr>
              <a:defRPr b="1"/>
            </a:pPr>
            <a:endParaRPr lang="en-US"/>
          </a:p>
        </c:txPr>
        <c:crossAx val="318921400"/>
        <c:crosses val="autoZero"/>
        <c:crossBetween val="midCat"/>
      </c:valAx>
      <c:valAx>
        <c:axId val="318921400"/>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a:pPr>
                <a:r>
                  <a:rPr lang="en-US" sz="1200"/>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b="1"/>
            </a:pPr>
            <a:endParaRPr lang="en-US"/>
          </a:p>
        </c:txPr>
        <c:crossAx val="318921008"/>
        <c:crosses val="autoZero"/>
        <c:crossBetween val="midCat"/>
      </c:valAx>
      <c:spPr>
        <a:ln>
          <a:solidFill>
            <a:sysClr val="windowText" lastClr="000000"/>
          </a:solidFill>
        </a:ln>
      </c:spPr>
    </c:plotArea>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Minority Carrier Lifetime (no Auger Correction)  vs Minority Carrier Density</a:t>
            </a: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Calc!$O$12:$O$131</c:f>
              <c:numCache>
                <c:formatCode>0.00E+00</c:formatCode>
                <c:ptCount val="120"/>
                <c:pt idx="0">
                  <c:v>5136517295787239</c:v>
                </c:pt>
                <c:pt idx="1">
                  <c:v>4909560353549486</c:v>
                </c:pt>
                <c:pt idx="2">
                  <c:v>4669001849558041</c:v>
                </c:pt>
                <c:pt idx="3">
                  <c:v>4421635896884549</c:v>
                </c:pt>
                <c:pt idx="4">
                  <c:v>4176652239164759</c:v>
                </c:pt>
                <c:pt idx="5">
                  <c:v>3938569906425649.5</c:v>
                </c:pt>
                <c:pt idx="6">
                  <c:v>3710998509972983.5</c:v>
                </c:pt>
                <c:pt idx="7">
                  <c:v>3496909519520986</c:v>
                </c:pt>
                <c:pt idx="8">
                  <c:v>3292887666362797.5</c:v>
                </c:pt>
                <c:pt idx="9">
                  <c:v>3101391318795048</c:v>
                </c:pt>
                <c:pt idx="10">
                  <c:v>2914362280747193</c:v>
                </c:pt>
                <c:pt idx="11">
                  <c:v>2745608404093400.5</c:v>
                </c:pt>
                <c:pt idx="12">
                  <c:v>2579245728297773</c:v>
                </c:pt>
                <c:pt idx="13">
                  <c:v>2425206289963866</c:v>
                </c:pt>
                <c:pt idx="14">
                  <c:v>2277618747495413.5</c:v>
                </c:pt>
                <c:pt idx="15">
                  <c:v>2141508752184578.2</c:v>
                </c:pt>
                <c:pt idx="16">
                  <c:v>2011913213514131.3</c:v>
                </c:pt>
                <c:pt idx="17">
                  <c:v>1890506320955255.5</c:v>
                </c:pt>
                <c:pt idx="18">
                  <c:v>1774088120472812</c:v>
                </c:pt>
                <c:pt idx="19">
                  <c:v>1667413560865581</c:v>
                </c:pt>
                <c:pt idx="20">
                  <c:v>1561268006305190.7</c:v>
                </c:pt>
                <c:pt idx="21">
                  <c:v>1466168775928969.8</c:v>
                </c:pt>
                <c:pt idx="22">
                  <c:v>1379300832227081.2</c:v>
                </c:pt>
                <c:pt idx="23">
                  <c:v>1293158965979789.7</c:v>
                </c:pt>
                <c:pt idx="24">
                  <c:v>1211755079137380.5</c:v>
                </c:pt>
                <c:pt idx="25">
                  <c:v>1136395005684116.5</c:v>
                </c:pt>
                <c:pt idx="26">
                  <c:v>1064904616541912.4</c:v>
                </c:pt>
                <c:pt idx="27">
                  <c:v>999866240541793.5</c:v>
                </c:pt>
                <c:pt idx="28">
                  <c:v>936191837522815.87</c:v>
                </c:pt>
                <c:pt idx="29">
                  <c:v>877426244764711.75</c:v>
                </c:pt>
                <c:pt idx="30">
                  <c:v>824890574658911.12</c:v>
                </c:pt>
                <c:pt idx="31">
                  <c:v>774898165429531.25</c:v>
                </c:pt>
                <c:pt idx="32">
                  <c:v>725234586236742.87</c:v>
                </c:pt>
                <c:pt idx="33">
                  <c:v>680825335673179.75</c:v>
                </c:pt>
                <c:pt idx="34">
                  <c:v>641112180605925</c:v>
                </c:pt>
                <c:pt idx="35">
                  <c:v>595661946587995.87</c:v>
                </c:pt>
                <c:pt idx="36">
                  <c:v>557915277517240.19</c:v>
                </c:pt>
                <c:pt idx="37">
                  <c:v>526547172111212.12</c:v>
                </c:pt>
                <c:pt idx="38">
                  <c:v>493041792977399.44</c:v>
                </c:pt>
                <c:pt idx="39">
                  <c:v>462026119368176.62</c:v>
                </c:pt>
                <c:pt idx="40">
                  <c:v>433829643464896.94</c:v>
                </c:pt>
                <c:pt idx="41">
                  <c:v>406788351334993.5</c:v>
                </c:pt>
                <c:pt idx="42">
                  <c:v>381639097352997.81</c:v>
                </c:pt>
                <c:pt idx="43">
                  <c:v>355750301436222.44</c:v>
                </c:pt>
                <c:pt idx="44">
                  <c:v>335176883048881.5</c:v>
                </c:pt>
                <c:pt idx="45">
                  <c:v>316200749543348.5</c:v>
                </c:pt>
                <c:pt idx="46">
                  <c:v>297107141657940.62</c:v>
                </c:pt>
                <c:pt idx="47">
                  <c:v>277278115845822.03</c:v>
                </c:pt>
                <c:pt idx="48">
                  <c:v>260466323609453.09</c:v>
                </c:pt>
                <c:pt idx="49">
                  <c:v>243914129151085.81</c:v>
                </c:pt>
                <c:pt idx="50">
                  <c:v>227651270364176.5</c:v>
                </c:pt>
                <c:pt idx="51">
                  <c:v>216184085536803.12</c:v>
                </c:pt>
                <c:pt idx="52">
                  <c:v>203881745329685.59</c:v>
                </c:pt>
                <c:pt idx="53">
                  <c:v>190675314649954.25</c:v>
                </c:pt>
                <c:pt idx="54">
                  <c:v>179513208037814.31</c:v>
                </c:pt>
                <c:pt idx="55">
                  <c:v>167462420251761.12</c:v>
                </c:pt>
                <c:pt idx="56">
                  <c:v>158438758264840.47</c:v>
                </c:pt>
                <c:pt idx="57">
                  <c:v>147796785023002.94</c:v>
                </c:pt>
                <c:pt idx="58">
                  <c:v>137748694260660.3</c:v>
                </c:pt>
                <c:pt idx="59">
                  <c:v>130932004767992</c:v>
                </c:pt>
                <c:pt idx="60">
                  <c:v>123207633973800.05</c:v>
                </c:pt>
                <c:pt idx="61">
                  <c:v>116635075123572.48</c:v>
                </c:pt>
                <c:pt idx="62">
                  <c:v>106411919822766.7</c:v>
                </c:pt>
                <c:pt idx="63">
                  <c:v>100662792697314.45</c:v>
                </c:pt>
                <c:pt idx="64">
                  <c:v>97097747864390.266</c:v>
                </c:pt>
                <c:pt idx="65">
                  <c:v>90780173175973.406</c:v>
                </c:pt>
                <c:pt idx="66">
                  <c:v>85736522583347.094</c:v>
                </c:pt>
                <c:pt idx="67">
                  <c:v>81157578416633.703</c:v>
                </c:pt>
                <c:pt idx="68">
                  <c:v>75619039211329.937</c:v>
                </c:pt>
                <c:pt idx="69">
                  <c:v>68835646478881.273</c:v>
                </c:pt>
                <c:pt idx="70">
                  <c:v>65863384195330.937</c:v>
                </c:pt>
                <c:pt idx="71">
                  <c:v>62978942874832.312</c:v>
                </c:pt>
                <c:pt idx="72">
                  <c:v>59092407678519.133</c:v>
                </c:pt>
                <c:pt idx="73">
                  <c:v>54879441940064.508</c:v>
                </c:pt>
                <c:pt idx="74">
                  <c:v>53404351572723.078</c:v>
                </c:pt>
                <c:pt idx="75">
                  <c:v>50985018007305.523</c:v>
                </c:pt>
                <c:pt idx="76">
                  <c:v>45864279282712.633</c:v>
                </c:pt>
                <c:pt idx="77">
                  <c:v>44420716729771.094</c:v>
                </c:pt>
                <c:pt idx="78">
                  <c:v>42834720206595.516</c:v>
                </c:pt>
                <c:pt idx="79">
                  <c:v>40920911006855.859</c:v>
                </c:pt>
                <c:pt idx="80">
                  <c:v>36739373449218.555</c:v>
                </c:pt>
                <c:pt idx="81">
                  <c:v>36111873304960.227</c:v>
                </c:pt>
                <c:pt idx="82">
                  <c:v>33103906660121.973</c:v>
                </c:pt>
                <c:pt idx="83">
                  <c:v>30910091647007.52</c:v>
                </c:pt>
                <c:pt idx="84">
                  <c:v>30027202548986.285</c:v>
                </c:pt>
                <c:pt idx="85">
                  <c:v>28020296324098.75</c:v>
                </c:pt>
                <c:pt idx="86">
                  <c:v>29315441789346.539</c:v>
                </c:pt>
                <c:pt idx="87">
                  <c:v>23086600001695.137</c:v>
                </c:pt>
                <c:pt idx="88">
                  <c:v>22049662632956.566</c:v>
                </c:pt>
                <c:pt idx="89">
                  <c:v>19522813683744.777</c:v>
                </c:pt>
                <c:pt idx="90">
                  <c:v>20871139181704.516</c:v>
                </c:pt>
                <c:pt idx="91">
                  <c:v>17125907608606.83</c:v>
                </c:pt>
                <c:pt idx="92">
                  <c:v>16686532065524.437</c:v>
                </c:pt>
                <c:pt idx="93">
                  <c:v>16644006573714.744</c:v>
                </c:pt>
                <c:pt idx="94">
                  <c:v>17352737737357.102</c:v>
                </c:pt>
                <c:pt idx="95">
                  <c:v>13881744201277.66</c:v>
                </c:pt>
                <c:pt idx="96">
                  <c:v>12678689272355.176</c:v>
                </c:pt>
                <c:pt idx="97">
                  <c:v>11038029655723.979</c:v>
                </c:pt>
                <c:pt idx="98">
                  <c:v>12013825248258.893</c:v>
                </c:pt>
                <c:pt idx="99">
                  <c:v>11900633169939.781</c:v>
                </c:pt>
                <c:pt idx="100">
                  <c:v>10387812015799.9</c:v>
                </c:pt>
                <c:pt idx="101">
                  <c:v>10571550365572.541</c:v>
                </c:pt>
                <c:pt idx="102">
                  <c:v>9935596974684.25</c:v>
                </c:pt>
                <c:pt idx="103">
                  <c:v>7520950601937.8154</c:v>
                </c:pt>
                <c:pt idx="104">
                  <c:v>6096463953347.5107</c:v>
                </c:pt>
                <c:pt idx="105">
                  <c:v>9850809655496.25</c:v>
                </c:pt>
                <c:pt idx="106">
                  <c:v>7619713454214.334</c:v>
                </c:pt>
                <c:pt idx="107">
                  <c:v>8014896807774.1533</c:v>
                </c:pt>
                <c:pt idx="108">
                  <c:v>7393947729350.4189</c:v>
                </c:pt>
                <c:pt idx="109">
                  <c:v>4574805701668.0166</c:v>
                </c:pt>
                <c:pt idx="110">
                  <c:v>4462161218964.7549</c:v>
                </c:pt>
                <c:pt idx="111">
                  <c:v>2380308219748.499</c:v>
                </c:pt>
                <c:pt idx="112">
                  <c:v>4786042744442.8574</c:v>
                </c:pt>
                <c:pt idx="113">
                  <c:v>8071338623400.7637</c:v>
                </c:pt>
                <c:pt idx="114">
                  <c:v>4645209251346.9893</c:v>
                </c:pt>
                <c:pt idx="115">
                  <c:v>6716880326317.8936</c:v>
                </c:pt>
                <c:pt idx="116">
                  <c:v>3856875738431.2085</c:v>
                </c:pt>
                <c:pt idx="117">
                  <c:v>934386149398.05164</c:v>
                </c:pt>
                <c:pt idx="118">
                  <c:v>3716160452613.4868</c:v>
                </c:pt>
                <c:pt idx="119">
                  <c:v>5870924959512.5254</c:v>
                </c:pt>
              </c:numCache>
            </c:numRef>
          </c:xVal>
          <c:yVal>
            <c:numRef>
              <c:f>Calc!$P$12:$P$131</c:f>
              <c:numCache>
                <c:formatCode>0.00E+00</c:formatCode>
                <c:ptCount val="120"/>
                <c:pt idx="0">
                  <c:v>9.3427657478945177E-6</c:v>
                </c:pt>
                <c:pt idx="1">
                  <c:v>9.0915148299900913E-6</c:v>
                </c:pt>
                <c:pt idx="2">
                  <c:v>9.0157025011016198E-6</c:v>
                </c:pt>
                <c:pt idx="3">
                  <c:v>9.0388591528612343E-6</c:v>
                </c:pt>
                <c:pt idx="4">
                  <c:v>9.0748021795774244E-6</c:v>
                </c:pt>
                <c:pt idx="5">
                  <c:v>9.098039098863075E-6</c:v>
                </c:pt>
                <c:pt idx="6">
                  <c:v>9.1120035773011125E-6</c:v>
                </c:pt>
                <c:pt idx="7">
                  <c:v>9.1209672360436855E-6</c:v>
                </c:pt>
                <c:pt idx="8">
                  <c:v>9.1172473143618855E-6</c:v>
                </c:pt>
                <c:pt idx="9">
                  <c:v>9.113312328456557E-6</c:v>
                </c:pt>
                <c:pt idx="10">
                  <c:v>9.0836684510765895E-6</c:v>
                </c:pt>
                <c:pt idx="11">
                  <c:v>9.0745213222673238E-6</c:v>
                </c:pt>
                <c:pt idx="12">
                  <c:v>9.041408078484011E-6</c:v>
                </c:pt>
                <c:pt idx="13">
                  <c:v>9.0125430267988737E-6</c:v>
                </c:pt>
                <c:pt idx="14">
                  <c:v>8.9724231638139242E-6</c:v>
                </c:pt>
                <c:pt idx="15">
                  <c:v>8.9424822931915747E-6</c:v>
                </c:pt>
                <c:pt idx="16">
                  <c:v>8.9011236339545298E-6</c:v>
                </c:pt>
                <c:pt idx="17">
                  <c:v>8.8568732946072114E-6</c:v>
                </c:pt>
                <c:pt idx="18">
                  <c:v>8.7973330437995501E-6</c:v>
                </c:pt>
                <c:pt idx="19">
                  <c:v>8.7490988929304797E-6</c:v>
                </c:pt>
                <c:pt idx="20">
                  <c:v>8.6680954213194351E-6</c:v>
                </c:pt>
                <c:pt idx="21">
                  <c:v>8.6070889941157731E-6</c:v>
                </c:pt>
                <c:pt idx="22">
                  <c:v>8.5607509010827593E-6</c:v>
                </c:pt>
                <c:pt idx="23">
                  <c:v>8.4805602344705515E-6</c:v>
                </c:pt>
                <c:pt idx="24">
                  <c:v>8.3931031318195287E-6</c:v>
                </c:pt>
                <c:pt idx="25">
                  <c:v>8.3257757227990492E-6</c:v>
                </c:pt>
                <c:pt idx="26">
                  <c:v>8.2427422922033069E-6</c:v>
                </c:pt>
                <c:pt idx="27">
                  <c:v>8.1694208238942482E-6</c:v>
                </c:pt>
                <c:pt idx="28">
                  <c:v>8.0720696978557259E-6</c:v>
                </c:pt>
                <c:pt idx="29">
                  <c:v>7.9796950055044035E-6</c:v>
                </c:pt>
                <c:pt idx="30">
                  <c:v>7.9088726132116755E-6</c:v>
                </c:pt>
                <c:pt idx="31">
                  <c:v>7.8321886258400694E-6</c:v>
                </c:pt>
                <c:pt idx="32">
                  <c:v>7.7238661636552063E-6</c:v>
                </c:pt>
                <c:pt idx="33">
                  <c:v>7.6392552857855555E-6</c:v>
                </c:pt>
                <c:pt idx="34">
                  <c:v>7.5731659862282727E-6</c:v>
                </c:pt>
                <c:pt idx="35">
                  <c:v>7.4089690988427436E-6</c:v>
                </c:pt>
                <c:pt idx="36">
                  <c:v>7.3094350383070343E-6</c:v>
                </c:pt>
                <c:pt idx="37">
                  <c:v>7.2621698427193412E-6</c:v>
                </c:pt>
                <c:pt idx="38">
                  <c:v>7.1556059240225171E-6</c:v>
                </c:pt>
                <c:pt idx="39">
                  <c:v>7.0552991470103114E-6</c:v>
                </c:pt>
                <c:pt idx="40">
                  <c:v>6.9662979356602939E-6</c:v>
                </c:pt>
                <c:pt idx="41">
                  <c:v>6.8683086960485978E-6</c:v>
                </c:pt>
                <c:pt idx="42">
                  <c:v>6.7732033193177903E-6</c:v>
                </c:pt>
                <c:pt idx="43">
                  <c:v>6.6352071352353318E-6</c:v>
                </c:pt>
                <c:pt idx="44">
                  <c:v>6.5717247934154533E-6</c:v>
                </c:pt>
                <c:pt idx="45">
                  <c:v>6.5125849692680064E-6</c:v>
                </c:pt>
                <c:pt idx="46">
                  <c:v>6.4310977000404508E-6</c:v>
                </c:pt>
                <c:pt idx="47">
                  <c:v>6.3001730662215023E-6</c:v>
                </c:pt>
                <c:pt idx="48">
                  <c:v>6.2141074945059427E-6</c:v>
                </c:pt>
                <c:pt idx="49">
                  <c:v>6.10890845640239E-6</c:v>
                </c:pt>
                <c:pt idx="50">
                  <c:v>5.9902216916955266E-6</c:v>
                </c:pt>
                <c:pt idx="51">
                  <c:v>5.9733748961075459E-6</c:v>
                </c:pt>
                <c:pt idx="52">
                  <c:v>5.9113782707085998E-6</c:v>
                </c:pt>
                <c:pt idx="53">
                  <c:v>5.8001026388120676E-6</c:v>
                </c:pt>
                <c:pt idx="54">
                  <c:v>5.7265770989443902E-6</c:v>
                </c:pt>
                <c:pt idx="55">
                  <c:v>5.609189457840713E-6</c:v>
                </c:pt>
                <c:pt idx="56">
                  <c:v>5.5730294235629385E-6</c:v>
                </c:pt>
                <c:pt idx="57">
                  <c:v>5.4545730096210082E-6</c:v>
                </c:pt>
                <c:pt idx="58">
                  <c:v>5.3324729548877923E-6</c:v>
                </c:pt>
                <c:pt idx="59">
                  <c:v>5.3333736300578099E-6</c:v>
                </c:pt>
                <c:pt idx="60">
                  <c:v>5.2660296076399135E-6</c:v>
                </c:pt>
                <c:pt idx="61">
                  <c:v>5.2235417291028799E-6</c:v>
                </c:pt>
                <c:pt idx="62">
                  <c:v>5.0028614659970478E-6</c:v>
                </c:pt>
                <c:pt idx="63">
                  <c:v>4.9604288492423386E-6</c:v>
                </c:pt>
                <c:pt idx="64">
                  <c:v>5.0198700955484933E-6</c:v>
                </c:pt>
                <c:pt idx="65">
                  <c:v>4.9260814202730606E-6</c:v>
                </c:pt>
                <c:pt idx="66">
                  <c:v>4.8838717668274422E-6</c:v>
                </c:pt>
                <c:pt idx="67">
                  <c:v>4.8474207126550827E-6</c:v>
                </c:pt>
                <c:pt idx="68">
                  <c:v>4.7335301788513559E-6</c:v>
                </c:pt>
                <c:pt idx="69">
                  <c:v>4.5188134122850916E-6</c:v>
                </c:pt>
                <c:pt idx="70">
                  <c:v>4.5380018289401971E-6</c:v>
                </c:pt>
                <c:pt idx="71">
                  <c:v>4.5485069048843179E-6</c:v>
                </c:pt>
                <c:pt idx="72">
                  <c:v>4.4735557230684439E-6</c:v>
                </c:pt>
                <c:pt idx="73">
                  <c:v>4.3576084441764972E-6</c:v>
                </c:pt>
                <c:pt idx="74">
                  <c:v>4.4469943469455001E-6</c:v>
                </c:pt>
                <c:pt idx="75">
                  <c:v>4.4622050398669285E-6</c:v>
                </c:pt>
                <c:pt idx="76">
                  <c:v>4.2154613827283217E-6</c:v>
                </c:pt>
                <c:pt idx="77">
                  <c:v>4.2777686015232291E-6</c:v>
                </c:pt>
                <c:pt idx="78">
                  <c:v>4.3365419583407061E-6</c:v>
                </c:pt>
                <c:pt idx="79">
                  <c:v>4.3453062069454721E-6</c:v>
                </c:pt>
                <c:pt idx="80">
                  <c:v>4.091787678437085E-6</c:v>
                </c:pt>
                <c:pt idx="81">
                  <c:v>4.2175919689355493E-6</c:v>
                </c:pt>
                <c:pt idx="82">
                  <c:v>4.0594120542971997E-6</c:v>
                </c:pt>
                <c:pt idx="83">
                  <c:v>3.9779815287797986E-6</c:v>
                </c:pt>
                <c:pt idx="84">
                  <c:v>4.0665136708262491E-6</c:v>
                </c:pt>
                <c:pt idx="85">
                  <c:v>3.9817186958709439E-6</c:v>
                </c:pt>
                <c:pt idx="86">
                  <c:v>4.3669215864129394E-6</c:v>
                </c:pt>
                <c:pt idx="87">
                  <c:v>3.6151712132411729E-6</c:v>
                </c:pt>
                <c:pt idx="88">
                  <c:v>3.6280872089104776E-6</c:v>
                </c:pt>
                <c:pt idx="89">
                  <c:v>3.3836854817560604E-6</c:v>
                </c:pt>
                <c:pt idx="90">
                  <c:v>3.7982483119625724E-6</c:v>
                </c:pt>
                <c:pt idx="91">
                  <c:v>3.2848751710830947E-6</c:v>
                </c:pt>
                <c:pt idx="92">
                  <c:v>3.3721417113794382E-6</c:v>
                </c:pt>
                <c:pt idx="93">
                  <c:v>3.5411816067341976E-6</c:v>
                </c:pt>
                <c:pt idx="94">
                  <c:v>3.8726669169119488E-6</c:v>
                </c:pt>
                <c:pt idx="95">
                  <c:v>3.2731339104967865E-6</c:v>
                </c:pt>
                <c:pt idx="96">
                  <c:v>3.1375001017298937E-6</c:v>
                </c:pt>
                <c:pt idx="97">
                  <c:v>2.8870708414351529E-6</c:v>
                </c:pt>
                <c:pt idx="98">
                  <c:v>3.3152853795381385E-6</c:v>
                </c:pt>
                <c:pt idx="99">
                  <c:v>3.479112888351132E-6</c:v>
                </c:pt>
                <c:pt idx="100">
                  <c:v>3.1855848264817977E-6</c:v>
                </c:pt>
                <c:pt idx="101">
                  <c:v>3.4136583749947178E-6</c:v>
                </c:pt>
                <c:pt idx="102">
                  <c:v>3.3872968658682775E-6</c:v>
                </c:pt>
                <c:pt idx="103">
                  <c:v>2.709089114572979E-6</c:v>
                </c:pt>
                <c:pt idx="104">
                  <c:v>2.3314771616583166E-6</c:v>
                </c:pt>
                <c:pt idx="105">
                  <c:v>3.9558195983230351E-6</c:v>
                </c:pt>
                <c:pt idx="106">
                  <c:v>3.2331986168500563E-6</c:v>
                </c:pt>
                <c:pt idx="107">
                  <c:v>3.6017244967284649E-6</c:v>
                </c:pt>
                <c:pt idx="108">
                  <c:v>3.5035299086742095E-6</c:v>
                </c:pt>
                <c:pt idx="109">
                  <c:v>2.2881898011842472E-6</c:v>
                </c:pt>
                <c:pt idx="110">
                  <c:v>2.3579650392191525E-6</c:v>
                </c:pt>
                <c:pt idx="111">
                  <c:v>1.3469181455709587E-6</c:v>
                </c:pt>
                <c:pt idx="112">
                  <c:v>2.8425026963608715E-6</c:v>
                </c:pt>
                <c:pt idx="113">
                  <c:v>5.1214771167991701E-6</c:v>
                </c:pt>
                <c:pt idx="114">
                  <c:v>3.083632629214022E-6</c:v>
                </c:pt>
                <c:pt idx="115">
                  <c:v>4.72795478381396E-6</c:v>
                </c:pt>
                <c:pt idx="116">
                  <c:v>2.8355668087481214E-6</c:v>
                </c:pt>
                <c:pt idx="117">
                  <c:v>7.3495863574958745E-7</c:v>
                </c:pt>
                <c:pt idx="118">
                  <c:v>3.1097751450034832E-6</c:v>
                </c:pt>
                <c:pt idx="119">
                  <c:v>5.2244161978774165E-6</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Calc!$I$12:$I$131</c:f>
              <c:numCache>
                <c:formatCode>0.00E+00</c:formatCode>
                <c:ptCount val="120"/>
                <c:pt idx="0">
                  <c:v>5136517295787239</c:v>
                </c:pt>
                <c:pt idx="1">
                  <c:v>4909560353549486</c:v>
                </c:pt>
                <c:pt idx="2">
                  <c:v>4669001849558041</c:v>
                </c:pt>
                <c:pt idx="3">
                  <c:v>4421635896884549</c:v>
                </c:pt>
                <c:pt idx="4">
                  <c:v>4176652239164759</c:v>
                </c:pt>
                <c:pt idx="5">
                  <c:v>3938569906425649.5</c:v>
                </c:pt>
                <c:pt idx="6">
                  <c:v>3710998509972983.5</c:v>
                </c:pt>
                <c:pt idx="7">
                  <c:v>3496909519520986</c:v>
                </c:pt>
                <c:pt idx="8">
                  <c:v>3292887666362797.5</c:v>
                </c:pt>
                <c:pt idx="9">
                  <c:v>3101391318795048</c:v>
                </c:pt>
                <c:pt idx="10">
                  <c:v>2914362280747193</c:v>
                </c:pt>
                <c:pt idx="11">
                  <c:v>2745608404093400.5</c:v>
                </c:pt>
                <c:pt idx="12">
                  <c:v>2579245728297773</c:v>
                </c:pt>
                <c:pt idx="13">
                  <c:v>2425206289963866</c:v>
                </c:pt>
                <c:pt idx="14">
                  <c:v>2277618747495413.5</c:v>
                </c:pt>
                <c:pt idx="15">
                  <c:v>2141508752184578.2</c:v>
                </c:pt>
                <c:pt idx="16">
                  <c:v>2011913213514131.3</c:v>
                </c:pt>
                <c:pt idx="17">
                  <c:v>1890506320955255.5</c:v>
                </c:pt>
                <c:pt idx="18">
                  <c:v>1774088120472812</c:v>
                </c:pt>
                <c:pt idx="19">
                  <c:v>1667413560865581</c:v>
                </c:pt>
                <c:pt idx="20">
                  <c:v>1561268006305190.7</c:v>
                </c:pt>
                <c:pt idx="21">
                  <c:v>1466168775928969.8</c:v>
                </c:pt>
                <c:pt idx="22">
                  <c:v>1379300832227081.2</c:v>
                </c:pt>
                <c:pt idx="23">
                  <c:v>1293158965979789.7</c:v>
                </c:pt>
                <c:pt idx="24">
                  <c:v>1211755079137380.5</c:v>
                </c:pt>
                <c:pt idx="25">
                  <c:v>1136395005684116.5</c:v>
                </c:pt>
                <c:pt idx="26">
                  <c:v>1064904616541912.4</c:v>
                </c:pt>
                <c:pt idx="27">
                  <c:v>999866240541793.5</c:v>
                </c:pt>
                <c:pt idx="28">
                  <c:v>936191837522815.87</c:v>
                </c:pt>
                <c:pt idx="29">
                  <c:v>877426244764711.75</c:v>
                </c:pt>
                <c:pt idx="30">
                  <c:v>824890574658911.12</c:v>
                </c:pt>
                <c:pt idx="31">
                  <c:v>774898165429531.25</c:v>
                </c:pt>
                <c:pt idx="32">
                  <c:v>725234586236742.87</c:v>
                </c:pt>
                <c:pt idx="33">
                  <c:v>680825335673179.75</c:v>
                </c:pt>
                <c:pt idx="34">
                  <c:v>641112180605925</c:v>
                </c:pt>
                <c:pt idx="35">
                  <c:v>595661946587995.87</c:v>
                </c:pt>
                <c:pt idx="36">
                  <c:v>557915277517240.19</c:v>
                </c:pt>
                <c:pt idx="37">
                  <c:v>526547172111212.12</c:v>
                </c:pt>
                <c:pt idx="38">
                  <c:v>493041792977399.44</c:v>
                </c:pt>
                <c:pt idx="39">
                  <c:v>462026119368176.62</c:v>
                </c:pt>
                <c:pt idx="40">
                  <c:v>433829643464896.94</c:v>
                </c:pt>
                <c:pt idx="41">
                  <c:v>406788351334993.5</c:v>
                </c:pt>
                <c:pt idx="42">
                  <c:v>381639097352997.81</c:v>
                </c:pt>
                <c:pt idx="43">
                  <c:v>355750301436222.44</c:v>
                </c:pt>
                <c:pt idx="44">
                  <c:v>335176883048881.5</c:v>
                </c:pt>
                <c:pt idx="45">
                  <c:v>316200749543348.5</c:v>
                </c:pt>
                <c:pt idx="46">
                  <c:v>297107141657940.62</c:v>
                </c:pt>
                <c:pt idx="47">
                  <c:v>277278115845822.03</c:v>
                </c:pt>
                <c:pt idx="48">
                  <c:v>260466323609453.09</c:v>
                </c:pt>
                <c:pt idx="49">
                  <c:v>243914129151085.81</c:v>
                </c:pt>
                <c:pt idx="50">
                  <c:v>227651270364176.5</c:v>
                </c:pt>
                <c:pt idx="51">
                  <c:v>216184085536803.12</c:v>
                </c:pt>
                <c:pt idx="52">
                  <c:v>203881745329685.59</c:v>
                </c:pt>
                <c:pt idx="53">
                  <c:v>190675314649954.25</c:v>
                </c:pt>
                <c:pt idx="54">
                  <c:v>179513208037814.31</c:v>
                </c:pt>
                <c:pt idx="55">
                  <c:v>167462420251761.12</c:v>
                </c:pt>
                <c:pt idx="56">
                  <c:v>158438758264840.47</c:v>
                </c:pt>
                <c:pt idx="57">
                  <c:v>147796785023002.94</c:v>
                </c:pt>
                <c:pt idx="58">
                  <c:v>137748694260660.3</c:v>
                </c:pt>
                <c:pt idx="59">
                  <c:v>130932004767992</c:v>
                </c:pt>
                <c:pt idx="60">
                  <c:v>123207633973800.05</c:v>
                </c:pt>
                <c:pt idx="61">
                  <c:v>116635075123572.48</c:v>
                </c:pt>
                <c:pt idx="62">
                  <c:v>106411919822766.7</c:v>
                </c:pt>
                <c:pt idx="63">
                  <c:v>100662792697314.45</c:v>
                </c:pt>
                <c:pt idx="64">
                  <c:v>97097747864390.266</c:v>
                </c:pt>
                <c:pt idx="65">
                  <c:v>90780173175973.406</c:v>
                </c:pt>
                <c:pt idx="66">
                  <c:v>85736522583347.094</c:v>
                </c:pt>
                <c:pt idx="67">
                  <c:v>81157578416633.703</c:v>
                </c:pt>
                <c:pt idx="68">
                  <c:v>75619039211329.937</c:v>
                </c:pt>
                <c:pt idx="69">
                  <c:v>68835646478881.273</c:v>
                </c:pt>
                <c:pt idx="70">
                  <c:v>65863384195330.937</c:v>
                </c:pt>
                <c:pt idx="71">
                  <c:v>62978942874832.312</c:v>
                </c:pt>
                <c:pt idx="72">
                  <c:v>59092407678519.133</c:v>
                </c:pt>
                <c:pt idx="73">
                  <c:v>54879441940064.508</c:v>
                </c:pt>
                <c:pt idx="74">
                  <c:v>53404351572723.078</c:v>
                </c:pt>
                <c:pt idx="75">
                  <c:v>50985018007305.523</c:v>
                </c:pt>
                <c:pt idx="76">
                  <c:v>45864279282712.633</c:v>
                </c:pt>
                <c:pt idx="77">
                  <c:v>44420716729771.094</c:v>
                </c:pt>
                <c:pt idx="78">
                  <c:v>42834720206595.516</c:v>
                </c:pt>
                <c:pt idx="79">
                  <c:v>40920911006855.859</c:v>
                </c:pt>
                <c:pt idx="80">
                  <c:v>36739373449218.555</c:v>
                </c:pt>
                <c:pt idx="81">
                  <c:v>36111873304960.227</c:v>
                </c:pt>
                <c:pt idx="82">
                  <c:v>33103906660121.973</c:v>
                </c:pt>
                <c:pt idx="83">
                  <c:v>30910091647007.52</c:v>
                </c:pt>
                <c:pt idx="84">
                  <c:v>30027202548986.285</c:v>
                </c:pt>
                <c:pt idx="85">
                  <c:v>28020296324098.75</c:v>
                </c:pt>
                <c:pt idx="86">
                  <c:v>29315441789346.539</c:v>
                </c:pt>
                <c:pt idx="87">
                  <c:v>23086600001695.137</c:v>
                </c:pt>
                <c:pt idx="88">
                  <c:v>22049662632956.566</c:v>
                </c:pt>
                <c:pt idx="89">
                  <c:v>19522813683744.777</c:v>
                </c:pt>
                <c:pt idx="90">
                  <c:v>20871139181704.516</c:v>
                </c:pt>
                <c:pt idx="91">
                  <c:v>17125907608606.83</c:v>
                </c:pt>
                <c:pt idx="92">
                  <c:v>16686532065524.437</c:v>
                </c:pt>
                <c:pt idx="93">
                  <c:v>16644006573714.744</c:v>
                </c:pt>
                <c:pt idx="94">
                  <c:v>17352737737357.102</c:v>
                </c:pt>
                <c:pt idx="95">
                  <c:v>13881744201277.66</c:v>
                </c:pt>
                <c:pt idx="96">
                  <c:v>12678689272355.176</c:v>
                </c:pt>
                <c:pt idx="97">
                  <c:v>11038029655723.979</c:v>
                </c:pt>
                <c:pt idx="98">
                  <c:v>12013825248258.893</c:v>
                </c:pt>
                <c:pt idx="99">
                  <c:v>11900633169939.781</c:v>
                </c:pt>
                <c:pt idx="100">
                  <c:v>10387812015799.9</c:v>
                </c:pt>
                <c:pt idx="101">
                  <c:v>10571550365572.541</c:v>
                </c:pt>
                <c:pt idx="102">
                  <c:v>9935596974684.25</c:v>
                </c:pt>
                <c:pt idx="103">
                  <c:v>7520950601937.8154</c:v>
                </c:pt>
                <c:pt idx="104">
                  <c:v>6096463953347.5107</c:v>
                </c:pt>
                <c:pt idx="105">
                  <c:v>9850809655496.25</c:v>
                </c:pt>
                <c:pt idx="106">
                  <c:v>7619713454214.334</c:v>
                </c:pt>
                <c:pt idx="107">
                  <c:v>8014896807774.1533</c:v>
                </c:pt>
                <c:pt idx="108">
                  <c:v>7393947729350.4189</c:v>
                </c:pt>
                <c:pt idx="109">
                  <c:v>4574805701668.0166</c:v>
                </c:pt>
                <c:pt idx="110">
                  <c:v>4462161218964.7549</c:v>
                </c:pt>
                <c:pt idx="111">
                  <c:v>2380308219748.499</c:v>
                </c:pt>
                <c:pt idx="112">
                  <c:v>4786042744442.8574</c:v>
                </c:pt>
                <c:pt idx="113">
                  <c:v>8071338623400.7637</c:v>
                </c:pt>
                <c:pt idx="114">
                  <c:v>4645209251346.9893</c:v>
                </c:pt>
                <c:pt idx="115">
                  <c:v>6716880326317.8936</c:v>
                </c:pt>
                <c:pt idx="116">
                  <c:v>3856875738431.2085</c:v>
                </c:pt>
                <c:pt idx="117">
                  <c:v>934386149398.05164</c:v>
                </c:pt>
                <c:pt idx="118">
                  <c:v>3716160452613.4868</c:v>
                </c:pt>
                <c:pt idx="119">
                  <c:v>5870924959512.5254</c:v>
                </c:pt>
              </c:numCache>
            </c:numRef>
          </c:xVal>
          <c:yVal>
            <c:numRef>
              <c:f>Calc!$P$12:$P$131</c:f>
              <c:numCache>
                <c:formatCode>0.00E+00</c:formatCode>
                <c:ptCount val="120"/>
                <c:pt idx="0">
                  <c:v>9.3427657478945177E-6</c:v>
                </c:pt>
                <c:pt idx="1">
                  <c:v>9.0915148299900913E-6</c:v>
                </c:pt>
                <c:pt idx="2">
                  <c:v>9.0157025011016198E-6</c:v>
                </c:pt>
                <c:pt idx="3">
                  <c:v>9.0388591528612343E-6</c:v>
                </c:pt>
                <c:pt idx="4">
                  <c:v>9.0748021795774244E-6</c:v>
                </c:pt>
                <c:pt idx="5">
                  <c:v>9.098039098863075E-6</c:v>
                </c:pt>
                <c:pt idx="6">
                  <c:v>9.1120035773011125E-6</c:v>
                </c:pt>
                <c:pt idx="7">
                  <c:v>9.1209672360436855E-6</c:v>
                </c:pt>
                <c:pt idx="8">
                  <c:v>9.1172473143618855E-6</c:v>
                </c:pt>
                <c:pt idx="9">
                  <c:v>9.113312328456557E-6</c:v>
                </c:pt>
                <c:pt idx="10">
                  <c:v>9.0836684510765895E-6</c:v>
                </c:pt>
                <c:pt idx="11">
                  <c:v>9.0745213222673238E-6</c:v>
                </c:pt>
                <c:pt idx="12">
                  <c:v>9.041408078484011E-6</c:v>
                </c:pt>
                <c:pt idx="13">
                  <c:v>9.0125430267988737E-6</c:v>
                </c:pt>
                <c:pt idx="14">
                  <c:v>8.9724231638139242E-6</c:v>
                </c:pt>
                <c:pt idx="15">
                  <c:v>8.9424822931915747E-6</c:v>
                </c:pt>
                <c:pt idx="16">
                  <c:v>8.9011236339545298E-6</c:v>
                </c:pt>
                <c:pt idx="17">
                  <c:v>8.8568732946072114E-6</c:v>
                </c:pt>
                <c:pt idx="18">
                  <c:v>8.7973330437995501E-6</c:v>
                </c:pt>
                <c:pt idx="19">
                  <c:v>8.7490988929304797E-6</c:v>
                </c:pt>
                <c:pt idx="20">
                  <c:v>8.6680954213194351E-6</c:v>
                </c:pt>
                <c:pt idx="21">
                  <c:v>8.6070889941157731E-6</c:v>
                </c:pt>
                <c:pt idx="22">
                  <c:v>8.5607509010827593E-6</c:v>
                </c:pt>
                <c:pt idx="23">
                  <c:v>8.4805602344705515E-6</c:v>
                </c:pt>
                <c:pt idx="24">
                  <c:v>8.3931031318195287E-6</c:v>
                </c:pt>
                <c:pt idx="25">
                  <c:v>8.3257757227990492E-6</c:v>
                </c:pt>
                <c:pt idx="26">
                  <c:v>8.2427422922033069E-6</c:v>
                </c:pt>
                <c:pt idx="27">
                  <c:v>8.1694208238942482E-6</c:v>
                </c:pt>
                <c:pt idx="28">
                  <c:v>8.0720696978557259E-6</c:v>
                </c:pt>
                <c:pt idx="29">
                  <c:v>7.9796950055044035E-6</c:v>
                </c:pt>
                <c:pt idx="30">
                  <c:v>7.9088726132116755E-6</c:v>
                </c:pt>
                <c:pt idx="31">
                  <c:v>7.8321886258400694E-6</c:v>
                </c:pt>
                <c:pt idx="32">
                  <c:v>7.7238661636552063E-6</c:v>
                </c:pt>
                <c:pt idx="33">
                  <c:v>7.6392552857855555E-6</c:v>
                </c:pt>
                <c:pt idx="34">
                  <c:v>7.5731659862282727E-6</c:v>
                </c:pt>
                <c:pt idx="35">
                  <c:v>7.4089690988427436E-6</c:v>
                </c:pt>
                <c:pt idx="36">
                  <c:v>7.3094350383070343E-6</c:v>
                </c:pt>
                <c:pt idx="37">
                  <c:v>7.2621698427193412E-6</c:v>
                </c:pt>
                <c:pt idx="38">
                  <c:v>7.1556059240225171E-6</c:v>
                </c:pt>
                <c:pt idx="39">
                  <c:v>7.0552991470103114E-6</c:v>
                </c:pt>
                <c:pt idx="40">
                  <c:v>6.9662979356602939E-6</c:v>
                </c:pt>
                <c:pt idx="41">
                  <c:v>6.8683086960485978E-6</c:v>
                </c:pt>
                <c:pt idx="42">
                  <c:v>6.7732033193177903E-6</c:v>
                </c:pt>
                <c:pt idx="43">
                  <c:v>6.6352071352353318E-6</c:v>
                </c:pt>
                <c:pt idx="44">
                  <c:v>6.5717247934154533E-6</c:v>
                </c:pt>
                <c:pt idx="45">
                  <c:v>6.5125849692680064E-6</c:v>
                </c:pt>
                <c:pt idx="46">
                  <c:v>6.4310977000404508E-6</c:v>
                </c:pt>
                <c:pt idx="47">
                  <c:v>6.3001730662215023E-6</c:v>
                </c:pt>
                <c:pt idx="48">
                  <c:v>6.2141074945059427E-6</c:v>
                </c:pt>
                <c:pt idx="49">
                  <c:v>6.10890845640239E-6</c:v>
                </c:pt>
                <c:pt idx="50">
                  <c:v>5.9902216916955266E-6</c:v>
                </c:pt>
                <c:pt idx="51">
                  <c:v>5.9733748961075459E-6</c:v>
                </c:pt>
                <c:pt idx="52">
                  <c:v>5.9113782707085998E-6</c:v>
                </c:pt>
                <c:pt idx="53">
                  <c:v>5.8001026388120676E-6</c:v>
                </c:pt>
                <c:pt idx="54">
                  <c:v>5.7265770989443902E-6</c:v>
                </c:pt>
                <c:pt idx="55">
                  <c:v>5.609189457840713E-6</c:v>
                </c:pt>
                <c:pt idx="56">
                  <c:v>5.5730294235629385E-6</c:v>
                </c:pt>
                <c:pt idx="57">
                  <c:v>5.4545730096210082E-6</c:v>
                </c:pt>
                <c:pt idx="58">
                  <c:v>5.3324729548877923E-6</c:v>
                </c:pt>
                <c:pt idx="59">
                  <c:v>5.3333736300578099E-6</c:v>
                </c:pt>
                <c:pt idx="60">
                  <c:v>5.2660296076399135E-6</c:v>
                </c:pt>
                <c:pt idx="61">
                  <c:v>5.2235417291028799E-6</c:v>
                </c:pt>
                <c:pt idx="62">
                  <c:v>5.0028614659970478E-6</c:v>
                </c:pt>
                <c:pt idx="63">
                  <c:v>4.9604288492423386E-6</c:v>
                </c:pt>
                <c:pt idx="64">
                  <c:v>5.0198700955484933E-6</c:v>
                </c:pt>
                <c:pt idx="65">
                  <c:v>4.9260814202730606E-6</c:v>
                </c:pt>
                <c:pt idx="66">
                  <c:v>4.8838717668274422E-6</c:v>
                </c:pt>
                <c:pt idx="67">
                  <c:v>4.8474207126550827E-6</c:v>
                </c:pt>
                <c:pt idx="68">
                  <c:v>4.7335301788513559E-6</c:v>
                </c:pt>
                <c:pt idx="69">
                  <c:v>4.5188134122850916E-6</c:v>
                </c:pt>
                <c:pt idx="70">
                  <c:v>4.5380018289401971E-6</c:v>
                </c:pt>
                <c:pt idx="71">
                  <c:v>4.5485069048843179E-6</c:v>
                </c:pt>
                <c:pt idx="72">
                  <c:v>4.4735557230684439E-6</c:v>
                </c:pt>
                <c:pt idx="73">
                  <c:v>4.3576084441764972E-6</c:v>
                </c:pt>
                <c:pt idx="74">
                  <c:v>4.4469943469455001E-6</c:v>
                </c:pt>
                <c:pt idx="75">
                  <c:v>4.4622050398669285E-6</c:v>
                </c:pt>
                <c:pt idx="76">
                  <c:v>4.2154613827283217E-6</c:v>
                </c:pt>
                <c:pt idx="77">
                  <c:v>4.2777686015232291E-6</c:v>
                </c:pt>
                <c:pt idx="78">
                  <c:v>4.3365419583407061E-6</c:v>
                </c:pt>
                <c:pt idx="79">
                  <c:v>4.3453062069454721E-6</c:v>
                </c:pt>
                <c:pt idx="80">
                  <c:v>4.091787678437085E-6</c:v>
                </c:pt>
                <c:pt idx="81">
                  <c:v>4.2175919689355493E-6</c:v>
                </c:pt>
                <c:pt idx="82">
                  <c:v>4.0594120542971997E-6</c:v>
                </c:pt>
                <c:pt idx="83">
                  <c:v>3.9779815287797986E-6</c:v>
                </c:pt>
                <c:pt idx="84">
                  <c:v>4.0665136708262491E-6</c:v>
                </c:pt>
                <c:pt idx="85">
                  <c:v>3.9817186958709439E-6</c:v>
                </c:pt>
                <c:pt idx="86">
                  <c:v>4.3669215864129394E-6</c:v>
                </c:pt>
                <c:pt idx="87">
                  <c:v>3.6151712132411729E-6</c:v>
                </c:pt>
                <c:pt idx="88">
                  <c:v>3.6280872089104776E-6</c:v>
                </c:pt>
                <c:pt idx="89">
                  <c:v>3.3836854817560604E-6</c:v>
                </c:pt>
                <c:pt idx="90">
                  <c:v>3.7982483119625724E-6</c:v>
                </c:pt>
                <c:pt idx="91">
                  <c:v>3.2848751710830947E-6</c:v>
                </c:pt>
                <c:pt idx="92">
                  <c:v>3.3721417113794382E-6</c:v>
                </c:pt>
                <c:pt idx="93">
                  <c:v>3.5411816067341976E-6</c:v>
                </c:pt>
                <c:pt idx="94">
                  <c:v>3.8726669169119488E-6</c:v>
                </c:pt>
                <c:pt idx="95">
                  <c:v>3.2731339104967865E-6</c:v>
                </c:pt>
                <c:pt idx="96">
                  <c:v>3.1375001017298937E-6</c:v>
                </c:pt>
                <c:pt idx="97">
                  <c:v>2.8870708414351529E-6</c:v>
                </c:pt>
                <c:pt idx="98">
                  <c:v>3.3152853795381385E-6</c:v>
                </c:pt>
                <c:pt idx="99">
                  <c:v>3.479112888351132E-6</c:v>
                </c:pt>
                <c:pt idx="100">
                  <c:v>3.1855848264817977E-6</c:v>
                </c:pt>
                <c:pt idx="101">
                  <c:v>3.4136583749947178E-6</c:v>
                </c:pt>
                <c:pt idx="102">
                  <c:v>3.3872968658682775E-6</c:v>
                </c:pt>
                <c:pt idx="103">
                  <c:v>2.709089114572979E-6</c:v>
                </c:pt>
                <c:pt idx="104">
                  <c:v>2.3314771616583166E-6</c:v>
                </c:pt>
                <c:pt idx="105">
                  <c:v>3.9558195983230351E-6</c:v>
                </c:pt>
                <c:pt idx="106">
                  <c:v>3.2331986168500563E-6</c:v>
                </c:pt>
                <c:pt idx="107">
                  <c:v>3.6017244967284649E-6</c:v>
                </c:pt>
                <c:pt idx="108">
                  <c:v>3.5035299086742095E-6</c:v>
                </c:pt>
                <c:pt idx="109">
                  <c:v>2.2881898011842472E-6</c:v>
                </c:pt>
                <c:pt idx="110">
                  <c:v>2.3579650392191525E-6</c:v>
                </c:pt>
                <c:pt idx="111">
                  <c:v>1.3469181455709587E-6</c:v>
                </c:pt>
                <c:pt idx="112">
                  <c:v>2.8425026963608715E-6</c:v>
                </c:pt>
                <c:pt idx="113">
                  <c:v>5.1214771167991701E-6</c:v>
                </c:pt>
                <c:pt idx="114">
                  <c:v>3.083632629214022E-6</c:v>
                </c:pt>
                <c:pt idx="115">
                  <c:v>4.72795478381396E-6</c:v>
                </c:pt>
                <c:pt idx="116">
                  <c:v>2.8355668087481214E-6</c:v>
                </c:pt>
                <c:pt idx="117">
                  <c:v>7.3495863574958745E-7</c:v>
                </c:pt>
                <c:pt idx="118">
                  <c:v>3.1097751450034832E-6</c:v>
                </c:pt>
                <c:pt idx="119">
                  <c:v>5.2244161978774165E-6</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Calc!$O$6</c:f>
              <c:numCache>
                <c:formatCode>0.00E+00</c:formatCode>
                <c:ptCount val="1"/>
                <c:pt idx="0">
                  <c:v>4000000000000000</c:v>
                </c:pt>
              </c:numCache>
            </c:numRef>
          </c:xVal>
          <c:yVal>
            <c:numRef>
              <c:f>Calc!$S$6</c:f>
              <c:numCache>
                <c:formatCode>0.00E+00</c:formatCode>
                <c:ptCount val="1"/>
                <c:pt idx="0">
                  <c:v>9.0820652329804744E-6</c:v>
                </c:pt>
              </c:numCache>
            </c:numRef>
          </c:yVal>
          <c:smooth val="0"/>
        </c:ser>
        <c:dLbls>
          <c:showLegendKey val="0"/>
          <c:showVal val="0"/>
          <c:showCatName val="0"/>
          <c:showSerName val="0"/>
          <c:showPercent val="0"/>
          <c:showBubbleSize val="0"/>
        </c:dLbls>
        <c:axId val="318922184"/>
        <c:axId val="318922576"/>
      </c:scatterChart>
      <c:valAx>
        <c:axId val="318922184"/>
        <c:scaling>
          <c:logBase val="10"/>
          <c:orientation val="minMax"/>
          <c:min val="1000000000000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318922576"/>
        <c:crosses val="autoZero"/>
        <c:crossBetween val="midCat"/>
      </c:valAx>
      <c:valAx>
        <c:axId val="318922576"/>
        <c:scaling>
          <c:orientation val="minMax"/>
          <c:max val="3.1581051631178026E-5"/>
          <c:min val="0"/>
        </c:scaling>
        <c:delete val="0"/>
        <c:axPos val="l"/>
        <c:majorGridlines/>
        <c:title>
          <c:tx>
            <c:rich>
              <a:bodyPr rot="-5400000" vert="horz"/>
              <a:lstStyle/>
              <a:p>
                <a:pPr>
                  <a:defRPr sz="1200"/>
                </a:pPr>
                <a:r>
                  <a:rPr lang="en-US" sz="1200"/>
                  <a:t>Minority Carrier Lifetime (seconds)</a:t>
                </a:r>
              </a:p>
            </c:rich>
          </c:tx>
          <c:layout>
            <c:manualLayout>
              <c:xMode val="edge"/>
              <c:yMode val="edge"/>
              <c:x val="3.8090144175614786E-2"/>
              <c:y val="0.13788835539584984"/>
            </c:manualLayout>
          </c:layout>
          <c:overlay val="0"/>
        </c:title>
        <c:numFmt formatCode="0.00E+00" sourceLinked="0"/>
        <c:majorTickMark val="out"/>
        <c:minorTickMark val="none"/>
        <c:tickLblPos val="nextTo"/>
        <c:spPr>
          <a:ln>
            <a:noFill/>
          </a:ln>
        </c:spPr>
        <c:txPr>
          <a:bodyPr/>
          <a:lstStyle/>
          <a:p>
            <a:pPr>
              <a:defRPr b="1"/>
            </a:pPr>
            <a:endParaRPr lang="en-US"/>
          </a:p>
        </c:txPr>
        <c:crossAx val="318922184"/>
        <c:crosses val="autoZero"/>
        <c:crossBetween val="midCat"/>
      </c:valAx>
      <c:spPr>
        <a:ln>
          <a:solidFill>
            <a:sysClr val="windowText" lastClr="000000"/>
          </a:solidFill>
        </a:ln>
      </c:spPr>
    </c:plotArea>
    <c:legend>
      <c:legendPos val="r"/>
      <c:layout>
        <c:manualLayout>
          <c:xMode val="edge"/>
          <c:yMode val="edge"/>
          <c:x val="0.60299169485391568"/>
          <c:y val="0.15382177097091537"/>
          <c:w val="0.27959762005095484"/>
          <c:h val="0.1706503353103502"/>
        </c:manualLayout>
      </c:layout>
      <c:overlay val="1"/>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Calc!$C$9:$C$133</c:f>
              <c:numCache>
                <c:formatCode>0.0000</c:formatCode>
                <c:ptCount val="125"/>
                <c:pt idx="0">
                  <c:v>0.36832900000000002</c:v>
                </c:pt>
                <c:pt idx="1">
                  <c:v>0.55086999999999997</c:v>
                </c:pt>
                <c:pt idx="2">
                  <c:v>0.612294</c:v>
                </c:pt>
                <c:pt idx="3">
                  <c:v>0.62779399999999996</c:v>
                </c:pt>
                <c:pt idx="4">
                  <c:v>0.61406300000000003</c:v>
                </c:pt>
                <c:pt idx="5">
                  <c:v>0.58807699999999996</c:v>
                </c:pt>
                <c:pt idx="6">
                  <c:v>0.555311</c:v>
                </c:pt>
                <c:pt idx="7">
                  <c:v>0.52234199999999997</c:v>
                </c:pt>
                <c:pt idx="8">
                  <c:v>0.49124200000000001</c:v>
                </c:pt>
                <c:pt idx="9">
                  <c:v>0.462113</c:v>
                </c:pt>
                <c:pt idx="10">
                  <c:v>0.43501099999999998</c:v>
                </c:pt>
                <c:pt idx="11">
                  <c:v>0.40977799999999998</c:v>
                </c:pt>
                <c:pt idx="12">
                  <c:v>0.386106</c:v>
                </c:pt>
                <c:pt idx="13">
                  <c:v>0.36399500000000001</c:v>
                </c:pt>
                <c:pt idx="14">
                  <c:v>0.34325699999999998</c:v>
                </c:pt>
                <c:pt idx="15">
                  <c:v>0.32363599999999998</c:v>
                </c:pt>
                <c:pt idx="16">
                  <c:v>0.30527500000000002</c:v>
                </c:pt>
                <c:pt idx="17">
                  <c:v>0.28798600000000002</c:v>
                </c:pt>
                <c:pt idx="18">
                  <c:v>0.27168599999999998</c:v>
                </c:pt>
                <c:pt idx="19">
                  <c:v>0.25643300000000002</c:v>
                </c:pt>
                <c:pt idx="20">
                  <c:v>0.24216499999999999</c:v>
                </c:pt>
                <c:pt idx="21">
                  <c:v>0.22878599999999999</c:v>
                </c:pt>
                <c:pt idx="22">
                  <c:v>0.21621599999999999</c:v>
                </c:pt>
                <c:pt idx="23">
                  <c:v>0.20435800000000001</c:v>
                </c:pt>
                <c:pt idx="24">
                  <c:v>0.19327800000000001</c:v>
                </c:pt>
                <c:pt idx="25">
                  <c:v>0.18282000000000001</c:v>
                </c:pt>
                <c:pt idx="26">
                  <c:v>0.17302100000000001</c:v>
                </c:pt>
                <c:pt idx="27">
                  <c:v>0.16381599999999999</c:v>
                </c:pt>
                <c:pt idx="28">
                  <c:v>0.15488099999999999</c:v>
                </c:pt>
                <c:pt idx="29">
                  <c:v>0.14660699999999999</c:v>
                </c:pt>
                <c:pt idx="30">
                  <c:v>0.13889399999999999</c:v>
                </c:pt>
                <c:pt idx="31">
                  <c:v>0.131629</c:v>
                </c:pt>
                <c:pt idx="32">
                  <c:v>0.124806</c:v>
                </c:pt>
                <c:pt idx="33">
                  <c:v>0.118393</c:v>
                </c:pt>
                <c:pt idx="34">
                  <c:v>0.112312</c:v>
                </c:pt>
                <c:pt idx="35">
                  <c:v>0.106595</c:v>
                </c:pt>
                <c:pt idx="36">
                  <c:v>0.101171</c:v>
                </c:pt>
                <c:pt idx="37">
                  <c:v>9.6101699999999998E-2</c:v>
                </c:pt>
                <c:pt idx="38">
                  <c:v>9.1275499999999996E-2</c:v>
                </c:pt>
                <c:pt idx="39">
                  <c:v>8.6663199999999996E-2</c:v>
                </c:pt>
                <c:pt idx="40">
                  <c:v>8.2339899999999994E-2</c:v>
                </c:pt>
                <c:pt idx="41">
                  <c:v>7.8252000000000002E-2</c:v>
                </c:pt>
                <c:pt idx="42">
                  <c:v>7.4370199999999997E-2</c:v>
                </c:pt>
                <c:pt idx="43">
                  <c:v>7.0730600000000005E-2</c:v>
                </c:pt>
                <c:pt idx="44">
                  <c:v>6.72677E-2</c:v>
                </c:pt>
                <c:pt idx="45">
                  <c:v>6.3999100000000003E-2</c:v>
                </c:pt>
                <c:pt idx="46">
                  <c:v>6.0908299999999999E-2</c:v>
                </c:pt>
                <c:pt idx="47">
                  <c:v>5.7949300000000002E-2</c:v>
                </c:pt>
                <c:pt idx="48">
                  <c:v>5.5169000000000003E-2</c:v>
                </c:pt>
                <c:pt idx="49">
                  <c:v>5.2491299999999998E-2</c:v>
                </c:pt>
                <c:pt idx="50">
                  <c:v>5.0004E-2</c:v>
                </c:pt>
                <c:pt idx="51">
                  <c:v>4.7623100000000002E-2</c:v>
                </c:pt>
                <c:pt idx="52">
                  <c:v>4.5375100000000002E-2</c:v>
                </c:pt>
                <c:pt idx="53">
                  <c:v>4.3196400000000003E-2</c:v>
                </c:pt>
                <c:pt idx="54">
                  <c:v>4.1140700000000002E-2</c:v>
                </c:pt>
                <c:pt idx="55">
                  <c:v>3.9209099999999997E-2</c:v>
                </c:pt>
                <c:pt idx="56">
                  <c:v>3.7366299999999998E-2</c:v>
                </c:pt>
                <c:pt idx="57">
                  <c:v>3.5632900000000002E-2</c:v>
                </c:pt>
                <c:pt idx="58">
                  <c:v>3.3938599999999999E-2</c:v>
                </c:pt>
                <c:pt idx="59">
                  <c:v>3.2316499999999998E-2</c:v>
                </c:pt>
                <c:pt idx="60">
                  <c:v>3.0805800000000001E-2</c:v>
                </c:pt>
                <c:pt idx="61">
                  <c:v>2.93712E-2</c:v>
                </c:pt>
                <c:pt idx="62">
                  <c:v>2.792E-2</c:v>
                </c:pt>
                <c:pt idx="63">
                  <c:v>2.6604599999999999E-2</c:v>
                </c:pt>
                <c:pt idx="64">
                  <c:v>2.53858E-2</c:v>
                </c:pt>
                <c:pt idx="65">
                  <c:v>2.4188600000000001E-2</c:v>
                </c:pt>
                <c:pt idx="66">
                  <c:v>2.3082100000000001E-2</c:v>
                </c:pt>
                <c:pt idx="67">
                  <c:v>2.2008900000000001E-2</c:v>
                </c:pt>
                <c:pt idx="68">
                  <c:v>2.09669E-2</c:v>
                </c:pt>
                <c:pt idx="69">
                  <c:v>1.99679E-2</c:v>
                </c:pt>
                <c:pt idx="70">
                  <c:v>1.9039199999999999E-2</c:v>
                </c:pt>
                <c:pt idx="71">
                  <c:v>1.8166100000000001E-2</c:v>
                </c:pt>
                <c:pt idx="72">
                  <c:v>1.7326299999999999E-2</c:v>
                </c:pt>
                <c:pt idx="73">
                  <c:v>1.6513799999999999E-2</c:v>
                </c:pt>
                <c:pt idx="74">
                  <c:v>1.5756900000000001E-2</c:v>
                </c:pt>
                <c:pt idx="75">
                  <c:v>1.50323E-2</c:v>
                </c:pt>
                <c:pt idx="76">
                  <c:v>1.4334100000000001E-2</c:v>
                </c:pt>
                <c:pt idx="77">
                  <c:v>1.36661E-2</c:v>
                </c:pt>
                <c:pt idx="78">
                  <c:v>1.3003000000000001E-2</c:v>
                </c:pt>
                <c:pt idx="79">
                  <c:v>1.2381E-2</c:v>
                </c:pt>
                <c:pt idx="80">
                  <c:v>1.18204E-2</c:v>
                </c:pt>
                <c:pt idx="81">
                  <c:v>1.1244199999999999E-2</c:v>
                </c:pt>
                <c:pt idx="82">
                  <c:v>1.0717900000000001E-2</c:v>
                </c:pt>
                <c:pt idx="83">
                  <c:v>1.02159E-2</c:v>
                </c:pt>
                <c:pt idx="84">
                  <c:v>9.7413099999999996E-3</c:v>
                </c:pt>
                <c:pt idx="85">
                  <c:v>9.2823200000000002E-3</c:v>
                </c:pt>
                <c:pt idx="86">
                  <c:v>8.8428699999999992E-3</c:v>
                </c:pt>
                <c:pt idx="87">
                  <c:v>8.4122099999999998E-3</c:v>
                </c:pt>
                <c:pt idx="88">
                  <c:v>8.0098600000000006E-3</c:v>
                </c:pt>
                <c:pt idx="89">
                  <c:v>7.6348600000000003E-3</c:v>
                </c:pt>
                <c:pt idx="90">
                  <c:v>7.2579100000000002E-3</c:v>
                </c:pt>
                <c:pt idx="91">
                  <c:v>6.9102499999999997E-3</c:v>
                </c:pt>
                <c:pt idx="92">
                  <c:v>6.5674799999999997E-3</c:v>
                </c:pt>
                <c:pt idx="93">
                  <c:v>6.254E-3</c:v>
                </c:pt>
                <c:pt idx="94">
                  <c:v>5.9366200000000001E-3</c:v>
                </c:pt>
                <c:pt idx="95">
                  <c:v>5.6368099999999999E-3</c:v>
                </c:pt>
                <c:pt idx="96">
                  <c:v>5.3555599999999997E-3</c:v>
                </c:pt>
                <c:pt idx="97">
                  <c:v>5.0997100000000004E-3</c:v>
                </c:pt>
                <c:pt idx="98">
                  <c:v>4.8204099999999998E-3</c:v>
                </c:pt>
                <c:pt idx="99">
                  <c:v>4.5948200000000003E-3</c:v>
                </c:pt>
                <c:pt idx="100">
                  <c:v>4.3565399999999999E-3</c:v>
                </c:pt>
                <c:pt idx="101">
                  <c:v>4.1299800000000001E-3</c:v>
                </c:pt>
                <c:pt idx="102">
                  <c:v>3.8995100000000001E-3</c:v>
                </c:pt>
                <c:pt idx="103">
                  <c:v>3.7139600000000001E-3</c:v>
                </c:pt>
                <c:pt idx="104">
                  <c:v>3.5225600000000001E-3</c:v>
                </c:pt>
                <c:pt idx="105">
                  <c:v>3.3330999999999999E-3</c:v>
                </c:pt>
                <c:pt idx="106">
                  <c:v>3.1612300000000001E-3</c:v>
                </c:pt>
                <c:pt idx="107">
                  <c:v>2.9805600000000002E-3</c:v>
                </c:pt>
                <c:pt idx="108">
                  <c:v>2.8438500000000002E-3</c:v>
                </c:pt>
                <c:pt idx="109">
                  <c:v>2.6895500000000002E-3</c:v>
                </c:pt>
                <c:pt idx="110">
                  <c:v>2.5264599999999999E-3</c:v>
                </c:pt>
                <c:pt idx="111">
                  <c:v>2.3965800000000002E-3</c:v>
                </c:pt>
                <c:pt idx="112">
                  <c:v>2.2647399999999999E-3</c:v>
                </c:pt>
                <c:pt idx="113">
                  <c:v>2.1504900000000001E-3</c:v>
                </c:pt>
                <c:pt idx="114">
                  <c:v>2.0245100000000002E-3</c:v>
                </c:pt>
                <c:pt idx="115">
                  <c:v>1.92783E-3</c:v>
                </c:pt>
                <c:pt idx="116">
                  <c:v>1.8077099999999999E-3</c:v>
                </c:pt>
                <c:pt idx="117">
                  <c:v>1.7149400000000001E-3</c:v>
                </c:pt>
                <c:pt idx="118">
                  <c:v>1.6036100000000001E-3</c:v>
                </c:pt>
                <c:pt idx="119">
                  <c:v>1.54306E-3</c:v>
                </c:pt>
                <c:pt idx="120">
                  <c:v>1.44834E-3</c:v>
                </c:pt>
                <c:pt idx="121">
                  <c:v>1.3653300000000001E-3</c:v>
                </c:pt>
                <c:pt idx="122">
                  <c:v>1.2813499999999999E-3</c:v>
                </c:pt>
                <c:pt idx="123">
                  <c:v>1.22178E-3</c:v>
                </c:pt>
                <c:pt idx="124">
                  <c:v>1.1475599999999999E-3</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Command!$E$17:$E$18</c:f>
              <c:numCache>
                <c:formatCode>General</c:formatCode>
                <c:ptCount val="2"/>
                <c:pt idx="0">
                  <c:v>1</c:v>
                </c:pt>
                <c:pt idx="1">
                  <c:v>1</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Command!$F$17:$F$18</c:f>
              <c:numCache>
                <c:formatCode>General</c:formatCode>
                <c:ptCount val="2"/>
                <c:pt idx="0">
                  <c:v>0.4</c:v>
                </c:pt>
                <c:pt idx="1">
                  <c:v>0.4</c:v>
                </c:pt>
              </c:numCache>
            </c:numRef>
          </c:yVal>
          <c:smooth val="1"/>
        </c:ser>
        <c:dLbls>
          <c:showLegendKey val="0"/>
          <c:showVal val="0"/>
          <c:showCatName val="0"/>
          <c:showSerName val="0"/>
          <c:showPercent val="0"/>
          <c:showBubbleSize val="0"/>
        </c:dLbls>
        <c:axId val="318923360"/>
        <c:axId val="318923752"/>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Calc!$B$9:$B$133</c:f>
              <c:numCache>
                <c:formatCode>0.00E+00</c:formatCode>
                <c:ptCount val="125"/>
                <c:pt idx="0">
                  <c:v>0.28174399999999999</c:v>
                </c:pt>
                <c:pt idx="1">
                  <c:v>0.53121399999999996</c:v>
                </c:pt>
                <c:pt idx="2">
                  <c:v>0.61400100000000002</c:v>
                </c:pt>
                <c:pt idx="3">
                  <c:v>0.621031</c:v>
                </c:pt>
                <c:pt idx="4">
                  <c:v>0.59563200000000005</c:v>
                </c:pt>
                <c:pt idx="5">
                  <c:v>0.56855</c:v>
                </c:pt>
                <c:pt idx="6">
                  <c:v>0.54052500000000003</c:v>
                </c:pt>
                <c:pt idx="7">
                  <c:v>0.51258899999999996</c:v>
                </c:pt>
                <c:pt idx="8">
                  <c:v>0.485263</c:v>
                </c:pt>
                <c:pt idx="9">
                  <c:v>0.458976</c:v>
                </c:pt>
                <c:pt idx="10">
                  <c:v>0.43409300000000001</c:v>
                </c:pt>
                <c:pt idx="11">
                  <c:v>0.41023799999999999</c:v>
                </c:pt>
                <c:pt idx="12">
                  <c:v>0.38771800000000001</c:v>
                </c:pt>
                <c:pt idx="13">
                  <c:v>0.36559900000000001</c:v>
                </c:pt>
                <c:pt idx="14">
                  <c:v>0.34553299999999998</c:v>
                </c:pt>
                <c:pt idx="15">
                  <c:v>0.32564799999999999</c:v>
                </c:pt>
                <c:pt idx="16">
                  <c:v>0.30714200000000003</c:v>
                </c:pt>
                <c:pt idx="17">
                  <c:v>0.28932400000000003</c:v>
                </c:pt>
                <c:pt idx="18">
                  <c:v>0.272814</c:v>
                </c:pt>
                <c:pt idx="19">
                  <c:v>0.257023</c:v>
                </c:pt>
                <c:pt idx="20">
                  <c:v>0.24216499999999999</c:v>
                </c:pt>
                <c:pt idx="21">
                  <c:v>0.227857</c:v>
                </c:pt>
                <c:pt idx="22">
                  <c:v>0.21469299999999999</c:v>
                </c:pt>
                <c:pt idx="23">
                  <c:v>0.201542</c:v>
                </c:pt>
                <c:pt idx="24">
                  <c:v>0.18971399999999999</c:v>
                </c:pt>
                <c:pt idx="25">
                  <c:v>0.178871</c:v>
                </c:pt>
                <c:pt idx="26">
                  <c:v>0.16808100000000001</c:v>
                </c:pt>
                <c:pt idx="27">
                  <c:v>0.15784899999999999</c:v>
                </c:pt>
                <c:pt idx="28">
                  <c:v>0.148345</c:v>
                </c:pt>
                <c:pt idx="29">
                  <c:v>0.13930000000000001</c:v>
                </c:pt>
                <c:pt idx="30">
                  <c:v>0.131046</c:v>
                </c:pt>
                <c:pt idx="31">
                  <c:v>0.12294099999999999</c:v>
                </c:pt>
                <c:pt idx="32">
                  <c:v>0.115439</c:v>
                </c:pt>
                <c:pt idx="33">
                  <c:v>0.10871400000000001</c:v>
                </c:pt>
                <c:pt idx="34">
                  <c:v>0.102298</c:v>
                </c:pt>
                <c:pt idx="35">
                  <c:v>9.5907699999999999E-2</c:v>
                </c:pt>
                <c:pt idx="36">
                  <c:v>9.0179099999999998E-2</c:v>
                </c:pt>
                <c:pt idx="37">
                  <c:v>8.5044400000000006E-2</c:v>
                </c:pt>
                <c:pt idx="38">
                  <c:v>7.9153699999999994E-2</c:v>
                </c:pt>
                <c:pt idx="39">
                  <c:v>7.4249499999999996E-2</c:v>
                </c:pt>
                <c:pt idx="40">
                  <c:v>7.0165500000000006E-2</c:v>
                </c:pt>
                <c:pt idx="41">
                  <c:v>6.5794400000000003E-2</c:v>
                </c:pt>
                <c:pt idx="42">
                  <c:v>6.1739700000000002E-2</c:v>
                </c:pt>
                <c:pt idx="43">
                  <c:v>5.8046300000000002E-2</c:v>
                </c:pt>
                <c:pt idx="44">
                  <c:v>5.4497499999999997E-2</c:v>
                </c:pt>
                <c:pt idx="45">
                  <c:v>5.1190899999999998E-2</c:v>
                </c:pt>
                <c:pt idx="46">
                  <c:v>4.7780700000000002E-2</c:v>
                </c:pt>
                <c:pt idx="47">
                  <c:v>4.5065899999999999E-2</c:v>
                </c:pt>
                <c:pt idx="48">
                  <c:v>4.2557999999999999E-2</c:v>
                </c:pt>
                <c:pt idx="49">
                  <c:v>4.0030700000000002E-2</c:v>
                </c:pt>
                <c:pt idx="50">
                  <c:v>3.7401799999999999E-2</c:v>
                </c:pt>
                <c:pt idx="51">
                  <c:v>3.5169400000000003E-2</c:v>
                </c:pt>
                <c:pt idx="52">
                  <c:v>3.2968200000000003E-2</c:v>
                </c:pt>
                <c:pt idx="53">
                  <c:v>3.0802199999999998E-2</c:v>
                </c:pt>
                <c:pt idx="54">
                  <c:v>2.9272900000000001E-2</c:v>
                </c:pt>
                <c:pt idx="55">
                  <c:v>2.76303E-2</c:v>
                </c:pt>
                <c:pt idx="56">
                  <c:v>2.5864700000000001E-2</c:v>
                </c:pt>
                <c:pt idx="57">
                  <c:v>2.43705E-2</c:v>
                </c:pt>
                <c:pt idx="58">
                  <c:v>2.2755299999999999E-2</c:v>
                </c:pt>
                <c:pt idx="59">
                  <c:v>2.1544399999999998E-2</c:v>
                </c:pt>
                <c:pt idx="60">
                  <c:v>2.0114699999999999E-2</c:v>
                </c:pt>
                <c:pt idx="61">
                  <c:v>1.8763100000000001E-2</c:v>
                </c:pt>
                <c:pt idx="62">
                  <c:v>1.7845199999999999E-2</c:v>
                </c:pt>
                <c:pt idx="63">
                  <c:v>1.6804099999999999E-2</c:v>
                </c:pt>
                <c:pt idx="64">
                  <c:v>1.5917400000000002E-2</c:v>
                </c:pt>
                <c:pt idx="65">
                  <c:v>1.45366E-2</c:v>
                </c:pt>
                <c:pt idx="66">
                  <c:v>1.3759199999999999E-2</c:v>
                </c:pt>
                <c:pt idx="67">
                  <c:v>1.32768E-2</c:v>
                </c:pt>
                <c:pt idx="68">
                  <c:v>1.24213E-2</c:v>
                </c:pt>
                <c:pt idx="69">
                  <c:v>1.17377E-2</c:v>
                </c:pt>
                <c:pt idx="70">
                  <c:v>1.1116600000000001E-2</c:v>
                </c:pt>
                <c:pt idx="71">
                  <c:v>1.0364699999999999E-2</c:v>
                </c:pt>
                <c:pt idx="72">
                  <c:v>9.4428099999999994E-3</c:v>
                </c:pt>
                <c:pt idx="73">
                  <c:v>9.0385099999999996E-3</c:v>
                </c:pt>
                <c:pt idx="74">
                  <c:v>8.6459399999999995E-3</c:v>
                </c:pt>
                <c:pt idx="75">
                  <c:v>8.1166399999999996E-3</c:v>
                </c:pt>
                <c:pt idx="76">
                  <c:v>7.5424200000000002E-3</c:v>
                </c:pt>
                <c:pt idx="77">
                  <c:v>7.3412499999999997E-3</c:v>
                </c:pt>
                <c:pt idx="78">
                  <c:v>7.0111699999999997E-3</c:v>
                </c:pt>
                <c:pt idx="79">
                  <c:v>6.3119500000000002E-3</c:v>
                </c:pt>
                <c:pt idx="80">
                  <c:v>6.1146899999999999E-3</c:v>
                </c:pt>
                <c:pt idx="81">
                  <c:v>5.8978900000000003E-3</c:v>
                </c:pt>
                <c:pt idx="82">
                  <c:v>5.6361700000000002E-3</c:v>
                </c:pt>
                <c:pt idx="83">
                  <c:v>5.0638999999999997E-3</c:v>
                </c:pt>
                <c:pt idx="84">
                  <c:v>4.97797E-3</c:v>
                </c:pt>
                <c:pt idx="85">
                  <c:v>4.5658599999999997E-3</c:v>
                </c:pt>
                <c:pt idx="86">
                  <c:v>4.2650800000000001E-3</c:v>
                </c:pt>
                <c:pt idx="87">
                  <c:v>4.1439800000000002E-3</c:v>
                </c:pt>
                <c:pt idx="88">
                  <c:v>3.8685899999999999E-3</c:v>
                </c:pt>
                <c:pt idx="89">
                  <c:v>4.0463299999999999E-3</c:v>
                </c:pt>
                <c:pt idx="90">
                  <c:v>3.1908599999999998E-3</c:v>
                </c:pt>
                <c:pt idx="91">
                  <c:v>3.04828E-3</c:v>
                </c:pt>
                <c:pt idx="92">
                  <c:v>2.7006199999999999E-3</c:v>
                </c:pt>
                <c:pt idx="93">
                  <c:v>2.88617E-3</c:v>
                </c:pt>
                <c:pt idx="94">
                  <c:v>2.37054E-3</c:v>
                </c:pt>
                <c:pt idx="95">
                  <c:v>2.31E-3</c:v>
                </c:pt>
                <c:pt idx="96">
                  <c:v>2.3041400000000001E-3</c:v>
                </c:pt>
                <c:pt idx="97">
                  <c:v>2.40179E-3</c:v>
                </c:pt>
                <c:pt idx="98">
                  <c:v>1.9232800000000001E-3</c:v>
                </c:pt>
                <c:pt idx="99">
                  <c:v>1.7572600000000001E-3</c:v>
                </c:pt>
                <c:pt idx="100">
                  <c:v>1.5307000000000001E-3</c:v>
                </c:pt>
                <c:pt idx="101">
                  <c:v>1.6654700000000001E-3</c:v>
                </c:pt>
                <c:pt idx="102">
                  <c:v>1.6498400000000001E-3</c:v>
                </c:pt>
                <c:pt idx="103">
                  <c:v>1.44086E-3</c:v>
                </c:pt>
                <c:pt idx="104">
                  <c:v>1.4662500000000001E-3</c:v>
                </c:pt>
                <c:pt idx="105">
                  <c:v>1.3783599999999999E-3</c:v>
                </c:pt>
                <c:pt idx="106">
                  <c:v>1.04437E-3</c:v>
                </c:pt>
                <c:pt idx="107">
                  <c:v>8.4710700000000005E-4</c:v>
                </c:pt>
                <c:pt idx="108">
                  <c:v>1.3666399999999999E-3</c:v>
                </c:pt>
                <c:pt idx="109">
                  <c:v>1.0580399999999999E-3</c:v>
                </c:pt>
                <c:pt idx="110">
                  <c:v>1.1127299999999999E-3</c:v>
                </c:pt>
                <c:pt idx="111">
                  <c:v>1.0267900000000001E-3</c:v>
                </c:pt>
                <c:pt idx="112">
                  <c:v>6.3617000000000003E-4</c:v>
                </c:pt>
                <c:pt idx="113">
                  <c:v>6.2054500000000002E-4</c:v>
                </c:pt>
                <c:pt idx="114">
                  <c:v>3.3148200000000002E-4</c:v>
                </c:pt>
                <c:pt idx="115">
                  <c:v>6.6546699999999999E-4</c:v>
                </c:pt>
                <c:pt idx="116">
                  <c:v>1.1205399999999999E-3</c:v>
                </c:pt>
                <c:pt idx="117">
                  <c:v>6.4593500000000004E-4</c:v>
                </c:pt>
                <c:pt idx="118">
                  <c:v>9.3304499999999997E-4</c:v>
                </c:pt>
                <c:pt idx="119">
                  <c:v>5.3656000000000005E-4</c:v>
                </c:pt>
                <c:pt idx="120">
                  <c:v>1.3030999999999999E-4</c:v>
                </c:pt>
                <c:pt idx="121">
                  <c:v>5.1702900000000001E-4</c:v>
                </c:pt>
                <c:pt idx="122">
                  <c:v>8.1585700000000002E-4</c:v>
                </c:pt>
                <c:pt idx="123">
                  <c:v>3.1585700000000001E-4</c:v>
                </c:pt>
                <c:pt idx="124">
                  <c:v>1.8890399999999999E-4</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Command!$C$17:$C$18</c:f>
              <c:numCache>
                <c:formatCode>General</c:formatCode>
                <c:ptCount val="2"/>
                <c:pt idx="0">
                  <c:v>2</c:v>
                </c:pt>
                <c:pt idx="1">
                  <c:v>2</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Command!$D$17:$D$18</c:f>
              <c:numCache>
                <c:formatCode>General</c:formatCode>
                <c:ptCount val="2"/>
                <c:pt idx="0">
                  <c:v>0.8</c:v>
                </c:pt>
                <c:pt idx="1">
                  <c:v>0.8</c:v>
                </c:pt>
              </c:numCache>
            </c:numRef>
          </c:yVal>
          <c:smooth val="0"/>
        </c:ser>
        <c:dLbls>
          <c:showLegendKey val="0"/>
          <c:showVal val="0"/>
          <c:showCatName val="0"/>
          <c:showSerName val="0"/>
          <c:showPercent val="0"/>
          <c:showBubbleSize val="0"/>
        </c:dLbls>
        <c:axId val="318924144"/>
        <c:axId val="318924536"/>
      </c:scatterChart>
      <c:valAx>
        <c:axId val="318923360"/>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318923752"/>
        <c:crosses val="autoZero"/>
        <c:crossBetween val="midCat"/>
      </c:valAx>
      <c:valAx>
        <c:axId val="318923752"/>
        <c:scaling>
          <c:orientation val="minMax"/>
          <c:max val="1.05"/>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318923360"/>
        <c:crosses val="autoZero"/>
        <c:crossBetween val="midCat"/>
      </c:valAx>
      <c:valAx>
        <c:axId val="318924144"/>
        <c:scaling>
          <c:orientation val="minMax"/>
        </c:scaling>
        <c:delete val="1"/>
        <c:axPos val="b"/>
        <c:numFmt formatCode="0.00E+00" sourceLinked="1"/>
        <c:majorTickMark val="out"/>
        <c:minorTickMark val="none"/>
        <c:tickLblPos val="none"/>
        <c:crossAx val="318924536"/>
        <c:crosses val="autoZero"/>
        <c:crossBetween val="midCat"/>
      </c:valAx>
      <c:valAx>
        <c:axId val="318924536"/>
        <c:scaling>
          <c:orientation val="minMax"/>
          <c:max val="2.1"/>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318924144"/>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Calc!$AC$8</c:f>
              <c:strCache>
                <c:ptCount val="1"/>
                <c:pt idx="0">
                  <c:v>Undoped Cond</c:v>
                </c:pt>
              </c:strCache>
            </c:strRef>
          </c:tx>
          <c:spPr>
            <a:ln w="28575">
              <a:noFill/>
            </a:ln>
          </c:spPr>
          <c:trendline>
            <c:trendlineType val="poly"/>
            <c:order val="3"/>
            <c:dispRSqr val="1"/>
            <c:dispEq val="1"/>
            <c:trendlineLbl>
              <c:layout>
                <c:manualLayout>
                  <c:x val="2.6631125477858408E-2"/>
                  <c:y val="-4.5300014581510645E-2"/>
                </c:manualLayout>
              </c:layout>
              <c:numFmt formatCode="General" sourceLinked="0"/>
            </c:trendlineLbl>
          </c:trendline>
          <c:xVal>
            <c:numRef>
              <c:f>Calc!$AA$9:$AA$44</c:f>
              <c:numCache>
                <c:formatCode>0.000</c:formatCode>
                <c:ptCount val="36"/>
                <c:pt idx="0">
                  <c:v>25.574943999999999</c:v>
                </c:pt>
                <c:pt idx="1">
                  <c:v>30.514984999999999</c:v>
                </c:pt>
                <c:pt idx="2">
                  <c:v>35.505572999999998</c:v>
                </c:pt>
                <c:pt idx="3">
                  <c:v>40.471617000000002</c:v>
                </c:pt>
                <c:pt idx="4">
                  <c:v>45.471893999999999</c:v>
                </c:pt>
                <c:pt idx="5">
                  <c:v>50.503872000000001</c:v>
                </c:pt>
                <c:pt idx="6">
                  <c:v>55.478293000000001</c:v>
                </c:pt>
                <c:pt idx="7">
                  <c:v>60.477620000000002</c:v>
                </c:pt>
                <c:pt idx="8">
                  <c:v>65.476241999999999</c:v>
                </c:pt>
                <c:pt idx="9">
                  <c:v>70.471900000000005</c:v>
                </c:pt>
                <c:pt idx="10">
                  <c:v>75.441408999999993</c:v>
                </c:pt>
                <c:pt idx="11">
                  <c:v>80.439930000000004</c:v>
                </c:pt>
                <c:pt idx="12">
                  <c:v>85.464177000000007</c:v>
                </c:pt>
                <c:pt idx="13">
                  <c:v>90.457423000000006</c:v>
                </c:pt>
                <c:pt idx="14">
                  <c:v>95.445974000000007</c:v>
                </c:pt>
                <c:pt idx="15">
                  <c:v>100.439252</c:v>
                </c:pt>
                <c:pt idx="16">
                  <c:v>105.532697</c:v>
                </c:pt>
                <c:pt idx="17">
                  <c:v>110.37857200000001</c:v>
                </c:pt>
                <c:pt idx="18">
                  <c:v>115.414168</c:v>
                </c:pt>
                <c:pt idx="19">
                  <c:v>120.43200899999999</c:v>
                </c:pt>
                <c:pt idx="20">
                  <c:v>125.43118</c:v>
                </c:pt>
                <c:pt idx="21">
                  <c:v>130.38081299999999</c:v>
                </c:pt>
                <c:pt idx="22">
                  <c:v>135.37871899999999</c:v>
                </c:pt>
                <c:pt idx="23">
                  <c:v>140.399551</c:v>
                </c:pt>
                <c:pt idx="24">
                  <c:v>145.42892699999999</c:v>
                </c:pt>
                <c:pt idx="25">
                  <c:v>150.45680400000001</c:v>
                </c:pt>
                <c:pt idx="26">
                  <c:v>155.38770099999999</c:v>
                </c:pt>
                <c:pt idx="27">
                  <c:v>160.34243699999999</c:v>
                </c:pt>
                <c:pt idx="28">
                  <c:v>165.35217</c:v>
                </c:pt>
                <c:pt idx="29">
                  <c:v>170.34768399999999</c:v>
                </c:pt>
                <c:pt idx="30">
                  <c:v>175.25808599999999</c:v>
                </c:pt>
                <c:pt idx="31">
                  <c:v>180.42495400000001</c:v>
                </c:pt>
                <c:pt idx="32">
                  <c:v>185.40361999999999</c:v>
                </c:pt>
                <c:pt idx="33">
                  <c:v>190.424297</c:v>
                </c:pt>
                <c:pt idx="34">
                  <c:v>195.404594</c:v>
                </c:pt>
                <c:pt idx="35" formatCode="General">
                  <c:v>200.29631699999999</c:v>
                </c:pt>
              </c:numCache>
            </c:numRef>
          </c:xVal>
          <c:yVal>
            <c:numRef>
              <c:f>Calc!$AC$9:$AC$44</c:f>
              <c:numCache>
                <c:formatCode>0.00E+00</c:formatCode>
                <c:ptCount val="36"/>
                <c:pt idx="0">
                  <c:v>2.328985414709906E-4</c:v>
                </c:pt>
                <c:pt idx="1">
                  <c:v>1.0520413135535576E-3</c:v>
                </c:pt>
                <c:pt idx="2">
                  <c:v>1.7270613285715775E-3</c:v>
                </c:pt>
                <c:pt idx="3">
                  <c:v>2.083223628346299E-3</c:v>
                </c:pt>
                <c:pt idx="4">
                  <c:v>2.7014999585837076E-3</c:v>
                </c:pt>
                <c:pt idx="5">
                  <c:v>3.6056824267328411E-3</c:v>
                </c:pt>
                <c:pt idx="6">
                  <c:v>4.2538985031319873E-3</c:v>
                </c:pt>
                <c:pt idx="7">
                  <c:v>4.7181834470028886E-3</c:v>
                </c:pt>
                <c:pt idx="8">
                  <c:v>5.6458564917853272E-3</c:v>
                </c:pt>
                <c:pt idx="9">
                  <c:v>6.1142128955096612E-3</c:v>
                </c:pt>
                <c:pt idx="10">
                  <c:v>6.7523606046867891E-3</c:v>
                </c:pt>
                <c:pt idx="11">
                  <c:v>7.4348079842817558E-3</c:v>
                </c:pt>
                <c:pt idx="12">
                  <c:v>8.1062408529846402E-3</c:v>
                </c:pt>
                <c:pt idx="13">
                  <c:v>8.7480770846300963E-3</c:v>
                </c:pt>
                <c:pt idx="14">
                  <c:v>9.3841736448925794E-3</c:v>
                </c:pt>
                <c:pt idx="15">
                  <c:v>1.0044454094643277E-2</c:v>
                </c:pt>
                <c:pt idx="16">
                  <c:v>1.0646903385833786E-2</c:v>
                </c:pt>
                <c:pt idx="17">
                  <c:v>1.1217528702478064E-2</c:v>
                </c:pt>
                <c:pt idx="18">
                  <c:v>1.179461226035519E-2</c:v>
                </c:pt>
                <c:pt idx="19">
                  <c:v>1.2344806232735032E-2</c:v>
                </c:pt>
                <c:pt idx="20">
                  <c:v>1.2851918029343556E-2</c:v>
                </c:pt>
                <c:pt idx="21">
                  <c:v>1.3406734397765747E-2</c:v>
                </c:pt>
                <c:pt idx="22">
                  <c:v>1.3860396870222712E-2</c:v>
                </c:pt>
                <c:pt idx="23">
                  <c:v>1.4331033952615263E-2</c:v>
                </c:pt>
                <c:pt idx="24">
                  <c:v>1.4825392898287097E-2</c:v>
                </c:pt>
                <c:pt idx="25">
                  <c:v>1.5301282694824113E-2</c:v>
                </c:pt>
                <c:pt idx="26">
                  <c:v>1.5651271388278185E-2</c:v>
                </c:pt>
                <c:pt idx="27">
                  <c:v>1.6059623538971474E-2</c:v>
                </c:pt>
                <c:pt idx="28">
                  <c:v>1.6444477803898426E-2</c:v>
                </c:pt>
                <c:pt idx="29">
                  <c:v>1.6765927328661435E-2</c:v>
                </c:pt>
                <c:pt idx="30">
                  <c:v>1.7086906625896261E-2</c:v>
                </c:pt>
                <c:pt idx="31">
                  <c:v>1.7471125658901181E-2</c:v>
                </c:pt>
                <c:pt idx="32">
                  <c:v>1.7817886409151093E-2</c:v>
                </c:pt>
                <c:pt idx="33">
                  <c:v>1.8139377339711844E-2</c:v>
                </c:pt>
                <c:pt idx="34">
                  <c:v>1.850624799379659E-2</c:v>
                </c:pt>
                <c:pt idx="35">
                  <c:v>1.8893864133679439E-2</c:v>
                </c:pt>
              </c:numCache>
            </c:numRef>
          </c:yVal>
          <c:smooth val="0"/>
        </c:ser>
        <c:dLbls>
          <c:showLegendKey val="0"/>
          <c:showVal val="0"/>
          <c:showCatName val="0"/>
          <c:showSerName val="0"/>
          <c:showPercent val="0"/>
          <c:showBubbleSize val="0"/>
        </c:dLbls>
        <c:axId val="318918656"/>
        <c:axId val="318925712"/>
      </c:scatterChart>
      <c:valAx>
        <c:axId val="318918656"/>
        <c:scaling>
          <c:orientation val="minMax"/>
        </c:scaling>
        <c:delete val="0"/>
        <c:axPos val="b"/>
        <c:numFmt formatCode="0.000" sourceLinked="1"/>
        <c:majorTickMark val="out"/>
        <c:minorTickMark val="none"/>
        <c:tickLblPos val="nextTo"/>
        <c:crossAx val="318925712"/>
        <c:crosses val="autoZero"/>
        <c:crossBetween val="midCat"/>
      </c:valAx>
      <c:valAx>
        <c:axId val="318925712"/>
        <c:scaling>
          <c:orientation val="minMax"/>
        </c:scaling>
        <c:delete val="0"/>
        <c:axPos val="l"/>
        <c:majorGridlines/>
        <c:numFmt formatCode="0.00E+00" sourceLinked="1"/>
        <c:majorTickMark val="out"/>
        <c:minorTickMark val="none"/>
        <c:tickLblPos val="nextTo"/>
        <c:crossAx val="318918656"/>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 Dependent Lifetime</a:t>
            </a:r>
          </a:p>
        </c:rich>
      </c:tx>
      <c:layout/>
      <c:overlay val="0"/>
    </c:title>
    <c:autoTitleDeleted val="0"/>
    <c:plotArea>
      <c:layout/>
      <c:scatterChart>
        <c:scatterStyle val="lineMarker"/>
        <c:varyColors val="0"/>
        <c:ser>
          <c:idx val="1"/>
          <c:order val="1"/>
          <c:tx>
            <c:strRef>
              <c:f>Plots!$B$1</c:f>
              <c:strCache>
                <c:ptCount val="1"/>
                <c:pt idx="0">
                  <c:v>190</c:v>
                </c:pt>
              </c:strCache>
            </c:strRef>
          </c:tx>
          <c:spPr>
            <a:ln w="28575">
              <a:noFill/>
            </a:ln>
          </c:spPr>
          <c:marker>
            <c:symbol val="diamond"/>
            <c:size val="7"/>
            <c:spPr>
              <a:solidFill>
                <a:schemeClr val="accent2">
                  <a:lumMod val="50000"/>
                </a:schemeClr>
              </a:solidFill>
              <a:ln>
                <a:noFill/>
              </a:ln>
            </c:spPr>
          </c:marker>
          <c:xVal>
            <c:numRef>
              <c:f>Plots!$B$3:$B$127</c:f>
              <c:numCache>
                <c:formatCode>General</c:formatCode>
                <c:ptCount val="125"/>
                <c:pt idx="0">
                  <c:v>5153967884895930</c:v>
                </c:pt>
                <c:pt idx="1">
                  <c:v>1.0684438738698212E+16</c:v>
                </c:pt>
                <c:pt idx="2">
                  <c:v>1.1904947597485446E+16</c:v>
                </c:pt>
                <c:pt idx="3">
                  <c:v>1.2191519962784318E+16</c:v>
                </c:pt>
                <c:pt idx="4">
                  <c:v>1.1778924476713738E+16</c:v>
                </c:pt>
                <c:pt idx="5">
                  <c:v>1.1269588901747112E+16</c:v>
                </c:pt>
                <c:pt idx="6">
                  <c:v>1.074557306661451E+16</c:v>
                </c:pt>
                <c:pt idx="7">
                  <c:v>1.0241220049887828E+16</c:v>
                </c:pt>
                <c:pt idx="8">
                  <c:v>9758805543179460</c:v>
                </c:pt>
                <c:pt idx="9">
                  <c:v>9291095812383182</c:v>
                </c:pt>
                <c:pt idx="10">
                  <c:v>8818859551034649</c:v>
                </c:pt>
                <c:pt idx="11">
                  <c:v>8386070829441869</c:v>
                </c:pt>
                <c:pt idx="12">
                  <c:v>7959871187982239</c:v>
                </c:pt>
                <c:pt idx="13">
                  <c:v>7561187586078375</c:v>
                </c:pt>
                <c:pt idx="14">
                  <c:v>7191945145648151</c:v>
                </c:pt>
                <c:pt idx="15">
                  <c:v>6834999286606075</c:v>
                </c:pt>
                <c:pt idx="16">
                  <c:v>6491167271438194</c:v>
                </c:pt>
                <c:pt idx="17">
                  <c:v>6166321715968167</c:v>
                </c:pt>
                <c:pt idx="18">
                  <c:v>5849695039321448</c:v>
                </c:pt>
                <c:pt idx="19">
                  <c:v>5545172596015174</c:v>
                </c:pt>
                <c:pt idx="20">
                  <c:v>5257975799166918</c:v>
                </c:pt>
                <c:pt idx="21">
                  <c:v>4987622790854283</c:v>
                </c:pt>
                <c:pt idx="22">
                  <c:v>4730400967352925</c:v>
                </c:pt>
                <c:pt idx="23">
                  <c:v>4484571772907502.5</c:v>
                </c:pt>
                <c:pt idx="24">
                  <c:v>4253956868275290.5</c:v>
                </c:pt>
                <c:pt idx="25">
                  <c:v>4029446417881325.5</c:v>
                </c:pt>
                <c:pt idx="26">
                  <c:v>3817548863114840.5</c:v>
                </c:pt>
                <c:pt idx="27">
                  <c:v>3618157195366025.5</c:v>
                </c:pt>
                <c:pt idx="28">
                  <c:v>3433883458396332</c:v>
                </c:pt>
                <c:pt idx="29">
                  <c:v>3246395747800561.5</c:v>
                </c:pt>
                <c:pt idx="30">
                  <c:v>3074756391713473</c:v>
                </c:pt>
                <c:pt idx="31">
                  <c:v>2913117713560420</c:v>
                </c:pt>
                <c:pt idx="32">
                  <c:v>2764867762948245.5</c:v>
                </c:pt>
                <c:pt idx="33">
                  <c:v>2612543843073994</c:v>
                </c:pt>
                <c:pt idx="34">
                  <c:v>2473944489822669.5</c:v>
                </c:pt>
                <c:pt idx="35">
                  <c:v>2341287840774022.5</c:v>
                </c:pt>
                <c:pt idx="36">
                  <c:v>2213793854181684.2</c:v>
                </c:pt>
                <c:pt idx="37">
                  <c:v>2093569678592551.5</c:v>
                </c:pt>
                <c:pt idx="38">
                  <c:v>1985683908316802.2</c:v>
                </c:pt>
                <c:pt idx="39">
                  <c:v>1876733734171807</c:v>
                </c:pt>
                <c:pt idx="40">
                  <c:v>1770820787986064.2</c:v>
                </c:pt>
                <c:pt idx="41">
                  <c:v>1669041841240039.5</c:v>
                </c:pt>
                <c:pt idx="42">
                  <c:v>1586327326141042.5</c:v>
                </c:pt>
                <c:pt idx="43">
                  <c:v>1496448678142218</c:v>
                </c:pt>
                <c:pt idx="44">
                  <c:v>1410020092327436.5</c:v>
                </c:pt>
                <c:pt idx="45">
                  <c:v>1335575836085304</c:v>
                </c:pt>
                <c:pt idx="46">
                  <c:v>1257444901917714.2</c:v>
                </c:pt>
                <c:pt idx="47">
                  <c:v>1184711515958829.2</c:v>
                </c:pt>
                <c:pt idx="48">
                  <c:v>1119433385260778.9</c:v>
                </c:pt>
                <c:pt idx="49">
                  <c:v>1060917216781197.1</c:v>
                </c:pt>
                <c:pt idx="50">
                  <c:v>1000328707369708.9</c:v>
                </c:pt>
                <c:pt idx="51">
                  <c:v>947530148631117.5</c:v>
                </c:pt>
                <c:pt idx="52">
                  <c:v>895775323977021.87</c:v>
                </c:pt>
                <c:pt idx="53">
                  <c:v>845446687888051</c:v>
                </c:pt>
                <c:pt idx="54">
                  <c:v>801686885421089.62</c:v>
                </c:pt>
                <c:pt idx="55">
                  <c:v>755745002016046.25</c:v>
                </c:pt>
                <c:pt idx="56">
                  <c:v>718100431933704.75</c:v>
                </c:pt>
                <c:pt idx="57">
                  <c:v>674655876384711</c:v>
                </c:pt>
                <c:pt idx="58">
                  <c:v>640028712629076.87</c:v>
                </c:pt>
                <c:pt idx="59">
                  <c:v>599323531273239</c:v>
                </c:pt>
                <c:pt idx="60">
                  <c:v>563843015908685.62</c:v>
                </c:pt>
                <c:pt idx="61">
                  <c:v>531394257565601.19</c:v>
                </c:pt>
                <c:pt idx="62">
                  <c:v>501592271413201.25</c:v>
                </c:pt>
                <c:pt idx="63">
                  <c:v>477618505763267.31</c:v>
                </c:pt>
                <c:pt idx="64">
                  <c:v>453659101974491.37</c:v>
                </c:pt>
                <c:pt idx="65">
                  <c:v>423481394147375.5</c:v>
                </c:pt>
                <c:pt idx="66">
                  <c:v>400787116939625.06</c:v>
                </c:pt>
                <c:pt idx="67">
                  <c:v>383076980504372</c:v>
                </c:pt>
                <c:pt idx="68">
                  <c:v>353309329222413.06</c:v>
                </c:pt>
                <c:pt idx="69">
                  <c:v>332233572190657.94</c:v>
                </c:pt>
                <c:pt idx="70">
                  <c:v>314279482715158.12</c:v>
                </c:pt>
                <c:pt idx="71">
                  <c:v>297278862388002.25</c:v>
                </c:pt>
                <c:pt idx="72">
                  <c:v>284611658076863.06</c:v>
                </c:pt>
                <c:pt idx="73">
                  <c:v>264244831708593.19</c:v>
                </c:pt>
                <c:pt idx="74">
                  <c:v>251060706825494.37</c:v>
                </c:pt>
                <c:pt idx="75">
                  <c:v>226840696430332.69</c:v>
                </c:pt>
                <c:pt idx="76">
                  <c:v>212737960012718.31</c:v>
                </c:pt>
                <c:pt idx="77">
                  <c:v>203580150334792.91</c:v>
                </c:pt>
                <c:pt idx="78">
                  <c:v>194146036441544.06</c:v>
                </c:pt>
                <c:pt idx="79">
                  <c:v>185807634388040</c:v>
                </c:pt>
                <c:pt idx="80">
                  <c:v>172042891105424.75</c:v>
                </c:pt>
                <c:pt idx="81">
                  <c:v>160999715182957.16</c:v>
                </c:pt>
                <c:pt idx="82">
                  <c:v>152081749671541.84</c:v>
                </c:pt>
                <c:pt idx="83">
                  <c:v>141111519560893.81</c:v>
                </c:pt>
                <c:pt idx="84">
                  <c:v>134009127860060.66</c:v>
                </c:pt>
                <c:pt idx="85">
                  <c:v>120528185702589.59</c:v>
                </c:pt>
                <c:pt idx="86">
                  <c:v>115922702810825.09</c:v>
                </c:pt>
                <c:pt idx="87">
                  <c:v>105968985682383.72</c:v>
                </c:pt>
                <c:pt idx="88">
                  <c:v>101771392935487.03</c:v>
                </c:pt>
                <c:pt idx="89">
                  <c:v>93193329488754.656</c:v>
                </c:pt>
                <c:pt idx="90">
                  <c:v>86079648523113.016</c:v>
                </c:pt>
                <c:pt idx="91">
                  <c:v>80925028098619.437</c:v>
                </c:pt>
                <c:pt idx="92">
                  <c:v>78813912292475.828</c:v>
                </c:pt>
                <c:pt idx="93">
                  <c:v>72731077956279.437</c:v>
                </c:pt>
                <c:pt idx="94">
                  <c:v>70466173462513.937</c:v>
                </c:pt>
                <c:pt idx="95">
                  <c:v>58372775260975.867</c:v>
                </c:pt>
                <c:pt idx="96">
                  <c:v>56451374662072.703</c:v>
                </c:pt>
                <c:pt idx="97">
                  <c:v>51525138227361.523</c:v>
                </c:pt>
                <c:pt idx="98">
                  <c:v>50998613148637.008</c:v>
                </c:pt>
                <c:pt idx="99">
                  <c:v>43876820111273.195</c:v>
                </c:pt>
                <c:pt idx="100">
                  <c:v>46260533423129.977</c:v>
                </c:pt>
                <c:pt idx="101">
                  <c:v>40441617290507.07</c:v>
                </c:pt>
                <c:pt idx="102">
                  <c:v>30452113268186.207</c:v>
                </c:pt>
                <c:pt idx="103">
                  <c:v>28628524041873.746</c:v>
                </c:pt>
                <c:pt idx="104">
                  <c:v>32801481762270.238</c:v>
                </c:pt>
                <c:pt idx="105">
                  <c:v>33110651736274.902</c:v>
                </c:pt>
                <c:pt idx="106">
                  <c:v>26125781820463.984</c:v>
                </c:pt>
                <c:pt idx="107">
                  <c:v>26280163523490.148</c:v>
                </c:pt>
                <c:pt idx="108">
                  <c:v>25878555956535.492</c:v>
                </c:pt>
                <c:pt idx="109">
                  <c:v>19733431193396.133</c:v>
                </c:pt>
                <c:pt idx="110">
                  <c:v>25940401235663.914</c:v>
                </c:pt>
                <c:pt idx="111">
                  <c:v>25971244971506.293</c:v>
                </c:pt>
                <c:pt idx="112">
                  <c:v>17202931763496.586</c:v>
                </c:pt>
                <c:pt idx="113">
                  <c:v>17171968330458.354</c:v>
                </c:pt>
                <c:pt idx="114">
                  <c:v>19023560471185.781</c:v>
                </c:pt>
                <c:pt idx="115">
                  <c:v>14920018896204.195</c:v>
                </c:pt>
                <c:pt idx="116">
                  <c:v>11497464026466.637</c:v>
                </c:pt>
                <c:pt idx="117">
                  <c:v>11220058504179.166</c:v>
                </c:pt>
                <c:pt idx="118">
                  <c:v>8847328264656.5449</c:v>
                </c:pt>
                <c:pt idx="119">
                  <c:v>7245689635742.2578</c:v>
                </c:pt>
                <c:pt idx="120">
                  <c:v>10295475107438.053</c:v>
                </c:pt>
                <c:pt idx="121">
                  <c:v>5613903148861.4316</c:v>
                </c:pt>
                <c:pt idx="122">
                  <c:v>10665293785704.301</c:v>
                </c:pt>
                <c:pt idx="123">
                  <c:v>11250878830986.582</c:v>
                </c:pt>
                <c:pt idx="124">
                  <c:v>14303178418631.691</c:v>
                </c:pt>
              </c:numCache>
            </c:numRef>
          </c:xVal>
          <c:yVal>
            <c:numRef>
              <c:f>Plots!$C$3:$C$127</c:f>
              <c:numCache>
                <c:formatCode>General</c:formatCode>
                <c:ptCount val="125"/>
                <c:pt idx="0">
                  <c:v>0</c:v>
                </c:pt>
                <c:pt idx="1">
                  <c:v>0</c:v>
                </c:pt>
                <c:pt idx="2">
                  <c:v>2.263692858235014E-5</c:v>
                </c:pt>
                <c:pt idx="3">
                  <c:v>2.1945780840518049E-5</c:v>
                </c:pt>
                <c:pt idx="4">
                  <c:v>2.1298730665006883E-5</c:v>
                </c:pt>
                <c:pt idx="5">
                  <c:v>2.0998657885680748E-5</c:v>
                </c:pt>
                <c:pt idx="6">
                  <c:v>2.1076799101425506E-5</c:v>
                </c:pt>
                <c:pt idx="7">
                  <c:v>2.1350188004536026E-5</c:v>
                </c:pt>
                <c:pt idx="8">
                  <c:v>2.1638529830110495E-5</c:v>
                </c:pt>
                <c:pt idx="9">
                  <c:v>2.1896468484661141E-5</c:v>
                </c:pt>
                <c:pt idx="10">
                  <c:v>2.2102898624699459E-5</c:v>
                </c:pt>
                <c:pt idx="11">
                  <c:v>2.2336201626558759E-5</c:v>
                </c:pt>
                <c:pt idx="12">
                  <c:v>2.2525684745144075E-5</c:v>
                </c:pt>
                <c:pt idx="13">
                  <c:v>2.2712018590204942E-5</c:v>
                </c:pt>
                <c:pt idx="14">
                  <c:v>2.291268407469405E-5</c:v>
                </c:pt>
                <c:pt idx="15">
                  <c:v>2.3091232044044566E-5</c:v>
                </c:pt>
                <c:pt idx="16">
                  <c:v>2.3254309264048535E-5</c:v>
                </c:pt>
                <c:pt idx="17">
                  <c:v>2.3420029060837144E-5</c:v>
                </c:pt>
                <c:pt idx="18">
                  <c:v>2.3543924644354384E-5</c:v>
                </c:pt>
                <c:pt idx="19">
                  <c:v>2.3652170625812476E-5</c:v>
                </c:pt>
                <c:pt idx="20">
                  <c:v>2.3751024542905391E-5</c:v>
                </c:pt>
                <c:pt idx="21">
                  <c:v>2.3852268192048323E-5</c:v>
                </c:pt>
                <c:pt idx="22">
                  <c:v>2.3940415472184466E-5</c:v>
                </c:pt>
                <c:pt idx="23">
                  <c:v>2.401482165388873E-5</c:v>
                </c:pt>
                <c:pt idx="24">
                  <c:v>2.4096977280550533E-5</c:v>
                </c:pt>
                <c:pt idx="25">
                  <c:v>2.41341631372445E-5</c:v>
                </c:pt>
                <c:pt idx="26">
                  <c:v>2.4168935720814857E-5</c:v>
                </c:pt>
                <c:pt idx="27">
                  <c:v>2.4202090414965096E-5</c:v>
                </c:pt>
                <c:pt idx="28">
                  <c:v>2.4274214862168911E-5</c:v>
                </c:pt>
                <c:pt idx="29">
                  <c:v>2.426877937499144E-5</c:v>
                </c:pt>
                <c:pt idx="30">
                  <c:v>2.4277178528229606E-5</c:v>
                </c:pt>
                <c:pt idx="31">
                  <c:v>2.4277709604058952E-5</c:v>
                </c:pt>
                <c:pt idx="32">
                  <c:v>2.4311094977677343E-5</c:v>
                </c:pt>
                <c:pt idx="33">
                  <c:v>2.4227491256657397E-5</c:v>
                </c:pt>
                <c:pt idx="34">
                  <c:v>2.4187877788048483E-5</c:v>
                </c:pt>
                <c:pt idx="35">
                  <c:v>2.4131702595141747E-5</c:v>
                </c:pt>
                <c:pt idx="36">
                  <c:v>2.404778871763247E-5</c:v>
                </c:pt>
                <c:pt idx="37">
                  <c:v>2.3956049332523325E-5</c:v>
                </c:pt>
                <c:pt idx="38">
                  <c:v>2.3916883178012314E-5</c:v>
                </c:pt>
                <c:pt idx="39">
                  <c:v>2.381104708515755E-5</c:v>
                </c:pt>
                <c:pt idx="40">
                  <c:v>2.3656079705910229E-5</c:v>
                </c:pt>
                <c:pt idx="41">
                  <c:v>2.3476442533869463E-5</c:v>
                </c:pt>
                <c:pt idx="42">
                  <c:v>2.3484891423406324E-5</c:v>
                </c:pt>
                <c:pt idx="43">
                  <c:v>2.3310342779082637E-5</c:v>
                </c:pt>
                <c:pt idx="44">
                  <c:v>2.3085954954803707E-5</c:v>
                </c:pt>
                <c:pt idx="45">
                  <c:v>2.3006166150313254E-5</c:v>
                </c:pt>
                <c:pt idx="46">
                  <c:v>2.2760529971151436E-5</c:v>
                </c:pt>
                <c:pt idx="47">
                  <c:v>2.2551009527506518E-5</c:v>
                </c:pt>
                <c:pt idx="48">
                  <c:v>2.2396893704134477E-5</c:v>
                </c:pt>
                <c:pt idx="49">
                  <c:v>2.2314934040745061E-5</c:v>
                </c:pt>
                <c:pt idx="50">
                  <c:v>2.2102758694922723E-5</c:v>
                </c:pt>
                <c:pt idx="51">
                  <c:v>2.1982835909301803E-5</c:v>
                </c:pt>
                <c:pt idx="52">
                  <c:v>2.1841443076004678E-5</c:v>
                </c:pt>
                <c:pt idx="53">
                  <c:v>2.163543416830898E-5</c:v>
                </c:pt>
                <c:pt idx="54">
                  <c:v>2.1549891174457525E-5</c:v>
                </c:pt>
                <c:pt idx="55">
                  <c:v>2.1321272870262259E-5</c:v>
                </c:pt>
                <c:pt idx="56">
                  <c:v>2.1260516104681398E-5</c:v>
                </c:pt>
                <c:pt idx="57">
                  <c:v>2.0963921344732125E-5</c:v>
                </c:pt>
                <c:pt idx="58">
                  <c:v>2.0853781938611346E-5</c:v>
                </c:pt>
                <c:pt idx="59">
                  <c:v>2.0519111511616592E-5</c:v>
                </c:pt>
                <c:pt idx="60">
                  <c:v>2.0262777847798498E-5</c:v>
                </c:pt>
                <c:pt idx="61">
                  <c:v>2.0052582638667605E-5</c:v>
                </c:pt>
                <c:pt idx="62">
                  <c:v>1.9903131804141178E-5</c:v>
                </c:pt>
                <c:pt idx="63">
                  <c:v>1.9915900513586803E-5</c:v>
                </c:pt>
                <c:pt idx="64">
                  <c:v>1.9821283426332261E-5</c:v>
                </c:pt>
                <c:pt idx="65">
                  <c:v>1.9419409289855979E-5</c:v>
                </c:pt>
                <c:pt idx="66">
                  <c:v>1.9256264518982012E-5</c:v>
                </c:pt>
                <c:pt idx="67">
                  <c:v>1.9307338480240096E-5</c:v>
                </c:pt>
                <c:pt idx="68">
                  <c:v>1.8674059339829038E-5</c:v>
                </c:pt>
                <c:pt idx="69">
                  <c:v>1.8440663525019379E-5</c:v>
                </c:pt>
                <c:pt idx="70">
                  <c:v>1.8335992745697415E-5</c:v>
                </c:pt>
                <c:pt idx="71">
                  <c:v>1.8192563023062574E-5</c:v>
                </c:pt>
                <c:pt idx="72">
                  <c:v>1.8272291697265826E-5</c:v>
                </c:pt>
                <c:pt idx="73">
                  <c:v>1.7755611687528962E-5</c:v>
                </c:pt>
                <c:pt idx="74">
                  <c:v>1.7653727168520421E-5</c:v>
                </c:pt>
                <c:pt idx="75">
                  <c:v>1.6749194350539221E-5</c:v>
                </c:pt>
                <c:pt idx="76">
                  <c:v>1.6507502909782218E-5</c:v>
                </c:pt>
                <c:pt idx="77">
                  <c:v>1.6629181583842143E-5</c:v>
                </c:pt>
                <c:pt idx="78">
                  <c:v>1.662801861416812E-5</c:v>
                </c:pt>
                <c:pt idx="79">
                  <c:v>1.6713302809625347E-5</c:v>
                </c:pt>
                <c:pt idx="80">
                  <c:v>1.6226122994372957E-5</c:v>
                </c:pt>
                <c:pt idx="81">
                  <c:v>1.5935254661410468E-5</c:v>
                </c:pt>
                <c:pt idx="82">
                  <c:v>1.5796291333943731E-5</c:v>
                </c:pt>
                <c:pt idx="83">
                  <c:v>1.5377879358971241E-5</c:v>
                </c:pt>
                <c:pt idx="84">
                  <c:v>1.5345633856552562E-5</c:v>
                </c:pt>
                <c:pt idx="85">
                  <c:v>1.4477822106064365E-5</c:v>
                </c:pt>
                <c:pt idx="86">
                  <c:v>1.4653729521800704E-5</c:v>
                </c:pt>
                <c:pt idx="87">
                  <c:v>1.4069800122053027E-5</c:v>
                </c:pt>
                <c:pt idx="88">
                  <c:v>1.4196155874798525E-5</c:v>
                </c:pt>
                <c:pt idx="89">
                  <c:v>1.363590007058821E-5</c:v>
                </c:pt>
                <c:pt idx="90">
                  <c:v>1.3269578850956301E-5</c:v>
                </c:pt>
                <c:pt idx="91">
                  <c:v>1.3129273363571072E-5</c:v>
                </c:pt>
                <c:pt idx="92">
                  <c:v>1.3456243161711161E-5</c:v>
                </c:pt>
                <c:pt idx="93">
                  <c:v>1.2962536397231037E-5</c:v>
                </c:pt>
                <c:pt idx="94">
                  <c:v>1.3255382695904154E-5</c:v>
                </c:pt>
                <c:pt idx="95">
                  <c:v>1.1559553763641807E-5</c:v>
                </c:pt>
                <c:pt idx="96">
                  <c:v>1.1776812395308327E-5</c:v>
                </c:pt>
                <c:pt idx="97">
                  <c:v>1.1349525301802646E-5</c:v>
                </c:pt>
                <c:pt idx="98">
                  <c:v>1.1851379603629289E-5</c:v>
                </c:pt>
                <c:pt idx="99">
                  <c:v>1.0764497232412265E-5</c:v>
                </c:pt>
                <c:pt idx="100">
                  <c:v>1.1827186178523462E-5</c:v>
                </c:pt>
                <c:pt idx="101">
                  <c:v>1.0877304613228414E-5</c:v>
                </c:pt>
                <c:pt idx="102">
                  <c:v>8.6776626572538984E-6</c:v>
                </c:pt>
                <c:pt idx="103">
                  <c:v>8.6470623066230622E-6</c:v>
                </c:pt>
                <c:pt idx="104">
                  <c:v>1.0515140806740493E-5</c:v>
                </c:pt>
                <c:pt idx="105">
                  <c:v>1.117084818127628E-5</c:v>
                </c:pt>
                <c:pt idx="106">
                  <c:v>9.2332794249475132E-6</c:v>
                </c:pt>
                <c:pt idx="107">
                  <c:v>9.7839441721918557E-6</c:v>
                </c:pt>
                <c:pt idx="108">
                  <c:v>1.0208524148502744E-5</c:v>
                </c:pt>
                <c:pt idx="109">
                  <c:v>8.2894334759322252E-6</c:v>
                </c:pt>
                <c:pt idx="110">
                  <c:v>1.1442645581664873E-5</c:v>
                </c:pt>
                <c:pt idx="111">
                  <c:v>1.2143079360428474E-5</c:v>
                </c:pt>
                <c:pt idx="112">
                  <c:v>8.4447091795938922E-6</c:v>
                </c:pt>
                <c:pt idx="113">
                  <c:v>8.963409017802875E-6</c:v>
                </c:pt>
                <c:pt idx="114">
                  <c:v>1.0466434585352809E-5</c:v>
                </c:pt>
                <c:pt idx="115">
                  <c:v>8.7233638463143353E-6</c:v>
                </c:pt>
                <c:pt idx="116">
                  <c:v>7.1011098336414386E-6</c:v>
                </c:pt>
                <c:pt idx="117">
                  <c:v>7.3620784633035738E-6</c:v>
                </c:pt>
                <c:pt idx="118">
                  <c:v>6.1822338045489977E-6</c:v>
                </c:pt>
                <c:pt idx="119">
                  <c:v>5.3818730997351704E-6</c:v>
                </c:pt>
                <c:pt idx="120">
                  <c:v>8.2152109893740553E-6</c:v>
                </c:pt>
                <c:pt idx="121">
                  <c:v>4.7503079796360501E-6</c:v>
                </c:pt>
                <c:pt idx="122">
                  <c:v>9.5077919132945096E-6</c:v>
                </c:pt>
                <c:pt idx="123">
                  <c:v>0</c:v>
                </c:pt>
                <c:pt idx="124">
                  <c:v>0</c:v>
                </c:pt>
              </c:numCache>
            </c:numRef>
          </c:yVal>
          <c:smooth val="0"/>
        </c:ser>
        <c:ser>
          <c:idx val="2"/>
          <c:order val="2"/>
          <c:tx>
            <c:strRef>
              <c:f>Plots!$D$1</c:f>
              <c:strCache>
                <c:ptCount val="1"/>
                <c:pt idx="0">
                  <c:v>180</c:v>
                </c:pt>
              </c:strCache>
            </c:strRef>
          </c:tx>
          <c:spPr>
            <a:ln w="28575">
              <a:noFill/>
            </a:ln>
          </c:spPr>
          <c:marker>
            <c:symbol val="diamond"/>
            <c:size val="7"/>
            <c:spPr>
              <a:solidFill>
                <a:srgbClr val="C00000"/>
              </a:solidFill>
              <a:ln>
                <a:noFill/>
              </a:ln>
            </c:spPr>
          </c:marker>
          <c:xVal>
            <c:numRef>
              <c:f>Plots!$D$3:$D$127</c:f>
              <c:numCache>
                <c:formatCode>General</c:formatCode>
                <c:ptCount val="125"/>
                <c:pt idx="0">
                  <c:v>4626538664484549</c:v>
                </c:pt>
                <c:pt idx="1">
                  <c:v>9413889658359704</c:v>
                </c:pt>
                <c:pt idx="2">
                  <c:v>1.0841652691637522E+16</c:v>
                </c:pt>
                <c:pt idx="3">
                  <c:v>1.1232040766960894E+16</c:v>
                </c:pt>
                <c:pt idx="4">
                  <c:v>1.0856827625706302E+16</c:v>
                </c:pt>
                <c:pt idx="5">
                  <c:v>1.0392044640899174E+16</c:v>
                </c:pt>
                <c:pt idx="6">
                  <c:v>9894903916164772</c:v>
                </c:pt>
                <c:pt idx="7">
                  <c:v>9429792944272950</c:v>
                </c:pt>
                <c:pt idx="8">
                  <c:v>8984088715708036</c:v>
                </c:pt>
                <c:pt idx="9">
                  <c:v>8547189788503377</c:v>
                </c:pt>
                <c:pt idx="10">
                  <c:v>8125117276338411</c:v>
                </c:pt>
                <c:pt idx="11">
                  <c:v>7723820451771375</c:v>
                </c:pt>
                <c:pt idx="12">
                  <c:v>7331303525590103</c:v>
                </c:pt>
                <c:pt idx="13">
                  <c:v>6967828441237762</c:v>
                </c:pt>
                <c:pt idx="14">
                  <c:v>6627815764218116</c:v>
                </c:pt>
                <c:pt idx="15">
                  <c:v>6289089824226892</c:v>
                </c:pt>
                <c:pt idx="16">
                  <c:v>5972142703808527</c:v>
                </c:pt>
                <c:pt idx="17">
                  <c:v>5666408208276375</c:v>
                </c:pt>
                <c:pt idx="18">
                  <c:v>5382984974166626</c:v>
                </c:pt>
                <c:pt idx="19">
                  <c:v>5105020651255387</c:v>
                </c:pt>
                <c:pt idx="20">
                  <c:v>4845329881883942</c:v>
                </c:pt>
                <c:pt idx="21">
                  <c:v>4590476357160373</c:v>
                </c:pt>
                <c:pt idx="22">
                  <c:v>4355843050800337.5</c:v>
                </c:pt>
                <c:pt idx="23">
                  <c:v>4125562611682447.5</c:v>
                </c:pt>
                <c:pt idx="24">
                  <c:v>3914787648852235</c:v>
                </c:pt>
                <c:pt idx="25">
                  <c:v>3708081014711954</c:v>
                </c:pt>
                <c:pt idx="26">
                  <c:v>3507737563917131.5</c:v>
                </c:pt>
                <c:pt idx="27">
                  <c:v>3324444611779891</c:v>
                </c:pt>
                <c:pt idx="28">
                  <c:v>3140152487660413.5</c:v>
                </c:pt>
                <c:pt idx="29">
                  <c:v>2984718775098276.5</c:v>
                </c:pt>
                <c:pt idx="30">
                  <c:v>2825231297202677</c:v>
                </c:pt>
                <c:pt idx="31">
                  <c:v>2675451049515737</c:v>
                </c:pt>
                <c:pt idx="32">
                  <c:v>2531055058232520.5</c:v>
                </c:pt>
                <c:pt idx="33">
                  <c:v>2399741419332108.5</c:v>
                </c:pt>
                <c:pt idx="34">
                  <c:v>2264153638457058.5</c:v>
                </c:pt>
                <c:pt idx="35">
                  <c:v>2139714223647762.5</c:v>
                </c:pt>
                <c:pt idx="36">
                  <c:v>2028311491317097.2</c:v>
                </c:pt>
                <c:pt idx="37">
                  <c:v>1924251335475406.5</c:v>
                </c:pt>
                <c:pt idx="38">
                  <c:v>1820177886553381.7</c:v>
                </c:pt>
                <c:pt idx="39">
                  <c:v>1718192319156978.7</c:v>
                </c:pt>
                <c:pt idx="40">
                  <c:v>1621428436372209.7</c:v>
                </c:pt>
                <c:pt idx="41">
                  <c:v>1533381250330379.2</c:v>
                </c:pt>
                <c:pt idx="42">
                  <c:v>1443220283309104</c:v>
                </c:pt>
                <c:pt idx="43">
                  <c:v>1361471884672293.2</c:v>
                </c:pt>
                <c:pt idx="44">
                  <c:v>1291886758703108.5</c:v>
                </c:pt>
                <c:pt idx="45">
                  <c:v>1216306170553279.5</c:v>
                </c:pt>
                <c:pt idx="46">
                  <c:v>1147068982808904.2</c:v>
                </c:pt>
                <c:pt idx="47">
                  <c:v>1081760026697140.4</c:v>
                </c:pt>
                <c:pt idx="48">
                  <c:v>1017151045433336.4</c:v>
                </c:pt>
                <c:pt idx="49">
                  <c:v>960796867737036.25</c:v>
                </c:pt>
                <c:pt idx="50">
                  <c:v>913250235867021.5</c:v>
                </c:pt>
                <c:pt idx="51">
                  <c:v>865355922437581.37</c:v>
                </c:pt>
                <c:pt idx="52">
                  <c:v>815317582462375.25</c:v>
                </c:pt>
                <c:pt idx="53">
                  <c:v>770757694957884.12</c:v>
                </c:pt>
                <c:pt idx="54">
                  <c:v>721254318500308.37</c:v>
                </c:pt>
                <c:pt idx="55">
                  <c:v>679439707328766.5</c:v>
                </c:pt>
                <c:pt idx="56">
                  <c:v>638366494853642.62</c:v>
                </c:pt>
                <c:pt idx="57">
                  <c:v>604129701760431.12</c:v>
                </c:pt>
                <c:pt idx="58">
                  <c:v>571804468450092</c:v>
                </c:pt>
                <c:pt idx="59">
                  <c:v>534691500068080.25</c:v>
                </c:pt>
                <c:pt idx="60">
                  <c:v>506722929567095</c:v>
                </c:pt>
                <c:pt idx="61">
                  <c:v>478081550694482.56</c:v>
                </c:pt>
                <c:pt idx="62">
                  <c:v>451337037826259.19</c:v>
                </c:pt>
                <c:pt idx="63">
                  <c:v>428055740945983.25</c:v>
                </c:pt>
                <c:pt idx="64">
                  <c:v>401592735816758.87</c:v>
                </c:pt>
                <c:pt idx="65">
                  <c:v>378526586028269.06</c:v>
                </c:pt>
                <c:pt idx="66">
                  <c:v>354726872495454.06</c:v>
                </c:pt>
                <c:pt idx="67">
                  <c:v>336362179149980.56</c:v>
                </c:pt>
                <c:pt idx="68">
                  <c:v>316053466591268.25</c:v>
                </c:pt>
                <c:pt idx="69">
                  <c:v>290560627990805.06</c:v>
                </c:pt>
                <c:pt idx="70">
                  <c:v>274581197419296.12</c:v>
                </c:pt>
                <c:pt idx="71">
                  <c:v>254679834544182.62</c:v>
                </c:pt>
                <c:pt idx="72">
                  <c:v>240040100020978</c:v>
                </c:pt>
                <c:pt idx="73">
                  <c:v>223013979483197.94</c:v>
                </c:pt>
                <c:pt idx="74">
                  <c:v>213156629262596.72</c:v>
                </c:pt>
                <c:pt idx="75">
                  <c:v>198993171602184.34</c:v>
                </c:pt>
                <c:pt idx="76">
                  <c:v>186692195517893.66</c:v>
                </c:pt>
                <c:pt idx="77">
                  <c:v>175416372707075.75</c:v>
                </c:pt>
                <c:pt idx="78">
                  <c:v>162024459368864.87</c:v>
                </c:pt>
                <c:pt idx="79">
                  <c:v>158976940082554.41</c:v>
                </c:pt>
                <c:pt idx="80">
                  <c:v>147655871413237.19</c:v>
                </c:pt>
                <c:pt idx="81">
                  <c:v>143177439238178.12</c:v>
                </c:pt>
                <c:pt idx="82">
                  <c:v>129658704498758</c:v>
                </c:pt>
                <c:pt idx="83">
                  <c:v>120681787023662.03</c:v>
                </c:pt>
                <c:pt idx="84">
                  <c:v>116418599414898</c:v>
                </c:pt>
                <c:pt idx="85">
                  <c:v>110696377064973.3</c:v>
                </c:pt>
                <c:pt idx="86">
                  <c:v>102861430093558</c:v>
                </c:pt>
                <c:pt idx="87">
                  <c:v>94673153885478.484</c:v>
                </c:pt>
                <c:pt idx="88">
                  <c:v>91220563588590.922</c:v>
                </c:pt>
                <c:pt idx="89">
                  <c:v>83514624518789.109</c:v>
                </c:pt>
                <c:pt idx="90">
                  <c:v>80629748569628.437</c:v>
                </c:pt>
                <c:pt idx="91">
                  <c:v>77299457323901.047</c:v>
                </c:pt>
                <c:pt idx="92">
                  <c:v>75872441401330.937</c:v>
                </c:pt>
                <c:pt idx="93">
                  <c:v>67848281581020.758</c:v>
                </c:pt>
                <c:pt idx="94">
                  <c:v>69185267451544.977</c:v>
                </c:pt>
                <c:pt idx="95">
                  <c:v>61432794903429.258</c:v>
                </c:pt>
                <c:pt idx="96">
                  <c:v>57899793545330.805</c:v>
                </c:pt>
                <c:pt idx="97">
                  <c:v>53685238766678.805</c:v>
                </c:pt>
                <c:pt idx="98">
                  <c:v>53121443348536.531</c:v>
                </c:pt>
                <c:pt idx="99">
                  <c:v>45350143469506.555</c:v>
                </c:pt>
                <c:pt idx="100">
                  <c:v>54100773381260.008</c:v>
                </c:pt>
                <c:pt idx="101">
                  <c:v>44015979854474.836</c:v>
                </c:pt>
                <c:pt idx="102">
                  <c:v>40044165550956.82</c:v>
                </c:pt>
                <c:pt idx="103">
                  <c:v>36399952755951.898</c:v>
                </c:pt>
                <c:pt idx="104">
                  <c:v>37792358427079.875</c:v>
                </c:pt>
                <c:pt idx="105">
                  <c:v>31987270130069.316</c:v>
                </c:pt>
                <c:pt idx="106">
                  <c:v>34148902712994.684</c:v>
                </c:pt>
                <c:pt idx="107">
                  <c:v>32135373876248.098</c:v>
                </c:pt>
                <c:pt idx="108">
                  <c:v>31484009959307.574</c:v>
                </c:pt>
                <c:pt idx="109">
                  <c:v>24914381257145.227</c:v>
                </c:pt>
                <c:pt idx="110">
                  <c:v>19059906082995.566</c:v>
                </c:pt>
                <c:pt idx="111">
                  <c:v>17966404293442.379</c:v>
                </c:pt>
                <c:pt idx="112">
                  <c:v>18793889189368.16</c:v>
                </c:pt>
                <c:pt idx="113">
                  <c:v>15543917355633.059</c:v>
                </c:pt>
                <c:pt idx="114">
                  <c:v>17700585786843.625</c:v>
                </c:pt>
                <c:pt idx="115">
                  <c:v>12738529319346.002</c:v>
                </c:pt>
                <c:pt idx="116">
                  <c:v>12384284964421.139</c:v>
                </c:pt>
                <c:pt idx="117">
                  <c:v>12089098004232.982</c:v>
                </c:pt>
                <c:pt idx="118">
                  <c:v>16518690959049.484</c:v>
                </c:pt>
                <c:pt idx="119">
                  <c:v>12118614396903.904</c:v>
                </c:pt>
                <c:pt idx="120">
                  <c:v>11646343239312.533</c:v>
                </c:pt>
                <c:pt idx="121">
                  <c:v>10082275051894.49</c:v>
                </c:pt>
                <c:pt idx="122">
                  <c:v>9167695167663.7129</c:v>
                </c:pt>
                <c:pt idx="123">
                  <c:v>6631558043802.6758</c:v>
                </c:pt>
                <c:pt idx="124">
                  <c:v>5275730015459.377</c:v>
                </c:pt>
              </c:numCache>
            </c:numRef>
          </c:xVal>
          <c:yVal>
            <c:numRef>
              <c:f>Plots!$E$3:$E$127</c:f>
              <c:numCache>
                <c:formatCode>General</c:formatCode>
                <c:ptCount val="125"/>
                <c:pt idx="0">
                  <c:v>0</c:v>
                </c:pt>
                <c:pt idx="1">
                  <c:v>0</c:v>
                </c:pt>
                <c:pt idx="2">
                  <c:v>2.1503064873624035E-5</c:v>
                </c:pt>
                <c:pt idx="3">
                  <c:v>2.0935196217396584E-5</c:v>
                </c:pt>
                <c:pt idx="4">
                  <c:v>2.0434154485269671E-5</c:v>
                </c:pt>
                <c:pt idx="5">
                  <c:v>2.0347514443208891E-5</c:v>
                </c:pt>
                <c:pt idx="6">
                  <c:v>2.0538150389801851E-5</c:v>
                </c:pt>
                <c:pt idx="7">
                  <c:v>2.0769717241876376E-5</c:v>
                </c:pt>
                <c:pt idx="8">
                  <c:v>2.1012820807535775E-5</c:v>
                </c:pt>
                <c:pt idx="9">
                  <c:v>2.1231917822098343E-5</c:v>
                </c:pt>
                <c:pt idx="10">
                  <c:v>2.1424110401731509E-5</c:v>
                </c:pt>
                <c:pt idx="11">
                  <c:v>2.1613265372095143E-5</c:v>
                </c:pt>
                <c:pt idx="12">
                  <c:v>2.1769044181877718E-5</c:v>
                </c:pt>
                <c:pt idx="13">
                  <c:v>2.1935304898377117E-5</c:v>
                </c:pt>
                <c:pt idx="14">
                  <c:v>2.2115097481436156E-5</c:v>
                </c:pt>
                <c:pt idx="15">
                  <c:v>2.2239513703643573E-5</c:v>
                </c:pt>
                <c:pt idx="16">
                  <c:v>2.2378130690455496E-5</c:v>
                </c:pt>
                <c:pt idx="17">
                  <c:v>2.2495497590317722E-5</c:v>
                </c:pt>
                <c:pt idx="18">
                  <c:v>2.2636997334617705E-5</c:v>
                </c:pt>
                <c:pt idx="19">
                  <c:v>2.2726591654780215E-5</c:v>
                </c:pt>
                <c:pt idx="20">
                  <c:v>2.2828362140468142E-5</c:v>
                </c:pt>
                <c:pt idx="21">
                  <c:v>2.2883713958710939E-5</c:v>
                </c:pt>
                <c:pt idx="22">
                  <c:v>2.296833284217714E-5</c:v>
                </c:pt>
                <c:pt idx="23">
                  <c:v>2.3013342602439475E-5</c:v>
                </c:pt>
                <c:pt idx="24">
                  <c:v>2.3085927027874142E-5</c:v>
                </c:pt>
                <c:pt idx="25">
                  <c:v>2.3112168956155857E-5</c:v>
                </c:pt>
                <c:pt idx="26">
                  <c:v>2.309266825286426E-5</c:v>
                </c:pt>
                <c:pt idx="27">
                  <c:v>2.3121662543497619E-5</c:v>
                </c:pt>
                <c:pt idx="28">
                  <c:v>2.3108792991093807E-5</c:v>
                </c:pt>
                <c:pt idx="29">
                  <c:v>2.3194442065507899E-5</c:v>
                </c:pt>
                <c:pt idx="30">
                  <c:v>2.3172061946021193E-5</c:v>
                </c:pt>
                <c:pt idx="31">
                  <c:v>2.3147093178506286E-5</c:v>
                </c:pt>
                <c:pt idx="32">
                  <c:v>2.3097967655617594E-5</c:v>
                </c:pt>
                <c:pt idx="33">
                  <c:v>2.3086471992252667E-5</c:v>
                </c:pt>
                <c:pt idx="34">
                  <c:v>2.2965124969127489E-5</c:v>
                </c:pt>
                <c:pt idx="35">
                  <c:v>2.2877286320184058E-5</c:v>
                </c:pt>
                <c:pt idx="36">
                  <c:v>2.2850546715385105E-5</c:v>
                </c:pt>
                <c:pt idx="37">
                  <c:v>2.2820988863133608E-5</c:v>
                </c:pt>
                <c:pt idx="38">
                  <c:v>2.2732413144515224E-5</c:v>
                </c:pt>
                <c:pt idx="39">
                  <c:v>2.2591401436108616E-5</c:v>
                </c:pt>
                <c:pt idx="40">
                  <c:v>2.2445754712481833E-5</c:v>
                </c:pt>
                <c:pt idx="41">
                  <c:v>2.232780588721945E-5</c:v>
                </c:pt>
                <c:pt idx="42">
                  <c:v>2.2128652732252918E-5</c:v>
                </c:pt>
                <c:pt idx="43">
                  <c:v>2.1951334903343363E-5</c:v>
                </c:pt>
                <c:pt idx="44">
                  <c:v>2.1909200079309799E-5</c:v>
                </c:pt>
                <c:pt idx="45">
                  <c:v>2.1679469782079455E-5</c:v>
                </c:pt>
                <c:pt idx="46">
                  <c:v>2.1481932358217165E-5</c:v>
                </c:pt>
                <c:pt idx="47">
                  <c:v>2.130434825834531E-5</c:v>
                </c:pt>
                <c:pt idx="48">
                  <c:v>2.1047863741651377E-5</c:v>
                </c:pt>
                <c:pt idx="49">
                  <c:v>2.0896480001258638E-5</c:v>
                </c:pt>
                <c:pt idx="50">
                  <c:v>2.0862480826617191E-5</c:v>
                </c:pt>
                <c:pt idx="51">
                  <c:v>2.0756104428607979E-5</c:v>
                </c:pt>
                <c:pt idx="52">
                  <c:v>2.0525300746325282E-5</c:v>
                </c:pt>
                <c:pt idx="53">
                  <c:v>2.0363122377374193E-5</c:v>
                </c:pt>
                <c:pt idx="54">
                  <c:v>1.9998777268614784E-5</c:v>
                </c:pt>
                <c:pt idx="55">
                  <c:v>1.9777674657353455E-5</c:v>
                </c:pt>
                <c:pt idx="56">
                  <c:v>1.952034111402028E-5</c:v>
                </c:pt>
                <c:pt idx="57">
                  <c:v>1.9375222546556053E-5</c:v>
                </c:pt>
                <c:pt idx="58">
                  <c:v>1.9265774961415802E-5</c:v>
                </c:pt>
                <c:pt idx="59">
                  <c:v>1.8917872865882443E-5</c:v>
                </c:pt>
                <c:pt idx="60">
                  <c:v>1.8817881475501308E-5</c:v>
                </c:pt>
                <c:pt idx="61">
                  <c:v>1.8637469583295393E-5</c:v>
                </c:pt>
                <c:pt idx="62">
                  <c:v>1.8496494193869418E-5</c:v>
                </c:pt>
                <c:pt idx="63">
                  <c:v>1.8397722146344185E-5</c:v>
                </c:pt>
                <c:pt idx="64">
                  <c:v>1.809248854876668E-5</c:v>
                </c:pt>
                <c:pt idx="65">
                  <c:v>1.7882613040209307E-5</c:v>
                </c:pt>
                <c:pt idx="66">
                  <c:v>1.7590468466766731E-5</c:v>
                </c:pt>
                <c:pt idx="67">
                  <c:v>1.7484568252347748E-5</c:v>
                </c:pt>
                <c:pt idx="68">
                  <c:v>1.7255035904556888E-5</c:v>
                </c:pt>
                <c:pt idx="69">
                  <c:v>1.6629044902861336E-5</c:v>
                </c:pt>
                <c:pt idx="70">
                  <c:v>1.6484761517661331E-5</c:v>
                </c:pt>
                <c:pt idx="71">
                  <c:v>1.6045545109127101E-5</c:v>
                </c:pt>
                <c:pt idx="72">
                  <c:v>1.5876375518964142E-5</c:v>
                </c:pt>
                <c:pt idx="73">
                  <c:v>1.5464674078377375E-5</c:v>
                </c:pt>
                <c:pt idx="74">
                  <c:v>1.5521730646591717E-5</c:v>
                </c:pt>
                <c:pt idx="75">
                  <c:v>1.5174792487423099E-5</c:v>
                </c:pt>
                <c:pt idx="76">
                  <c:v>1.4932779311969805E-5</c:v>
                </c:pt>
                <c:pt idx="77">
                  <c:v>1.4716830020413951E-5</c:v>
                </c:pt>
                <c:pt idx="78">
                  <c:v>1.4309396638039851E-5</c:v>
                </c:pt>
                <c:pt idx="79">
                  <c:v>1.4731047869261094E-5</c:v>
                </c:pt>
                <c:pt idx="80">
                  <c:v>1.4342984738283162E-5</c:v>
                </c:pt>
                <c:pt idx="81">
                  <c:v>1.455753058821699E-5</c:v>
                </c:pt>
                <c:pt idx="82">
                  <c:v>1.3809412176930178E-5</c:v>
                </c:pt>
                <c:pt idx="83">
                  <c:v>1.3498019345111433E-5</c:v>
                </c:pt>
                <c:pt idx="84">
                  <c:v>1.3711873522709193E-5</c:v>
                </c:pt>
                <c:pt idx="85">
                  <c:v>1.3664266352391475E-5</c:v>
                </c:pt>
                <c:pt idx="86">
                  <c:v>1.3294129008278705E-5</c:v>
                </c:pt>
                <c:pt idx="87">
                  <c:v>1.283579140695546E-5</c:v>
                </c:pt>
                <c:pt idx="88">
                  <c:v>1.3007979399173786E-5</c:v>
                </c:pt>
                <c:pt idx="89">
                  <c:v>1.2552657815943526E-5</c:v>
                </c:pt>
                <c:pt idx="90">
                  <c:v>1.2721092107740581E-5</c:v>
                </c:pt>
                <c:pt idx="91">
                  <c:v>1.2782543542285242E-5</c:v>
                </c:pt>
                <c:pt idx="92">
                  <c:v>1.3205225549877159E-5</c:v>
                </c:pt>
                <c:pt idx="93">
                  <c:v>1.2372498199232481E-5</c:v>
                </c:pt>
                <c:pt idx="94">
                  <c:v>1.3217521843993435E-5</c:v>
                </c:pt>
                <c:pt idx="95">
                  <c:v>1.2389255193557939E-5</c:v>
                </c:pt>
                <c:pt idx="96">
                  <c:v>1.2260237613746036E-5</c:v>
                </c:pt>
                <c:pt idx="97">
                  <c:v>1.1940067770459521E-5</c:v>
                </c:pt>
                <c:pt idx="98">
                  <c:v>1.2498906388224327E-5</c:v>
                </c:pt>
                <c:pt idx="99">
                  <c:v>1.1222267195919521E-5</c:v>
                </c:pt>
                <c:pt idx="100">
                  <c:v>1.4058716364991654E-5</c:v>
                </c:pt>
                <c:pt idx="101">
                  <c:v>1.1995113223179953E-5</c:v>
                </c:pt>
                <c:pt idx="102">
                  <c:v>1.1484246407609368E-5</c:v>
                </c:pt>
                <c:pt idx="103">
                  <c:v>1.106170584660248E-5</c:v>
                </c:pt>
                <c:pt idx="104">
                  <c:v>1.2131124607433167E-5</c:v>
                </c:pt>
                <c:pt idx="105">
                  <c:v>1.0807301668549229E-5</c:v>
                </c:pt>
                <c:pt idx="106">
                  <c:v>1.2259712703170425E-5</c:v>
                </c:pt>
                <c:pt idx="107">
                  <c:v>1.2144948167965181E-5</c:v>
                </c:pt>
                <c:pt idx="108">
                  <c:v>1.2429314614424333E-5</c:v>
                </c:pt>
                <c:pt idx="109">
                  <c:v>1.0491914628714827E-5</c:v>
                </c:pt>
                <c:pt idx="110">
                  <c:v>8.4590404955077597E-6</c:v>
                </c:pt>
                <c:pt idx="111">
                  <c:v>8.4642737955397162E-6</c:v>
                </c:pt>
                <c:pt idx="112">
                  <c:v>9.4860827348612952E-6</c:v>
                </c:pt>
                <c:pt idx="113">
                  <c:v>8.2993321363447907E-6</c:v>
                </c:pt>
                <c:pt idx="114">
                  <c:v>9.90936049688316E-6</c:v>
                </c:pt>
                <c:pt idx="115">
                  <c:v>7.6089842157200927E-6</c:v>
                </c:pt>
                <c:pt idx="116">
                  <c:v>7.7991969165235901E-6</c:v>
                </c:pt>
                <c:pt idx="117">
                  <c:v>8.1676303843081536E-6</c:v>
                </c:pt>
                <c:pt idx="118">
                  <c:v>1.1896024297044978E-5</c:v>
                </c:pt>
                <c:pt idx="119">
                  <c:v>9.1758422844981731E-6</c:v>
                </c:pt>
                <c:pt idx="120">
                  <c:v>9.1186785719719092E-6</c:v>
                </c:pt>
                <c:pt idx="121">
                  <c:v>8.4238495651055706E-6</c:v>
                </c:pt>
                <c:pt idx="122">
                  <c:v>8.1356756409631506E-6</c:v>
                </c:pt>
                <c:pt idx="123">
                  <c:v>0</c:v>
                </c:pt>
                <c:pt idx="124">
                  <c:v>0</c:v>
                </c:pt>
              </c:numCache>
            </c:numRef>
          </c:yVal>
          <c:smooth val="0"/>
        </c:ser>
        <c:ser>
          <c:idx val="3"/>
          <c:order val="3"/>
          <c:tx>
            <c:strRef>
              <c:f>Plots!$F$1</c:f>
              <c:strCache>
                <c:ptCount val="1"/>
                <c:pt idx="0">
                  <c:v>170</c:v>
                </c:pt>
              </c:strCache>
            </c:strRef>
          </c:tx>
          <c:spPr>
            <a:ln w="28575">
              <a:noFill/>
            </a:ln>
          </c:spPr>
          <c:marker>
            <c:symbol val="diamond"/>
            <c:size val="7"/>
            <c:spPr>
              <a:solidFill>
                <a:srgbClr val="FF0000"/>
              </a:solidFill>
              <a:ln>
                <a:noFill/>
              </a:ln>
            </c:spPr>
          </c:marker>
          <c:xVal>
            <c:numRef>
              <c:f>Plots!$F$3:$F$127</c:f>
              <c:numCache>
                <c:formatCode>General</c:formatCode>
                <c:ptCount val="125"/>
                <c:pt idx="0">
                  <c:v>4492985789043902</c:v>
                </c:pt>
                <c:pt idx="1">
                  <c:v>9236934738942086</c:v>
                </c:pt>
                <c:pt idx="2">
                  <c:v>1.0714444869079736E+16</c:v>
                </c:pt>
                <c:pt idx="3">
                  <c:v>1.1077251655635214E+16</c:v>
                </c:pt>
                <c:pt idx="4">
                  <c:v>1.0670214455960174E+16</c:v>
                </c:pt>
                <c:pt idx="5">
                  <c:v>1.020410811953282E+16</c:v>
                </c:pt>
                <c:pt idx="6">
                  <c:v>9716673862628868</c:v>
                </c:pt>
                <c:pt idx="7">
                  <c:v>9236363364566046</c:v>
                </c:pt>
                <c:pt idx="8">
                  <c:v>8784620807441634</c:v>
                </c:pt>
                <c:pt idx="9">
                  <c:v>8352717757491462</c:v>
                </c:pt>
                <c:pt idx="10">
                  <c:v>7926249406050124</c:v>
                </c:pt>
                <c:pt idx="11">
                  <c:v>7529136616110239</c:v>
                </c:pt>
                <c:pt idx="12">
                  <c:v>7142466736660026</c:v>
                </c:pt>
                <c:pt idx="13">
                  <c:v>6779097871481379</c:v>
                </c:pt>
                <c:pt idx="14">
                  <c:v>6437950785872489</c:v>
                </c:pt>
                <c:pt idx="15">
                  <c:v>6107333187451609</c:v>
                </c:pt>
                <c:pt idx="16">
                  <c:v>5796305000932124</c:v>
                </c:pt>
                <c:pt idx="17">
                  <c:v>5497567575415289</c:v>
                </c:pt>
                <c:pt idx="18">
                  <c:v>5209514279786880</c:v>
                </c:pt>
                <c:pt idx="19">
                  <c:v>4935405444033361</c:v>
                </c:pt>
                <c:pt idx="20">
                  <c:v>4673488798186571</c:v>
                </c:pt>
                <c:pt idx="21">
                  <c:v>4430516050995509.5</c:v>
                </c:pt>
                <c:pt idx="22">
                  <c:v>4198738668671909</c:v>
                </c:pt>
                <c:pt idx="23">
                  <c:v>3975257477356820.5</c:v>
                </c:pt>
                <c:pt idx="24">
                  <c:v>3760293232699347.5</c:v>
                </c:pt>
                <c:pt idx="25">
                  <c:v>3568436191896700.5</c:v>
                </c:pt>
                <c:pt idx="26">
                  <c:v>3376863805840961.5</c:v>
                </c:pt>
                <c:pt idx="27">
                  <c:v>3192840247803021.5</c:v>
                </c:pt>
                <c:pt idx="28">
                  <c:v>3020580000514213</c:v>
                </c:pt>
                <c:pt idx="29">
                  <c:v>2863216840471900.5</c:v>
                </c:pt>
                <c:pt idx="30">
                  <c:v>2709000677979411.5</c:v>
                </c:pt>
                <c:pt idx="31">
                  <c:v>2564547898932311.5</c:v>
                </c:pt>
                <c:pt idx="32">
                  <c:v>2422626847037310.5</c:v>
                </c:pt>
                <c:pt idx="33">
                  <c:v>2292738437601485.5</c:v>
                </c:pt>
                <c:pt idx="34">
                  <c:v>2170450249636410.2</c:v>
                </c:pt>
                <c:pt idx="35">
                  <c:v>2048945515867944.7</c:v>
                </c:pt>
                <c:pt idx="36">
                  <c:v>1932141248262682.5</c:v>
                </c:pt>
                <c:pt idx="37">
                  <c:v>1836217835068555.5</c:v>
                </c:pt>
                <c:pt idx="38">
                  <c:v>1736308049769213</c:v>
                </c:pt>
                <c:pt idx="39">
                  <c:v>1631112811715489.5</c:v>
                </c:pt>
                <c:pt idx="40">
                  <c:v>1543345847072056.2</c:v>
                </c:pt>
                <c:pt idx="41">
                  <c:v>1456501942003872.2</c:v>
                </c:pt>
                <c:pt idx="42">
                  <c:v>1378526188609558.2</c:v>
                </c:pt>
                <c:pt idx="43">
                  <c:v>1300166454463933.7</c:v>
                </c:pt>
                <c:pt idx="44">
                  <c:v>1228062096394000.2</c:v>
                </c:pt>
                <c:pt idx="45">
                  <c:v>1159097125814336.7</c:v>
                </c:pt>
                <c:pt idx="46">
                  <c:v>1091348221889180.1</c:v>
                </c:pt>
                <c:pt idx="47">
                  <c:v>1032977920232095.4</c:v>
                </c:pt>
                <c:pt idx="48">
                  <c:v>966527004646612.5</c:v>
                </c:pt>
                <c:pt idx="49">
                  <c:v>918834367605442.37</c:v>
                </c:pt>
                <c:pt idx="50">
                  <c:v>864812534103686.62</c:v>
                </c:pt>
                <c:pt idx="51">
                  <c:v>821148552609521.5</c:v>
                </c:pt>
                <c:pt idx="52">
                  <c:v>773881056528175.12</c:v>
                </c:pt>
                <c:pt idx="53">
                  <c:v>731887355233462.12</c:v>
                </c:pt>
                <c:pt idx="54">
                  <c:v>689530849143814.75</c:v>
                </c:pt>
                <c:pt idx="55">
                  <c:v>646377394619152.75</c:v>
                </c:pt>
                <c:pt idx="56">
                  <c:v>617577329417055.5</c:v>
                </c:pt>
                <c:pt idx="57">
                  <c:v>582059705517476.12</c:v>
                </c:pt>
                <c:pt idx="58">
                  <c:v>549363536575897.62</c:v>
                </c:pt>
                <c:pt idx="59">
                  <c:v>514290067176904.87</c:v>
                </c:pt>
                <c:pt idx="60">
                  <c:v>485974440316771.31</c:v>
                </c:pt>
                <c:pt idx="61">
                  <c:v>456874039956302.94</c:v>
                </c:pt>
                <c:pt idx="62">
                  <c:v>436647736656381.19</c:v>
                </c:pt>
                <c:pt idx="63">
                  <c:v>406059937951185.19</c:v>
                </c:pt>
                <c:pt idx="64">
                  <c:v>385781325091137.69</c:v>
                </c:pt>
                <c:pt idx="65">
                  <c:v>364622826410694.5</c:v>
                </c:pt>
                <c:pt idx="66">
                  <c:v>339500103161005</c:v>
                </c:pt>
                <c:pt idx="67">
                  <c:v>318693509235193.37</c:v>
                </c:pt>
                <c:pt idx="68">
                  <c:v>305848119253048.5</c:v>
                </c:pt>
                <c:pt idx="69">
                  <c:v>281009941930387.91</c:v>
                </c:pt>
                <c:pt idx="70">
                  <c:v>267838921460995.34</c:v>
                </c:pt>
                <c:pt idx="71">
                  <c:v>252116595567651.94</c:v>
                </c:pt>
                <c:pt idx="72">
                  <c:v>236204720377403.31</c:v>
                </c:pt>
                <c:pt idx="73">
                  <c:v>222511952494720.25</c:v>
                </c:pt>
                <c:pt idx="74">
                  <c:v>214191918862507.25</c:v>
                </c:pt>
                <c:pt idx="75">
                  <c:v>198565205871291.75</c:v>
                </c:pt>
                <c:pt idx="76">
                  <c:v>186013790429053.62</c:v>
                </c:pt>
                <c:pt idx="77">
                  <c:v>177392923935769.25</c:v>
                </c:pt>
                <c:pt idx="78">
                  <c:v>161250867236127.16</c:v>
                </c:pt>
                <c:pt idx="79">
                  <c:v>155614988216570.78</c:v>
                </c:pt>
                <c:pt idx="80">
                  <c:v>145235598147660.97</c:v>
                </c:pt>
                <c:pt idx="81">
                  <c:v>135376384321257.59</c:v>
                </c:pt>
                <c:pt idx="82">
                  <c:v>122753492439446.02</c:v>
                </c:pt>
                <c:pt idx="83">
                  <c:v>118928520717604.27</c:v>
                </c:pt>
                <c:pt idx="84">
                  <c:v>113934572938968.77</c:v>
                </c:pt>
                <c:pt idx="85">
                  <c:v>105035193744328.42</c:v>
                </c:pt>
                <c:pt idx="86">
                  <c:v>99960230971402.062</c:v>
                </c:pt>
                <c:pt idx="87">
                  <c:v>88875828907324.484</c:v>
                </c:pt>
                <c:pt idx="88">
                  <c:v>84717805009388.859</c:v>
                </c:pt>
                <c:pt idx="89">
                  <c:v>77572612678749.281</c:v>
                </c:pt>
                <c:pt idx="90">
                  <c:v>78255581931540.844</c:v>
                </c:pt>
                <c:pt idx="91">
                  <c:v>71796609917068.25</c:v>
                </c:pt>
                <c:pt idx="92">
                  <c:v>69379004156534.953</c:v>
                </c:pt>
                <c:pt idx="93">
                  <c:v>60565721302622.875</c:v>
                </c:pt>
                <c:pt idx="94">
                  <c:v>56417276535348.805</c:v>
                </c:pt>
                <c:pt idx="95">
                  <c:v>54741385862624.297</c:v>
                </c:pt>
                <c:pt idx="96">
                  <c:v>46025117001174.859</c:v>
                </c:pt>
                <c:pt idx="97">
                  <c:v>46195412499711.031</c:v>
                </c:pt>
                <c:pt idx="98">
                  <c:v>41967698848029.687</c:v>
                </c:pt>
                <c:pt idx="99">
                  <c:v>42279678334899.305</c:v>
                </c:pt>
                <c:pt idx="100">
                  <c:v>38904537930693.742</c:v>
                </c:pt>
                <c:pt idx="101">
                  <c:v>38138985107933.406</c:v>
                </c:pt>
                <c:pt idx="102">
                  <c:v>33716729346037.227</c:v>
                </c:pt>
                <c:pt idx="103">
                  <c:v>32299797177199.508</c:v>
                </c:pt>
                <c:pt idx="104">
                  <c:v>29636809278666.586</c:v>
                </c:pt>
                <c:pt idx="105">
                  <c:v>24143696672623.875</c:v>
                </c:pt>
                <c:pt idx="106">
                  <c:v>25870576332248</c:v>
                </c:pt>
                <c:pt idx="107">
                  <c:v>26578263479008.941</c:v>
                </c:pt>
                <c:pt idx="108">
                  <c:v>28390560771796.719</c:v>
                </c:pt>
                <c:pt idx="109">
                  <c:v>19135904591007.398</c:v>
                </c:pt>
                <c:pt idx="110">
                  <c:v>17608880396508.746</c:v>
                </c:pt>
                <c:pt idx="111">
                  <c:v>22304252537694.937</c:v>
                </c:pt>
                <c:pt idx="112">
                  <c:v>15884429200011.791</c:v>
                </c:pt>
                <c:pt idx="113">
                  <c:v>17015235086428.838</c:v>
                </c:pt>
                <c:pt idx="114">
                  <c:v>10178083337535.428</c:v>
                </c:pt>
                <c:pt idx="115">
                  <c:v>13567206950408.662</c:v>
                </c:pt>
                <c:pt idx="116">
                  <c:v>16675954568260.223</c:v>
                </c:pt>
                <c:pt idx="117">
                  <c:v>12070032818793.564</c:v>
                </c:pt>
                <c:pt idx="118">
                  <c:v>13510705269125.73</c:v>
                </c:pt>
                <c:pt idx="119">
                  <c:v>12776199138026.178</c:v>
                </c:pt>
                <c:pt idx="120">
                  <c:v>14584432503310.527</c:v>
                </c:pt>
                <c:pt idx="121">
                  <c:v>10883940670082.906</c:v>
                </c:pt>
                <c:pt idx="122">
                  <c:v>12493714210636.068</c:v>
                </c:pt>
                <c:pt idx="123">
                  <c:v>8089448373091.7969</c:v>
                </c:pt>
                <c:pt idx="124">
                  <c:v>7412294201687.7363</c:v>
                </c:pt>
              </c:numCache>
            </c:numRef>
          </c:xVal>
          <c:yVal>
            <c:numRef>
              <c:f>Plots!$G$3:$G$127</c:f>
              <c:numCache>
                <c:formatCode>General</c:formatCode>
                <c:ptCount val="125"/>
                <c:pt idx="0">
                  <c:v>0</c:v>
                </c:pt>
                <c:pt idx="1">
                  <c:v>0</c:v>
                </c:pt>
                <c:pt idx="2">
                  <c:v>2.080718235118481E-5</c:v>
                </c:pt>
                <c:pt idx="3">
                  <c:v>2.0251191228071718E-5</c:v>
                </c:pt>
                <c:pt idx="4">
                  <c:v>1.9651402331399731E-5</c:v>
                </c:pt>
                <c:pt idx="5">
                  <c:v>1.9484145566868389E-5</c:v>
                </c:pt>
                <c:pt idx="6">
                  <c:v>1.9621990772850034E-5</c:v>
                </c:pt>
                <c:pt idx="7">
                  <c:v>1.9858677556415883E-5</c:v>
                </c:pt>
                <c:pt idx="8">
                  <c:v>2.0109640690836407E-5</c:v>
                </c:pt>
                <c:pt idx="9">
                  <c:v>2.0321787497554309E-5</c:v>
                </c:pt>
                <c:pt idx="10">
                  <c:v>2.049038209604367E-5</c:v>
                </c:pt>
                <c:pt idx="11">
                  <c:v>2.0671518320749831E-5</c:v>
                </c:pt>
                <c:pt idx="12">
                  <c:v>2.0827639991547075E-5</c:v>
                </c:pt>
                <c:pt idx="13">
                  <c:v>2.0980110042299487E-5</c:v>
                </c:pt>
                <c:pt idx="14">
                  <c:v>2.1136783434162066E-5</c:v>
                </c:pt>
                <c:pt idx="15">
                  <c:v>2.1269809254079952E-5</c:v>
                </c:pt>
                <c:pt idx="16">
                  <c:v>2.1404798335736599E-5</c:v>
                </c:pt>
                <c:pt idx="17">
                  <c:v>2.1518008871829852E-5</c:v>
                </c:pt>
                <c:pt idx="18">
                  <c:v>2.161118651241009E-5</c:v>
                </c:pt>
                <c:pt idx="19">
                  <c:v>2.1690838145350752E-5</c:v>
                </c:pt>
                <c:pt idx="20">
                  <c:v>2.1750123901340715E-5</c:v>
                </c:pt>
                <c:pt idx="21">
                  <c:v>2.1822919793338901E-5</c:v>
                </c:pt>
                <c:pt idx="22">
                  <c:v>2.1884881170764274E-5</c:v>
                </c:pt>
                <c:pt idx="23">
                  <c:v>2.1926643104785953E-5</c:v>
                </c:pt>
                <c:pt idx="24">
                  <c:v>2.1933036523018918E-5</c:v>
                </c:pt>
                <c:pt idx="25">
                  <c:v>2.2000613450161338E-5</c:v>
                </c:pt>
                <c:pt idx="26">
                  <c:v>2.199825230527676E-5</c:v>
                </c:pt>
                <c:pt idx="27">
                  <c:v>2.1964823954259034E-5</c:v>
                </c:pt>
                <c:pt idx="28">
                  <c:v>2.1979446469935181E-5</c:v>
                </c:pt>
                <c:pt idx="29">
                  <c:v>2.2008441760071351E-5</c:v>
                </c:pt>
                <c:pt idx="30">
                  <c:v>2.1975855609393095E-5</c:v>
                </c:pt>
                <c:pt idx="31">
                  <c:v>2.1951542425336737E-5</c:v>
                </c:pt>
                <c:pt idx="32">
                  <c:v>2.1867233722488702E-5</c:v>
                </c:pt>
                <c:pt idx="33">
                  <c:v>2.1826212866065118E-5</c:v>
                </c:pt>
                <c:pt idx="34">
                  <c:v>2.1777806877122881E-5</c:v>
                </c:pt>
                <c:pt idx="35">
                  <c:v>2.1670309949951705E-5</c:v>
                </c:pt>
                <c:pt idx="36">
                  <c:v>2.1531016102406021E-5</c:v>
                </c:pt>
                <c:pt idx="37">
                  <c:v>2.1543725537792928E-5</c:v>
                </c:pt>
                <c:pt idx="38">
                  <c:v>2.1455377940332002E-5</c:v>
                </c:pt>
                <c:pt idx="39">
                  <c:v>2.1223001733800661E-5</c:v>
                </c:pt>
                <c:pt idx="40">
                  <c:v>2.1148436617729755E-5</c:v>
                </c:pt>
                <c:pt idx="41">
                  <c:v>2.1012332437048245E-5</c:v>
                </c:pt>
                <c:pt idx="42">
                  <c:v>2.0925030654697565E-5</c:v>
                </c:pt>
                <c:pt idx="43">
                  <c:v>2.0758233445282782E-5</c:v>
                </c:pt>
                <c:pt idx="44">
                  <c:v>2.0616813524343641E-5</c:v>
                </c:pt>
                <c:pt idx="45">
                  <c:v>2.0458257268675736E-5</c:v>
                </c:pt>
                <c:pt idx="46">
                  <c:v>2.0239314782556352E-5</c:v>
                </c:pt>
                <c:pt idx="47">
                  <c:v>2.0153465279911697E-5</c:v>
                </c:pt>
                <c:pt idx="48">
                  <c:v>1.9812429804835114E-5</c:v>
                </c:pt>
                <c:pt idx="49">
                  <c:v>1.9794038909162564E-5</c:v>
                </c:pt>
                <c:pt idx="50">
                  <c:v>1.9566761676152101E-5</c:v>
                </c:pt>
                <c:pt idx="51">
                  <c:v>1.9514724109755396E-5</c:v>
                </c:pt>
                <c:pt idx="52">
                  <c:v>1.930824537202082E-5</c:v>
                </c:pt>
                <c:pt idx="53">
                  <c:v>1.9170156504899895E-5</c:v>
                </c:pt>
                <c:pt idx="54">
                  <c:v>1.8969108474036354E-5</c:v>
                </c:pt>
                <c:pt idx="55">
                  <c:v>1.8654352102494552E-5</c:v>
                </c:pt>
                <c:pt idx="56">
                  <c:v>1.8720072952539382E-5</c:v>
                </c:pt>
                <c:pt idx="57">
                  <c:v>1.8500467388598499E-5</c:v>
                </c:pt>
                <c:pt idx="58">
                  <c:v>1.8323517847068741E-5</c:v>
                </c:pt>
                <c:pt idx="59">
                  <c:v>1.8013652723412289E-5</c:v>
                </c:pt>
                <c:pt idx="60">
                  <c:v>1.7869520002158047E-5</c:v>
                </c:pt>
                <c:pt idx="61">
                  <c:v>1.7655176281548437E-5</c:v>
                </c:pt>
                <c:pt idx="62">
                  <c:v>1.7716290958725088E-5</c:v>
                </c:pt>
                <c:pt idx="63">
                  <c:v>1.7294859135570815E-5</c:v>
                </c:pt>
                <c:pt idx="64">
                  <c:v>1.7227971772230982E-5</c:v>
                </c:pt>
                <c:pt idx="65">
                  <c:v>1.7086545344472941E-5</c:v>
                </c:pt>
                <c:pt idx="66">
                  <c:v>1.6691807364443123E-5</c:v>
                </c:pt>
                <c:pt idx="67">
                  <c:v>1.6428516639919481E-5</c:v>
                </c:pt>
                <c:pt idx="68">
                  <c:v>1.6554734746008739E-5</c:v>
                </c:pt>
                <c:pt idx="69">
                  <c:v>1.595742678982163E-5</c:v>
                </c:pt>
                <c:pt idx="70">
                  <c:v>1.5961637760915275E-5</c:v>
                </c:pt>
                <c:pt idx="71">
                  <c:v>1.5738268994482217E-5</c:v>
                </c:pt>
                <c:pt idx="72">
                  <c:v>1.5477517231602005E-5</c:v>
                </c:pt>
                <c:pt idx="73">
                  <c:v>1.5299511457558458E-5</c:v>
                </c:pt>
                <c:pt idx="74">
                  <c:v>1.5424230404114641E-5</c:v>
                </c:pt>
                <c:pt idx="75">
                  <c:v>1.4989066313652843E-5</c:v>
                </c:pt>
                <c:pt idx="76">
                  <c:v>1.4711646358737119E-5</c:v>
                </c:pt>
                <c:pt idx="77">
                  <c:v>1.4744730126333617E-5</c:v>
                </c:pt>
                <c:pt idx="78">
                  <c:v>1.4074416542240249E-5</c:v>
                </c:pt>
                <c:pt idx="79">
                  <c:v>1.4246549237389583E-5</c:v>
                </c:pt>
                <c:pt idx="80">
                  <c:v>1.3959603034752845E-5</c:v>
                </c:pt>
                <c:pt idx="81">
                  <c:v>1.3681270567977918E-5</c:v>
                </c:pt>
                <c:pt idx="82">
                  <c:v>1.3011838465795319E-5</c:v>
                </c:pt>
                <c:pt idx="83">
                  <c:v>1.3227131226650391E-5</c:v>
                </c:pt>
                <c:pt idx="84">
                  <c:v>1.3340603009271212E-5</c:v>
                </c:pt>
                <c:pt idx="85">
                  <c:v>1.2886158609853255E-5</c:v>
                </c:pt>
                <c:pt idx="86">
                  <c:v>1.2863886819996217E-5</c:v>
                </c:pt>
                <c:pt idx="87">
                  <c:v>1.1985579870530626E-5</c:v>
                </c:pt>
                <c:pt idx="88">
                  <c:v>1.2015806033237409E-5</c:v>
                </c:pt>
                <c:pt idx="89">
                  <c:v>1.1586823778334655E-5</c:v>
                </c:pt>
                <c:pt idx="90">
                  <c:v>1.2278919521069701E-5</c:v>
                </c:pt>
                <c:pt idx="91">
                  <c:v>1.1826957055332376E-5</c:v>
                </c:pt>
                <c:pt idx="92">
                  <c:v>1.2002371365017372E-5</c:v>
                </c:pt>
                <c:pt idx="93">
                  <c:v>1.1057598027237136E-5</c:v>
                </c:pt>
                <c:pt idx="94">
                  <c:v>1.0807967510809428E-5</c:v>
                </c:pt>
                <c:pt idx="95">
                  <c:v>1.1044094628311385E-5</c:v>
                </c:pt>
                <c:pt idx="96">
                  <c:v>9.7485021721513645E-6</c:v>
                </c:pt>
                <c:pt idx="97">
                  <c:v>1.0309606667897658E-5</c:v>
                </c:pt>
                <c:pt idx="98">
                  <c:v>9.8807304157027799E-6</c:v>
                </c:pt>
                <c:pt idx="99">
                  <c:v>1.0526564851688896E-5</c:v>
                </c:pt>
                <c:pt idx="100">
                  <c:v>1.0152022805700164E-5</c:v>
                </c:pt>
                <c:pt idx="101">
                  <c:v>1.050542257510351E-5</c:v>
                </c:pt>
                <c:pt idx="102">
                  <c:v>9.7805921430037362E-6</c:v>
                </c:pt>
                <c:pt idx="103">
                  <c:v>9.8720940373444851E-6</c:v>
                </c:pt>
                <c:pt idx="104">
                  <c:v>9.5652041052181621E-6</c:v>
                </c:pt>
                <c:pt idx="105">
                  <c:v>8.2290102894941021E-6</c:v>
                </c:pt>
                <c:pt idx="106">
                  <c:v>9.4156371656188136E-6</c:v>
                </c:pt>
                <c:pt idx="107">
                  <c:v>1.008251108931971E-5</c:v>
                </c:pt>
                <c:pt idx="108">
                  <c:v>1.1320525991233711E-5</c:v>
                </c:pt>
                <c:pt idx="109">
                  <c:v>8.0985809711981951E-6</c:v>
                </c:pt>
                <c:pt idx="110">
                  <c:v>7.9446793996978423E-6</c:v>
                </c:pt>
                <c:pt idx="111">
                  <c:v>1.0588792132170558E-5</c:v>
                </c:pt>
                <c:pt idx="112">
                  <c:v>7.9426218526423229E-6</c:v>
                </c:pt>
                <c:pt idx="113">
                  <c:v>8.9262485248545932E-6</c:v>
                </c:pt>
                <c:pt idx="114">
                  <c:v>5.7330958758539911E-6</c:v>
                </c:pt>
                <c:pt idx="115">
                  <c:v>8.0464549302525714E-6</c:v>
                </c:pt>
                <c:pt idx="116">
                  <c:v>1.0652738233327486E-5</c:v>
                </c:pt>
                <c:pt idx="117">
                  <c:v>8.1725682858555214E-6</c:v>
                </c:pt>
                <c:pt idx="118">
                  <c:v>9.6543820343012677E-6</c:v>
                </c:pt>
                <c:pt idx="119">
                  <c:v>9.5656696060102548E-6</c:v>
                </c:pt>
                <c:pt idx="120">
                  <c:v>1.1650712213082686E-5</c:v>
                </c:pt>
                <c:pt idx="121">
                  <c:v>9.1395572191744783E-6</c:v>
                </c:pt>
                <c:pt idx="122">
                  <c:v>1.1067048456954548E-5</c:v>
                </c:pt>
                <c:pt idx="123">
                  <c:v>0</c:v>
                </c:pt>
                <c:pt idx="124">
                  <c:v>0</c:v>
                </c:pt>
              </c:numCache>
            </c:numRef>
          </c:yVal>
          <c:smooth val="0"/>
        </c:ser>
        <c:ser>
          <c:idx val="4"/>
          <c:order val="4"/>
          <c:tx>
            <c:strRef>
              <c:f>Plots!$H$1</c:f>
              <c:strCache>
                <c:ptCount val="1"/>
                <c:pt idx="0">
                  <c:v>155</c:v>
                </c:pt>
              </c:strCache>
            </c:strRef>
          </c:tx>
          <c:spPr>
            <a:ln w="28575">
              <a:noFill/>
            </a:ln>
          </c:spPr>
          <c:marker>
            <c:symbol val="diamond"/>
            <c:size val="7"/>
            <c:spPr>
              <a:solidFill>
                <a:schemeClr val="accent6">
                  <a:lumMod val="75000"/>
                </a:schemeClr>
              </a:solidFill>
              <a:ln>
                <a:noFill/>
              </a:ln>
            </c:spPr>
          </c:marker>
          <c:xVal>
            <c:numRef>
              <c:f>Plots!$H$3:$H$127</c:f>
              <c:numCache>
                <c:formatCode>General</c:formatCode>
                <c:ptCount val="125"/>
                <c:pt idx="0">
                  <c:v>4296693974881309</c:v>
                </c:pt>
                <c:pt idx="1">
                  <c:v>8690786853176396</c:v>
                </c:pt>
                <c:pt idx="2">
                  <c:v>1.006967790897829E+16</c:v>
                </c:pt>
                <c:pt idx="3">
                  <c:v>1.0374307531872014E+16</c:v>
                </c:pt>
                <c:pt idx="4">
                  <c:v>1.0021099773541208E+16</c:v>
                </c:pt>
                <c:pt idx="5">
                  <c:v>9584800373624806</c:v>
                </c:pt>
                <c:pt idx="6">
                  <c:v>9129482667947724</c:v>
                </c:pt>
                <c:pt idx="7">
                  <c:v>8686038598051801</c:v>
                </c:pt>
                <c:pt idx="8">
                  <c:v>8262697271218338</c:v>
                </c:pt>
                <c:pt idx="9">
                  <c:v>7857139814385406</c:v>
                </c:pt>
                <c:pt idx="10">
                  <c:v>7457364394897668</c:v>
                </c:pt>
                <c:pt idx="11">
                  <c:v>7078270671248497</c:v>
                </c:pt>
                <c:pt idx="12">
                  <c:v>6712105014584274</c:v>
                </c:pt>
                <c:pt idx="13">
                  <c:v>6370453889266299</c:v>
                </c:pt>
                <c:pt idx="14">
                  <c:v>6037651795143792</c:v>
                </c:pt>
                <c:pt idx="15">
                  <c:v>5729289970899129</c:v>
                </c:pt>
                <c:pt idx="16">
                  <c:v>5432100545705694</c:v>
                </c:pt>
                <c:pt idx="17">
                  <c:v>5147377452188753</c:v>
                </c:pt>
                <c:pt idx="18">
                  <c:v>4873660809835559</c:v>
                </c:pt>
                <c:pt idx="19">
                  <c:v>4620118315302109</c:v>
                </c:pt>
                <c:pt idx="20">
                  <c:v>4373865385028276</c:v>
                </c:pt>
                <c:pt idx="21">
                  <c:v>4139617765977631</c:v>
                </c:pt>
                <c:pt idx="22">
                  <c:v>3914541625635211</c:v>
                </c:pt>
                <c:pt idx="23">
                  <c:v>3708966880948310</c:v>
                </c:pt>
                <c:pt idx="24">
                  <c:v>3512616316396093.5</c:v>
                </c:pt>
                <c:pt idx="25">
                  <c:v>3322392087381956</c:v>
                </c:pt>
                <c:pt idx="26">
                  <c:v>3145036105620141</c:v>
                </c:pt>
                <c:pt idx="27">
                  <c:v>2976081333740102</c:v>
                </c:pt>
                <c:pt idx="28">
                  <c:v>2811344148769946</c:v>
                </c:pt>
                <c:pt idx="29">
                  <c:v>2663943017662692</c:v>
                </c:pt>
                <c:pt idx="30">
                  <c:v>2517105399873677.5</c:v>
                </c:pt>
                <c:pt idx="31">
                  <c:v>2383264315535029</c:v>
                </c:pt>
                <c:pt idx="32">
                  <c:v>2254207324487149.5</c:v>
                </c:pt>
                <c:pt idx="33">
                  <c:v>2130196433546414</c:v>
                </c:pt>
                <c:pt idx="34">
                  <c:v>2008961573068986.5</c:v>
                </c:pt>
                <c:pt idx="35">
                  <c:v>1894865653969370.5</c:v>
                </c:pt>
                <c:pt idx="36">
                  <c:v>1791247961605621.5</c:v>
                </c:pt>
                <c:pt idx="37">
                  <c:v>1690534724222382.5</c:v>
                </c:pt>
                <c:pt idx="38">
                  <c:v>1605308948891877.2</c:v>
                </c:pt>
                <c:pt idx="39">
                  <c:v>1509517844923190.7</c:v>
                </c:pt>
                <c:pt idx="40">
                  <c:v>1419412004720351.7</c:v>
                </c:pt>
                <c:pt idx="41">
                  <c:v>1345464097485802.5</c:v>
                </c:pt>
                <c:pt idx="42">
                  <c:v>1266402360498921.7</c:v>
                </c:pt>
                <c:pt idx="43">
                  <c:v>1193992818239109.5</c:v>
                </c:pt>
                <c:pt idx="44">
                  <c:v>1130030140501112.7</c:v>
                </c:pt>
                <c:pt idx="45">
                  <c:v>1065416679862274.1</c:v>
                </c:pt>
                <c:pt idx="46">
                  <c:v>998727076006931.12</c:v>
                </c:pt>
                <c:pt idx="47">
                  <c:v>946395283988593.62</c:v>
                </c:pt>
                <c:pt idx="48">
                  <c:v>886505623292543.62</c:v>
                </c:pt>
                <c:pt idx="49">
                  <c:v>842565463762150.87</c:v>
                </c:pt>
                <c:pt idx="50">
                  <c:v>794103077505527.25</c:v>
                </c:pt>
                <c:pt idx="51">
                  <c:v>752727959128074.37</c:v>
                </c:pt>
                <c:pt idx="52">
                  <c:v>707493432816434.62</c:v>
                </c:pt>
                <c:pt idx="53">
                  <c:v>666540997941064.12</c:v>
                </c:pt>
                <c:pt idx="54">
                  <c:v>628987054714099.12</c:v>
                </c:pt>
                <c:pt idx="55">
                  <c:v>590577009365372.12</c:v>
                </c:pt>
                <c:pt idx="56">
                  <c:v>556775127264800.37</c:v>
                </c:pt>
                <c:pt idx="57">
                  <c:v>525425857391545.12</c:v>
                </c:pt>
                <c:pt idx="58">
                  <c:v>497688202375123.81</c:v>
                </c:pt>
                <c:pt idx="59">
                  <c:v>471359063153378.44</c:v>
                </c:pt>
                <c:pt idx="60">
                  <c:v>439580820255367.62</c:v>
                </c:pt>
                <c:pt idx="61">
                  <c:v>411300753877737.31</c:v>
                </c:pt>
                <c:pt idx="62">
                  <c:v>383941462215713</c:v>
                </c:pt>
                <c:pt idx="63">
                  <c:v>364032732970949.44</c:v>
                </c:pt>
                <c:pt idx="64">
                  <c:v>342872178170377.81</c:v>
                </c:pt>
                <c:pt idx="65">
                  <c:v>323938883786456.44</c:v>
                </c:pt>
                <c:pt idx="66">
                  <c:v>311485581391334.37</c:v>
                </c:pt>
                <c:pt idx="67">
                  <c:v>291338318408635.62</c:v>
                </c:pt>
                <c:pt idx="68">
                  <c:v>272767351742095.09</c:v>
                </c:pt>
                <c:pt idx="69">
                  <c:v>256578756914195.03</c:v>
                </c:pt>
                <c:pt idx="70">
                  <c:v>238707493377913.97</c:v>
                </c:pt>
                <c:pt idx="71">
                  <c:v>229952692350169.97</c:v>
                </c:pt>
                <c:pt idx="72">
                  <c:v>218920548333084.69</c:v>
                </c:pt>
                <c:pt idx="73">
                  <c:v>202850982228103.22</c:v>
                </c:pt>
                <c:pt idx="74">
                  <c:v>187090823049118.44</c:v>
                </c:pt>
                <c:pt idx="75">
                  <c:v>180179626981259.34</c:v>
                </c:pt>
                <c:pt idx="76">
                  <c:v>169175611238706.28</c:v>
                </c:pt>
                <c:pt idx="77">
                  <c:v>155316116703348.5</c:v>
                </c:pt>
                <c:pt idx="78">
                  <c:v>147105956304571.09</c:v>
                </c:pt>
                <c:pt idx="79">
                  <c:v>142910022002488.12</c:v>
                </c:pt>
                <c:pt idx="80">
                  <c:v>136551115163433.56</c:v>
                </c:pt>
                <c:pt idx="81">
                  <c:v>127630209962142.11</c:v>
                </c:pt>
                <c:pt idx="82">
                  <c:v>113218940689981.19</c:v>
                </c:pt>
                <c:pt idx="83">
                  <c:v>112872185038604.98</c:v>
                </c:pt>
                <c:pt idx="84">
                  <c:v>104525686571706.11</c:v>
                </c:pt>
                <c:pt idx="85">
                  <c:v>98981911074011.531</c:v>
                </c:pt>
                <c:pt idx="86">
                  <c:v>92987649831373.359</c:v>
                </c:pt>
                <c:pt idx="87">
                  <c:v>84919650318197.922</c:v>
                </c:pt>
                <c:pt idx="88">
                  <c:v>83216189234078.172</c:v>
                </c:pt>
                <c:pt idx="89">
                  <c:v>78240175614733.734</c:v>
                </c:pt>
                <c:pt idx="90">
                  <c:v>71484819253207.391</c:v>
                </c:pt>
                <c:pt idx="91">
                  <c:v>68959173540080.484</c:v>
                </c:pt>
                <c:pt idx="92">
                  <c:v>68985849432503.18</c:v>
                </c:pt>
                <c:pt idx="93">
                  <c:v>66195030225125.234</c:v>
                </c:pt>
                <c:pt idx="94">
                  <c:v>59207968374124.898</c:v>
                </c:pt>
                <c:pt idx="95">
                  <c:v>56286927569808.258</c:v>
                </c:pt>
                <c:pt idx="96">
                  <c:v>53579154267799.961</c:v>
                </c:pt>
                <c:pt idx="97">
                  <c:v>49014962275987.937</c:v>
                </c:pt>
                <c:pt idx="98">
                  <c:v>43657481094794.508</c:v>
                </c:pt>
                <c:pt idx="99">
                  <c:v>43630873565862.281</c:v>
                </c:pt>
                <c:pt idx="100">
                  <c:v>39177730481831.414</c:v>
                </c:pt>
                <c:pt idx="101">
                  <c:v>42040273002469.547</c:v>
                </c:pt>
                <c:pt idx="102">
                  <c:v>37826328260184.344</c:v>
                </c:pt>
                <c:pt idx="103">
                  <c:v>30517012473143.391</c:v>
                </c:pt>
                <c:pt idx="104">
                  <c:v>31814122983411.973</c:v>
                </c:pt>
                <c:pt idx="105">
                  <c:v>29590610447484.297</c:v>
                </c:pt>
                <c:pt idx="106">
                  <c:v>26732771901017.395</c:v>
                </c:pt>
                <c:pt idx="107">
                  <c:v>27103109263900.016</c:v>
                </c:pt>
                <c:pt idx="108">
                  <c:v>28161541514847.66</c:v>
                </c:pt>
                <c:pt idx="109">
                  <c:v>18642564779307.23</c:v>
                </c:pt>
                <c:pt idx="110">
                  <c:v>18536919062139.996</c:v>
                </c:pt>
                <c:pt idx="111">
                  <c:v>16001242017095.277</c:v>
                </c:pt>
                <c:pt idx="112">
                  <c:v>17216049647311.586</c:v>
                </c:pt>
                <c:pt idx="113">
                  <c:v>17242555765983.846</c:v>
                </c:pt>
                <c:pt idx="114">
                  <c:v>14733877638073.514</c:v>
                </c:pt>
                <c:pt idx="115">
                  <c:v>15367586506175.084</c:v>
                </c:pt>
                <c:pt idx="116">
                  <c:v>12912640731405.801</c:v>
                </c:pt>
                <c:pt idx="117">
                  <c:v>12411258080278.504</c:v>
                </c:pt>
                <c:pt idx="118">
                  <c:v>8507903430778.0586</c:v>
                </c:pt>
                <c:pt idx="119">
                  <c:v>11593348858596.959</c:v>
                </c:pt>
                <c:pt idx="120">
                  <c:v>7532691195410.1777</c:v>
                </c:pt>
                <c:pt idx="121">
                  <c:v>6162623992491.3232</c:v>
                </c:pt>
                <c:pt idx="122">
                  <c:v>6347010201068.6279</c:v>
                </c:pt>
                <c:pt idx="123">
                  <c:v>2687792477107.7031</c:v>
                </c:pt>
                <c:pt idx="124">
                  <c:v>6057252050153.5693</c:v>
                </c:pt>
              </c:numCache>
            </c:numRef>
          </c:xVal>
          <c:yVal>
            <c:numRef>
              <c:f>Plots!$I$3:$I$127</c:f>
              <c:numCache>
                <c:formatCode>General</c:formatCode>
                <c:ptCount val="125"/>
                <c:pt idx="0">
                  <c:v>0</c:v>
                </c:pt>
                <c:pt idx="1">
                  <c:v>0</c:v>
                </c:pt>
                <c:pt idx="2">
                  <c:v>1.9584661008660914E-5</c:v>
                </c:pt>
                <c:pt idx="3">
                  <c:v>1.905193719883573E-5</c:v>
                </c:pt>
                <c:pt idx="4">
                  <c:v>1.8548350743421973E-5</c:v>
                </c:pt>
                <c:pt idx="5">
                  <c:v>1.8384318533300731E-5</c:v>
                </c:pt>
                <c:pt idx="6">
                  <c:v>1.8501408733434337E-5</c:v>
                </c:pt>
                <c:pt idx="7">
                  <c:v>1.8699017436391545E-5</c:v>
                </c:pt>
                <c:pt idx="8">
                  <c:v>1.8897016066689766E-5</c:v>
                </c:pt>
                <c:pt idx="9">
                  <c:v>1.9091739716470132E-5</c:v>
                </c:pt>
                <c:pt idx="10">
                  <c:v>1.9252380984704896E-5</c:v>
                </c:pt>
                <c:pt idx="11">
                  <c:v>1.9405177285908835E-5</c:v>
                </c:pt>
                <c:pt idx="12">
                  <c:v>1.9541757868859935E-5</c:v>
                </c:pt>
                <c:pt idx="13">
                  <c:v>1.9682883395814618E-5</c:v>
                </c:pt>
                <c:pt idx="14">
                  <c:v>1.9786147700383828E-5</c:v>
                </c:pt>
                <c:pt idx="15">
                  <c:v>1.9913609497390357E-5</c:v>
                </c:pt>
                <c:pt idx="16">
                  <c:v>2.0020956678883307E-5</c:v>
                </c:pt>
                <c:pt idx="17">
                  <c:v>2.0110042319553104E-5</c:v>
                </c:pt>
                <c:pt idx="18">
                  <c:v>2.0179932507143234E-5</c:v>
                </c:pt>
                <c:pt idx="19">
                  <c:v>2.026649288425984E-5</c:v>
                </c:pt>
                <c:pt idx="20">
                  <c:v>2.0314400980417794E-5</c:v>
                </c:pt>
                <c:pt idx="21">
                  <c:v>2.0344608722680142E-5</c:v>
                </c:pt>
                <c:pt idx="22">
                  <c:v>2.0355643406856609E-5</c:v>
                </c:pt>
                <c:pt idx="23">
                  <c:v>2.0405950005764341E-5</c:v>
                </c:pt>
                <c:pt idx="24">
                  <c:v>2.0440272440510809E-5</c:v>
                </c:pt>
                <c:pt idx="25">
                  <c:v>2.0433656737706408E-5</c:v>
                </c:pt>
                <c:pt idx="26">
                  <c:v>2.0436585314415725E-5</c:v>
                </c:pt>
                <c:pt idx="27">
                  <c:v>2.0429856938052386E-5</c:v>
                </c:pt>
                <c:pt idx="28">
                  <c:v>2.0408513903115803E-5</c:v>
                </c:pt>
                <c:pt idx="29">
                  <c:v>2.0431236861243125E-5</c:v>
                </c:pt>
                <c:pt idx="30">
                  <c:v>2.0380138096351823E-5</c:v>
                </c:pt>
                <c:pt idx="31">
                  <c:v>2.0358979007266325E-5</c:v>
                </c:pt>
                <c:pt idx="32">
                  <c:v>2.0310200808832297E-5</c:v>
                </c:pt>
                <c:pt idx="33">
                  <c:v>2.024001150478719E-5</c:v>
                </c:pt>
                <c:pt idx="34">
                  <c:v>2.0123036585405309E-5</c:v>
                </c:pt>
                <c:pt idx="35">
                  <c:v>2.0002875931722391E-5</c:v>
                </c:pt>
                <c:pt idx="36">
                  <c:v>1.9927118341828881E-5</c:v>
                </c:pt>
                <c:pt idx="37">
                  <c:v>1.9802320650778188E-5</c:v>
                </c:pt>
                <c:pt idx="38">
                  <c:v>1.9794052529811749E-5</c:v>
                </c:pt>
                <c:pt idx="39">
                  <c:v>1.9606385315961333E-5</c:v>
                </c:pt>
                <c:pt idx="40">
                  <c:v>1.9402216710155095E-5</c:v>
                </c:pt>
                <c:pt idx="41">
                  <c:v>1.936087476653604E-5</c:v>
                </c:pt>
                <c:pt idx="42">
                  <c:v>1.9179219259362511E-5</c:v>
                </c:pt>
                <c:pt idx="43">
                  <c:v>1.9009526944782964E-5</c:v>
                </c:pt>
                <c:pt idx="44">
                  <c:v>1.8920748063299112E-5</c:v>
                </c:pt>
                <c:pt idx="45">
                  <c:v>1.8752639771252186E-5</c:v>
                </c:pt>
                <c:pt idx="46">
                  <c:v>1.8469810672436639E-5</c:v>
                </c:pt>
                <c:pt idx="47">
                  <c:v>1.8403147287363864E-5</c:v>
                </c:pt>
                <c:pt idx="48">
                  <c:v>1.8113024436761606E-5</c:v>
                </c:pt>
                <c:pt idx="49">
                  <c:v>1.8092001062412161E-5</c:v>
                </c:pt>
                <c:pt idx="50">
                  <c:v>1.7913803951904509E-5</c:v>
                </c:pt>
                <c:pt idx="51">
                  <c:v>1.7820709976265006E-5</c:v>
                </c:pt>
                <c:pt idx="52">
                  <c:v>1.7579490414005604E-5</c:v>
                </c:pt>
                <c:pt idx="53">
                  <c:v>1.7389630140888195E-5</c:v>
                </c:pt>
                <c:pt idx="54">
                  <c:v>1.7224472088886375E-5</c:v>
                </c:pt>
                <c:pt idx="55">
                  <c:v>1.6965930338934449E-5</c:v>
                </c:pt>
                <c:pt idx="56">
                  <c:v>1.6790166151794868E-5</c:v>
                </c:pt>
                <c:pt idx="57">
                  <c:v>1.6629171487296016E-5</c:v>
                </c:pt>
                <c:pt idx="58">
                  <c:v>1.6519525775207222E-5</c:v>
                </c:pt>
                <c:pt idx="59">
                  <c:v>1.6426658065837016E-5</c:v>
                </c:pt>
                <c:pt idx="60">
                  <c:v>1.607373691641157E-5</c:v>
                </c:pt>
                <c:pt idx="61">
                  <c:v>1.5769749635559788E-5</c:v>
                </c:pt>
                <c:pt idx="62">
                  <c:v>1.5481682633645004E-5</c:v>
                </c:pt>
                <c:pt idx="63">
                  <c:v>1.541308128590878E-5</c:v>
                </c:pt>
                <c:pt idx="64">
                  <c:v>1.5230903010074713E-5</c:v>
                </c:pt>
                <c:pt idx="65">
                  <c:v>1.5091399086297687E-5</c:v>
                </c:pt>
                <c:pt idx="66">
                  <c:v>1.5215457920442734E-5</c:v>
                </c:pt>
                <c:pt idx="67">
                  <c:v>1.4903888259749908E-5</c:v>
                </c:pt>
                <c:pt idx="68">
                  <c:v>1.4645818723542292E-5</c:v>
                </c:pt>
                <c:pt idx="69">
                  <c:v>1.4469858213327189E-5</c:v>
                </c:pt>
                <c:pt idx="70">
                  <c:v>1.4120708651280894E-5</c:v>
                </c:pt>
                <c:pt idx="71">
                  <c:v>1.4279843982448575E-5</c:v>
                </c:pt>
                <c:pt idx="72">
                  <c:v>1.4234413437482793E-5</c:v>
                </c:pt>
                <c:pt idx="73">
                  <c:v>1.3820074477318621E-5</c:v>
                </c:pt>
                <c:pt idx="74">
                  <c:v>1.3367491255337776E-5</c:v>
                </c:pt>
                <c:pt idx="75">
                  <c:v>1.3504511516271627E-5</c:v>
                </c:pt>
                <c:pt idx="76">
                  <c:v>1.3294268999602622E-5</c:v>
                </c:pt>
                <c:pt idx="77">
                  <c:v>1.2805176679557247E-5</c:v>
                </c:pt>
                <c:pt idx="78">
                  <c:v>1.2760631655751018E-5</c:v>
                </c:pt>
                <c:pt idx="79">
                  <c:v>1.3001641912261807E-5</c:v>
                </c:pt>
                <c:pt idx="80">
                  <c:v>1.3023468635231355E-5</c:v>
                </c:pt>
                <c:pt idx="81">
                  <c:v>1.2743443865801671E-5</c:v>
                </c:pt>
                <c:pt idx="82">
                  <c:v>1.1888045835596959E-5</c:v>
                </c:pt>
                <c:pt idx="83">
                  <c:v>1.2445576041067094E-5</c:v>
                </c:pt>
                <c:pt idx="84">
                  <c:v>1.2095680809916552E-5</c:v>
                </c:pt>
                <c:pt idx="85">
                  <c:v>1.1994387976686328E-5</c:v>
                </c:pt>
                <c:pt idx="86">
                  <c:v>1.185012457099128E-5</c:v>
                </c:pt>
                <c:pt idx="87">
                  <c:v>1.1373219766798644E-5</c:v>
                </c:pt>
                <c:pt idx="88">
                  <c:v>1.1701569728322484E-5</c:v>
                </c:pt>
                <c:pt idx="89">
                  <c:v>1.1529266344734802E-5</c:v>
                </c:pt>
                <c:pt idx="90">
                  <c:v>1.1111106350613069E-5</c:v>
                </c:pt>
                <c:pt idx="91">
                  <c:v>1.1237383168168385E-5</c:v>
                </c:pt>
                <c:pt idx="92">
                  <c:v>1.1820725493281377E-5</c:v>
                </c:pt>
                <c:pt idx="93">
                  <c:v>1.1915553229588263E-5</c:v>
                </c:pt>
                <c:pt idx="94">
                  <c:v>1.1204161526826936E-5</c:v>
                </c:pt>
                <c:pt idx="95">
                  <c:v>1.1174236257520493E-5</c:v>
                </c:pt>
                <c:pt idx="96">
                  <c:v>1.1221903940702929E-5</c:v>
                </c:pt>
                <c:pt idx="97">
                  <c:v>1.0775321339608201E-5</c:v>
                </c:pt>
                <c:pt idx="98">
                  <c:v>1.0079752194146369E-5</c:v>
                </c:pt>
                <c:pt idx="99">
                  <c:v>1.0680249170987175E-5</c:v>
                </c:pt>
                <c:pt idx="100">
                  <c:v>1.0073660174033084E-5</c:v>
                </c:pt>
                <c:pt idx="101">
                  <c:v>1.1413227425253062E-5</c:v>
                </c:pt>
                <c:pt idx="102">
                  <c:v>1.0776465481505511E-5</c:v>
                </c:pt>
                <c:pt idx="103">
                  <c:v>9.1482020279956133E-6</c:v>
                </c:pt>
                <c:pt idx="104">
                  <c:v>1.0058714484353962E-5</c:v>
                </c:pt>
                <c:pt idx="105">
                  <c:v>9.9083582104992816E-6</c:v>
                </c:pt>
                <c:pt idx="106">
                  <c:v>9.5552388897345617E-6</c:v>
                </c:pt>
                <c:pt idx="107">
                  <c:v>1.0132561996680328E-5</c:v>
                </c:pt>
                <c:pt idx="108">
                  <c:v>1.0995844699934774E-5</c:v>
                </c:pt>
                <c:pt idx="109">
                  <c:v>7.7171705781741739E-6</c:v>
                </c:pt>
                <c:pt idx="110">
                  <c:v>8.0997108494824653E-6</c:v>
                </c:pt>
                <c:pt idx="111">
                  <c:v>7.4511691657383067E-6</c:v>
                </c:pt>
                <c:pt idx="112">
                  <c:v>8.4777035050599154E-6</c:v>
                </c:pt>
                <c:pt idx="113">
                  <c:v>9.0113496412081444E-6</c:v>
                </c:pt>
                <c:pt idx="114">
                  <c:v>8.0802918427537096E-6</c:v>
                </c:pt>
                <c:pt idx="115">
                  <c:v>8.952449589000013E-6</c:v>
                </c:pt>
                <c:pt idx="116">
                  <c:v>7.9648161522470207E-6</c:v>
                </c:pt>
                <c:pt idx="117">
                  <c:v>8.1551661187570615E-6</c:v>
                </c:pt>
                <c:pt idx="118">
                  <c:v>5.8969740304639823E-6</c:v>
                </c:pt>
                <c:pt idx="119">
                  <c:v>8.4664808670661824E-6</c:v>
                </c:pt>
                <c:pt idx="120">
                  <c:v>5.8264172558576999E-6</c:v>
                </c:pt>
                <c:pt idx="121">
                  <c:v>5.0873711167765789E-6</c:v>
                </c:pt>
                <c:pt idx="122">
                  <c:v>5.4783920378879325E-6</c:v>
                </c:pt>
                <c:pt idx="123">
                  <c:v>0</c:v>
                </c:pt>
                <c:pt idx="124">
                  <c:v>0</c:v>
                </c:pt>
              </c:numCache>
            </c:numRef>
          </c:yVal>
          <c:smooth val="0"/>
        </c:ser>
        <c:ser>
          <c:idx val="5"/>
          <c:order val="5"/>
          <c:tx>
            <c:strRef>
              <c:f>Plots!$J$1</c:f>
              <c:strCache>
                <c:ptCount val="1"/>
                <c:pt idx="0">
                  <c:v>145</c:v>
                </c:pt>
              </c:strCache>
            </c:strRef>
          </c:tx>
          <c:spPr>
            <a:ln w="28575">
              <a:noFill/>
            </a:ln>
          </c:spPr>
          <c:marker>
            <c:symbol val="diamond"/>
            <c:size val="7"/>
            <c:spPr>
              <a:solidFill>
                <a:srgbClr val="FFC000"/>
              </a:solidFill>
              <a:ln>
                <a:noFill/>
              </a:ln>
            </c:spPr>
          </c:marker>
          <c:xVal>
            <c:numRef>
              <c:f>Plots!$J$3:$J$127</c:f>
              <c:numCache>
                <c:formatCode>General</c:formatCode>
                <c:ptCount val="125"/>
                <c:pt idx="0">
                  <c:v>4151013210939862.5</c:v>
                </c:pt>
                <c:pt idx="1">
                  <c:v>8508445205561987</c:v>
                </c:pt>
                <c:pt idx="2">
                  <c:v>9674472561374672</c:v>
                </c:pt>
                <c:pt idx="3">
                  <c:v>1.0027759496622326E+16</c:v>
                </c:pt>
                <c:pt idx="4">
                  <c:v>9696437884272618</c:v>
                </c:pt>
                <c:pt idx="5">
                  <c:v>9268977920613124</c:v>
                </c:pt>
                <c:pt idx="6">
                  <c:v>8818766717227022</c:v>
                </c:pt>
                <c:pt idx="7">
                  <c:v>8389337892551398</c:v>
                </c:pt>
                <c:pt idx="8">
                  <c:v>7972753864374714</c:v>
                </c:pt>
                <c:pt idx="9">
                  <c:v>7577346350873334</c:v>
                </c:pt>
                <c:pt idx="10">
                  <c:v>7192755486982885</c:v>
                </c:pt>
                <c:pt idx="11">
                  <c:v>6825441515685219</c:v>
                </c:pt>
                <c:pt idx="12">
                  <c:v>6469616274281881</c:v>
                </c:pt>
                <c:pt idx="13">
                  <c:v>6132245361164135</c:v>
                </c:pt>
                <c:pt idx="14">
                  <c:v>5813402108013212</c:v>
                </c:pt>
                <c:pt idx="15">
                  <c:v>5513703164285516</c:v>
                </c:pt>
                <c:pt idx="16">
                  <c:v>5220579089618465</c:v>
                </c:pt>
                <c:pt idx="17">
                  <c:v>4942132970796258</c:v>
                </c:pt>
                <c:pt idx="18">
                  <c:v>4686125861060813</c:v>
                </c:pt>
                <c:pt idx="19">
                  <c:v>4434490047854886</c:v>
                </c:pt>
                <c:pt idx="20">
                  <c:v>4192480371187348</c:v>
                </c:pt>
                <c:pt idx="21">
                  <c:v>3970045034875324.5</c:v>
                </c:pt>
                <c:pt idx="22">
                  <c:v>3758684943274311</c:v>
                </c:pt>
                <c:pt idx="23">
                  <c:v>3555971348489226.5</c:v>
                </c:pt>
                <c:pt idx="24">
                  <c:v>3364005682221182.5</c:v>
                </c:pt>
                <c:pt idx="25">
                  <c:v>3185652853143547.5</c:v>
                </c:pt>
                <c:pt idx="26">
                  <c:v>3010290436131035</c:v>
                </c:pt>
                <c:pt idx="27">
                  <c:v>2848022745211815.5</c:v>
                </c:pt>
                <c:pt idx="28">
                  <c:v>2687974280351320</c:v>
                </c:pt>
                <c:pt idx="29">
                  <c:v>2542690820343297</c:v>
                </c:pt>
                <c:pt idx="30">
                  <c:v>2408419046946368</c:v>
                </c:pt>
                <c:pt idx="31">
                  <c:v>2273655417832791.5</c:v>
                </c:pt>
                <c:pt idx="32">
                  <c:v>2146679206167917.2</c:v>
                </c:pt>
                <c:pt idx="33">
                  <c:v>2029053579444278.5</c:v>
                </c:pt>
                <c:pt idx="34">
                  <c:v>1912777641729602.7</c:v>
                </c:pt>
                <c:pt idx="35">
                  <c:v>1805390552466354.7</c:v>
                </c:pt>
                <c:pt idx="36">
                  <c:v>1709756601926986.2</c:v>
                </c:pt>
                <c:pt idx="37">
                  <c:v>1614690603727245.7</c:v>
                </c:pt>
                <c:pt idx="38">
                  <c:v>1521638711261499.5</c:v>
                </c:pt>
                <c:pt idx="39">
                  <c:v>1436186739169226</c:v>
                </c:pt>
                <c:pt idx="40">
                  <c:v>1356476188725312.5</c:v>
                </c:pt>
                <c:pt idx="41">
                  <c:v>1278852267807053.5</c:v>
                </c:pt>
                <c:pt idx="42">
                  <c:v>1207099834225610.2</c:v>
                </c:pt>
                <c:pt idx="43">
                  <c:v>1139215068942175</c:v>
                </c:pt>
                <c:pt idx="44">
                  <c:v>1072968638677282.9</c:v>
                </c:pt>
                <c:pt idx="45">
                  <c:v>1011198916427212.6</c:v>
                </c:pt>
                <c:pt idx="46">
                  <c:v>954936294856568.5</c:v>
                </c:pt>
                <c:pt idx="47">
                  <c:v>899727218068207.62</c:v>
                </c:pt>
                <c:pt idx="48">
                  <c:v>843496095005384.75</c:v>
                </c:pt>
                <c:pt idx="49">
                  <c:v>800278315351726.75</c:v>
                </c:pt>
                <c:pt idx="50">
                  <c:v>755413155937224.25</c:v>
                </c:pt>
                <c:pt idx="51">
                  <c:v>713242449520406.75</c:v>
                </c:pt>
                <c:pt idx="52">
                  <c:v>674251939834937.37</c:v>
                </c:pt>
                <c:pt idx="53">
                  <c:v>629784711388742.87</c:v>
                </c:pt>
                <c:pt idx="54">
                  <c:v>591282404855365.75</c:v>
                </c:pt>
                <c:pt idx="55">
                  <c:v>559635274159314.81</c:v>
                </c:pt>
                <c:pt idx="56">
                  <c:v>528411312261922.06</c:v>
                </c:pt>
                <c:pt idx="57">
                  <c:v>501654080321042.69</c:v>
                </c:pt>
                <c:pt idx="58">
                  <c:v>466629036324377.31</c:v>
                </c:pt>
                <c:pt idx="59">
                  <c:v>440758591640544.19</c:v>
                </c:pt>
                <c:pt idx="60">
                  <c:v>419901908685368.87</c:v>
                </c:pt>
                <c:pt idx="61">
                  <c:v>390768324147561.44</c:v>
                </c:pt>
                <c:pt idx="62">
                  <c:v>369796262145124</c:v>
                </c:pt>
                <c:pt idx="63">
                  <c:v>346521213677229.19</c:v>
                </c:pt>
                <c:pt idx="64">
                  <c:v>324117839425568.75</c:v>
                </c:pt>
                <c:pt idx="65">
                  <c:v>305727018694077.06</c:v>
                </c:pt>
                <c:pt idx="66">
                  <c:v>279402820046144.25</c:v>
                </c:pt>
                <c:pt idx="67">
                  <c:v>271225990731676.97</c:v>
                </c:pt>
                <c:pt idx="68">
                  <c:v>257038741774351.19</c:v>
                </c:pt>
                <c:pt idx="69">
                  <c:v>240475347799439.34</c:v>
                </c:pt>
                <c:pt idx="70">
                  <c:v>228464520651847.53</c:v>
                </c:pt>
                <c:pt idx="71">
                  <c:v>210231622336390</c:v>
                </c:pt>
                <c:pt idx="72">
                  <c:v>202262219629575.72</c:v>
                </c:pt>
                <c:pt idx="73">
                  <c:v>189737717489411.44</c:v>
                </c:pt>
                <c:pt idx="74">
                  <c:v>172285382064695.28</c:v>
                </c:pt>
                <c:pt idx="75">
                  <c:v>165150968958475.66</c:v>
                </c:pt>
                <c:pt idx="76">
                  <c:v>158760196415065.56</c:v>
                </c:pt>
                <c:pt idx="77">
                  <c:v>148924353616721.41</c:v>
                </c:pt>
                <c:pt idx="78">
                  <c:v>138455529158569.19</c:v>
                </c:pt>
                <c:pt idx="79">
                  <c:v>135162612347471.94</c:v>
                </c:pt>
                <c:pt idx="80">
                  <c:v>124627406798078.42</c:v>
                </c:pt>
                <c:pt idx="81">
                  <c:v>117871267609352.22</c:v>
                </c:pt>
                <c:pt idx="82">
                  <c:v>112494182119488.64</c:v>
                </c:pt>
                <c:pt idx="83">
                  <c:v>103706826315725.34</c:v>
                </c:pt>
                <c:pt idx="84">
                  <c:v>95714209861922.641</c:v>
                </c:pt>
                <c:pt idx="85">
                  <c:v>89634001960521</c:v>
                </c:pt>
                <c:pt idx="86">
                  <c:v>87650383122039.016</c:v>
                </c:pt>
                <c:pt idx="87">
                  <c:v>85311062568092.734</c:v>
                </c:pt>
                <c:pt idx="88">
                  <c:v>71920119540207.266</c:v>
                </c:pt>
                <c:pt idx="89">
                  <c:v>73317006215905.703</c:v>
                </c:pt>
                <c:pt idx="90">
                  <c:v>69660364278277</c:v>
                </c:pt>
                <c:pt idx="91">
                  <c:v>67654783841826.75</c:v>
                </c:pt>
                <c:pt idx="92">
                  <c:v>61640514949942.617</c:v>
                </c:pt>
                <c:pt idx="93">
                  <c:v>57252650499525.508</c:v>
                </c:pt>
                <c:pt idx="94">
                  <c:v>51954442739536.766</c:v>
                </c:pt>
                <c:pt idx="95">
                  <c:v>52435853982837.93</c:v>
                </c:pt>
                <c:pt idx="96">
                  <c:v>51346162529911</c:v>
                </c:pt>
                <c:pt idx="97">
                  <c:v>48001755259092.086</c:v>
                </c:pt>
                <c:pt idx="98">
                  <c:v>43949628489304.883</c:v>
                </c:pt>
                <c:pt idx="99">
                  <c:v>42481235741893.914</c:v>
                </c:pt>
                <c:pt idx="100">
                  <c:v>41595247441764.914</c:v>
                </c:pt>
                <c:pt idx="101">
                  <c:v>39519860217125.508</c:v>
                </c:pt>
                <c:pt idx="102">
                  <c:v>34687974782091.102</c:v>
                </c:pt>
                <c:pt idx="103">
                  <c:v>29530926527719.359</c:v>
                </c:pt>
                <c:pt idx="104">
                  <c:v>26827460443325.332</c:v>
                </c:pt>
                <c:pt idx="105">
                  <c:v>30794494778186.215</c:v>
                </c:pt>
                <c:pt idx="106">
                  <c:v>21499928304983.52</c:v>
                </c:pt>
                <c:pt idx="107">
                  <c:v>23771730015819.773</c:v>
                </c:pt>
                <c:pt idx="108">
                  <c:v>20313987595231.602</c:v>
                </c:pt>
                <c:pt idx="109">
                  <c:v>22257181483657.441</c:v>
                </c:pt>
                <c:pt idx="110">
                  <c:v>17236479252631.82</c:v>
                </c:pt>
                <c:pt idx="111">
                  <c:v>19001991039859.902</c:v>
                </c:pt>
                <c:pt idx="112">
                  <c:v>13858718508564.629</c:v>
                </c:pt>
                <c:pt idx="113">
                  <c:v>13128025007465.199</c:v>
                </c:pt>
                <c:pt idx="114">
                  <c:v>12850835213353.262</c:v>
                </c:pt>
                <c:pt idx="115">
                  <c:v>9954704264483.9512</c:v>
                </c:pt>
                <c:pt idx="116">
                  <c:v>8822032961125.625</c:v>
                </c:pt>
                <c:pt idx="117">
                  <c:v>5979494984448.9297</c:v>
                </c:pt>
                <c:pt idx="118">
                  <c:v>5602369344234.7285</c:v>
                </c:pt>
                <c:pt idx="119">
                  <c:v>8998203259779.3184</c:v>
                </c:pt>
                <c:pt idx="120">
                  <c:v>6356671704577.8701</c:v>
                </c:pt>
                <c:pt idx="121">
                  <c:v>3365933674172.3843</c:v>
                </c:pt>
                <c:pt idx="122">
                  <c:v>5451531217765.4893</c:v>
                </c:pt>
                <c:pt idx="123">
                  <c:v>100000</c:v>
                </c:pt>
                <c:pt idx="124">
                  <c:v>430020772921.73059</c:v>
                </c:pt>
              </c:numCache>
            </c:numRef>
          </c:xVal>
          <c:yVal>
            <c:numRef>
              <c:f>Plots!$K$3:$K$127</c:f>
              <c:numCache>
                <c:formatCode>General</c:formatCode>
                <c:ptCount val="125"/>
                <c:pt idx="0">
                  <c:v>0</c:v>
                </c:pt>
                <c:pt idx="1">
                  <c:v>0</c:v>
                </c:pt>
                <c:pt idx="2">
                  <c:v>1.872864205989615E-5</c:v>
                </c:pt>
                <c:pt idx="3">
                  <c:v>1.8339321698126649E-5</c:v>
                </c:pt>
                <c:pt idx="4">
                  <c:v>1.7828193455159474E-5</c:v>
                </c:pt>
                <c:pt idx="5">
                  <c:v>1.7612744666055239E-5</c:v>
                </c:pt>
                <c:pt idx="6">
                  <c:v>1.7689351840737012E-5</c:v>
                </c:pt>
                <c:pt idx="7">
                  <c:v>1.7895665511438832E-5</c:v>
                </c:pt>
                <c:pt idx="8">
                  <c:v>1.8089705548297896E-5</c:v>
                </c:pt>
                <c:pt idx="9">
                  <c:v>1.8258122453422917E-5</c:v>
                </c:pt>
                <c:pt idx="10">
                  <c:v>1.8406022108938354E-5</c:v>
                </c:pt>
                <c:pt idx="11">
                  <c:v>1.8542019322431635E-5</c:v>
                </c:pt>
                <c:pt idx="12">
                  <c:v>1.8669437193844339E-5</c:v>
                </c:pt>
                <c:pt idx="13">
                  <c:v>1.8786357013483852E-5</c:v>
                </c:pt>
                <c:pt idx="14">
                  <c:v>1.8892542308432337E-5</c:v>
                </c:pt>
                <c:pt idx="15">
                  <c:v>1.9003317653067266E-5</c:v>
                </c:pt>
                <c:pt idx="16">
                  <c:v>1.9078491262056116E-5</c:v>
                </c:pt>
                <c:pt idx="17">
                  <c:v>1.9146412164353699E-5</c:v>
                </c:pt>
                <c:pt idx="18">
                  <c:v>1.924162571150624E-5</c:v>
                </c:pt>
                <c:pt idx="19">
                  <c:v>1.9293132047288078E-5</c:v>
                </c:pt>
                <c:pt idx="20">
                  <c:v>1.9316147966704257E-5</c:v>
                </c:pt>
                <c:pt idx="21">
                  <c:v>1.9365533735329742E-5</c:v>
                </c:pt>
                <c:pt idx="22">
                  <c:v>1.9399616876282876E-5</c:v>
                </c:pt>
                <c:pt idx="23">
                  <c:v>1.9420179270708542E-5</c:v>
                </c:pt>
                <c:pt idx="24">
                  <c:v>1.9431355220726054E-5</c:v>
                </c:pt>
                <c:pt idx="25">
                  <c:v>1.9452435731846396E-5</c:v>
                </c:pt>
                <c:pt idx="26">
                  <c:v>1.942332250697727E-5</c:v>
                </c:pt>
                <c:pt idx="27">
                  <c:v>1.9410309234743025E-5</c:v>
                </c:pt>
                <c:pt idx="28">
                  <c:v>1.9371576001976345E-5</c:v>
                </c:pt>
                <c:pt idx="29">
                  <c:v>1.9368974838152558E-5</c:v>
                </c:pt>
                <c:pt idx="30">
                  <c:v>1.9361010567327622E-5</c:v>
                </c:pt>
                <c:pt idx="31">
                  <c:v>1.9288647870612344E-5</c:v>
                </c:pt>
                <c:pt idx="32">
                  <c:v>1.9201293993002206E-5</c:v>
                </c:pt>
                <c:pt idx="33">
                  <c:v>1.9140618986315108E-5</c:v>
                </c:pt>
                <c:pt idx="34">
                  <c:v>1.9021602378746655E-5</c:v>
                </c:pt>
                <c:pt idx="35">
                  <c:v>1.8918041831359971E-5</c:v>
                </c:pt>
                <c:pt idx="36">
                  <c:v>1.8876627890504537E-5</c:v>
                </c:pt>
                <c:pt idx="37">
                  <c:v>1.8770590348662152E-5</c:v>
                </c:pt>
                <c:pt idx="38">
                  <c:v>1.861767248067733E-5</c:v>
                </c:pt>
                <c:pt idx="39">
                  <c:v>1.8509077464033908E-5</c:v>
                </c:pt>
                <c:pt idx="40">
                  <c:v>1.8402862526153942E-5</c:v>
                </c:pt>
                <c:pt idx="41">
                  <c:v>1.8257267120492312E-5</c:v>
                </c:pt>
                <c:pt idx="42">
                  <c:v>1.8127839427779332E-5</c:v>
                </c:pt>
                <c:pt idx="43">
                  <c:v>1.7996628321887048E-5</c:v>
                </c:pt>
                <c:pt idx="44">
                  <c:v>1.7821852238180859E-5</c:v>
                </c:pt>
                <c:pt idx="45">
                  <c:v>1.7657808873152327E-5</c:v>
                </c:pt>
                <c:pt idx="46">
                  <c:v>1.7516348976202133E-5</c:v>
                </c:pt>
                <c:pt idx="47">
                  <c:v>1.7351019831115584E-5</c:v>
                </c:pt>
                <c:pt idx="48">
                  <c:v>1.7088500418839131E-5</c:v>
                </c:pt>
                <c:pt idx="49">
                  <c:v>1.7034398570774017E-5</c:v>
                </c:pt>
                <c:pt idx="50">
                  <c:v>1.6887242713097988E-5</c:v>
                </c:pt>
                <c:pt idx="51">
                  <c:v>1.6737873565314513E-5</c:v>
                </c:pt>
                <c:pt idx="52">
                  <c:v>1.660264710857758E-5</c:v>
                </c:pt>
                <c:pt idx="53">
                  <c:v>1.6283078360415714E-5</c:v>
                </c:pt>
                <c:pt idx="54">
                  <c:v>1.6050658358620862E-5</c:v>
                </c:pt>
                <c:pt idx="55">
                  <c:v>1.5954505951305608E-5</c:v>
                </c:pt>
                <c:pt idx="56">
                  <c:v>1.5808812630080677E-5</c:v>
                </c:pt>
                <c:pt idx="57">
                  <c:v>1.5737422998925572E-5</c:v>
                </c:pt>
                <c:pt idx="58">
                  <c:v>1.5355826580260978E-5</c:v>
                </c:pt>
                <c:pt idx="59">
                  <c:v>1.5238508643318386E-5</c:v>
                </c:pt>
                <c:pt idx="60">
                  <c:v>1.5227156281110533E-5</c:v>
                </c:pt>
                <c:pt idx="61">
                  <c:v>1.4866093231798039E-5</c:v>
                </c:pt>
                <c:pt idx="62">
                  <c:v>1.4772088017184932E-5</c:v>
                </c:pt>
                <c:pt idx="63">
                  <c:v>1.4542729356183858E-5</c:v>
                </c:pt>
                <c:pt idx="64">
                  <c:v>1.4255033914850962E-5</c:v>
                </c:pt>
                <c:pt idx="65">
                  <c:v>1.4110581927893289E-5</c:v>
                </c:pt>
                <c:pt idx="66">
                  <c:v>1.3527936475154068E-5</c:v>
                </c:pt>
                <c:pt idx="67">
                  <c:v>1.3769104018942424E-5</c:v>
                </c:pt>
                <c:pt idx="68">
                  <c:v>1.3709356158541866E-5</c:v>
                </c:pt>
                <c:pt idx="69">
                  <c:v>1.3433111849235877E-5</c:v>
                </c:pt>
                <c:pt idx="70">
                  <c:v>1.3394050100651642E-5</c:v>
                </c:pt>
                <c:pt idx="71">
                  <c:v>1.2942190677953042E-5</c:v>
                </c:pt>
                <c:pt idx="72">
                  <c:v>1.3031129164972656E-5</c:v>
                </c:pt>
                <c:pt idx="73">
                  <c:v>1.2829014676184994E-5</c:v>
                </c:pt>
                <c:pt idx="74">
                  <c:v>1.2205663682895446E-5</c:v>
                </c:pt>
                <c:pt idx="75">
                  <c:v>1.2279724807483022E-5</c:v>
                </c:pt>
                <c:pt idx="76">
                  <c:v>1.238562099519416E-5</c:v>
                </c:pt>
                <c:pt idx="77">
                  <c:v>1.2177987613972235E-5</c:v>
                </c:pt>
                <c:pt idx="78">
                  <c:v>1.1877242453393909E-5</c:v>
                </c:pt>
                <c:pt idx="79">
                  <c:v>1.2178878789987849E-5</c:v>
                </c:pt>
                <c:pt idx="80">
                  <c:v>1.179239209072633E-5</c:v>
                </c:pt>
                <c:pt idx="81">
                  <c:v>1.1701090930854109E-5</c:v>
                </c:pt>
                <c:pt idx="82">
                  <c:v>1.1702921070630894E-5</c:v>
                </c:pt>
                <c:pt idx="83">
                  <c:v>1.1318383187500409E-5</c:v>
                </c:pt>
                <c:pt idx="84">
                  <c:v>1.0973128466500004E-5</c:v>
                </c:pt>
                <c:pt idx="85">
                  <c:v>1.079747504959055E-5</c:v>
                </c:pt>
                <c:pt idx="86">
                  <c:v>1.1076789242826564E-5</c:v>
                </c:pt>
                <c:pt idx="87">
                  <c:v>1.1313715297207301E-5</c:v>
                </c:pt>
                <c:pt idx="88">
                  <c:v>1.0001595308473186E-5</c:v>
                </c:pt>
                <c:pt idx="89">
                  <c:v>1.070045627074387E-5</c:v>
                </c:pt>
                <c:pt idx="90">
                  <c:v>1.0696287442134524E-5</c:v>
                </c:pt>
                <c:pt idx="91">
                  <c:v>1.0914433316768749E-5</c:v>
                </c:pt>
                <c:pt idx="92">
                  <c:v>1.0434638545723418E-5</c:v>
                </c:pt>
                <c:pt idx="93">
                  <c:v>1.0198206759616892E-5</c:v>
                </c:pt>
                <c:pt idx="94">
                  <c:v>9.7325784559982835E-6</c:v>
                </c:pt>
                <c:pt idx="95">
                  <c:v>1.0356421360046745E-5</c:v>
                </c:pt>
                <c:pt idx="96">
                  <c:v>1.0645947802009042E-5</c:v>
                </c:pt>
                <c:pt idx="97">
                  <c:v>1.0472936909933391E-5</c:v>
                </c:pt>
                <c:pt idx="98">
                  <c:v>1.0075583407034548E-5</c:v>
                </c:pt>
                <c:pt idx="99">
                  <c:v>1.0315185063943828E-5</c:v>
                </c:pt>
                <c:pt idx="100">
                  <c:v>1.0571278472383256E-5</c:v>
                </c:pt>
                <c:pt idx="101">
                  <c:v>1.0574709684468197E-5</c:v>
                </c:pt>
                <c:pt idx="102">
                  <c:v>9.7723263817371248E-6</c:v>
                </c:pt>
                <c:pt idx="103">
                  <c:v>8.8026138135556759E-6</c:v>
                </c:pt>
                <c:pt idx="104">
                  <c:v>8.4341335381950511E-6</c:v>
                </c:pt>
                <c:pt idx="105">
                  <c:v>1.0176022957258299E-5</c:v>
                </c:pt>
                <c:pt idx="106">
                  <c:v>7.5357590747017426E-6</c:v>
                </c:pt>
                <c:pt idx="107">
                  <c:v>8.738662299012069E-6</c:v>
                </c:pt>
                <c:pt idx="108">
                  <c:v>7.9333952019519151E-6</c:v>
                </c:pt>
                <c:pt idx="109">
                  <c:v>9.1866820585320371E-6</c:v>
                </c:pt>
                <c:pt idx="110">
                  <c:v>7.531786624764882E-6</c:v>
                </c:pt>
                <c:pt idx="111">
                  <c:v>8.7023652979909368E-6</c:v>
                </c:pt>
                <c:pt idx="112">
                  <c:v>6.7607870086940605E-6</c:v>
                </c:pt>
                <c:pt idx="113">
                  <c:v>6.7564029880815147E-6</c:v>
                </c:pt>
                <c:pt idx="114">
                  <c:v>7.0150119729445768E-6</c:v>
                </c:pt>
                <c:pt idx="115">
                  <c:v>5.7089994014879144E-6</c:v>
                </c:pt>
                <c:pt idx="116">
                  <c:v>5.3672436157406867E-6</c:v>
                </c:pt>
                <c:pt idx="117">
                  <c:v>3.9033248108772665E-6</c:v>
                </c:pt>
                <c:pt idx="118">
                  <c:v>3.9053952845013708E-6</c:v>
                </c:pt>
                <c:pt idx="119">
                  <c:v>6.5788469812809274E-6</c:v>
                </c:pt>
                <c:pt idx="120">
                  <c:v>4.9854211371322393E-6</c:v>
                </c:pt>
                <c:pt idx="121">
                  <c:v>2.7736264050366325E-6</c:v>
                </c:pt>
                <c:pt idx="122">
                  <c:v>4.6745807256454996E-6</c:v>
                </c:pt>
                <c:pt idx="123">
                  <c:v>0</c:v>
                </c:pt>
                <c:pt idx="124">
                  <c:v>0</c:v>
                </c:pt>
              </c:numCache>
            </c:numRef>
          </c:yVal>
          <c:smooth val="0"/>
        </c:ser>
        <c:ser>
          <c:idx val="6"/>
          <c:order val="6"/>
          <c:tx>
            <c:strRef>
              <c:f>Plots!$L$1</c:f>
              <c:strCache>
                <c:ptCount val="1"/>
                <c:pt idx="0">
                  <c:v>135</c:v>
                </c:pt>
              </c:strCache>
            </c:strRef>
          </c:tx>
          <c:spPr>
            <a:ln w="28575">
              <a:noFill/>
            </a:ln>
          </c:spPr>
          <c:marker>
            <c:symbol val="diamond"/>
            <c:size val="7"/>
            <c:spPr>
              <a:solidFill>
                <a:schemeClr val="accent6">
                  <a:lumMod val="60000"/>
                  <a:lumOff val="40000"/>
                </a:schemeClr>
              </a:solidFill>
              <a:ln>
                <a:noFill/>
              </a:ln>
            </c:spPr>
          </c:marker>
          <c:xVal>
            <c:numRef>
              <c:f>Plots!$L$3:$L$127</c:f>
              <c:numCache>
                <c:formatCode>General</c:formatCode>
                <c:ptCount val="125"/>
                <c:pt idx="0">
                  <c:v>3813180778959696</c:v>
                </c:pt>
                <c:pt idx="1">
                  <c:v>7708702810278189</c:v>
                </c:pt>
                <c:pt idx="2">
                  <c:v>8966740022117122</c:v>
                </c:pt>
                <c:pt idx="3">
                  <c:v>9311092930976480</c:v>
                </c:pt>
                <c:pt idx="4">
                  <c:v>8979409619532293</c:v>
                </c:pt>
                <c:pt idx="5">
                  <c:v>8575388012661482</c:v>
                </c:pt>
                <c:pt idx="6">
                  <c:v>8162773707519671</c:v>
                </c:pt>
                <c:pt idx="7">
                  <c:v>7762277743361360</c:v>
                </c:pt>
                <c:pt idx="8">
                  <c:v>7380839174101798</c:v>
                </c:pt>
                <c:pt idx="9">
                  <c:v>7006831678714215</c:v>
                </c:pt>
                <c:pt idx="10">
                  <c:v>6648716911908717</c:v>
                </c:pt>
                <c:pt idx="11">
                  <c:v>6311654355745549</c:v>
                </c:pt>
                <c:pt idx="12">
                  <c:v>5977623328558132</c:v>
                </c:pt>
                <c:pt idx="13">
                  <c:v>5668865159200576</c:v>
                </c:pt>
                <c:pt idx="14">
                  <c:v>5377498231477434</c:v>
                </c:pt>
                <c:pt idx="15">
                  <c:v>5096367344767212</c:v>
                </c:pt>
                <c:pt idx="16">
                  <c:v>4825782925610274</c:v>
                </c:pt>
                <c:pt idx="17">
                  <c:v>4567222490364422</c:v>
                </c:pt>
                <c:pt idx="18">
                  <c:v>4320330715746805.5</c:v>
                </c:pt>
                <c:pt idx="19">
                  <c:v>4093387006484368.5</c:v>
                </c:pt>
                <c:pt idx="20">
                  <c:v>3875823051709002.5</c:v>
                </c:pt>
                <c:pt idx="21">
                  <c:v>3667976443595160.5</c:v>
                </c:pt>
                <c:pt idx="22">
                  <c:v>3472496042922282.5</c:v>
                </c:pt>
                <c:pt idx="23">
                  <c:v>3280032661256471.5</c:v>
                </c:pt>
                <c:pt idx="24">
                  <c:v>3093299407057039</c:v>
                </c:pt>
                <c:pt idx="25">
                  <c:v>2926690969578465</c:v>
                </c:pt>
                <c:pt idx="26">
                  <c:v>2767486349891538.5</c:v>
                </c:pt>
                <c:pt idx="27">
                  <c:v>2616804874508842</c:v>
                </c:pt>
                <c:pt idx="28">
                  <c:v>2470556385713048.5</c:v>
                </c:pt>
                <c:pt idx="29">
                  <c:v>2331060356287840.5</c:v>
                </c:pt>
                <c:pt idx="30">
                  <c:v>2206075408363706.5</c:v>
                </c:pt>
                <c:pt idx="31">
                  <c:v>2082595753464752.7</c:v>
                </c:pt>
                <c:pt idx="32">
                  <c:v>1966475197647680</c:v>
                </c:pt>
                <c:pt idx="33">
                  <c:v>1853714672181214</c:v>
                </c:pt>
                <c:pt idx="34">
                  <c:v>1756800319265145.8</c:v>
                </c:pt>
                <c:pt idx="35">
                  <c:v>1659207903573864.5</c:v>
                </c:pt>
                <c:pt idx="36">
                  <c:v>1564366226516628.7</c:v>
                </c:pt>
                <c:pt idx="37">
                  <c:v>1475441566687171.3</c:v>
                </c:pt>
                <c:pt idx="38">
                  <c:v>1392858125472104</c:v>
                </c:pt>
                <c:pt idx="39">
                  <c:v>1308640783562120.7</c:v>
                </c:pt>
                <c:pt idx="40">
                  <c:v>1237808673660173</c:v>
                </c:pt>
                <c:pt idx="41">
                  <c:v>1169038908247879.7</c:v>
                </c:pt>
                <c:pt idx="42">
                  <c:v>1103638444498159.4</c:v>
                </c:pt>
                <c:pt idx="43">
                  <c:v>1042602940570537.4</c:v>
                </c:pt>
                <c:pt idx="44">
                  <c:v>977916852759701.5</c:v>
                </c:pt>
                <c:pt idx="45">
                  <c:v>924862303405113.12</c:v>
                </c:pt>
                <c:pt idx="46">
                  <c:v>869076358249073.5</c:v>
                </c:pt>
                <c:pt idx="47">
                  <c:v>816130797521271</c:v>
                </c:pt>
                <c:pt idx="48">
                  <c:v>772212241556389.87</c:v>
                </c:pt>
                <c:pt idx="49">
                  <c:v>727901789866027.25</c:v>
                </c:pt>
                <c:pt idx="50">
                  <c:v>687064850893350.87</c:v>
                </c:pt>
                <c:pt idx="51">
                  <c:v>646180116638412.75</c:v>
                </c:pt>
                <c:pt idx="52">
                  <c:v>610098941502479.75</c:v>
                </c:pt>
                <c:pt idx="53">
                  <c:v>574780161996126.75</c:v>
                </c:pt>
                <c:pt idx="54">
                  <c:v>545558118562033.25</c:v>
                </c:pt>
                <c:pt idx="55">
                  <c:v>516290594872729.87</c:v>
                </c:pt>
                <c:pt idx="56">
                  <c:v>481779284301410.12</c:v>
                </c:pt>
                <c:pt idx="57">
                  <c:v>453518404665467.69</c:v>
                </c:pt>
                <c:pt idx="58">
                  <c:v>422471844609777.75</c:v>
                </c:pt>
                <c:pt idx="59">
                  <c:v>404765044198511.37</c:v>
                </c:pt>
                <c:pt idx="60">
                  <c:v>378437880248701.87</c:v>
                </c:pt>
                <c:pt idx="61">
                  <c:v>355761728383939.12</c:v>
                </c:pt>
                <c:pt idx="62">
                  <c:v>332909499535781.06</c:v>
                </c:pt>
                <c:pt idx="63">
                  <c:v>318687689471149.56</c:v>
                </c:pt>
                <c:pt idx="64">
                  <c:v>297961466813958.5</c:v>
                </c:pt>
                <c:pt idx="65">
                  <c:v>277721469718181.34</c:v>
                </c:pt>
                <c:pt idx="66">
                  <c:v>257918038986297.75</c:v>
                </c:pt>
                <c:pt idx="67">
                  <c:v>246957995264090.97</c:v>
                </c:pt>
                <c:pt idx="68">
                  <c:v>230834176761159.5</c:v>
                </c:pt>
                <c:pt idx="69">
                  <c:v>216584814584370.22</c:v>
                </c:pt>
                <c:pt idx="70">
                  <c:v>202834846052034.31</c:v>
                </c:pt>
                <c:pt idx="71">
                  <c:v>194130898201324.94</c:v>
                </c:pt>
                <c:pt idx="72">
                  <c:v>182549545132937.37</c:v>
                </c:pt>
                <c:pt idx="73">
                  <c:v>167484658896943.78</c:v>
                </c:pt>
                <c:pt idx="74">
                  <c:v>158651788091863.22</c:v>
                </c:pt>
                <c:pt idx="75">
                  <c:v>151044614395936.44</c:v>
                </c:pt>
                <c:pt idx="76">
                  <c:v>142246131529944.34</c:v>
                </c:pt>
                <c:pt idx="77">
                  <c:v>132236178054865.53</c:v>
                </c:pt>
                <c:pt idx="78">
                  <c:v>126418255448236.92</c:v>
                </c:pt>
                <c:pt idx="79">
                  <c:v>122986602559012.55</c:v>
                </c:pt>
                <c:pt idx="80">
                  <c:v>111336883905840.17</c:v>
                </c:pt>
                <c:pt idx="81">
                  <c:v>104434789343867.73</c:v>
                </c:pt>
                <c:pt idx="82">
                  <c:v>100475031692552.48</c:v>
                </c:pt>
                <c:pt idx="83">
                  <c:v>96128067070358.406</c:v>
                </c:pt>
                <c:pt idx="84">
                  <c:v>86007484473921.953</c:v>
                </c:pt>
                <c:pt idx="85">
                  <c:v>87414706837812.219</c:v>
                </c:pt>
                <c:pt idx="86">
                  <c:v>79944392284758.797</c:v>
                </c:pt>
                <c:pt idx="87">
                  <c:v>69160585360345.039</c:v>
                </c:pt>
                <c:pt idx="88">
                  <c:v>64656607009769.383</c:v>
                </c:pt>
                <c:pt idx="89">
                  <c:v>61848757814646.734</c:v>
                </c:pt>
                <c:pt idx="90">
                  <c:v>61921372666082.781</c:v>
                </c:pt>
                <c:pt idx="91">
                  <c:v>58485180181394.992</c:v>
                </c:pt>
                <c:pt idx="92">
                  <c:v>55171383150630.703</c:v>
                </c:pt>
                <c:pt idx="93">
                  <c:v>53019199850861.508</c:v>
                </c:pt>
                <c:pt idx="94">
                  <c:v>53962192715191.336</c:v>
                </c:pt>
                <c:pt idx="95">
                  <c:v>45817078290490.445</c:v>
                </c:pt>
                <c:pt idx="96">
                  <c:v>49320655377895.844</c:v>
                </c:pt>
                <c:pt idx="97">
                  <c:v>43836353659189.781</c:v>
                </c:pt>
                <c:pt idx="98">
                  <c:v>40673141640738.391</c:v>
                </c:pt>
                <c:pt idx="99">
                  <c:v>36690933528493.594</c:v>
                </c:pt>
                <c:pt idx="100">
                  <c:v>32083917636411.27</c:v>
                </c:pt>
                <c:pt idx="101">
                  <c:v>30878379879441.594</c:v>
                </c:pt>
                <c:pt idx="102">
                  <c:v>31360518772875.879</c:v>
                </c:pt>
                <c:pt idx="103">
                  <c:v>31698136085345.965</c:v>
                </c:pt>
                <c:pt idx="104">
                  <c:v>28492169874197.184</c:v>
                </c:pt>
                <c:pt idx="105">
                  <c:v>31698136085345.965</c:v>
                </c:pt>
                <c:pt idx="106">
                  <c:v>30540928810889.57</c:v>
                </c:pt>
                <c:pt idx="107">
                  <c:v>24830381967142.492</c:v>
                </c:pt>
                <c:pt idx="108">
                  <c:v>20833931329104.59</c:v>
                </c:pt>
                <c:pt idx="109">
                  <c:v>24252343406390.922</c:v>
                </c:pt>
                <c:pt idx="110">
                  <c:v>16263546527479.008</c:v>
                </c:pt>
                <c:pt idx="111">
                  <c:v>22085479152499.844</c:v>
                </c:pt>
                <c:pt idx="112">
                  <c:v>15710483409868.691</c:v>
                </c:pt>
                <c:pt idx="113">
                  <c:v>15470101397596.437</c:v>
                </c:pt>
                <c:pt idx="114">
                  <c:v>12610432829795.439</c:v>
                </c:pt>
                <c:pt idx="115">
                  <c:v>14725037732703.396</c:v>
                </c:pt>
                <c:pt idx="116">
                  <c:v>11553585692627.451</c:v>
                </c:pt>
                <c:pt idx="117">
                  <c:v>10112896962683.045</c:v>
                </c:pt>
                <c:pt idx="118">
                  <c:v>4644218485552.5508</c:v>
                </c:pt>
                <c:pt idx="119">
                  <c:v>6513898029100.9785</c:v>
                </c:pt>
                <c:pt idx="120">
                  <c:v>9056776727672.5605</c:v>
                </c:pt>
                <c:pt idx="121">
                  <c:v>8456843448233.9531</c:v>
                </c:pt>
                <c:pt idx="122">
                  <c:v>6034367071666.9561</c:v>
                </c:pt>
                <c:pt idx="123">
                  <c:v>5291256144852.3545</c:v>
                </c:pt>
                <c:pt idx="124">
                  <c:v>2225555519668.8008</c:v>
                </c:pt>
              </c:numCache>
            </c:numRef>
          </c:xVal>
          <c:yVal>
            <c:numRef>
              <c:f>Plots!$M$3:$M$127</c:f>
              <c:numCache>
                <c:formatCode>General</c:formatCode>
                <c:ptCount val="125"/>
                <c:pt idx="0">
                  <c:v>0</c:v>
                </c:pt>
                <c:pt idx="1">
                  <c:v>0</c:v>
                </c:pt>
                <c:pt idx="2">
                  <c:v>1.7815969456452627E-5</c:v>
                </c:pt>
                <c:pt idx="3">
                  <c:v>1.7432922617887916E-5</c:v>
                </c:pt>
                <c:pt idx="4">
                  <c:v>1.7019847896465378E-5</c:v>
                </c:pt>
                <c:pt idx="5">
                  <c:v>1.6944620307805412E-5</c:v>
                </c:pt>
                <c:pt idx="6">
                  <c:v>1.709484400720257E-5</c:v>
                </c:pt>
                <c:pt idx="7">
                  <c:v>1.7249380850267149E-5</c:v>
                </c:pt>
                <c:pt idx="8">
                  <c:v>1.7416007077884625E-5</c:v>
                </c:pt>
                <c:pt idx="9">
                  <c:v>1.7552466815720828E-5</c:v>
                </c:pt>
                <c:pt idx="10">
                  <c:v>1.7668039218906637E-5</c:v>
                </c:pt>
                <c:pt idx="11">
                  <c:v>1.7797847421930936E-5</c:v>
                </c:pt>
                <c:pt idx="12">
                  <c:v>1.7882965963004184E-5</c:v>
                </c:pt>
                <c:pt idx="13">
                  <c:v>1.7983198875882458E-5</c:v>
                </c:pt>
                <c:pt idx="14">
                  <c:v>1.8082253383597006E-5</c:v>
                </c:pt>
                <c:pt idx="15">
                  <c:v>1.8165518658498507E-5</c:v>
                </c:pt>
                <c:pt idx="16">
                  <c:v>1.8228641534135252E-5</c:v>
                </c:pt>
                <c:pt idx="17">
                  <c:v>1.8281362013785875E-5</c:v>
                </c:pt>
                <c:pt idx="18">
                  <c:v>1.832558107702732E-5</c:v>
                </c:pt>
                <c:pt idx="19">
                  <c:v>1.8387905571780383E-5</c:v>
                </c:pt>
                <c:pt idx="20">
                  <c:v>1.8429943742315283E-5</c:v>
                </c:pt>
                <c:pt idx="21">
                  <c:v>1.8451853247914733E-5</c:v>
                </c:pt>
                <c:pt idx="22">
                  <c:v>1.8476853491152519E-5</c:v>
                </c:pt>
                <c:pt idx="23">
                  <c:v>1.8460020292463218E-5</c:v>
                </c:pt>
                <c:pt idx="24">
                  <c:v>1.841011793340642E-5</c:v>
                </c:pt>
                <c:pt idx="25">
                  <c:v>1.8412871734992632E-5</c:v>
                </c:pt>
                <c:pt idx="26">
                  <c:v>1.8400232574671764E-5</c:v>
                </c:pt>
                <c:pt idx="27">
                  <c:v>1.8380180712796378E-5</c:v>
                </c:pt>
                <c:pt idx="28">
                  <c:v>1.8359367475507921E-5</c:v>
                </c:pt>
                <c:pt idx="29">
                  <c:v>1.829092209422995E-5</c:v>
                </c:pt>
                <c:pt idx="30">
                  <c:v>1.8270912659650737E-5</c:v>
                </c:pt>
                <c:pt idx="31">
                  <c:v>1.8191714070942651E-5</c:v>
                </c:pt>
                <c:pt idx="32">
                  <c:v>1.8111669932758346E-5</c:v>
                </c:pt>
                <c:pt idx="33">
                  <c:v>1.8004527283776723E-5</c:v>
                </c:pt>
                <c:pt idx="34">
                  <c:v>1.7980113363719786E-5</c:v>
                </c:pt>
                <c:pt idx="35">
                  <c:v>1.7894511597133918E-5</c:v>
                </c:pt>
                <c:pt idx="36">
                  <c:v>1.7764163159375626E-5</c:v>
                </c:pt>
                <c:pt idx="37">
                  <c:v>1.7637021824189734E-5</c:v>
                </c:pt>
                <c:pt idx="38">
                  <c:v>1.7542606284853728E-5</c:v>
                </c:pt>
                <c:pt idx="39">
                  <c:v>1.7350362488596907E-5</c:v>
                </c:pt>
                <c:pt idx="40">
                  <c:v>1.7280470251795614E-5</c:v>
                </c:pt>
                <c:pt idx="41">
                  <c:v>1.7168001491718806E-5</c:v>
                </c:pt>
                <c:pt idx="42">
                  <c:v>1.7049279117601352E-5</c:v>
                </c:pt>
                <c:pt idx="43">
                  <c:v>1.6939566760445753E-5</c:v>
                </c:pt>
                <c:pt idx="44">
                  <c:v>1.6701526545059922E-5</c:v>
                </c:pt>
                <c:pt idx="45">
                  <c:v>1.6596659034309958E-5</c:v>
                </c:pt>
                <c:pt idx="46">
                  <c:v>1.6399303070763615E-5</c:v>
                </c:pt>
                <c:pt idx="47">
                  <c:v>1.6184564876220434E-5</c:v>
                </c:pt>
                <c:pt idx="48">
                  <c:v>1.6083545796688656E-5</c:v>
                </c:pt>
                <c:pt idx="49">
                  <c:v>1.5933243906369285E-5</c:v>
                </c:pt>
                <c:pt idx="50">
                  <c:v>1.5790652269845801E-5</c:v>
                </c:pt>
                <c:pt idx="51">
                  <c:v>1.5589382299250565E-5</c:v>
                </c:pt>
                <c:pt idx="52">
                  <c:v>1.5454100087626146E-5</c:v>
                </c:pt>
                <c:pt idx="53">
                  <c:v>1.5295066217321189E-5</c:v>
                </c:pt>
                <c:pt idx="54">
                  <c:v>1.5231735855332074E-5</c:v>
                </c:pt>
                <c:pt idx="55">
                  <c:v>1.5122326172806739E-5</c:v>
                </c:pt>
                <c:pt idx="56">
                  <c:v>1.4797831053517856E-5</c:v>
                </c:pt>
                <c:pt idx="57">
                  <c:v>1.4620994704997533E-5</c:v>
                </c:pt>
                <c:pt idx="58">
                  <c:v>1.430435142556709E-5</c:v>
                </c:pt>
                <c:pt idx="59">
                  <c:v>1.4382001328118238E-5</c:v>
                </c:pt>
                <c:pt idx="60">
                  <c:v>1.410608373488444E-5</c:v>
                </c:pt>
                <c:pt idx="61">
                  <c:v>1.393126124447667E-5</c:v>
                </c:pt>
                <c:pt idx="62">
                  <c:v>1.3701388126007265E-5</c:v>
                </c:pt>
                <c:pt idx="63">
                  <c:v>1.3747178078028549E-5</c:v>
                </c:pt>
                <c:pt idx="64">
                  <c:v>1.3477729350514838E-5</c:v>
                </c:pt>
                <c:pt idx="65">
                  <c:v>1.31592350420165E-5</c:v>
                </c:pt>
                <c:pt idx="66">
                  <c:v>1.2826756096446068E-5</c:v>
                </c:pt>
                <c:pt idx="67">
                  <c:v>1.2886913447695367E-5</c:v>
                </c:pt>
                <c:pt idx="68">
                  <c:v>1.2643234323014797E-5</c:v>
                </c:pt>
                <c:pt idx="69">
                  <c:v>1.2446297477400352E-5</c:v>
                </c:pt>
                <c:pt idx="70">
                  <c:v>1.2232037680501498E-5</c:v>
                </c:pt>
                <c:pt idx="71">
                  <c:v>1.2256752304906228E-5</c:v>
                </c:pt>
                <c:pt idx="72">
                  <c:v>1.2101047488655523E-5</c:v>
                </c:pt>
                <c:pt idx="73">
                  <c:v>1.1612255734178922E-5</c:v>
                </c:pt>
                <c:pt idx="74">
                  <c:v>1.1549760574410356E-5</c:v>
                </c:pt>
                <c:pt idx="75">
                  <c:v>1.153418412113404E-5</c:v>
                </c:pt>
                <c:pt idx="76">
                  <c:v>1.1408315388221368E-5</c:v>
                </c:pt>
                <c:pt idx="77">
                  <c:v>1.1119484896836183E-5</c:v>
                </c:pt>
                <c:pt idx="78">
                  <c:v>1.1157056244497478E-5</c:v>
                </c:pt>
                <c:pt idx="79">
                  <c:v>1.1412452905665676E-5</c:v>
                </c:pt>
                <c:pt idx="80">
                  <c:v>1.080364063561278E-5</c:v>
                </c:pt>
                <c:pt idx="81">
                  <c:v>1.0642030929977913E-5</c:v>
                </c:pt>
                <c:pt idx="82">
                  <c:v>1.0751029881913917E-5</c:v>
                </c:pt>
                <c:pt idx="83">
                  <c:v>1.0802545259889934E-5</c:v>
                </c:pt>
                <c:pt idx="84">
                  <c:v>1.0127550685670172E-5</c:v>
                </c:pt>
                <c:pt idx="85">
                  <c:v>1.080976755073405E-5</c:v>
                </c:pt>
                <c:pt idx="86">
                  <c:v>1.0343512749907679E-5</c:v>
                </c:pt>
                <c:pt idx="87">
                  <c:v>9.3920159426536804E-6</c:v>
                </c:pt>
                <c:pt idx="88">
                  <c:v>9.2479440275497656E-6</c:v>
                </c:pt>
                <c:pt idx="89">
                  <c:v>9.2976977910163385E-6</c:v>
                </c:pt>
                <c:pt idx="90">
                  <c:v>9.8271446187636156E-6</c:v>
                </c:pt>
                <c:pt idx="91">
                  <c:v>9.6810595830823028E-6</c:v>
                </c:pt>
                <c:pt idx="92">
                  <c:v>9.6255961650495118E-6</c:v>
                </c:pt>
                <c:pt idx="93">
                  <c:v>9.7525567632534793E-6</c:v>
                </c:pt>
                <c:pt idx="94">
                  <c:v>1.0409404592951996E-5</c:v>
                </c:pt>
                <c:pt idx="95">
                  <c:v>9.3088620282692055E-6</c:v>
                </c:pt>
                <c:pt idx="96">
                  <c:v>1.0519249155992398E-5</c:v>
                </c:pt>
                <c:pt idx="97">
                  <c:v>9.8644896754414262E-6</c:v>
                </c:pt>
                <c:pt idx="98">
                  <c:v>9.5631028346569679E-6</c:v>
                </c:pt>
                <c:pt idx="99">
                  <c:v>9.0844390920094458E-6</c:v>
                </c:pt>
                <c:pt idx="100">
                  <c:v>8.4084753133041761E-6</c:v>
                </c:pt>
                <c:pt idx="101">
                  <c:v>8.5389263469724948E-6</c:v>
                </c:pt>
                <c:pt idx="102">
                  <c:v>9.1056612914239775E-6</c:v>
                </c:pt>
                <c:pt idx="103">
                  <c:v>9.7900876028467104E-6</c:v>
                </c:pt>
                <c:pt idx="104">
                  <c:v>9.274401071357967E-6</c:v>
                </c:pt>
                <c:pt idx="105">
                  <c:v>1.0847701546041487E-5</c:v>
                </c:pt>
                <c:pt idx="106">
                  <c:v>1.1035982948099695E-5</c:v>
                </c:pt>
                <c:pt idx="107">
                  <c:v>9.3730664284727705E-6</c:v>
                </c:pt>
                <c:pt idx="108">
                  <c:v>8.3264232504113741E-6</c:v>
                </c:pt>
                <c:pt idx="109">
                  <c:v>1.0236418553612235E-5</c:v>
                </c:pt>
                <c:pt idx="110">
                  <c:v>7.2807707026646461E-6</c:v>
                </c:pt>
                <c:pt idx="111">
                  <c:v>1.0491508065577741E-5</c:v>
                </c:pt>
                <c:pt idx="112">
                  <c:v>7.8894846477097868E-6</c:v>
                </c:pt>
                <c:pt idx="113">
                  <c:v>8.1818234154877615E-6</c:v>
                </c:pt>
                <c:pt idx="114">
                  <c:v>7.094124133734534E-6</c:v>
                </c:pt>
                <c:pt idx="115">
                  <c:v>8.7551760279725463E-6</c:v>
                </c:pt>
                <c:pt idx="116">
                  <c:v>7.2955795913222878E-6</c:v>
                </c:pt>
                <c:pt idx="117">
                  <c:v>6.6584575262767538E-6</c:v>
                </c:pt>
                <c:pt idx="118">
                  <c:v>3.302011293587254E-6</c:v>
                </c:pt>
                <c:pt idx="119">
                  <c:v>4.8975815386551394E-6</c:v>
                </c:pt>
                <c:pt idx="120">
                  <c:v>7.2840737421808247E-6</c:v>
                </c:pt>
                <c:pt idx="121">
                  <c:v>7.1671385725673809E-6</c:v>
                </c:pt>
                <c:pt idx="122">
                  <c:v>5.3742346228879732E-6</c:v>
                </c:pt>
                <c:pt idx="123">
                  <c:v>0</c:v>
                </c:pt>
                <c:pt idx="124">
                  <c:v>0</c:v>
                </c:pt>
              </c:numCache>
            </c:numRef>
          </c:yVal>
          <c:smooth val="0"/>
        </c:ser>
        <c:ser>
          <c:idx val="7"/>
          <c:order val="7"/>
          <c:tx>
            <c:strRef>
              <c:f>Plots!$N$1</c:f>
              <c:strCache>
                <c:ptCount val="1"/>
                <c:pt idx="0">
                  <c:v>125</c:v>
                </c:pt>
              </c:strCache>
            </c:strRef>
          </c:tx>
          <c:spPr>
            <a:ln w="28575">
              <a:noFill/>
            </a:ln>
          </c:spPr>
          <c:marker>
            <c:symbol val="diamond"/>
            <c:size val="7"/>
            <c:spPr>
              <a:solidFill>
                <a:srgbClr val="FFFF00"/>
              </a:solidFill>
              <a:ln>
                <a:noFill/>
              </a:ln>
            </c:spPr>
          </c:marker>
          <c:xVal>
            <c:numRef>
              <c:f>Plots!$N$3:$N$127</c:f>
              <c:numCache>
                <c:formatCode>General</c:formatCode>
                <c:ptCount val="125"/>
                <c:pt idx="0">
                  <c:v>3635451535910550</c:v>
                </c:pt>
                <c:pt idx="1">
                  <c:v>7304369101856930</c:v>
                </c:pt>
                <c:pt idx="2">
                  <c:v>8545564246143121</c:v>
                </c:pt>
                <c:pt idx="3">
                  <c:v>8938107296307033</c:v>
                </c:pt>
                <c:pt idx="4">
                  <c:v>8592185450740753</c:v>
                </c:pt>
                <c:pt idx="5">
                  <c:v>8195434651945261</c:v>
                </c:pt>
                <c:pt idx="6">
                  <c:v>7790534089108108</c:v>
                </c:pt>
                <c:pt idx="7">
                  <c:v>7411457483842070</c:v>
                </c:pt>
                <c:pt idx="8">
                  <c:v>7036235134086422</c:v>
                </c:pt>
                <c:pt idx="9">
                  <c:v>6685980333923005</c:v>
                </c:pt>
                <c:pt idx="10">
                  <c:v>6342563714838864</c:v>
                </c:pt>
                <c:pt idx="11">
                  <c:v>6023537697506849</c:v>
                </c:pt>
                <c:pt idx="12">
                  <c:v>5714661896336278</c:v>
                </c:pt>
                <c:pt idx="13">
                  <c:v>5420506763837960</c:v>
                </c:pt>
                <c:pt idx="14">
                  <c:v>5139488650057484</c:v>
                </c:pt>
                <c:pt idx="15">
                  <c:v>4864895093560534</c:v>
                </c:pt>
                <c:pt idx="16">
                  <c:v>4612357257899229</c:v>
                </c:pt>
                <c:pt idx="17">
                  <c:v>4362221429670089</c:v>
                </c:pt>
                <c:pt idx="18">
                  <c:v>4131355103953879</c:v>
                </c:pt>
                <c:pt idx="19">
                  <c:v>3911120605214618</c:v>
                </c:pt>
                <c:pt idx="20">
                  <c:v>3696512310537154</c:v>
                </c:pt>
                <c:pt idx="21">
                  <c:v>3497891848834060.5</c:v>
                </c:pt>
                <c:pt idx="22">
                  <c:v>3312083974839610</c:v>
                </c:pt>
                <c:pt idx="23">
                  <c:v>3132368192584501</c:v>
                </c:pt>
                <c:pt idx="24">
                  <c:v>2958620257894985</c:v>
                </c:pt>
                <c:pt idx="25">
                  <c:v>2791396133698565</c:v>
                </c:pt>
                <c:pt idx="26">
                  <c:v>2637534309443369.5</c:v>
                </c:pt>
                <c:pt idx="27">
                  <c:v>2491532754273482</c:v>
                </c:pt>
                <c:pt idx="28">
                  <c:v>2352090230076693</c:v>
                </c:pt>
                <c:pt idx="29">
                  <c:v>2224386030165006.2</c:v>
                </c:pt>
                <c:pt idx="30">
                  <c:v>2097558104125661</c:v>
                </c:pt>
                <c:pt idx="31">
                  <c:v>1983754049647245</c:v>
                </c:pt>
                <c:pt idx="32">
                  <c:v>1867324858216505</c:v>
                </c:pt>
                <c:pt idx="33">
                  <c:v>1760986437960256.5</c:v>
                </c:pt>
                <c:pt idx="34">
                  <c:v>1665161507032421.7</c:v>
                </c:pt>
                <c:pt idx="35">
                  <c:v>1570118634844651.5</c:v>
                </c:pt>
                <c:pt idx="36">
                  <c:v>1478247437132455</c:v>
                </c:pt>
                <c:pt idx="37">
                  <c:v>1399730844086943.2</c:v>
                </c:pt>
                <c:pt idx="38">
                  <c:v>1319168876730990.2</c:v>
                </c:pt>
                <c:pt idx="39">
                  <c:v>1240401152576683.7</c:v>
                </c:pt>
                <c:pt idx="40">
                  <c:v>1169625032915579.2</c:v>
                </c:pt>
                <c:pt idx="41">
                  <c:v>1108276368829888</c:v>
                </c:pt>
                <c:pt idx="42">
                  <c:v>1046306273565836</c:v>
                </c:pt>
                <c:pt idx="43">
                  <c:v>985160914100001.87</c:v>
                </c:pt>
                <c:pt idx="44">
                  <c:v>927451213741129.87</c:v>
                </c:pt>
                <c:pt idx="45">
                  <c:v>877110548460293.37</c:v>
                </c:pt>
                <c:pt idx="46">
                  <c:v>821039440221555.12</c:v>
                </c:pt>
                <c:pt idx="47">
                  <c:v>774054437167137.5</c:v>
                </c:pt>
                <c:pt idx="48">
                  <c:v>732308427756961.75</c:v>
                </c:pt>
                <c:pt idx="49">
                  <c:v>692520686571903</c:v>
                </c:pt>
                <c:pt idx="50">
                  <c:v>650907135234275.62</c:v>
                </c:pt>
                <c:pt idx="51">
                  <c:v>619913587080138.37</c:v>
                </c:pt>
                <c:pt idx="52">
                  <c:v>581579682526546</c:v>
                </c:pt>
                <c:pt idx="53">
                  <c:v>544030912358041.44</c:v>
                </c:pt>
                <c:pt idx="54">
                  <c:v>512231543057942.37</c:v>
                </c:pt>
                <c:pt idx="55">
                  <c:v>482075932170723.31</c:v>
                </c:pt>
                <c:pt idx="56">
                  <c:v>457877073321845.69</c:v>
                </c:pt>
                <c:pt idx="57">
                  <c:v>431603686102420</c:v>
                </c:pt>
                <c:pt idx="58">
                  <c:v>407620136442325.12</c:v>
                </c:pt>
                <c:pt idx="59">
                  <c:v>384365256973557.19</c:v>
                </c:pt>
                <c:pt idx="60">
                  <c:v>359676517162130.87</c:v>
                </c:pt>
                <c:pt idx="61">
                  <c:v>340179894453332.5</c:v>
                </c:pt>
                <c:pt idx="62">
                  <c:v>315916166133741.5</c:v>
                </c:pt>
                <c:pt idx="63">
                  <c:v>301661660675943.75</c:v>
                </c:pt>
                <c:pt idx="64">
                  <c:v>284021387568328.5</c:v>
                </c:pt>
                <c:pt idx="65">
                  <c:v>266606322742639.75</c:v>
                </c:pt>
                <c:pt idx="66">
                  <c:v>250704155876472.22</c:v>
                </c:pt>
                <c:pt idx="67">
                  <c:v>236730108286842.72</c:v>
                </c:pt>
                <c:pt idx="68">
                  <c:v>223980980569352.81</c:v>
                </c:pt>
                <c:pt idx="69">
                  <c:v>210494674604107.16</c:v>
                </c:pt>
                <c:pt idx="70">
                  <c:v>194385774941071.25</c:v>
                </c:pt>
                <c:pt idx="71">
                  <c:v>180854139550477</c:v>
                </c:pt>
                <c:pt idx="72">
                  <c:v>176733846474960.81</c:v>
                </c:pt>
                <c:pt idx="73">
                  <c:v>158612657565439.28</c:v>
                </c:pt>
                <c:pt idx="74">
                  <c:v>154567418003870.31</c:v>
                </c:pt>
                <c:pt idx="75">
                  <c:v>145018767551723.53</c:v>
                </c:pt>
                <c:pt idx="76">
                  <c:v>137008465122345.75</c:v>
                </c:pt>
                <c:pt idx="77">
                  <c:v>128190456018895.52</c:v>
                </c:pt>
                <c:pt idx="78">
                  <c:v>120329085181419.27</c:v>
                </c:pt>
                <c:pt idx="79">
                  <c:v>114951447684975.64</c:v>
                </c:pt>
                <c:pt idx="80">
                  <c:v>105384660471369.72</c:v>
                </c:pt>
                <c:pt idx="81">
                  <c:v>99088205382430.156</c:v>
                </c:pt>
                <c:pt idx="82">
                  <c:v>91361196577898.297</c:v>
                </c:pt>
                <c:pt idx="83">
                  <c:v>88493856381569.812</c:v>
                </c:pt>
                <c:pt idx="84">
                  <c:v>86228368578408.734</c:v>
                </c:pt>
                <c:pt idx="85">
                  <c:v>74746346095335.906</c:v>
                </c:pt>
                <c:pt idx="86">
                  <c:v>71491141472569.281</c:v>
                </c:pt>
                <c:pt idx="87">
                  <c:v>69090985260939.227</c:v>
                </c:pt>
                <c:pt idx="88">
                  <c:v>66806724684968.766</c:v>
                </c:pt>
                <c:pt idx="89">
                  <c:v>58090319103571.148</c:v>
                </c:pt>
                <c:pt idx="90">
                  <c:v>56523234378256.914</c:v>
                </c:pt>
                <c:pt idx="91">
                  <c:v>49290704585786.984</c:v>
                </c:pt>
                <c:pt idx="92">
                  <c:v>52491528556679.18</c:v>
                </c:pt>
                <c:pt idx="93">
                  <c:v>44227226987389.961</c:v>
                </c:pt>
                <c:pt idx="94">
                  <c:v>41006793820076.961</c:v>
                </c:pt>
                <c:pt idx="95">
                  <c:v>42708814365347.219</c:v>
                </c:pt>
                <c:pt idx="96">
                  <c:v>38385496824384.531</c:v>
                </c:pt>
                <c:pt idx="97">
                  <c:v>35972167073901.641</c:v>
                </c:pt>
                <c:pt idx="98">
                  <c:v>33536547422845.512</c:v>
                </c:pt>
                <c:pt idx="99">
                  <c:v>29586665291487.754</c:v>
                </c:pt>
                <c:pt idx="100">
                  <c:v>25937534692981.246</c:v>
                </c:pt>
                <c:pt idx="101">
                  <c:v>23964788319598.809</c:v>
                </c:pt>
                <c:pt idx="102">
                  <c:v>21419642477983.262</c:v>
                </c:pt>
                <c:pt idx="103">
                  <c:v>21648982210464.602</c:v>
                </c:pt>
                <c:pt idx="104">
                  <c:v>21259204832956.996</c:v>
                </c:pt>
                <c:pt idx="105">
                  <c:v>19746630968088.687</c:v>
                </c:pt>
                <c:pt idx="106">
                  <c:v>19219512807927.602</c:v>
                </c:pt>
                <c:pt idx="107">
                  <c:v>17112109930339.352</c:v>
                </c:pt>
                <c:pt idx="108">
                  <c:v>14868240715086.453</c:v>
                </c:pt>
                <c:pt idx="109">
                  <c:v>11779322988813.094</c:v>
                </c:pt>
                <c:pt idx="110">
                  <c:v>15417697205851.111</c:v>
                </c:pt>
                <c:pt idx="111">
                  <c:v>15463410396391.014</c:v>
                </c:pt>
                <c:pt idx="112">
                  <c:v>12442653700738.238</c:v>
                </c:pt>
                <c:pt idx="113">
                  <c:v>7482205525569.2646</c:v>
                </c:pt>
                <c:pt idx="114">
                  <c:v>8944394065106.957</c:v>
                </c:pt>
                <c:pt idx="115">
                  <c:v>3989940204889.7295</c:v>
                </c:pt>
                <c:pt idx="116">
                  <c:v>8121829633789.9521</c:v>
                </c:pt>
                <c:pt idx="117">
                  <c:v>4332086648038.9185</c:v>
                </c:pt>
                <c:pt idx="118">
                  <c:v>3488243109855.8667</c:v>
                </c:pt>
                <c:pt idx="119">
                  <c:v>6203413086882.0137</c:v>
                </c:pt>
                <c:pt idx="120">
                  <c:v>4765557777346.2236</c:v>
                </c:pt>
                <c:pt idx="121">
                  <c:v>5290380895025.9258</c:v>
                </c:pt>
                <c:pt idx="122">
                  <c:v>1756198136425.8716</c:v>
                </c:pt>
                <c:pt idx="123">
                  <c:v>185836899914.8259</c:v>
                </c:pt>
                <c:pt idx="124">
                  <c:v>49466823042.269073</c:v>
                </c:pt>
              </c:numCache>
            </c:numRef>
          </c:xVal>
          <c:yVal>
            <c:numRef>
              <c:f>Plots!$O$3:$O$127</c:f>
              <c:numCache>
                <c:formatCode>General</c:formatCode>
                <c:ptCount val="125"/>
                <c:pt idx="0">
                  <c:v>0</c:v>
                </c:pt>
                <c:pt idx="1">
                  <c:v>0</c:v>
                </c:pt>
                <c:pt idx="2">
                  <c:v>1.7019738485697867E-5</c:v>
                </c:pt>
                <c:pt idx="3">
                  <c:v>1.6691922481526388E-5</c:v>
                </c:pt>
                <c:pt idx="4">
                  <c:v>1.6272095923423538E-5</c:v>
                </c:pt>
                <c:pt idx="5">
                  <c:v>1.6205430485498843E-5</c:v>
                </c:pt>
                <c:pt idx="6">
                  <c:v>1.6337910941883757E-5</c:v>
                </c:pt>
                <c:pt idx="7">
                  <c:v>1.6500781880500941E-5</c:v>
                </c:pt>
                <c:pt idx="8">
                  <c:v>1.6631765679448363E-5</c:v>
                </c:pt>
                <c:pt idx="9">
                  <c:v>1.6761081647098409E-5</c:v>
                </c:pt>
                <c:pt idx="10">
                  <c:v>1.6847127175659289E-5</c:v>
                </c:pt>
                <c:pt idx="11">
                  <c:v>1.6952457595008797E-5</c:v>
                </c:pt>
                <c:pt idx="12">
                  <c:v>1.705173460406047E-5</c:v>
                </c:pt>
                <c:pt idx="13">
                  <c:v>1.713628697455564E-5</c:v>
                </c:pt>
                <c:pt idx="14">
                  <c:v>1.7213703153495356E-5</c:v>
                </c:pt>
                <c:pt idx="15">
                  <c:v>1.7264133586107517E-5</c:v>
                </c:pt>
                <c:pt idx="16">
                  <c:v>1.7336078702757725E-5</c:v>
                </c:pt>
                <c:pt idx="17">
                  <c:v>1.7363761146259755E-5</c:v>
                </c:pt>
                <c:pt idx="18">
                  <c:v>1.7415530061044385E-5</c:v>
                </c:pt>
                <c:pt idx="19">
                  <c:v>1.7452169059300347E-5</c:v>
                </c:pt>
                <c:pt idx="20">
                  <c:v>1.7452771712954009E-5</c:v>
                </c:pt>
                <c:pt idx="21">
                  <c:v>1.746795687113017E-5</c:v>
                </c:pt>
                <c:pt idx="22">
                  <c:v>1.7487306919996007E-5</c:v>
                </c:pt>
                <c:pt idx="23">
                  <c:v>1.7488661656446974E-5</c:v>
                </c:pt>
                <c:pt idx="24">
                  <c:v>1.7458159731598849E-5</c:v>
                </c:pt>
                <c:pt idx="25">
                  <c:v>1.7402234589667825E-5</c:v>
                </c:pt>
                <c:pt idx="26">
                  <c:v>1.7368038334177213E-5</c:v>
                </c:pt>
                <c:pt idx="27">
                  <c:v>1.7327187502269237E-5</c:v>
                </c:pt>
                <c:pt idx="28">
                  <c:v>1.7301640987861824E-5</c:v>
                </c:pt>
                <c:pt idx="29">
                  <c:v>1.7273035581973839E-5</c:v>
                </c:pt>
                <c:pt idx="30">
                  <c:v>1.7186389525729988E-5</c:v>
                </c:pt>
                <c:pt idx="31">
                  <c:v>1.7140455106417665E-5</c:v>
                </c:pt>
                <c:pt idx="32">
                  <c:v>1.7011626880866566E-5</c:v>
                </c:pt>
                <c:pt idx="33">
                  <c:v>1.6908664966109552E-5</c:v>
                </c:pt>
                <c:pt idx="34">
                  <c:v>1.6847994110664159E-5</c:v>
                </c:pt>
                <c:pt idx="35">
                  <c:v>1.6737976013046776E-5</c:v>
                </c:pt>
                <c:pt idx="36">
                  <c:v>1.6596439213209661E-5</c:v>
                </c:pt>
                <c:pt idx="37">
                  <c:v>1.6535037314900881E-5</c:v>
                </c:pt>
                <c:pt idx="38">
                  <c:v>1.6404983960850519E-5</c:v>
                </c:pt>
                <c:pt idx="39">
                  <c:v>1.623302993739196E-5</c:v>
                </c:pt>
                <c:pt idx="40">
                  <c:v>1.6110580975283266E-5</c:v>
                </c:pt>
                <c:pt idx="41">
                  <c:v>1.605381311725154E-5</c:v>
                </c:pt>
                <c:pt idx="42">
                  <c:v>1.5932692268311424E-5</c:v>
                </c:pt>
                <c:pt idx="43">
                  <c:v>1.5768807855690593E-5</c:v>
                </c:pt>
                <c:pt idx="44">
                  <c:v>1.5592924470372442E-5</c:v>
                </c:pt>
                <c:pt idx="45">
                  <c:v>1.5493284042173942E-5</c:v>
                </c:pt>
                <c:pt idx="46">
                  <c:v>1.5241734947965503E-5</c:v>
                </c:pt>
                <c:pt idx="47">
                  <c:v>1.5101516944072113E-5</c:v>
                </c:pt>
                <c:pt idx="48">
                  <c:v>1.5004515153569265E-5</c:v>
                </c:pt>
                <c:pt idx="49">
                  <c:v>1.4905183896137132E-5</c:v>
                </c:pt>
                <c:pt idx="50">
                  <c:v>1.4707881686807731E-5</c:v>
                </c:pt>
                <c:pt idx="51">
                  <c:v>1.4701686909737795E-5</c:v>
                </c:pt>
                <c:pt idx="52">
                  <c:v>1.4472805833139423E-5</c:v>
                </c:pt>
                <c:pt idx="53">
                  <c:v>1.4201677049504307E-5</c:v>
                </c:pt>
                <c:pt idx="54">
                  <c:v>1.4040674462487751E-5</c:v>
                </c:pt>
                <c:pt idx="55">
                  <c:v>1.386787946082308E-5</c:v>
                </c:pt>
                <c:pt idx="56">
                  <c:v>1.3818868912422696E-5</c:v>
                </c:pt>
                <c:pt idx="57">
                  <c:v>1.3660954127294794E-5</c:v>
                </c:pt>
                <c:pt idx="58">
                  <c:v>1.3527235392877814E-5</c:v>
                </c:pt>
                <c:pt idx="59">
                  <c:v>1.3401550103331195E-5</c:v>
                </c:pt>
                <c:pt idx="60">
                  <c:v>1.3146012577350497E-5</c:v>
                </c:pt>
                <c:pt idx="61">
                  <c:v>1.3035592196356859E-5</c:v>
                </c:pt>
                <c:pt idx="62">
                  <c:v>1.27268306743929E-5</c:v>
                </c:pt>
                <c:pt idx="63">
                  <c:v>1.2751728308326283E-5</c:v>
                </c:pt>
                <c:pt idx="64">
                  <c:v>1.2590471704918728E-5</c:v>
                </c:pt>
                <c:pt idx="65">
                  <c:v>1.2389529742049766E-5</c:v>
                </c:pt>
                <c:pt idx="66">
                  <c:v>1.2203179628868713E-5</c:v>
                </c:pt>
                <c:pt idx="67">
                  <c:v>1.2092774719427584E-5</c:v>
                </c:pt>
                <c:pt idx="68">
                  <c:v>1.198883429903994E-5</c:v>
                </c:pt>
                <c:pt idx="69">
                  <c:v>1.1821122039944649E-5</c:v>
                </c:pt>
                <c:pt idx="70">
                  <c:v>1.1457941291059565E-5</c:v>
                </c:pt>
                <c:pt idx="71">
                  <c:v>1.1179358343275576E-5</c:v>
                </c:pt>
                <c:pt idx="72">
                  <c:v>1.1457482696037673E-5</c:v>
                </c:pt>
                <c:pt idx="73">
                  <c:v>1.0768101942088444E-5</c:v>
                </c:pt>
                <c:pt idx="74">
                  <c:v>1.1019853159915659E-5</c:v>
                </c:pt>
                <c:pt idx="75">
                  <c:v>1.0835775455755939E-5</c:v>
                </c:pt>
                <c:pt idx="76">
                  <c:v>1.0717015148060065E-5</c:v>
                </c:pt>
                <c:pt idx="77">
                  <c:v>1.0528439359118846E-5</c:v>
                </c:pt>
                <c:pt idx="78">
                  <c:v>1.0363917345690796E-5</c:v>
                </c:pt>
                <c:pt idx="79">
                  <c:v>1.0385367780519402E-5</c:v>
                </c:pt>
                <c:pt idx="80">
                  <c:v>9.9909852608236168E-6</c:v>
                </c:pt>
                <c:pt idx="81">
                  <c:v>9.8521381072048866E-6</c:v>
                </c:pt>
                <c:pt idx="82">
                  <c:v>9.5410868927589579E-6</c:v>
                </c:pt>
                <c:pt idx="83">
                  <c:v>9.6906755656450194E-6</c:v>
                </c:pt>
                <c:pt idx="84">
                  <c:v>9.9062629392613671E-6</c:v>
                </c:pt>
                <c:pt idx="85">
                  <c:v>8.9884009730728205E-6</c:v>
                </c:pt>
                <c:pt idx="86">
                  <c:v>9.04140711255703E-6</c:v>
                </c:pt>
                <c:pt idx="87">
                  <c:v>9.1578083565954168E-6</c:v>
                </c:pt>
                <c:pt idx="88">
                  <c:v>9.2965267861340678E-6</c:v>
                </c:pt>
                <c:pt idx="89">
                  <c:v>8.5045530920221672E-6</c:v>
                </c:pt>
                <c:pt idx="90">
                  <c:v>8.6826716504459512E-6</c:v>
                </c:pt>
                <c:pt idx="91">
                  <c:v>7.9540713095537349E-6</c:v>
                </c:pt>
                <c:pt idx="92">
                  <c:v>8.8879179909037667E-6</c:v>
                </c:pt>
                <c:pt idx="93">
                  <c:v>7.9012962997896146E-6</c:v>
                </c:pt>
                <c:pt idx="94">
                  <c:v>7.6832108637407249E-6</c:v>
                </c:pt>
                <c:pt idx="95">
                  <c:v>8.4412677325537726E-6</c:v>
                </c:pt>
                <c:pt idx="96">
                  <c:v>7.9683304384852839E-6</c:v>
                </c:pt>
                <c:pt idx="97">
                  <c:v>7.8217605330377786E-6</c:v>
                </c:pt>
                <c:pt idx="98">
                  <c:v>7.7018324758269336E-6</c:v>
                </c:pt>
                <c:pt idx="99">
                  <c:v>7.1601447851338249E-6</c:v>
                </c:pt>
                <c:pt idx="100">
                  <c:v>6.5782560382818877E-6</c:v>
                </c:pt>
                <c:pt idx="101">
                  <c:v>6.4327265955263194E-6</c:v>
                </c:pt>
                <c:pt idx="102">
                  <c:v>6.0632650893380965E-6</c:v>
                </c:pt>
                <c:pt idx="103">
                  <c:v>6.4593464494857374E-6</c:v>
                </c:pt>
                <c:pt idx="104">
                  <c:v>6.6983455058337321E-6</c:v>
                </c:pt>
                <c:pt idx="105">
                  <c:v>6.5140740523732022E-6</c:v>
                </c:pt>
                <c:pt idx="106">
                  <c:v>6.7196156069594487E-6</c:v>
                </c:pt>
                <c:pt idx="107">
                  <c:v>6.2783977710584499E-6</c:v>
                </c:pt>
                <c:pt idx="108">
                  <c:v>5.763937461812348E-6</c:v>
                </c:pt>
                <c:pt idx="109">
                  <c:v>4.8512415889671641E-6</c:v>
                </c:pt>
                <c:pt idx="110">
                  <c:v>6.6963376397997376E-6</c:v>
                </c:pt>
                <c:pt idx="111">
                  <c:v>7.0789976187395207E-6</c:v>
                </c:pt>
                <c:pt idx="112">
                  <c:v>5.9822703205272774E-6</c:v>
                </c:pt>
                <c:pt idx="113">
                  <c:v>3.8115560760629074E-6</c:v>
                </c:pt>
                <c:pt idx="114">
                  <c:v>4.8206774004784775E-6</c:v>
                </c:pt>
                <c:pt idx="115">
                  <c:v>2.3044170880293807E-6</c:v>
                </c:pt>
                <c:pt idx="116">
                  <c:v>4.9168225928767018E-6</c:v>
                </c:pt>
                <c:pt idx="117">
                  <c:v>2.8137372666364785E-6</c:v>
                </c:pt>
                <c:pt idx="118">
                  <c:v>2.397031750818556E-6</c:v>
                </c:pt>
                <c:pt idx="119">
                  <c:v>4.4688992831594444E-6</c:v>
                </c:pt>
                <c:pt idx="120">
                  <c:v>3.6783837754772102E-6</c:v>
                </c:pt>
                <c:pt idx="121">
                  <c:v>4.230332272422584E-6</c:v>
                </c:pt>
                <c:pt idx="122">
                  <c:v>1.505926446765374E-6</c:v>
                </c:pt>
                <c:pt idx="123">
                  <c:v>0</c:v>
                </c:pt>
                <c:pt idx="124">
                  <c:v>0</c:v>
                </c:pt>
              </c:numCache>
            </c:numRef>
          </c:yVal>
          <c:smooth val="0"/>
        </c:ser>
        <c:ser>
          <c:idx val="8"/>
          <c:order val="8"/>
          <c:tx>
            <c:strRef>
              <c:f>Plots!$P$1</c:f>
              <c:strCache>
                <c:ptCount val="1"/>
                <c:pt idx="0">
                  <c:v>110</c:v>
                </c:pt>
              </c:strCache>
            </c:strRef>
          </c:tx>
          <c:spPr>
            <a:ln w="28575">
              <a:noFill/>
            </a:ln>
          </c:spPr>
          <c:marker>
            <c:symbol val="diamond"/>
            <c:size val="7"/>
            <c:spPr>
              <a:solidFill>
                <a:schemeClr val="accent3">
                  <a:lumMod val="60000"/>
                  <a:lumOff val="40000"/>
                </a:schemeClr>
              </a:solidFill>
              <a:ln>
                <a:noFill/>
              </a:ln>
            </c:spPr>
          </c:marker>
          <c:xVal>
            <c:numRef>
              <c:f>Plots!$P$3:$P$127</c:f>
              <c:numCache>
                <c:formatCode>General</c:formatCode>
                <c:ptCount val="125"/>
                <c:pt idx="0">
                  <c:v>3530192069984264.5</c:v>
                </c:pt>
                <c:pt idx="1">
                  <c:v>7155066353504026</c:v>
                </c:pt>
                <c:pt idx="2">
                  <c:v>8224491706190130</c:v>
                </c:pt>
                <c:pt idx="3">
                  <c:v>8520131069965605</c:v>
                </c:pt>
                <c:pt idx="4">
                  <c:v>8217625442647578</c:v>
                </c:pt>
                <c:pt idx="5">
                  <c:v>7836674109325042</c:v>
                </c:pt>
                <c:pt idx="6">
                  <c:v>7444672661445771</c:v>
                </c:pt>
                <c:pt idx="7">
                  <c:v>7064427394370244</c:v>
                </c:pt>
                <c:pt idx="8">
                  <c:v>6698452236391299</c:v>
                </c:pt>
                <c:pt idx="9">
                  <c:v>6349103516373824</c:v>
                </c:pt>
                <c:pt idx="10">
                  <c:v>6017178654198328</c:v>
                </c:pt>
                <c:pt idx="11">
                  <c:v>5695091732982077</c:v>
                </c:pt>
                <c:pt idx="12">
                  <c:v>5388729841381956</c:v>
                </c:pt>
                <c:pt idx="13">
                  <c:v>5097126647003824</c:v>
                </c:pt>
                <c:pt idx="14">
                  <c:v>4832264988155669</c:v>
                </c:pt>
                <c:pt idx="15">
                  <c:v>4570331584700827</c:v>
                </c:pt>
                <c:pt idx="16">
                  <c:v>4319894139390693</c:v>
                </c:pt>
                <c:pt idx="17">
                  <c:v>4083476693830564.5</c:v>
                </c:pt>
                <c:pt idx="18">
                  <c:v>3861900997245559.5</c:v>
                </c:pt>
                <c:pt idx="19">
                  <c:v>3645298190207240.5</c:v>
                </c:pt>
                <c:pt idx="20">
                  <c:v>3445092233209351.5</c:v>
                </c:pt>
                <c:pt idx="21">
                  <c:v>3254863047889660.5</c:v>
                </c:pt>
                <c:pt idx="22">
                  <c:v>3073263391236740.5</c:v>
                </c:pt>
                <c:pt idx="23">
                  <c:v>2902544084990019</c:v>
                </c:pt>
                <c:pt idx="24">
                  <c:v>2738000222183222</c:v>
                </c:pt>
                <c:pt idx="25">
                  <c:v>2583111942256500</c:v>
                </c:pt>
                <c:pt idx="26">
                  <c:v>2437202932941068.5</c:v>
                </c:pt>
                <c:pt idx="27">
                  <c:v>2300271336587662</c:v>
                </c:pt>
                <c:pt idx="28">
                  <c:v>2172353104501329.5</c:v>
                </c:pt>
                <c:pt idx="29">
                  <c:v>2052814392116323.2</c:v>
                </c:pt>
                <c:pt idx="30">
                  <c:v>1935869217433204.2</c:v>
                </c:pt>
                <c:pt idx="31">
                  <c:v>1821679960834817</c:v>
                </c:pt>
                <c:pt idx="32">
                  <c:v>1720897821620033.5</c:v>
                </c:pt>
                <c:pt idx="33">
                  <c:v>1619206540581717.7</c:v>
                </c:pt>
                <c:pt idx="34">
                  <c:v>1534102337537574</c:v>
                </c:pt>
                <c:pt idx="35">
                  <c:v>1438390421094447.2</c:v>
                </c:pt>
                <c:pt idx="36">
                  <c:v>1358628063586332.2</c:v>
                </c:pt>
                <c:pt idx="37">
                  <c:v>1282041256674012.5</c:v>
                </c:pt>
                <c:pt idx="38">
                  <c:v>1205024844692397</c:v>
                </c:pt>
                <c:pt idx="39">
                  <c:v>1134219860115824</c:v>
                </c:pt>
                <c:pt idx="40">
                  <c:v>1070032167695256.5</c:v>
                </c:pt>
                <c:pt idx="41">
                  <c:v>1007058292495726.5</c:v>
                </c:pt>
                <c:pt idx="42">
                  <c:v>949820473928201.87</c:v>
                </c:pt>
                <c:pt idx="43">
                  <c:v>892525354141946.37</c:v>
                </c:pt>
                <c:pt idx="44">
                  <c:v>839480775033985.87</c:v>
                </c:pt>
                <c:pt idx="45">
                  <c:v>790111511171948.5</c:v>
                </c:pt>
                <c:pt idx="46">
                  <c:v>742378725611329.12</c:v>
                </c:pt>
                <c:pt idx="47">
                  <c:v>701647568637615</c:v>
                </c:pt>
                <c:pt idx="48">
                  <c:v>660331223216211.25</c:v>
                </c:pt>
                <c:pt idx="49">
                  <c:v>621753611310166.87</c:v>
                </c:pt>
                <c:pt idx="50">
                  <c:v>584933932776709.75</c:v>
                </c:pt>
                <c:pt idx="51">
                  <c:v>549467550515811.44</c:v>
                </c:pt>
                <c:pt idx="52">
                  <c:v>516210230452132</c:v>
                </c:pt>
                <c:pt idx="53">
                  <c:v>488499658972002.06</c:v>
                </c:pt>
                <c:pt idx="54">
                  <c:v>458974699467253.12</c:v>
                </c:pt>
                <c:pt idx="55">
                  <c:v>428565139192625.06</c:v>
                </c:pt>
                <c:pt idx="56">
                  <c:v>404533931313301.5</c:v>
                </c:pt>
                <c:pt idx="57">
                  <c:v>383751004687071.94</c:v>
                </c:pt>
                <c:pt idx="58">
                  <c:v>357996600295476.37</c:v>
                </c:pt>
                <c:pt idx="59">
                  <c:v>337827178218116.69</c:v>
                </c:pt>
                <c:pt idx="60">
                  <c:v>316914203284321.56</c:v>
                </c:pt>
                <c:pt idx="61">
                  <c:v>300321540172375.94</c:v>
                </c:pt>
                <c:pt idx="62">
                  <c:v>280495207316236.31</c:v>
                </c:pt>
                <c:pt idx="63">
                  <c:v>263020658504995.56</c:v>
                </c:pt>
                <c:pt idx="64">
                  <c:v>252309494117778.53</c:v>
                </c:pt>
                <c:pt idx="65">
                  <c:v>235232676865957.81</c:v>
                </c:pt>
                <c:pt idx="66">
                  <c:v>223017160219175.84</c:v>
                </c:pt>
                <c:pt idx="67">
                  <c:v>206512998826042.34</c:v>
                </c:pt>
                <c:pt idx="68">
                  <c:v>196684803542311.16</c:v>
                </c:pt>
                <c:pt idx="69">
                  <c:v>180685867473405.28</c:v>
                </c:pt>
                <c:pt idx="70">
                  <c:v>172736190344170.56</c:v>
                </c:pt>
                <c:pt idx="71">
                  <c:v>162561616635789.87</c:v>
                </c:pt>
                <c:pt idx="72">
                  <c:v>149389128591150.53</c:v>
                </c:pt>
                <c:pt idx="73">
                  <c:v>139988726513263.27</c:v>
                </c:pt>
                <c:pt idx="74">
                  <c:v>129623839205298.16</c:v>
                </c:pt>
                <c:pt idx="75">
                  <c:v>126645894556420.44</c:v>
                </c:pt>
                <c:pt idx="76">
                  <c:v>118340304608730.95</c:v>
                </c:pt>
                <c:pt idx="77">
                  <c:v>112002446187650.67</c:v>
                </c:pt>
                <c:pt idx="78">
                  <c:v>103643756991532.67</c:v>
                </c:pt>
                <c:pt idx="79">
                  <c:v>97271029001804.016</c:v>
                </c:pt>
                <c:pt idx="80">
                  <c:v>94581033377213.703</c:v>
                </c:pt>
                <c:pt idx="81">
                  <c:v>82431111376254.312</c:v>
                </c:pt>
                <c:pt idx="82">
                  <c:v>80840933888918.797</c:v>
                </c:pt>
                <c:pt idx="83">
                  <c:v>77403601317445.672</c:v>
                </c:pt>
                <c:pt idx="84">
                  <c:v>71284050998720.047</c:v>
                </c:pt>
                <c:pt idx="85">
                  <c:v>68472606967522.609</c:v>
                </c:pt>
                <c:pt idx="86">
                  <c:v>59851017450201.25</c:v>
                </c:pt>
                <c:pt idx="87">
                  <c:v>57879151741858.773</c:v>
                </c:pt>
                <c:pt idx="88">
                  <c:v>57257702765718.586</c:v>
                </c:pt>
                <c:pt idx="89">
                  <c:v>53422916140273.359</c:v>
                </c:pt>
                <c:pt idx="90">
                  <c:v>50574821053637.523</c:v>
                </c:pt>
                <c:pt idx="91">
                  <c:v>45823464812878.43</c:v>
                </c:pt>
                <c:pt idx="92">
                  <c:v>43320600518461.789</c:v>
                </c:pt>
                <c:pt idx="93">
                  <c:v>43620102772235.18</c:v>
                </c:pt>
                <c:pt idx="94">
                  <c:v>37890423086403.883</c:v>
                </c:pt>
                <c:pt idx="95">
                  <c:v>37783527338026.133</c:v>
                </c:pt>
                <c:pt idx="96">
                  <c:v>33383059616999.473</c:v>
                </c:pt>
                <c:pt idx="97">
                  <c:v>33361740001291.285</c:v>
                </c:pt>
                <c:pt idx="98">
                  <c:v>31568331549111.383</c:v>
                </c:pt>
                <c:pt idx="99">
                  <c:v>31717742561635.805</c:v>
                </c:pt>
                <c:pt idx="100">
                  <c:v>26106207108947.355</c:v>
                </c:pt>
                <c:pt idx="101">
                  <c:v>26234065592688.293</c:v>
                </c:pt>
                <c:pt idx="102">
                  <c:v>22865745578439.195</c:v>
                </c:pt>
                <c:pt idx="103">
                  <c:v>20074790622163.617</c:v>
                </c:pt>
                <c:pt idx="104">
                  <c:v>20692479776477.332</c:v>
                </c:pt>
                <c:pt idx="105">
                  <c:v>22567436805248.348</c:v>
                </c:pt>
                <c:pt idx="106">
                  <c:v>21395444395581.406</c:v>
                </c:pt>
                <c:pt idx="107">
                  <c:v>19883088922244.703</c:v>
                </c:pt>
                <c:pt idx="108">
                  <c:v>20713747078686</c:v>
                </c:pt>
                <c:pt idx="109">
                  <c:v>14030419146538.748</c:v>
                </c:pt>
                <c:pt idx="110">
                  <c:v>18137118573467.66</c:v>
                </c:pt>
                <c:pt idx="111">
                  <c:v>19563713730471.898</c:v>
                </c:pt>
                <c:pt idx="112">
                  <c:v>13477548725014.838</c:v>
                </c:pt>
                <c:pt idx="113">
                  <c:v>13732742615037.658</c:v>
                </c:pt>
                <c:pt idx="114">
                  <c:v>9801053604077.4297</c:v>
                </c:pt>
                <c:pt idx="115">
                  <c:v>9609908043907.7969</c:v>
                </c:pt>
                <c:pt idx="116">
                  <c:v>11670715280289.551</c:v>
                </c:pt>
                <c:pt idx="117">
                  <c:v>7104955525269.7705</c:v>
                </c:pt>
                <c:pt idx="118">
                  <c:v>10480785296045.367</c:v>
                </c:pt>
                <c:pt idx="119">
                  <c:v>9779815810384.209</c:v>
                </c:pt>
                <c:pt idx="120">
                  <c:v>7805267920572.2256</c:v>
                </c:pt>
                <c:pt idx="121">
                  <c:v>7486923463446.8252</c:v>
                </c:pt>
                <c:pt idx="122">
                  <c:v>7784034334706.5518</c:v>
                </c:pt>
                <c:pt idx="123">
                  <c:v>9100243729640.3652</c:v>
                </c:pt>
                <c:pt idx="124">
                  <c:v>9312590294323.4238</c:v>
                </c:pt>
              </c:numCache>
            </c:numRef>
          </c:xVal>
          <c:yVal>
            <c:numRef>
              <c:f>Plots!$Q$3:$Q$127</c:f>
              <c:numCache>
                <c:formatCode>General</c:formatCode>
                <c:ptCount val="125"/>
                <c:pt idx="0">
                  <c:v>0</c:v>
                </c:pt>
                <c:pt idx="1">
                  <c:v>0</c:v>
                </c:pt>
                <c:pt idx="2">
                  <c:v>1.5995539178717507E-5</c:v>
                </c:pt>
                <c:pt idx="3">
                  <c:v>1.5684064968378846E-5</c:v>
                </c:pt>
                <c:pt idx="4">
                  <c:v>1.5264480084280921E-5</c:v>
                </c:pt>
                <c:pt idx="5">
                  <c:v>1.5109531351394106E-5</c:v>
                </c:pt>
                <c:pt idx="6">
                  <c:v>1.5193577112558881E-5</c:v>
                </c:pt>
                <c:pt idx="7">
                  <c:v>1.5328459659463317E-5</c:v>
                </c:pt>
                <c:pt idx="8">
                  <c:v>1.5451676546693361E-5</c:v>
                </c:pt>
                <c:pt idx="9">
                  <c:v>1.5564217669592032E-5</c:v>
                </c:pt>
                <c:pt idx="10">
                  <c:v>1.5667513119211096E-5</c:v>
                </c:pt>
                <c:pt idx="11">
                  <c:v>1.5744145140483454E-5</c:v>
                </c:pt>
                <c:pt idx="12">
                  <c:v>1.5815835812545741E-5</c:v>
                </c:pt>
                <c:pt idx="13">
                  <c:v>1.5871739119761181E-5</c:v>
                </c:pt>
                <c:pt idx="14">
                  <c:v>1.5953409358782353E-5</c:v>
                </c:pt>
                <c:pt idx="15">
                  <c:v>1.5998440467977431E-5</c:v>
                </c:pt>
                <c:pt idx="16">
                  <c:v>1.6031432187116003E-5</c:v>
                </c:pt>
                <c:pt idx="17">
                  <c:v>1.6061937779347406E-5</c:v>
                </c:pt>
                <c:pt idx="18">
                  <c:v>1.6101084490494046E-5</c:v>
                </c:pt>
                <c:pt idx="19">
                  <c:v>1.6099407717904593E-5</c:v>
                </c:pt>
                <c:pt idx="20">
                  <c:v>1.6112011535195234E-5</c:v>
                </c:pt>
                <c:pt idx="21">
                  <c:v>1.6112300170233678E-5</c:v>
                </c:pt>
                <c:pt idx="22">
                  <c:v>1.6093671069251766E-5</c:v>
                </c:pt>
                <c:pt idx="23">
                  <c:v>1.6083195992512125E-5</c:v>
                </c:pt>
                <c:pt idx="24">
                  <c:v>1.604515780303012E-5</c:v>
                </c:pt>
                <c:pt idx="25">
                  <c:v>1.600092686909067E-5</c:v>
                </c:pt>
                <c:pt idx="26">
                  <c:v>1.5953807947979056E-5</c:v>
                </c:pt>
                <c:pt idx="27">
                  <c:v>1.5908078924963547E-5</c:v>
                </c:pt>
                <c:pt idx="28">
                  <c:v>1.5892690671828296E-5</c:v>
                </c:pt>
                <c:pt idx="29">
                  <c:v>1.5863547321047402E-5</c:v>
                </c:pt>
                <c:pt idx="30">
                  <c:v>1.5791481060704464E-5</c:v>
                </c:pt>
                <c:pt idx="31">
                  <c:v>1.567765896807163E-5</c:v>
                </c:pt>
                <c:pt idx="32">
                  <c:v>1.5623388792651359E-5</c:v>
                </c:pt>
                <c:pt idx="33">
                  <c:v>1.5499807150850547E-5</c:v>
                </c:pt>
                <c:pt idx="34">
                  <c:v>1.5479612705399653E-5</c:v>
                </c:pt>
                <c:pt idx="35">
                  <c:v>1.529940287454806E-5</c:v>
                </c:pt>
                <c:pt idx="36">
                  <c:v>1.5223289849519765E-5</c:v>
                </c:pt>
                <c:pt idx="37">
                  <c:v>1.5124071988159687E-5</c:v>
                </c:pt>
                <c:pt idx="38">
                  <c:v>1.4970334115132912E-5</c:v>
                </c:pt>
                <c:pt idx="39">
                  <c:v>1.4843117750234056E-5</c:v>
                </c:pt>
                <c:pt idx="40">
                  <c:v>1.4742878211838272E-5</c:v>
                </c:pt>
                <c:pt idx="41">
                  <c:v>1.460044948636143E-5</c:v>
                </c:pt>
                <c:pt idx="42">
                  <c:v>1.4486615337126796E-5</c:v>
                </c:pt>
                <c:pt idx="43">
                  <c:v>1.4319555224989477E-5</c:v>
                </c:pt>
                <c:pt idx="44">
                  <c:v>1.4162579071621665E-5</c:v>
                </c:pt>
                <c:pt idx="45">
                  <c:v>1.4011130264276645E-5</c:v>
                </c:pt>
                <c:pt idx="46">
                  <c:v>1.3837555851008952E-5</c:v>
                </c:pt>
                <c:pt idx="47">
                  <c:v>1.3745643885598234E-5</c:v>
                </c:pt>
                <c:pt idx="48">
                  <c:v>1.3593669491926006E-5</c:v>
                </c:pt>
                <c:pt idx="49">
                  <c:v>1.34449940336314E-5</c:v>
                </c:pt>
                <c:pt idx="50">
                  <c:v>1.3284812242751931E-5</c:v>
                </c:pt>
                <c:pt idx="51">
                  <c:v>1.310438330390204E-5</c:v>
                </c:pt>
                <c:pt idx="52">
                  <c:v>1.2921129127087655E-5</c:v>
                </c:pt>
                <c:pt idx="53">
                  <c:v>1.2841963229543823E-5</c:v>
                </c:pt>
                <c:pt idx="54">
                  <c:v>1.2667648266334504E-5</c:v>
                </c:pt>
                <c:pt idx="55">
                  <c:v>1.2408073052084779E-5</c:v>
                </c:pt>
                <c:pt idx="56">
                  <c:v>1.2296212376868652E-5</c:v>
                </c:pt>
                <c:pt idx="57">
                  <c:v>1.2238919253249351E-5</c:v>
                </c:pt>
                <c:pt idx="58">
                  <c:v>1.1975267662485586E-5</c:v>
                </c:pt>
                <c:pt idx="59">
                  <c:v>1.1877535670633694E-5</c:v>
                </c:pt>
                <c:pt idx="60">
                  <c:v>1.1681956999122764E-5</c:v>
                </c:pt>
                <c:pt idx="61">
                  <c:v>1.1622809509764546E-5</c:v>
                </c:pt>
                <c:pt idx="62">
                  <c:v>1.1416711904888183E-5</c:v>
                </c:pt>
                <c:pt idx="63">
                  <c:v>1.1223812570893968E-5</c:v>
                </c:pt>
                <c:pt idx="64">
                  <c:v>1.1297938054971372E-5</c:v>
                </c:pt>
                <c:pt idx="65">
                  <c:v>1.103644340900793E-5</c:v>
                </c:pt>
                <c:pt idx="66">
                  <c:v>1.0974473535152183E-5</c:v>
                </c:pt>
                <c:pt idx="67">
                  <c:v>1.065199796179617E-5</c:v>
                </c:pt>
                <c:pt idx="68">
                  <c:v>1.0651835511220096E-5</c:v>
                </c:pt>
                <c:pt idx="69">
                  <c:v>1.0282005307083944E-5</c:v>
                </c:pt>
                <c:pt idx="70">
                  <c:v>1.0295509520005705E-5</c:v>
                </c:pt>
                <c:pt idx="71">
                  <c:v>1.0166457580624489E-5</c:v>
                </c:pt>
                <c:pt idx="72">
                  <c:v>9.7848942176703679E-6</c:v>
                </c:pt>
                <c:pt idx="73">
                  <c:v>9.6156329441414943E-6</c:v>
                </c:pt>
                <c:pt idx="74">
                  <c:v>9.3569225464271718E-6</c:v>
                </c:pt>
                <c:pt idx="75">
                  <c:v>9.5840519073478862E-6</c:v>
                </c:pt>
                <c:pt idx="76">
                  <c:v>9.3832681121017252E-6</c:v>
                </c:pt>
                <c:pt idx="77">
                  <c:v>9.3204414839761017E-6</c:v>
                </c:pt>
                <c:pt idx="78">
                  <c:v>9.055782452165955E-6</c:v>
                </c:pt>
                <c:pt idx="79">
                  <c:v>8.9241586977829113E-6</c:v>
                </c:pt>
                <c:pt idx="80">
                  <c:v>9.0938055161098375E-6</c:v>
                </c:pt>
                <c:pt idx="81">
                  <c:v>8.3316392685162493E-6</c:v>
                </c:pt>
                <c:pt idx="82">
                  <c:v>8.566803522260082E-6</c:v>
                </c:pt>
                <c:pt idx="83">
                  <c:v>8.6164407769594824E-6</c:v>
                </c:pt>
                <c:pt idx="84">
                  <c:v>8.3149622956130436E-6</c:v>
                </c:pt>
                <c:pt idx="85">
                  <c:v>8.3851255114694243E-6</c:v>
                </c:pt>
                <c:pt idx="86">
                  <c:v>7.6945665086735861E-6</c:v>
                </c:pt>
                <c:pt idx="87">
                  <c:v>7.815136877391661E-6</c:v>
                </c:pt>
                <c:pt idx="88">
                  <c:v>8.1200595405346986E-6</c:v>
                </c:pt>
                <c:pt idx="89">
                  <c:v>7.9627879873020544E-6</c:v>
                </c:pt>
                <c:pt idx="90">
                  <c:v>7.9133844991219339E-6</c:v>
                </c:pt>
                <c:pt idx="91">
                  <c:v>7.5396061229280412E-6</c:v>
                </c:pt>
                <c:pt idx="92">
                  <c:v>7.4886815088466249E-6</c:v>
                </c:pt>
                <c:pt idx="93">
                  <c:v>7.9338317417149068E-6</c:v>
                </c:pt>
                <c:pt idx="94">
                  <c:v>7.249585861984926E-6</c:v>
                </c:pt>
                <c:pt idx="95">
                  <c:v>7.6129131905044947E-6</c:v>
                </c:pt>
                <c:pt idx="96">
                  <c:v>7.0898028756578056E-6</c:v>
                </c:pt>
                <c:pt idx="97">
                  <c:v>7.4547596709212947E-6</c:v>
                </c:pt>
                <c:pt idx="98">
                  <c:v>7.4132850864062117E-6</c:v>
                </c:pt>
                <c:pt idx="99">
                  <c:v>7.814190283943433E-6</c:v>
                </c:pt>
                <c:pt idx="100">
                  <c:v>6.776528054658174E-6</c:v>
                </c:pt>
                <c:pt idx="101">
                  <c:v>7.164304385674906E-6</c:v>
                </c:pt>
                <c:pt idx="102">
                  <c:v>6.5897105410524328E-6</c:v>
                </c:pt>
                <c:pt idx="103">
                  <c:v>6.1361790763984144E-6</c:v>
                </c:pt>
                <c:pt idx="104">
                  <c:v>6.703071195489724E-6</c:v>
                </c:pt>
                <c:pt idx="105">
                  <c:v>7.6629580616521802E-6</c:v>
                </c:pt>
                <c:pt idx="106">
                  <c:v>7.6862070390210005E-6</c:v>
                </c:pt>
                <c:pt idx="107">
                  <c:v>7.4650521735855377E-6</c:v>
                </c:pt>
                <c:pt idx="108">
                  <c:v>8.26936663174449E-6</c:v>
                </c:pt>
                <c:pt idx="109">
                  <c:v>5.9181412628523871E-6</c:v>
                </c:pt>
                <c:pt idx="110">
                  <c:v>8.1173040582892993E-6</c:v>
                </c:pt>
                <c:pt idx="111">
                  <c:v>9.234445633307162E-6</c:v>
                </c:pt>
                <c:pt idx="112">
                  <c:v>6.6712154481511097E-6</c:v>
                </c:pt>
                <c:pt idx="113">
                  <c:v>7.157635615539294E-6</c:v>
                </c:pt>
                <c:pt idx="114">
                  <c:v>5.499791074584561E-6</c:v>
                </c:pt>
                <c:pt idx="115">
                  <c:v>5.6439456747150023E-6</c:v>
                </c:pt>
                <c:pt idx="116">
                  <c:v>7.3571287666136413E-6</c:v>
                </c:pt>
                <c:pt idx="117">
                  <c:v>4.7515881917015775E-6</c:v>
                </c:pt>
                <c:pt idx="118">
                  <c:v>7.4397884866327203E-6</c:v>
                </c:pt>
                <c:pt idx="119">
                  <c:v>7.3000204010285655E-6</c:v>
                </c:pt>
                <c:pt idx="120">
                  <c:v>6.1659537607922832E-6</c:v>
                </c:pt>
                <c:pt idx="121">
                  <c:v>6.2588565264616605E-6</c:v>
                </c:pt>
                <c:pt idx="122">
                  <c:v>6.9819221216516175E-6</c:v>
                </c:pt>
                <c:pt idx="123">
                  <c:v>0</c:v>
                </c:pt>
                <c:pt idx="124">
                  <c:v>0</c:v>
                </c:pt>
              </c:numCache>
            </c:numRef>
          </c:yVal>
          <c:smooth val="0"/>
        </c:ser>
        <c:ser>
          <c:idx val="9"/>
          <c:order val="9"/>
          <c:tx>
            <c:strRef>
              <c:f>Plots!$R$1</c:f>
              <c:strCache>
                <c:ptCount val="1"/>
                <c:pt idx="0">
                  <c:v>100</c:v>
                </c:pt>
              </c:strCache>
            </c:strRef>
          </c:tx>
          <c:spPr>
            <a:ln w="28575">
              <a:noFill/>
            </a:ln>
          </c:spPr>
          <c:marker>
            <c:spPr>
              <a:solidFill>
                <a:srgbClr val="92D050"/>
              </a:solidFill>
              <a:ln>
                <a:noFill/>
              </a:ln>
            </c:spPr>
          </c:marker>
          <c:xVal>
            <c:numRef>
              <c:f>Plots!$R$3:$R$127</c:f>
              <c:numCache>
                <c:formatCode>General</c:formatCode>
                <c:ptCount val="125"/>
                <c:pt idx="0">
                  <c:v>3275517258883369</c:v>
                </c:pt>
                <c:pt idx="1">
                  <c:v>6572147581848826</c:v>
                </c:pt>
                <c:pt idx="2">
                  <c:v>7734794319736434</c:v>
                </c:pt>
                <c:pt idx="3">
                  <c:v>7943559632403878</c:v>
                </c:pt>
                <c:pt idx="4">
                  <c:v>7640926452084931</c:v>
                </c:pt>
                <c:pt idx="5">
                  <c:v>7271968326502038</c:v>
                </c:pt>
                <c:pt idx="6">
                  <c:v>6902082122925962</c:v>
                </c:pt>
                <c:pt idx="7">
                  <c:v>6542490764522573</c:v>
                </c:pt>
                <c:pt idx="8">
                  <c:v>6200558833692482</c:v>
                </c:pt>
                <c:pt idx="9">
                  <c:v>5874259554092153</c:v>
                </c:pt>
                <c:pt idx="10">
                  <c:v>5563158135037920</c:v>
                </c:pt>
                <c:pt idx="11">
                  <c:v>5266112627572779</c:v>
                </c:pt>
                <c:pt idx="12">
                  <c:v>4977328902409915</c:v>
                </c:pt>
                <c:pt idx="13">
                  <c:v>4708660681423552</c:v>
                </c:pt>
                <c:pt idx="14">
                  <c:v>4449653871426120.5</c:v>
                </c:pt>
                <c:pt idx="15">
                  <c:v>4207057661593640.5</c:v>
                </c:pt>
                <c:pt idx="16">
                  <c:v>3979138287577087</c:v>
                </c:pt>
                <c:pt idx="17">
                  <c:v>3760499853429652</c:v>
                </c:pt>
                <c:pt idx="18">
                  <c:v>3549023469687399</c:v>
                </c:pt>
                <c:pt idx="19">
                  <c:v>3354057431648178</c:v>
                </c:pt>
                <c:pt idx="20">
                  <c:v>3164185335116136.5</c:v>
                </c:pt>
                <c:pt idx="21">
                  <c:v>2987425219524378.5</c:v>
                </c:pt>
                <c:pt idx="22">
                  <c:v>2819161136766807</c:v>
                </c:pt>
                <c:pt idx="23">
                  <c:v>2662668034154426.5</c:v>
                </c:pt>
                <c:pt idx="24">
                  <c:v>2510745791322280.5</c:v>
                </c:pt>
                <c:pt idx="25">
                  <c:v>2370678100419959.5</c:v>
                </c:pt>
                <c:pt idx="26">
                  <c:v>2235631214422017.7</c:v>
                </c:pt>
                <c:pt idx="27">
                  <c:v>2105770834507080.3</c:v>
                </c:pt>
                <c:pt idx="28">
                  <c:v>1986357807465027.2</c:v>
                </c:pt>
                <c:pt idx="29">
                  <c:v>1871678902138716.5</c:v>
                </c:pt>
                <c:pt idx="30">
                  <c:v>1767251170676293.2</c:v>
                </c:pt>
                <c:pt idx="31">
                  <c:v>1664068274631702.5</c:v>
                </c:pt>
                <c:pt idx="32">
                  <c:v>1570035983196449.7</c:v>
                </c:pt>
                <c:pt idx="33">
                  <c:v>1480515175807609.7</c:v>
                </c:pt>
                <c:pt idx="34">
                  <c:v>1394682731402004.7</c:v>
                </c:pt>
                <c:pt idx="35">
                  <c:v>1313477526642767.2</c:v>
                </c:pt>
                <c:pt idx="36">
                  <c:v>1239415487497045.5</c:v>
                </c:pt>
                <c:pt idx="37">
                  <c:v>1168137884035207.5</c:v>
                </c:pt>
                <c:pt idx="38">
                  <c:v>1097833417579709.5</c:v>
                </c:pt>
                <c:pt idx="39">
                  <c:v>1031002708582244.6</c:v>
                </c:pt>
                <c:pt idx="40">
                  <c:v>975054604348197.25</c:v>
                </c:pt>
                <c:pt idx="41">
                  <c:v>919207952674504</c:v>
                </c:pt>
                <c:pt idx="42">
                  <c:v>863633569666510.25</c:v>
                </c:pt>
                <c:pt idx="43">
                  <c:v>813105707929783</c:v>
                </c:pt>
                <c:pt idx="44">
                  <c:v>763533724293524.75</c:v>
                </c:pt>
                <c:pt idx="45">
                  <c:v>720518549179717.5</c:v>
                </c:pt>
                <c:pt idx="46">
                  <c:v>678795643178911.25</c:v>
                </c:pt>
                <c:pt idx="47">
                  <c:v>641858530006040.87</c:v>
                </c:pt>
                <c:pt idx="48">
                  <c:v>599503161559245.25</c:v>
                </c:pt>
                <c:pt idx="49">
                  <c:v>565728983450216.87</c:v>
                </c:pt>
                <c:pt idx="50">
                  <c:v>537163960695941.06</c:v>
                </c:pt>
                <c:pt idx="51">
                  <c:v>501779315539115.81</c:v>
                </c:pt>
                <c:pt idx="52">
                  <c:v>470801541480657.81</c:v>
                </c:pt>
                <c:pt idx="53">
                  <c:v>446702704428058.56</c:v>
                </c:pt>
                <c:pt idx="54">
                  <c:v>418977118529659.25</c:v>
                </c:pt>
                <c:pt idx="55">
                  <c:v>391286850243741.62</c:v>
                </c:pt>
                <c:pt idx="56">
                  <c:v>369506508904998.87</c:v>
                </c:pt>
                <c:pt idx="57">
                  <c:v>350123748214476.75</c:v>
                </c:pt>
                <c:pt idx="58">
                  <c:v>328972377832576.94</c:v>
                </c:pt>
                <c:pt idx="59">
                  <c:v>311830697298934.12</c:v>
                </c:pt>
                <c:pt idx="60">
                  <c:v>292050738634596.87</c:v>
                </c:pt>
                <c:pt idx="61">
                  <c:v>276416109086197.06</c:v>
                </c:pt>
                <c:pt idx="62">
                  <c:v>258270616325954.06</c:v>
                </c:pt>
                <c:pt idx="63">
                  <c:v>242315757009617.06</c:v>
                </c:pt>
                <c:pt idx="64">
                  <c:v>230551811940180.41</c:v>
                </c:pt>
                <c:pt idx="65">
                  <c:v>216463300373328.97</c:v>
                </c:pt>
                <c:pt idx="66">
                  <c:v>200695995381659.5</c:v>
                </c:pt>
                <c:pt idx="67">
                  <c:v>192468302917576.34</c:v>
                </c:pt>
                <c:pt idx="68">
                  <c:v>178395328691657.47</c:v>
                </c:pt>
                <c:pt idx="69">
                  <c:v>166127606525311.66</c:v>
                </c:pt>
                <c:pt idx="70">
                  <c:v>152472732561382.37</c:v>
                </c:pt>
                <c:pt idx="71">
                  <c:v>143945545327777.62</c:v>
                </c:pt>
                <c:pt idx="72">
                  <c:v>138914710809053.86</c:v>
                </c:pt>
                <c:pt idx="73">
                  <c:v>130930728684047.92</c:v>
                </c:pt>
                <c:pt idx="74">
                  <c:v>126787483812983.84</c:v>
                </c:pt>
                <c:pt idx="75">
                  <c:v>116599171431981.69</c:v>
                </c:pt>
                <c:pt idx="76">
                  <c:v>109880741242920.97</c:v>
                </c:pt>
                <c:pt idx="77">
                  <c:v>102081702966411.25</c:v>
                </c:pt>
                <c:pt idx="78">
                  <c:v>96456263308023.625</c:v>
                </c:pt>
                <c:pt idx="79">
                  <c:v>92285267582495.953</c:v>
                </c:pt>
                <c:pt idx="80">
                  <c:v>87339777626977.922</c:v>
                </c:pt>
                <c:pt idx="81">
                  <c:v>83826323920725.172</c:v>
                </c:pt>
                <c:pt idx="82">
                  <c:v>77477045307728.641</c:v>
                </c:pt>
                <c:pt idx="83">
                  <c:v>71784899584451.125</c:v>
                </c:pt>
                <c:pt idx="84">
                  <c:v>63631047620447.789</c:v>
                </c:pt>
                <c:pt idx="85">
                  <c:v>61044021517203.203</c:v>
                </c:pt>
                <c:pt idx="86">
                  <c:v>57582363540378.305</c:v>
                </c:pt>
                <c:pt idx="87">
                  <c:v>56238814634669.656</c:v>
                </c:pt>
                <c:pt idx="88">
                  <c:v>53043894108052.391</c:v>
                </c:pt>
                <c:pt idx="89">
                  <c:v>49240297223117.148</c:v>
                </c:pt>
                <c:pt idx="90">
                  <c:v>45154461139186.617</c:v>
                </c:pt>
                <c:pt idx="91">
                  <c:v>42066261040123.305</c:v>
                </c:pt>
                <c:pt idx="92">
                  <c:v>37842863276014.937</c:v>
                </c:pt>
                <c:pt idx="93">
                  <c:v>32993736703209.852</c:v>
                </c:pt>
                <c:pt idx="94">
                  <c:v>35184471550793.969</c:v>
                </c:pt>
                <c:pt idx="95">
                  <c:v>31168828638787.359</c:v>
                </c:pt>
                <c:pt idx="96">
                  <c:v>29952640576107.359</c:v>
                </c:pt>
                <c:pt idx="97">
                  <c:v>26953674314980.672</c:v>
                </c:pt>
                <c:pt idx="98">
                  <c:v>24098340970381.398</c:v>
                </c:pt>
                <c:pt idx="99">
                  <c:v>21689909522070.816</c:v>
                </c:pt>
                <c:pt idx="100">
                  <c:v>23794755027834.281</c:v>
                </c:pt>
                <c:pt idx="101">
                  <c:v>25090498099879.375</c:v>
                </c:pt>
                <c:pt idx="102">
                  <c:v>22377944296552.414</c:v>
                </c:pt>
                <c:pt idx="103">
                  <c:v>21143682691895.82</c:v>
                </c:pt>
                <c:pt idx="104">
                  <c:v>19505217122262.074</c:v>
                </c:pt>
                <c:pt idx="105">
                  <c:v>13483455898756.096</c:v>
                </c:pt>
                <c:pt idx="106">
                  <c:v>15381943561552.729</c:v>
                </c:pt>
                <c:pt idx="107">
                  <c:v>15644565419795.734</c:v>
                </c:pt>
                <c:pt idx="108">
                  <c:v>11525607352357.344</c:v>
                </c:pt>
                <c:pt idx="109">
                  <c:v>13140268979870.502</c:v>
                </c:pt>
                <c:pt idx="110">
                  <c:v>11949318320495.76</c:v>
                </c:pt>
                <c:pt idx="111">
                  <c:v>8520613758225.9766</c:v>
                </c:pt>
                <c:pt idx="112">
                  <c:v>9165708702062.8633</c:v>
                </c:pt>
                <c:pt idx="113">
                  <c:v>11909021452728.955</c:v>
                </c:pt>
                <c:pt idx="114">
                  <c:v>8863299688896.5156</c:v>
                </c:pt>
                <c:pt idx="115">
                  <c:v>7815217729657.2041</c:v>
                </c:pt>
                <c:pt idx="116">
                  <c:v>5861361131781.0244</c:v>
                </c:pt>
                <c:pt idx="117">
                  <c:v>6928732519377.3877</c:v>
                </c:pt>
                <c:pt idx="118">
                  <c:v>6123124459921.2803</c:v>
                </c:pt>
                <c:pt idx="119">
                  <c:v>2080059267307.2295</c:v>
                </c:pt>
                <c:pt idx="120">
                  <c:v>2662750052820.7925</c:v>
                </c:pt>
                <c:pt idx="121">
                  <c:v>7271200109274.6553</c:v>
                </c:pt>
                <c:pt idx="122">
                  <c:v>7049600787350.2314</c:v>
                </c:pt>
                <c:pt idx="123">
                  <c:v>6707155303824.8164</c:v>
                </c:pt>
                <c:pt idx="124">
                  <c:v>4251275478283.0132</c:v>
                </c:pt>
              </c:numCache>
            </c:numRef>
          </c:xVal>
          <c:yVal>
            <c:numRef>
              <c:f>Plots!$S$3:$S$127</c:f>
              <c:numCache>
                <c:formatCode>General</c:formatCode>
                <c:ptCount val="125"/>
                <c:pt idx="0">
                  <c:v>0</c:v>
                </c:pt>
                <c:pt idx="1">
                  <c:v>0</c:v>
                </c:pt>
                <c:pt idx="2">
                  <c:v>1.4954793137858273E-5</c:v>
                </c:pt>
                <c:pt idx="3">
                  <c:v>1.4598090770590012E-5</c:v>
                </c:pt>
                <c:pt idx="4">
                  <c:v>1.4208000286324006E-5</c:v>
                </c:pt>
                <c:pt idx="5">
                  <c:v>1.4077550877114938E-5</c:v>
                </c:pt>
                <c:pt idx="6">
                  <c:v>1.4159414913145849E-5</c:v>
                </c:pt>
                <c:pt idx="7">
                  <c:v>1.4280589073132618E-5</c:v>
                </c:pt>
                <c:pt idx="8">
                  <c:v>1.438485457081176E-5</c:v>
                </c:pt>
                <c:pt idx="9">
                  <c:v>1.4478680559244236E-5</c:v>
                </c:pt>
                <c:pt idx="10">
                  <c:v>1.4559893414424492E-5</c:v>
                </c:pt>
                <c:pt idx="11">
                  <c:v>1.4628260399847045E-5</c:v>
                </c:pt>
                <c:pt idx="12">
                  <c:v>1.4673996612827627E-5</c:v>
                </c:pt>
                <c:pt idx="13">
                  <c:v>1.472677500935074E-5</c:v>
                </c:pt>
                <c:pt idx="14">
                  <c:v>1.4756214719011266E-5</c:v>
                </c:pt>
                <c:pt idx="15">
                  <c:v>1.4791436068625714E-5</c:v>
                </c:pt>
                <c:pt idx="16">
                  <c:v>1.4828172750254688E-5</c:v>
                </c:pt>
                <c:pt idx="17">
                  <c:v>1.484703844508976E-5</c:v>
                </c:pt>
                <c:pt idx="18">
                  <c:v>1.484571771137168E-5</c:v>
                </c:pt>
                <c:pt idx="19">
                  <c:v>1.4857561057207321E-5</c:v>
                </c:pt>
                <c:pt idx="20">
                  <c:v>1.4836598822703868E-5</c:v>
                </c:pt>
                <c:pt idx="21">
                  <c:v>1.4820691215908641E-5</c:v>
                </c:pt>
                <c:pt idx="22">
                  <c:v>1.479118739727512E-5</c:v>
                </c:pt>
                <c:pt idx="23">
                  <c:v>1.4775349400145613E-5</c:v>
                </c:pt>
                <c:pt idx="24">
                  <c:v>1.4729687063577587E-5</c:v>
                </c:pt>
                <c:pt idx="25">
                  <c:v>1.4697055118809902E-5</c:v>
                </c:pt>
                <c:pt idx="26">
                  <c:v>1.4641520896901821E-5</c:v>
                </c:pt>
                <c:pt idx="27">
                  <c:v>1.4564569492599847E-5</c:v>
                </c:pt>
                <c:pt idx="28">
                  <c:v>1.4532476880296498E-5</c:v>
                </c:pt>
                <c:pt idx="29">
                  <c:v>1.4462119612350094E-5</c:v>
                </c:pt>
                <c:pt idx="30">
                  <c:v>1.4408800271409882E-5</c:v>
                </c:pt>
                <c:pt idx="31">
                  <c:v>1.4313897141646796E-5</c:v>
                </c:pt>
                <c:pt idx="32">
                  <c:v>1.4235895100965833E-5</c:v>
                </c:pt>
                <c:pt idx="33">
                  <c:v>1.4151369081049798E-5</c:v>
                </c:pt>
                <c:pt idx="34">
                  <c:v>1.4046847904591954E-5</c:v>
                </c:pt>
                <c:pt idx="35">
                  <c:v>1.3939788518297967E-5</c:v>
                </c:pt>
                <c:pt idx="36">
                  <c:v>1.3855694765874743E-5</c:v>
                </c:pt>
                <c:pt idx="37">
                  <c:v>1.3745818241344365E-5</c:v>
                </c:pt>
                <c:pt idx="38">
                  <c:v>1.3595362729794351E-5</c:v>
                </c:pt>
                <c:pt idx="39">
                  <c:v>1.3441683956225613E-5</c:v>
                </c:pt>
                <c:pt idx="40">
                  <c:v>1.33798989564336E-5</c:v>
                </c:pt>
                <c:pt idx="41">
                  <c:v>1.3269187348858765E-5</c:v>
                </c:pt>
                <c:pt idx="42">
                  <c:v>1.311246773536354E-5</c:v>
                </c:pt>
                <c:pt idx="43">
                  <c:v>1.2984358668413227E-5</c:v>
                </c:pt>
                <c:pt idx="44">
                  <c:v>1.2816634324159485E-5</c:v>
                </c:pt>
                <c:pt idx="45">
                  <c:v>1.271481529694113E-5</c:v>
                </c:pt>
                <c:pt idx="46">
                  <c:v>1.2585568706579526E-5</c:v>
                </c:pt>
                <c:pt idx="47">
                  <c:v>1.2504176048418677E-5</c:v>
                </c:pt>
                <c:pt idx="48">
                  <c:v>1.227090470343399E-5</c:v>
                </c:pt>
                <c:pt idx="49">
                  <c:v>1.2158557121971606E-5</c:v>
                </c:pt>
                <c:pt idx="50">
                  <c:v>1.2121211496678785E-5</c:v>
                </c:pt>
                <c:pt idx="51">
                  <c:v>1.1889251722343349E-5</c:v>
                </c:pt>
                <c:pt idx="52">
                  <c:v>1.1706347940866236E-5</c:v>
                </c:pt>
                <c:pt idx="53">
                  <c:v>1.1664701925965128E-5</c:v>
                </c:pt>
                <c:pt idx="54">
                  <c:v>1.1479087481647966E-5</c:v>
                </c:pt>
                <c:pt idx="55">
                  <c:v>1.1245525752266726E-5</c:v>
                </c:pt>
                <c:pt idx="56">
                  <c:v>1.1147763245161531E-5</c:v>
                </c:pt>
                <c:pt idx="57">
                  <c:v>1.1083164466087849E-5</c:v>
                </c:pt>
                <c:pt idx="58">
                  <c:v>1.0924338656037884E-5</c:v>
                </c:pt>
                <c:pt idx="59">
                  <c:v>1.0869651445934E-5</c:v>
                </c:pt>
                <c:pt idx="60">
                  <c:v>1.0683092296000814E-5</c:v>
                </c:pt>
                <c:pt idx="61">
                  <c:v>1.0609744180302325E-5</c:v>
                </c:pt>
                <c:pt idx="62">
                  <c:v>1.041862134024803E-5</c:v>
                </c:pt>
                <c:pt idx="63">
                  <c:v>1.0258186506563087E-5</c:v>
                </c:pt>
                <c:pt idx="64">
                  <c:v>1.0237914869584543E-5</c:v>
                </c:pt>
                <c:pt idx="65">
                  <c:v>1.0074655086814662E-5</c:v>
                </c:pt>
                <c:pt idx="66">
                  <c:v>9.7944083246083237E-6</c:v>
                </c:pt>
                <c:pt idx="67">
                  <c:v>9.8535753782842992E-6</c:v>
                </c:pt>
                <c:pt idx="68">
                  <c:v>9.5706115053222037E-6</c:v>
                </c:pt>
                <c:pt idx="69">
                  <c:v>9.3594077109371631E-6</c:v>
                </c:pt>
                <c:pt idx="70">
                  <c:v>9.0191524603675842E-6</c:v>
                </c:pt>
                <c:pt idx="71">
                  <c:v>8.933187209860062E-6</c:v>
                </c:pt>
                <c:pt idx="72">
                  <c:v>9.0381506428553784E-6</c:v>
                </c:pt>
                <c:pt idx="73">
                  <c:v>8.9284960937267893E-6</c:v>
                </c:pt>
                <c:pt idx="74">
                  <c:v>9.0619705102799374E-6</c:v>
                </c:pt>
                <c:pt idx="75">
                  <c:v>8.7336807135512471E-6</c:v>
                </c:pt>
                <c:pt idx="76">
                  <c:v>8.6272511519960683E-6</c:v>
                </c:pt>
                <c:pt idx="77">
                  <c:v>8.4137395159167199E-6</c:v>
                </c:pt>
                <c:pt idx="78">
                  <c:v>8.3411011489911776E-6</c:v>
                </c:pt>
                <c:pt idx="79">
                  <c:v>8.3914681438693033E-6</c:v>
                </c:pt>
                <c:pt idx="80">
                  <c:v>8.3268367310170059E-6</c:v>
                </c:pt>
                <c:pt idx="81">
                  <c:v>8.3765398817743494E-6</c:v>
                </c:pt>
                <c:pt idx="82">
                  <c:v>8.1213574232678243E-6</c:v>
                </c:pt>
                <c:pt idx="83">
                  <c:v>7.8974833014461361E-6</c:v>
                </c:pt>
                <c:pt idx="84">
                  <c:v>7.3371771833832296E-6</c:v>
                </c:pt>
                <c:pt idx="85">
                  <c:v>7.4024664565689539E-6</c:v>
                </c:pt>
                <c:pt idx="86">
                  <c:v>7.3336508078928732E-6</c:v>
                </c:pt>
                <c:pt idx="87">
                  <c:v>7.5238259747401859E-6</c:v>
                </c:pt>
                <c:pt idx="88">
                  <c:v>7.4251796058784122E-6</c:v>
                </c:pt>
                <c:pt idx="89">
                  <c:v>7.2432836179490961E-6</c:v>
                </c:pt>
                <c:pt idx="90">
                  <c:v>6.9653822406636912E-6</c:v>
                </c:pt>
                <c:pt idx="91">
                  <c:v>6.8198500907729842E-6</c:v>
                </c:pt>
                <c:pt idx="92">
                  <c:v>6.4621163603107065E-6</c:v>
                </c:pt>
                <c:pt idx="93">
                  <c:v>5.9326669160261621E-6</c:v>
                </c:pt>
                <c:pt idx="94">
                  <c:v>6.6575602833611948E-6</c:v>
                </c:pt>
                <c:pt idx="95">
                  <c:v>6.1929714940339516E-6</c:v>
                </c:pt>
                <c:pt idx="96">
                  <c:v>6.2560567019227582E-6</c:v>
                </c:pt>
                <c:pt idx="97">
                  <c:v>5.9050571634669999E-6</c:v>
                </c:pt>
                <c:pt idx="98">
                  <c:v>5.5858594244282822E-6</c:v>
                </c:pt>
                <c:pt idx="99">
                  <c:v>5.3075381214919848E-6</c:v>
                </c:pt>
                <c:pt idx="100">
                  <c:v>6.1425249659318369E-6</c:v>
                </c:pt>
                <c:pt idx="101">
                  <c:v>6.812898871684768E-6</c:v>
                </c:pt>
                <c:pt idx="102">
                  <c:v>6.3715032460992469E-6</c:v>
                </c:pt>
                <c:pt idx="103">
                  <c:v>6.3174807607654761E-6</c:v>
                </c:pt>
                <c:pt idx="104">
                  <c:v>6.1773605171031789E-6</c:v>
                </c:pt>
                <c:pt idx="105">
                  <c:v>4.4875722624147298E-6</c:v>
                </c:pt>
                <c:pt idx="106">
                  <c:v>5.4329273697405132E-6</c:v>
                </c:pt>
                <c:pt idx="107">
                  <c:v>5.8173001546906746E-6</c:v>
                </c:pt>
                <c:pt idx="108">
                  <c:v>4.5405908038392538E-6</c:v>
                </c:pt>
                <c:pt idx="109">
                  <c:v>5.4579091220815055E-6</c:v>
                </c:pt>
                <c:pt idx="110">
                  <c:v>5.2374310423256806E-6</c:v>
                </c:pt>
                <c:pt idx="111">
                  <c:v>3.9569789485654782E-6</c:v>
                </c:pt>
                <c:pt idx="112">
                  <c:v>4.5052767725801988E-6</c:v>
                </c:pt>
                <c:pt idx="113">
                  <c:v>6.1848623077983756E-6</c:v>
                </c:pt>
                <c:pt idx="114">
                  <c:v>4.8408737015996763E-6</c:v>
                </c:pt>
                <c:pt idx="115">
                  <c:v>4.5162417947949716E-6</c:v>
                </c:pt>
                <c:pt idx="116">
                  <c:v>3.600327894835104E-6</c:v>
                </c:pt>
                <c:pt idx="117">
                  <c:v>4.4608171039575441E-6</c:v>
                </c:pt>
                <c:pt idx="118">
                  <c:v>4.2013870695995008E-6</c:v>
                </c:pt>
                <c:pt idx="119">
                  <c:v>1.5237958524397341E-6</c:v>
                </c:pt>
                <c:pt idx="120">
                  <c:v>2.1215790331859676E-6</c:v>
                </c:pt>
                <c:pt idx="121">
                  <c:v>6.0652177763085378E-6</c:v>
                </c:pt>
                <c:pt idx="122">
                  <c:v>6.1212862783346819E-6</c:v>
                </c:pt>
                <c:pt idx="123">
                  <c:v>0</c:v>
                </c:pt>
                <c:pt idx="124">
                  <c:v>0</c:v>
                </c:pt>
              </c:numCache>
            </c:numRef>
          </c:yVal>
          <c:smooth val="0"/>
        </c:ser>
        <c:ser>
          <c:idx val="10"/>
          <c:order val="10"/>
          <c:tx>
            <c:strRef>
              <c:f>Plots!$T$1</c:f>
              <c:strCache>
                <c:ptCount val="1"/>
                <c:pt idx="0">
                  <c:v>90</c:v>
                </c:pt>
              </c:strCache>
            </c:strRef>
          </c:tx>
          <c:spPr>
            <a:ln w="28575">
              <a:noFill/>
            </a:ln>
          </c:spPr>
          <c:marker>
            <c:symbol val="diamond"/>
            <c:size val="7"/>
            <c:spPr>
              <a:solidFill>
                <a:srgbClr val="00B050"/>
              </a:solidFill>
              <a:ln>
                <a:noFill/>
              </a:ln>
            </c:spPr>
          </c:marker>
          <c:xVal>
            <c:numRef>
              <c:f>Plots!$T$3:$T$127</c:f>
              <c:numCache>
                <c:formatCode>General</c:formatCode>
                <c:ptCount val="125"/>
                <c:pt idx="0">
                  <c:v>3024269850816472.5</c:v>
                </c:pt>
                <c:pt idx="1">
                  <c:v>6010050772056672</c:v>
                </c:pt>
                <c:pt idx="2">
                  <c:v>7040414883781018</c:v>
                </c:pt>
                <c:pt idx="3">
                  <c:v>7281831456102869</c:v>
                </c:pt>
                <c:pt idx="4">
                  <c:v>7029558556257505</c:v>
                </c:pt>
                <c:pt idx="5">
                  <c:v>6696493924655390</c:v>
                </c:pt>
                <c:pt idx="6">
                  <c:v>6343196229911442</c:v>
                </c:pt>
                <c:pt idx="7">
                  <c:v>6017059768065542</c:v>
                </c:pt>
                <c:pt idx="8">
                  <c:v>5702073913187684</c:v>
                </c:pt>
                <c:pt idx="9">
                  <c:v>5398389725042595</c:v>
                </c:pt>
                <c:pt idx="10">
                  <c:v>5112019019836109</c:v>
                </c:pt>
                <c:pt idx="11">
                  <c:v>4832888728167153</c:v>
                </c:pt>
                <c:pt idx="12">
                  <c:v>4570143373851655</c:v>
                </c:pt>
                <c:pt idx="13">
                  <c:v>4321512642828771</c:v>
                </c:pt>
                <c:pt idx="14">
                  <c:v>4087244911764857</c:v>
                </c:pt>
                <c:pt idx="15">
                  <c:v>3859587269699793.5</c:v>
                </c:pt>
                <c:pt idx="16">
                  <c:v>3644746252229352.5</c:v>
                </c:pt>
                <c:pt idx="17">
                  <c:v>3442750638629196</c:v>
                </c:pt>
                <c:pt idx="18">
                  <c:v>3249705644555299</c:v>
                </c:pt>
                <c:pt idx="19">
                  <c:v>3059794758405991.5</c:v>
                </c:pt>
                <c:pt idx="20">
                  <c:v>2887845823254547.5</c:v>
                </c:pt>
                <c:pt idx="21">
                  <c:v>2728041411661867</c:v>
                </c:pt>
                <c:pt idx="22">
                  <c:v>2572493895177089.5</c:v>
                </c:pt>
                <c:pt idx="23">
                  <c:v>2422989249884781.5</c:v>
                </c:pt>
                <c:pt idx="24">
                  <c:v>2285475226096150</c:v>
                </c:pt>
                <c:pt idx="25">
                  <c:v>2152013324089199.7</c:v>
                </c:pt>
                <c:pt idx="26">
                  <c:v>2029832356500887.2</c:v>
                </c:pt>
                <c:pt idx="27">
                  <c:v>1914026848661066.2</c:v>
                </c:pt>
                <c:pt idx="28">
                  <c:v>1802363306976921</c:v>
                </c:pt>
                <c:pt idx="29">
                  <c:v>1694749785214006.5</c:v>
                </c:pt>
                <c:pt idx="30">
                  <c:v>1601185926391904.5</c:v>
                </c:pt>
                <c:pt idx="31">
                  <c:v>1505126460372183</c:v>
                </c:pt>
                <c:pt idx="32">
                  <c:v>1414843135051333</c:v>
                </c:pt>
                <c:pt idx="33">
                  <c:v>1335693584771704</c:v>
                </c:pt>
                <c:pt idx="34">
                  <c:v>1253508602170416.5</c:v>
                </c:pt>
                <c:pt idx="35">
                  <c:v>1183705336263839.7</c:v>
                </c:pt>
                <c:pt idx="36">
                  <c:v>1115600604596819.6</c:v>
                </c:pt>
                <c:pt idx="37">
                  <c:v>1051376899804227.7</c:v>
                </c:pt>
                <c:pt idx="38">
                  <c:v>985510411353961.37</c:v>
                </c:pt>
                <c:pt idx="39">
                  <c:v>930108277786699.5</c:v>
                </c:pt>
                <c:pt idx="40">
                  <c:v>874488889488370.12</c:v>
                </c:pt>
                <c:pt idx="41">
                  <c:v>821665635341669.87</c:v>
                </c:pt>
                <c:pt idx="42">
                  <c:v>775559711121168</c:v>
                </c:pt>
                <c:pt idx="43">
                  <c:v>728304632857617.25</c:v>
                </c:pt>
                <c:pt idx="44">
                  <c:v>685818599336489.12</c:v>
                </c:pt>
                <c:pt idx="45">
                  <c:v>649263718791795</c:v>
                </c:pt>
                <c:pt idx="46">
                  <c:v>610479224720129</c:v>
                </c:pt>
                <c:pt idx="47">
                  <c:v>578259521772040.5</c:v>
                </c:pt>
                <c:pt idx="48">
                  <c:v>541149327643226.31</c:v>
                </c:pt>
                <c:pt idx="49">
                  <c:v>508049354062626.31</c:v>
                </c:pt>
                <c:pt idx="50">
                  <c:v>477788699222378.87</c:v>
                </c:pt>
                <c:pt idx="51">
                  <c:v>448644551268710.81</c:v>
                </c:pt>
                <c:pt idx="52">
                  <c:v>425363063234474.31</c:v>
                </c:pt>
                <c:pt idx="53">
                  <c:v>399191315280852.12</c:v>
                </c:pt>
                <c:pt idx="54">
                  <c:v>372539276181078.31</c:v>
                </c:pt>
                <c:pt idx="55">
                  <c:v>350516086224476.12</c:v>
                </c:pt>
                <c:pt idx="56">
                  <c:v>332987684674418.37</c:v>
                </c:pt>
                <c:pt idx="57">
                  <c:v>313422504321221.12</c:v>
                </c:pt>
                <c:pt idx="58">
                  <c:v>294866417337173.56</c:v>
                </c:pt>
                <c:pt idx="59">
                  <c:v>278655909684872.84</c:v>
                </c:pt>
                <c:pt idx="60">
                  <c:v>260178240674670.62</c:v>
                </c:pt>
                <c:pt idx="61">
                  <c:v>245321102335159.62</c:v>
                </c:pt>
                <c:pt idx="62">
                  <c:v>234644109972737.31</c:v>
                </c:pt>
                <c:pt idx="63">
                  <c:v>223366408144172.22</c:v>
                </c:pt>
                <c:pt idx="64">
                  <c:v>212432075767049.44</c:v>
                </c:pt>
                <c:pt idx="65">
                  <c:v>196387758360825.5</c:v>
                </c:pt>
                <c:pt idx="66">
                  <c:v>183456258947698.72</c:v>
                </c:pt>
                <c:pt idx="67">
                  <c:v>172220426414343.81</c:v>
                </c:pt>
                <c:pt idx="68">
                  <c:v>162206696976951</c:v>
                </c:pt>
                <c:pt idx="69">
                  <c:v>152123150499551.53</c:v>
                </c:pt>
                <c:pt idx="70">
                  <c:v>144859467633270.94</c:v>
                </c:pt>
                <c:pt idx="71">
                  <c:v>141404695198818.12</c:v>
                </c:pt>
                <c:pt idx="72">
                  <c:v>129486536369802.81</c:v>
                </c:pt>
                <c:pt idx="73">
                  <c:v>124730486045028.84</c:v>
                </c:pt>
                <c:pt idx="74">
                  <c:v>117270408013430.77</c:v>
                </c:pt>
                <c:pt idx="75">
                  <c:v>106760735200116.47</c:v>
                </c:pt>
                <c:pt idx="76">
                  <c:v>100888496679171.02</c:v>
                </c:pt>
                <c:pt idx="77">
                  <c:v>99002540365593.594</c:v>
                </c:pt>
                <c:pt idx="78">
                  <c:v>94203182531686.187</c:v>
                </c:pt>
                <c:pt idx="79">
                  <c:v>88998483396335.016</c:v>
                </c:pt>
                <c:pt idx="80">
                  <c:v>75864655826558.359</c:v>
                </c:pt>
                <c:pt idx="81">
                  <c:v>73829593512148.078</c:v>
                </c:pt>
                <c:pt idx="82">
                  <c:v>70128873201658.484</c:v>
                </c:pt>
                <c:pt idx="83">
                  <c:v>65578033717086.086</c:v>
                </c:pt>
                <c:pt idx="84">
                  <c:v>66120136626468.164</c:v>
                </c:pt>
                <c:pt idx="85">
                  <c:v>60140172244639.125</c:v>
                </c:pt>
                <c:pt idx="86">
                  <c:v>56388226114961.648</c:v>
                </c:pt>
                <c:pt idx="87">
                  <c:v>51150554934979.594</c:v>
                </c:pt>
                <c:pt idx="88">
                  <c:v>46361152775958.031</c:v>
                </c:pt>
                <c:pt idx="89">
                  <c:v>43987042345285.484</c:v>
                </c:pt>
                <c:pt idx="90">
                  <c:v>44411614516681.82</c:v>
                </c:pt>
                <c:pt idx="91">
                  <c:v>40784607012569.687</c:v>
                </c:pt>
                <c:pt idx="92">
                  <c:v>36292491172532.687</c:v>
                </c:pt>
                <c:pt idx="93">
                  <c:v>35695074320599.93</c:v>
                </c:pt>
                <c:pt idx="94">
                  <c:v>30533385153801.414</c:v>
                </c:pt>
                <c:pt idx="95">
                  <c:v>28589561159029.652</c:v>
                </c:pt>
                <c:pt idx="96">
                  <c:v>24781106561084.93</c:v>
                </c:pt>
                <c:pt idx="97">
                  <c:v>27031112674700.234</c:v>
                </c:pt>
                <c:pt idx="98">
                  <c:v>25204121243049.094</c:v>
                </c:pt>
                <c:pt idx="99">
                  <c:v>25627176201941.543</c:v>
                </c:pt>
                <c:pt idx="100">
                  <c:v>24338938721112.305</c:v>
                </c:pt>
                <c:pt idx="101">
                  <c:v>17769367685165.219</c:v>
                </c:pt>
                <c:pt idx="102">
                  <c:v>18306837329521.797</c:v>
                </c:pt>
                <c:pt idx="103">
                  <c:v>19765930131463.918</c:v>
                </c:pt>
                <c:pt idx="104">
                  <c:v>19881163393415.562</c:v>
                </c:pt>
                <c:pt idx="105">
                  <c:v>18729083998988.074</c:v>
                </c:pt>
                <c:pt idx="106">
                  <c:v>15332647863014.9</c:v>
                </c:pt>
                <c:pt idx="107">
                  <c:v>14680560704516.387</c:v>
                </c:pt>
                <c:pt idx="108">
                  <c:v>14949097984114.725</c:v>
                </c:pt>
                <c:pt idx="109">
                  <c:v>9890264966135.5742</c:v>
                </c:pt>
                <c:pt idx="110">
                  <c:v>10866857421690.92</c:v>
                </c:pt>
                <c:pt idx="111">
                  <c:v>13645302859819.494</c:v>
                </c:pt>
                <c:pt idx="112">
                  <c:v>9296855581807.4629</c:v>
                </c:pt>
                <c:pt idx="113">
                  <c:v>9947707620480.0801</c:v>
                </c:pt>
                <c:pt idx="114">
                  <c:v>11230777720123.84</c:v>
                </c:pt>
                <c:pt idx="115">
                  <c:v>10943540581815.736</c:v>
                </c:pt>
                <c:pt idx="116">
                  <c:v>6217130987650.8193</c:v>
                </c:pt>
                <c:pt idx="117">
                  <c:v>7613020473991.7187</c:v>
                </c:pt>
                <c:pt idx="118">
                  <c:v>10081712598401.971</c:v>
                </c:pt>
                <c:pt idx="119">
                  <c:v>4134660500538.3564</c:v>
                </c:pt>
                <c:pt idx="120">
                  <c:v>8799241430381.1191</c:v>
                </c:pt>
                <c:pt idx="121">
                  <c:v>11154184845877.012</c:v>
                </c:pt>
                <c:pt idx="122">
                  <c:v>10943540581815.736</c:v>
                </c:pt>
                <c:pt idx="123">
                  <c:v>3657366711377.165</c:v>
                </c:pt>
                <c:pt idx="124">
                  <c:v>5567307668015.4141</c:v>
                </c:pt>
              </c:numCache>
            </c:numRef>
          </c:xVal>
          <c:yVal>
            <c:numRef>
              <c:f>Plots!$U$3:$U$127</c:f>
              <c:numCache>
                <c:formatCode>General</c:formatCode>
                <c:ptCount val="125"/>
                <c:pt idx="0">
                  <c:v>0</c:v>
                </c:pt>
                <c:pt idx="1">
                  <c:v>0</c:v>
                </c:pt>
                <c:pt idx="2">
                  <c:v>1.3794731142974464E-5</c:v>
                </c:pt>
                <c:pt idx="3">
                  <c:v>1.3529782997849736E-5</c:v>
                </c:pt>
                <c:pt idx="4">
                  <c:v>1.3213945482647178E-5</c:v>
                </c:pt>
                <c:pt idx="5">
                  <c:v>1.3117940545582815E-5</c:v>
                </c:pt>
                <c:pt idx="6">
                  <c:v>1.3172995584087461E-5</c:v>
                </c:pt>
                <c:pt idx="7">
                  <c:v>1.3289522579133056E-5</c:v>
                </c:pt>
                <c:pt idx="8">
                  <c:v>1.3374654904291202E-5</c:v>
                </c:pt>
                <c:pt idx="9">
                  <c:v>1.3443275608063645E-5</c:v>
                </c:pt>
                <c:pt idx="10">
                  <c:v>1.3509991493919321E-5</c:v>
                </c:pt>
                <c:pt idx="11">
                  <c:v>1.3556667769686642E-5</c:v>
                </c:pt>
                <c:pt idx="12">
                  <c:v>1.3602125241581205E-5</c:v>
                </c:pt>
                <c:pt idx="13">
                  <c:v>1.3640484837321432E-5</c:v>
                </c:pt>
                <c:pt idx="14">
                  <c:v>1.3674467878753539E-5</c:v>
                </c:pt>
                <c:pt idx="15">
                  <c:v>1.3687094554836164E-5</c:v>
                </c:pt>
                <c:pt idx="16">
                  <c:v>1.3698892822493281E-5</c:v>
                </c:pt>
                <c:pt idx="17">
                  <c:v>1.3712260667391921E-5</c:v>
                </c:pt>
                <c:pt idx="18">
                  <c:v>1.3715876108741517E-5</c:v>
                </c:pt>
                <c:pt idx="19">
                  <c:v>1.3676641030692701E-5</c:v>
                </c:pt>
                <c:pt idx="20">
                  <c:v>1.3666058481241076E-5</c:v>
                </c:pt>
                <c:pt idx="21">
                  <c:v>1.365989230242131E-5</c:v>
                </c:pt>
                <c:pt idx="22">
                  <c:v>1.3623819589837419E-5</c:v>
                </c:pt>
                <c:pt idx="23">
                  <c:v>1.3574053853571439E-5</c:v>
                </c:pt>
                <c:pt idx="24">
                  <c:v>1.3537459486996389E-5</c:v>
                </c:pt>
                <c:pt idx="25">
                  <c:v>1.3473268720845844E-5</c:v>
                </c:pt>
                <c:pt idx="26">
                  <c:v>1.3427125316183214E-5</c:v>
                </c:pt>
                <c:pt idx="27">
                  <c:v>1.3373372290193488E-5</c:v>
                </c:pt>
                <c:pt idx="28">
                  <c:v>1.3323355629476608E-5</c:v>
                </c:pt>
                <c:pt idx="29">
                  <c:v>1.3230624803357124E-5</c:v>
                </c:pt>
                <c:pt idx="30">
                  <c:v>1.3192695632181095E-5</c:v>
                </c:pt>
                <c:pt idx="31">
                  <c:v>1.30823117144403E-5</c:v>
                </c:pt>
                <c:pt idx="32">
                  <c:v>1.2968684976177013E-5</c:v>
                </c:pt>
                <c:pt idx="33">
                  <c:v>1.2909392192921098E-5</c:v>
                </c:pt>
                <c:pt idx="34">
                  <c:v>1.2765487295795199E-5</c:v>
                </c:pt>
                <c:pt idx="35">
                  <c:v>1.2705883418344868E-5</c:v>
                </c:pt>
                <c:pt idx="36">
                  <c:v>1.2608892499224575E-5</c:v>
                </c:pt>
                <c:pt idx="37">
                  <c:v>1.2508487274609588E-5</c:v>
                </c:pt>
                <c:pt idx="38">
                  <c:v>1.2344706168379185E-5</c:v>
                </c:pt>
                <c:pt idx="39">
                  <c:v>1.2262322124606805E-5</c:v>
                </c:pt>
                <c:pt idx="40">
                  <c:v>1.2136071290616777E-5</c:v>
                </c:pt>
                <c:pt idx="41">
                  <c:v>1.1988781900263502E-5</c:v>
                </c:pt>
                <c:pt idx="42">
                  <c:v>1.1897849027719398E-5</c:v>
                </c:pt>
                <c:pt idx="43">
                  <c:v>1.1745960877116587E-5</c:v>
                </c:pt>
                <c:pt idx="44">
                  <c:v>1.1620897791817533E-5</c:v>
                </c:pt>
                <c:pt idx="45">
                  <c:v>1.1556572437622195E-5</c:v>
                </c:pt>
                <c:pt idx="46">
                  <c:v>1.1412859342031232E-5</c:v>
                </c:pt>
                <c:pt idx="47">
                  <c:v>1.1354542591485382E-5</c:v>
                </c:pt>
                <c:pt idx="48">
                  <c:v>1.1152556985275992E-5</c:v>
                </c:pt>
                <c:pt idx="49">
                  <c:v>1.0993494027609967E-5</c:v>
                </c:pt>
                <c:pt idx="50">
                  <c:v>1.0854792234173462E-5</c:v>
                </c:pt>
                <c:pt idx="51">
                  <c:v>1.0700694585505329E-5</c:v>
                </c:pt>
                <c:pt idx="52">
                  <c:v>1.064685058296968E-5</c:v>
                </c:pt>
                <c:pt idx="53">
                  <c:v>1.0491416874974748E-5</c:v>
                </c:pt>
                <c:pt idx="54">
                  <c:v>1.0269713928033034E-5</c:v>
                </c:pt>
                <c:pt idx="55">
                  <c:v>1.0135205293967614E-5</c:v>
                </c:pt>
                <c:pt idx="56">
                  <c:v>1.0106087142492264E-5</c:v>
                </c:pt>
                <c:pt idx="57">
                  <c:v>9.9716829988263833E-6</c:v>
                </c:pt>
                <c:pt idx="58">
                  <c:v>9.8436625409115383E-6</c:v>
                </c:pt>
                <c:pt idx="59">
                  <c:v>9.7602101090344085E-6</c:v>
                </c:pt>
                <c:pt idx="60">
                  <c:v>9.5661574907174612E-6</c:v>
                </c:pt>
                <c:pt idx="61">
                  <c:v>9.460768248023507E-6</c:v>
                </c:pt>
                <c:pt idx="62">
                  <c:v>9.511786963143625E-6</c:v>
                </c:pt>
                <c:pt idx="63">
                  <c:v>9.4947499186621967E-6</c:v>
                </c:pt>
                <c:pt idx="64">
                  <c:v>9.457062267249702E-6</c:v>
                </c:pt>
                <c:pt idx="65">
                  <c:v>9.1568987656325591E-6</c:v>
                </c:pt>
                <c:pt idx="66">
                  <c:v>8.9653469843505146E-6</c:v>
                </c:pt>
                <c:pt idx="67">
                  <c:v>8.8211849030449159E-6</c:v>
                </c:pt>
                <c:pt idx="68">
                  <c:v>8.711863608324498E-6</c:v>
                </c:pt>
                <c:pt idx="69">
                  <c:v>8.5827854776051084E-6</c:v>
                </c:pt>
                <c:pt idx="70">
                  <c:v>8.5621953688737129E-6</c:v>
                </c:pt>
                <c:pt idx="71">
                  <c:v>8.7725621249745994E-6</c:v>
                </c:pt>
                <c:pt idx="72">
                  <c:v>8.4101396004330666E-6</c:v>
                </c:pt>
                <c:pt idx="73">
                  <c:v>8.4776875687442412E-6</c:v>
                </c:pt>
                <c:pt idx="74">
                  <c:v>8.3588883648497124E-6</c:v>
                </c:pt>
                <c:pt idx="75">
                  <c:v>7.9795745355782104E-6</c:v>
                </c:pt>
                <c:pt idx="76">
                  <c:v>7.8986071074071083E-6</c:v>
                </c:pt>
                <c:pt idx="77">
                  <c:v>8.150609479389097E-6</c:v>
                </c:pt>
                <c:pt idx="78">
                  <c:v>8.1230512214197804E-6</c:v>
                </c:pt>
                <c:pt idx="79">
                  <c:v>8.0385244227741255E-6</c:v>
                </c:pt>
                <c:pt idx="80">
                  <c:v>7.195068547517163E-6</c:v>
                </c:pt>
                <c:pt idx="81">
                  <c:v>7.3390533027288854E-6</c:v>
                </c:pt>
                <c:pt idx="82">
                  <c:v>7.3521732934302378E-6</c:v>
                </c:pt>
                <c:pt idx="83">
                  <c:v>7.2059919312007415E-6</c:v>
                </c:pt>
                <c:pt idx="84">
                  <c:v>7.6122346964415543E-6</c:v>
                </c:pt>
                <c:pt idx="85">
                  <c:v>7.2603265176852091E-6</c:v>
                </c:pt>
                <c:pt idx="86">
                  <c:v>7.1227090221924886E-6</c:v>
                </c:pt>
                <c:pt idx="87">
                  <c:v>6.810297084734103E-6</c:v>
                </c:pt>
                <c:pt idx="88">
                  <c:v>6.4621418286162724E-6</c:v>
                </c:pt>
                <c:pt idx="89">
                  <c:v>6.4691849219124354E-6</c:v>
                </c:pt>
                <c:pt idx="90">
                  <c:v>6.8636201288286328E-6</c:v>
                </c:pt>
                <c:pt idx="91">
                  <c:v>6.6021391847213084E-6</c:v>
                </c:pt>
                <c:pt idx="92">
                  <c:v>6.1883655103887097E-6</c:v>
                </c:pt>
                <c:pt idx="93">
                  <c:v>6.375095237860293E-6</c:v>
                </c:pt>
                <c:pt idx="94">
                  <c:v>5.7291344363905321E-6</c:v>
                </c:pt>
                <c:pt idx="95">
                  <c:v>5.6409505949368379E-6</c:v>
                </c:pt>
                <c:pt idx="96">
                  <c:v>5.1621316626963381E-6</c:v>
                </c:pt>
                <c:pt idx="97">
                  <c:v>5.9455312788665175E-6</c:v>
                </c:pt>
                <c:pt idx="98">
                  <c:v>5.84029257324068E-6</c:v>
                </c:pt>
                <c:pt idx="99">
                  <c:v>6.191336201080789E-6</c:v>
                </c:pt>
                <c:pt idx="100">
                  <c:v>6.22287030563244E-6</c:v>
                </c:pt>
                <c:pt idx="101">
                  <c:v>4.7703216782380357E-6</c:v>
                </c:pt>
                <c:pt idx="102">
                  <c:v>5.2099059717209771E-6</c:v>
                </c:pt>
                <c:pt idx="103">
                  <c:v>5.9286763657230818E-6</c:v>
                </c:pt>
                <c:pt idx="104">
                  <c:v>6.3026752872863679E-6</c:v>
                </c:pt>
                <c:pt idx="105">
                  <c:v>6.220991938104803E-6</c:v>
                </c:pt>
                <c:pt idx="106">
                  <c:v>5.3738888731970005E-6</c:v>
                </c:pt>
                <c:pt idx="107">
                  <c:v>5.389765383205613E-6</c:v>
                </c:pt>
                <c:pt idx="108">
                  <c:v>5.8117611601737812E-6</c:v>
                </c:pt>
                <c:pt idx="109">
                  <c:v>4.0854644544140832E-6</c:v>
                </c:pt>
                <c:pt idx="110">
                  <c:v>4.7356431768400703E-6</c:v>
                </c:pt>
                <c:pt idx="111">
                  <c:v>6.2694755079160848E-6</c:v>
                </c:pt>
                <c:pt idx="112">
                  <c:v>4.5283931031795504E-6</c:v>
                </c:pt>
                <c:pt idx="113">
                  <c:v>5.0970687748200154E-6</c:v>
                </c:pt>
                <c:pt idx="114">
                  <c:v>6.1396495322055251E-6</c:v>
                </c:pt>
                <c:pt idx="115">
                  <c:v>6.2785258620969269E-6</c:v>
                </c:pt>
                <c:pt idx="116">
                  <c:v>3.8236599224000024E-6</c:v>
                </c:pt>
                <c:pt idx="117">
                  <c:v>4.9291331025334774E-6</c:v>
                </c:pt>
                <c:pt idx="118">
                  <c:v>6.9775157867573313E-6</c:v>
                </c:pt>
                <c:pt idx="119">
                  <c:v>3.0261693903719132E-6</c:v>
                </c:pt>
                <c:pt idx="120">
                  <c:v>6.8452016290140319E-6</c:v>
                </c:pt>
                <c:pt idx="121">
                  <c:v>9.0835178766999715E-6</c:v>
                </c:pt>
                <c:pt idx="122">
                  <c:v>9.3711631421795689E-6</c:v>
                </c:pt>
                <c:pt idx="123">
                  <c:v>0</c:v>
                </c:pt>
                <c:pt idx="124">
                  <c:v>0</c:v>
                </c:pt>
              </c:numCache>
            </c:numRef>
          </c:yVal>
          <c:smooth val="0"/>
        </c:ser>
        <c:ser>
          <c:idx val="11"/>
          <c:order val="11"/>
          <c:tx>
            <c:strRef>
              <c:f>Plots!$V$1</c:f>
              <c:strCache>
                <c:ptCount val="1"/>
                <c:pt idx="0">
                  <c:v>80</c:v>
                </c:pt>
              </c:strCache>
            </c:strRef>
          </c:tx>
          <c:spPr>
            <a:ln w="28575">
              <a:noFill/>
            </a:ln>
          </c:spPr>
          <c:marker>
            <c:symbol val="diamond"/>
            <c:size val="7"/>
            <c:spPr>
              <a:solidFill>
                <a:srgbClr val="00B0F0"/>
              </a:solidFill>
              <a:ln>
                <a:noFill/>
              </a:ln>
            </c:spPr>
          </c:marker>
          <c:xVal>
            <c:numRef>
              <c:f>Plots!$V$3:$V$127</c:f>
              <c:numCache>
                <c:formatCode>General</c:formatCode>
                <c:ptCount val="125"/>
                <c:pt idx="0">
                  <c:v>2820531100099329</c:v>
                </c:pt>
                <c:pt idx="1">
                  <c:v>5631933071554752</c:v>
                </c:pt>
                <c:pt idx="2">
                  <c:v>6428549564310691</c:v>
                </c:pt>
                <c:pt idx="3">
                  <c:v>6645239988260692</c:v>
                </c:pt>
                <c:pt idx="4">
                  <c:v>6385337138340927</c:v>
                </c:pt>
                <c:pt idx="5">
                  <c:v>6082308778978284</c:v>
                </c:pt>
                <c:pt idx="6">
                  <c:v>5778417513202218</c:v>
                </c:pt>
                <c:pt idx="7">
                  <c:v>5484811529499691</c:v>
                </c:pt>
                <c:pt idx="8">
                  <c:v>5191921905198925</c:v>
                </c:pt>
                <c:pt idx="9">
                  <c:v>4917736799389162</c:v>
                </c:pt>
                <c:pt idx="10">
                  <c:v>4651841361361456</c:v>
                </c:pt>
                <c:pt idx="11">
                  <c:v>4399596598669057</c:v>
                </c:pt>
                <c:pt idx="12">
                  <c:v>4157674802884351</c:v>
                </c:pt>
                <c:pt idx="13">
                  <c:v>3928256450875556</c:v>
                </c:pt>
                <c:pt idx="14">
                  <c:v>3713514346917938</c:v>
                </c:pt>
                <c:pt idx="15">
                  <c:v>3505188125051736</c:v>
                </c:pt>
                <c:pt idx="16">
                  <c:v>3307701945574414</c:v>
                </c:pt>
                <c:pt idx="17">
                  <c:v>3117920309650342</c:v>
                </c:pt>
                <c:pt idx="18">
                  <c:v>2939409862710453</c:v>
                </c:pt>
                <c:pt idx="19">
                  <c:v>2773213566915906.5</c:v>
                </c:pt>
                <c:pt idx="20">
                  <c:v>2614980450076880.5</c:v>
                </c:pt>
                <c:pt idx="21">
                  <c:v>2463786249661249.5</c:v>
                </c:pt>
                <c:pt idx="22">
                  <c:v>2322797809342712</c:v>
                </c:pt>
                <c:pt idx="23">
                  <c:v>2190358955974994.5</c:v>
                </c:pt>
                <c:pt idx="24">
                  <c:v>2060718673101863.7</c:v>
                </c:pt>
                <c:pt idx="25">
                  <c:v>1941583034536447.5</c:v>
                </c:pt>
                <c:pt idx="26">
                  <c:v>1829965061633460</c:v>
                </c:pt>
                <c:pt idx="27">
                  <c:v>1720587857161286</c:v>
                </c:pt>
                <c:pt idx="28">
                  <c:v>1621588305356069.7</c:v>
                </c:pt>
                <c:pt idx="29">
                  <c:v>1526841985641738.2</c:v>
                </c:pt>
                <c:pt idx="30">
                  <c:v>1439524043280167.7</c:v>
                </c:pt>
                <c:pt idx="31">
                  <c:v>1352719313365005</c:v>
                </c:pt>
                <c:pt idx="32">
                  <c:v>1270106418409383.2</c:v>
                </c:pt>
                <c:pt idx="33">
                  <c:v>1197020331065478</c:v>
                </c:pt>
                <c:pt idx="34">
                  <c:v>1127600005569212.5</c:v>
                </c:pt>
                <c:pt idx="35">
                  <c:v>1058480971653276</c:v>
                </c:pt>
                <c:pt idx="36">
                  <c:v>999257199795453.75</c:v>
                </c:pt>
                <c:pt idx="37">
                  <c:v>937179499660105.62</c:v>
                </c:pt>
                <c:pt idx="38">
                  <c:v>879343328777696</c:v>
                </c:pt>
                <c:pt idx="39">
                  <c:v>826993183010667.12</c:v>
                </c:pt>
                <c:pt idx="40">
                  <c:v>781556597736262.12</c:v>
                </c:pt>
                <c:pt idx="41">
                  <c:v>736889666891407.87</c:v>
                </c:pt>
                <c:pt idx="42">
                  <c:v>692152024434071.62</c:v>
                </c:pt>
                <c:pt idx="43">
                  <c:v>648737201250368.62</c:v>
                </c:pt>
                <c:pt idx="44">
                  <c:v>608126083378597.62</c:v>
                </c:pt>
                <c:pt idx="45">
                  <c:v>569431178458965.37</c:v>
                </c:pt>
                <c:pt idx="46">
                  <c:v>538453127329899.87</c:v>
                </c:pt>
                <c:pt idx="47">
                  <c:v>508012119075656.69</c:v>
                </c:pt>
                <c:pt idx="48">
                  <c:v>479489835248083.62</c:v>
                </c:pt>
                <c:pt idx="49">
                  <c:v>448286263492160.44</c:v>
                </c:pt>
                <c:pt idx="50">
                  <c:v>424926199684563.75</c:v>
                </c:pt>
                <c:pt idx="51">
                  <c:v>397956853715539.62</c:v>
                </c:pt>
                <c:pt idx="52">
                  <c:v>370801657543800.94</c:v>
                </c:pt>
                <c:pt idx="53">
                  <c:v>351205408671405.87</c:v>
                </c:pt>
                <c:pt idx="54">
                  <c:v>332587905903904.31</c:v>
                </c:pt>
                <c:pt idx="55">
                  <c:v>311609846949681.06</c:v>
                </c:pt>
                <c:pt idx="56">
                  <c:v>292513389837700.81</c:v>
                </c:pt>
                <c:pt idx="57">
                  <c:v>270428268711059.81</c:v>
                </c:pt>
                <c:pt idx="58">
                  <c:v>256576697489758.41</c:v>
                </c:pt>
                <c:pt idx="59">
                  <c:v>240441667376501.19</c:v>
                </c:pt>
                <c:pt idx="60">
                  <c:v>229116482596846.47</c:v>
                </c:pt>
                <c:pt idx="61">
                  <c:v>212640146045570</c:v>
                </c:pt>
                <c:pt idx="62">
                  <c:v>205397007887180.47</c:v>
                </c:pt>
                <c:pt idx="63">
                  <c:v>191088508508373.94</c:v>
                </c:pt>
                <c:pt idx="64">
                  <c:v>180307845469297.28</c:v>
                </c:pt>
                <c:pt idx="65">
                  <c:v>166993675889964.84</c:v>
                </c:pt>
                <c:pt idx="66">
                  <c:v>152286253526570.53</c:v>
                </c:pt>
                <c:pt idx="67">
                  <c:v>145504986829043.78</c:v>
                </c:pt>
                <c:pt idx="68">
                  <c:v>135192285994950.95</c:v>
                </c:pt>
                <c:pt idx="69">
                  <c:v>129530715448441.48</c:v>
                </c:pt>
                <c:pt idx="70">
                  <c:v>124038854300182.89</c:v>
                </c:pt>
                <c:pt idx="71">
                  <c:v>115890437943948.3</c:v>
                </c:pt>
                <c:pt idx="72">
                  <c:v>105903811344123.08</c:v>
                </c:pt>
                <c:pt idx="73">
                  <c:v>100038424445626.92</c:v>
                </c:pt>
                <c:pt idx="74">
                  <c:v>91910561154029.266</c:v>
                </c:pt>
                <c:pt idx="75">
                  <c:v>87067208877654.891</c:v>
                </c:pt>
                <c:pt idx="76">
                  <c:v>82649884405153.094</c:v>
                </c:pt>
                <c:pt idx="77">
                  <c:v>79945465271662.234</c:v>
                </c:pt>
                <c:pt idx="78">
                  <c:v>75899762090673.422</c:v>
                </c:pt>
                <c:pt idx="79">
                  <c:v>70827329696366.594</c:v>
                </c:pt>
                <c:pt idx="80">
                  <c:v>67282288688902.883</c:v>
                </c:pt>
                <c:pt idx="81">
                  <c:v>63794164336982.102</c:v>
                </c:pt>
                <c:pt idx="82">
                  <c:v>59097103287035.992</c:v>
                </c:pt>
                <c:pt idx="83">
                  <c:v>57519907599204.797</c:v>
                </c:pt>
                <c:pt idx="84">
                  <c:v>53670304647275.398</c:v>
                </c:pt>
                <c:pt idx="85">
                  <c:v>48742416684348.961</c:v>
                </c:pt>
                <c:pt idx="86">
                  <c:v>45355819333821.227</c:v>
                </c:pt>
                <c:pt idx="87">
                  <c:v>42428403993393.797</c:v>
                </c:pt>
                <c:pt idx="88">
                  <c:v>39612232309040.469</c:v>
                </c:pt>
                <c:pt idx="89">
                  <c:v>37437025296617.781</c:v>
                </c:pt>
                <c:pt idx="90">
                  <c:v>37199466463395.273</c:v>
                </c:pt>
                <c:pt idx="91">
                  <c:v>33326924671310.84</c:v>
                </c:pt>
                <c:pt idx="92">
                  <c:v>32085447106465.953</c:v>
                </c:pt>
                <c:pt idx="93">
                  <c:v>28417613329231.152</c:v>
                </c:pt>
                <c:pt idx="94">
                  <c:v>28800721465612.383</c:v>
                </c:pt>
                <c:pt idx="95">
                  <c:v>28435824699821.187</c:v>
                </c:pt>
                <c:pt idx="96">
                  <c:v>27140949418966.242</c:v>
                </c:pt>
                <c:pt idx="97">
                  <c:v>24807474473861.172</c:v>
                </c:pt>
                <c:pt idx="98">
                  <c:v>23805226562990.941</c:v>
                </c:pt>
                <c:pt idx="99">
                  <c:v>19361908644390.012</c:v>
                </c:pt>
                <c:pt idx="100">
                  <c:v>18452005670890.797</c:v>
                </c:pt>
                <c:pt idx="101">
                  <c:v>19179928186578.937</c:v>
                </c:pt>
                <c:pt idx="102">
                  <c:v>19725896973911.035</c:v>
                </c:pt>
                <c:pt idx="103">
                  <c:v>19289040815938.754</c:v>
                </c:pt>
                <c:pt idx="104">
                  <c:v>17924395259939.711</c:v>
                </c:pt>
                <c:pt idx="105">
                  <c:v>15814769418611.916</c:v>
                </c:pt>
                <c:pt idx="106">
                  <c:v>16178383383747.236</c:v>
                </c:pt>
                <c:pt idx="107">
                  <c:v>11472594423207.115</c:v>
                </c:pt>
                <c:pt idx="108">
                  <c:v>14251589453623.367</c:v>
                </c:pt>
                <c:pt idx="109">
                  <c:v>13524757209430.207</c:v>
                </c:pt>
                <c:pt idx="110">
                  <c:v>12689208461335.869</c:v>
                </c:pt>
                <c:pt idx="111">
                  <c:v>11744952200850.326</c:v>
                </c:pt>
                <c:pt idx="112">
                  <c:v>10165849320675.525</c:v>
                </c:pt>
                <c:pt idx="113">
                  <c:v>6956240811403.0996</c:v>
                </c:pt>
                <c:pt idx="114">
                  <c:v>7916825699428.7441</c:v>
                </c:pt>
                <c:pt idx="115">
                  <c:v>9911769450201.5234</c:v>
                </c:pt>
                <c:pt idx="116">
                  <c:v>9295025199218.332</c:v>
                </c:pt>
                <c:pt idx="117">
                  <c:v>9149871429546.9434</c:v>
                </c:pt>
                <c:pt idx="118">
                  <c:v>10383532825372.469</c:v>
                </c:pt>
                <c:pt idx="119">
                  <c:v>9512632822690.0723</c:v>
                </c:pt>
                <c:pt idx="120">
                  <c:v>9295025199218.332</c:v>
                </c:pt>
                <c:pt idx="121">
                  <c:v>7191818527040.1729</c:v>
                </c:pt>
                <c:pt idx="122">
                  <c:v>6267801873616.6064</c:v>
                </c:pt>
                <c:pt idx="123">
                  <c:v>5217482141554.8936</c:v>
                </c:pt>
                <c:pt idx="124">
                  <c:v>5959882499142.2471</c:v>
                </c:pt>
              </c:numCache>
            </c:numRef>
          </c:xVal>
          <c:yVal>
            <c:numRef>
              <c:f>Plots!$W$3:$W$127</c:f>
              <c:numCache>
                <c:formatCode>General</c:formatCode>
                <c:ptCount val="125"/>
                <c:pt idx="0">
                  <c:v>0</c:v>
                </c:pt>
                <c:pt idx="1">
                  <c:v>0</c:v>
                </c:pt>
                <c:pt idx="2">
                  <c:v>1.2600367048690642E-5</c:v>
                </c:pt>
                <c:pt idx="3">
                  <c:v>1.2389932301906046E-5</c:v>
                </c:pt>
                <c:pt idx="4">
                  <c:v>1.2088144444679745E-5</c:v>
                </c:pt>
                <c:pt idx="5">
                  <c:v>1.2032869316620218E-5</c:v>
                </c:pt>
                <c:pt idx="6">
                  <c:v>1.2106584767544209E-5</c:v>
                </c:pt>
                <c:pt idx="7">
                  <c:v>1.2189895252388582E-5</c:v>
                </c:pt>
                <c:pt idx="8">
                  <c:v>1.2239138653754294E-5</c:v>
                </c:pt>
                <c:pt idx="9">
                  <c:v>1.2296845187903868E-5</c:v>
                </c:pt>
                <c:pt idx="10">
                  <c:v>1.2342469873811348E-5</c:v>
                </c:pt>
                <c:pt idx="11">
                  <c:v>1.2385061350170477E-5</c:v>
                </c:pt>
                <c:pt idx="12">
                  <c:v>1.2418422742224124E-5</c:v>
                </c:pt>
                <c:pt idx="13">
                  <c:v>1.2441931347270078E-5</c:v>
                </c:pt>
                <c:pt idx="14">
                  <c:v>1.2469200624841837E-5</c:v>
                </c:pt>
                <c:pt idx="15">
                  <c:v>1.2475986140775545E-5</c:v>
                </c:pt>
                <c:pt idx="16">
                  <c:v>1.2476677452344573E-5</c:v>
                </c:pt>
                <c:pt idx="17">
                  <c:v>1.2461170393172221E-5</c:v>
                </c:pt>
                <c:pt idx="18">
                  <c:v>1.2447212549090935E-5</c:v>
                </c:pt>
                <c:pt idx="19">
                  <c:v>1.2436559708447251E-5</c:v>
                </c:pt>
                <c:pt idx="20">
                  <c:v>1.2412668067892123E-5</c:v>
                </c:pt>
                <c:pt idx="21">
                  <c:v>1.2376337512708269E-5</c:v>
                </c:pt>
                <c:pt idx="22">
                  <c:v>1.233958028081613E-5</c:v>
                </c:pt>
                <c:pt idx="23">
                  <c:v>1.2308242124592175E-5</c:v>
                </c:pt>
                <c:pt idx="24">
                  <c:v>1.2241698687465333E-5</c:v>
                </c:pt>
                <c:pt idx="25">
                  <c:v>1.219132564333113E-5</c:v>
                </c:pt>
                <c:pt idx="26">
                  <c:v>1.2141825256463219E-5</c:v>
                </c:pt>
                <c:pt idx="27">
                  <c:v>1.2058496640379594E-5</c:v>
                </c:pt>
                <c:pt idx="28">
                  <c:v>1.2025006427453638E-5</c:v>
                </c:pt>
                <c:pt idx="29">
                  <c:v>1.1956650377479662E-5</c:v>
                </c:pt>
                <c:pt idx="30">
                  <c:v>1.1893859449463833E-5</c:v>
                </c:pt>
                <c:pt idx="31">
                  <c:v>1.1793104932178759E-5</c:v>
                </c:pt>
                <c:pt idx="32">
                  <c:v>1.1677868736627671E-5</c:v>
                </c:pt>
                <c:pt idx="33">
                  <c:v>1.1604170596822624E-5</c:v>
                </c:pt>
                <c:pt idx="34">
                  <c:v>1.1521530619000153E-5</c:v>
                </c:pt>
                <c:pt idx="35">
                  <c:v>1.1398162433540436E-5</c:v>
                </c:pt>
                <c:pt idx="36">
                  <c:v>1.1333149724370886E-5</c:v>
                </c:pt>
                <c:pt idx="37">
                  <c:v>1.1186630024691476E-5</c:v>
                </c:pt>
                <c:pt idx="38">
                  <c:v>1.1054654048503407E-5</c:v>
                </c:pt>
                <c:pt idx="39">
                  <c:v>1.0944796245632688E-5</c:v>
                </c:pt>
                <c:pt idx="40">
                  <c:v>1.0890846777496077E-5</c:v>
                </c:pt>
                <c:pt idx="41">
                  <c:v>1.0797996118253079E-5</c:v>
                </c:pt>
                <c:pt idx="42">
                  <c:v>1.0671114859860025E-5</c:v>
                </c:pt>
                <c:pt idx="43">
                  <c:v>1.0511093125075227E-5</c:v>
                </c:pt>
                <c:pt idx="44">
                  <c:v>1.0365252100097816E-5</c:v>
                </c:pt>
                <c:pt idx="45">
                  <c:v>1.020128222547751E-5</c:v>
                </c:pt>
                <c:pt idx="46">
                  <c:v>1.0141623158609843E-5</c:v>
                </c:pt>
                <c:pt idx="47">
                  <c:v>1.0059592670874031E-5</c:v>
                </c:pt>
                <c:pt idx="48">
                  <c:v>9.9708814163528511E-6</c:v>
                </c:pt>
                <c:pt idx="49">
                  <c:v>9.7891764635523808E-6</c:v>
                </c:pt>
                <c:pt idx="50">
                  <c:v>9.7507994039225167E-6</c:v>
                </c:pt>
                <c:pt idx="51">
                  <c:v>9.5806924404035419E-6</c:v>
                </c:pt>
                <c:pt idx="52">
                  <c:v>9.3773460226783652E-6</c:v>
                </c:pt>
                <c:pt idx="53">
                  <c:v>9.3252506741394469E-6</c:v>
                </c:pt>
                <c:pt idx="54">
                  <c:v>9.2691704194514394E-6</c:v>
                </c:pt>
                <c:pt idx="55">
                  <c:v>9.1122363198528706E-6</c:v>
                </c:pt>
                <c:pt idx="56">
                  <c:v>8.9700577193421525E-6</c:v>
                </c:pt>
                <c:pt idx="57">
                  <c:v>8.7039196302232093E-6</c:v>
                </c:pt>
                <c:pt idx="58">
                  <c:v>8.6711824263077725E-6</c:v>
                </c:pt>
                <c:pt idx="59">
                  <c:v>8.5360515991704482E-6</c:v>
                </c:pt>
                <c:pt idx="60">
                  <c:v>8.5292698705249927E-6</c:v>
                </c:pt>
                <c:pt idx="61">
                  <c:v>8.3085664801702222E-6</c:v>
                </c:pt>
                <c:pt idx="62">
                  <c:v>8.4407738512596925E-6</c:v>
                </c:pt>
                <c:pt idx="63">
                  <c:v>8.2358413264779165E-6</c:v>
                </c:pt>
                <c:pt idx="64">
                  <c:v>8.1376823528582447E-6</c:v>
                </c:pt>
                <c:pt idx="65">
                  <c:v>7.8945289108674274E-6</c:v>
                </c:pt>
                <c:pt idx="66">
                  <c:v>7.5576085119437136E-6</c:v>
                </c:pt>
                <c:pt idx="67">
                  <c:v>7.5733328494238799E-6</c:v>
                </c:pt>
                <c:pt idx="68">
                  <c:v>7.3932637545439599E-6</c:v>
                </c:pt>
                <c:pt idx="69">
                  <c:v>7.4302278444389183E-6</c:v>
                </c:pt>
                <c:pt idx="70">
                  <c:v>7.4525193962451244E-6</c:v>
                </c:pt>
                <c:pt idx="71">
                  <c:v>7.3025711868941649E-6</c:v>
                </c:pt>
                <c:pt idx="72">
                  <c:v>6.9961316083312518E-6</c:v>
                </c:pt>
                <c:pt idx="73">
                  <c:v>6.9303638929546439E-6</c:v>
                </c:pt>
                <c:pt idx="74">
                  <c:v>6.6724135424640149E-6</c:v>
                </c:pt>
                <c:pt idx="75">
                  <c:v>6.6296699909742404E-6</c:v>
                </c:pt>
                <c:pt idx="76">
                  <c:v>6.6095486083836188E-6</c:v>
                </c:pt>
                <c:pt idx="77">
                  <c:v>6.7034486332890438E-6</c:v>
                </c:pt>
                <c:pt idx="78">
                  <c:v>6.6853596823806749E-6</c:v>
                </c:pt>
                <c:pt idx="79">
                  <c:v>6.5438190282695665E-6</c:v>
                </c:pt>
                <c:pt idx="80">
                  <c:v>6.5164156335460909E-6</c:v>
                </c:pt>
                <c:pt idx="81">
                  <c:v>6.4798510412459032E-6</c:v>
                </c:pt>
                <c:pt idx="82">
                  <c:v>6.3027918348568668E-6</c:v>
                </c:pt>
                <c:pt idx="83">
                  <c:v>6.4363797896671572E-6</c:v>
                </c:pt>
                <c:pt idx="84">
                  <c:v>6.2989332197038643E-6</c:v>
                </c:pt>
                <c:pt idx="85">
                  <c:v>6.0011525135531839E-6</c:v>
                </c:pt>
                <c:pt idx="86">
                  <c:v>5.8536339091645076E-6</c:v>
                </c:pt>
                <c:pt idx="87">
                  <c:v>5.753651158885183E-6</c:v>
                </c:pt>
                <c:pt idx="88">
                  <c:v>5.6472269814589634E-6</c:v>
                </c:pt>
                <c:pt idx="89">
                  <c:v>5.6094352028867355E-6</c:v>
                </c:pt>
                <c:pt idx="90">
                  <c:v>5.8568070536242536E-6</c:v>
                </c:pt>
                <c:pt idx="91">
                  <c:v>5.5055652151960254E-6</c:v>
                </c:pt>
                <c:pt idx="92">
                  <c:v>5.5654497024597231E-6</c:v>
                </c:pt>
                <c:pt idx="93">
                  <c:v>5.1913771238977076E-6</c:v>
                </c:pt>
                <c:pt idx="94">
                  <c:v>5.5473962780868131E-6</c:v>
                </c:pt>
                <c:pt idx="95">
                  <c:v>5.7622747116229463E-6</c:v>
                </c:pt>
                <c:pt idx="96">
                  <c:v>5.7653571147792915E-6</c:v>
                </c:pt>
                <c:pt idx="97">
                  <c:v>5.5404901745505975E-6</c:v>
                </c:pt>
                <c:pt idx="98">
                  <c:v>5.579503426468649E-6</c:v>
                </c:pt>
                <c:pt idx="99">
                  <c:v>4.7951930342675872E-6</c:v>
                </c:pt>
                <c:pt idx="100">
                  <c:v>4.8209114226110149E-6</c:v>
                </c:pt>
                <c:pt idx="101">
                  <c:v>5.2991455353225302E-6</c:v>
                </c:pt>
                <c:pt idx="102">
                  <c:v>5.7542413930742353E-6</c:v>
                </c:pt>
                <c:pt idx="103">
                  <c:v>5.8964476611355862E-6</c:v>
                </c:pt>
                <c:pt idx="104">
                  <c:v>5.786066823516923E-6</c:v>
                </c:pt>
                <c:pt idx="105">
                  <c:v>5.4053454020861101E-6</c:v>
                </c:pt>
                <c:pt idx="106">
                  <c:v>5.7934503522840313E-6</c:v>
                </c:pt>
                <c:pt idx="107">
                  <c:v>4.359611687512933E-6</c:v>
                </c:pt>
                <c:pt idx="108">
                  <c:v>5.7362895122129099E-6</c:v>
                </c:pt>
                <c:pt idx="109">
                  <c:v>5.7520343966698574E-6</c:v>
                </c:pt>
                <c:pt idx="110">
                  <c:v>5.659488366116756E-6</c:v>
                </c:pt>
                <c:pt idx="111">
                  <c:v>5.5038063826212709E-6</c:v>
                </c:pt>
                <c:pt idx="112">
                  <c:v>5.0939164010548964E-6</c:v>
                </c:pt>
                <c:pt idx="113">
                  <c:v>3.6845022212310794E-6</c:v>
                </c:pt>
                <c:pt idx="114">
                  <c:v>4.4630855965043788E-6</c:v>
                </c:pt>
                <c:pt idx="115">
                  <c:v>5.9382422521534423E-6</c:v>
                </c:pt>
                <c:pt idx="116">
                  <c:v>5.8797396186270976E-6</c:v>
                </c:pt>
                <c:pt idx="117">
                  <c:v>6.1419627251608744E-6</c:v>
                </c:pt>
                <c:pt idx="118">
                  <c:v>7.3505939541314361E-6</c:v>
                </c:pt>
                <c:pt idx="119">
                  <c:v>7.1212781167116954E-6</c:v>
                </c:pt>
                <c:pt idx="120">
                  <c:v>7.3418585578493575E-6</c:v>
                </c:pt>
                <c:pt idx="121">
                  <c:v>5.9872852629502062E-6</c:v>
                </c:pt>
                <c:pt idx="122">
                  <c:v>5.5438586114799698E-6</c:v>
                </c:pt>
                <c:pt idx="123">
                  <c:v>0</c:v>
                </c:pt>
                <c:pt idx="124">
                  <c:v>0</c:v>
                </c:pt>
              </c:numCache>
            </c:numRef>
          </c:yVal>
          <c:smooth val="0"/>
        </c:ser>
        <c:ser>
          <c:idx val="12"/>
          <c:order val="12"/>
          <c:tx>
            <c:strRef>
              <c:f>Plots!$X$1</c:f>
              <c:strCache>
                <c:ptCount val="1"/>
                <c:pt idx="0">
                  <c:v>65</c:v>
                </c:pt>
              </c:strCache>
            </c:strRef>
          </c:tx>
          <c:spPr>
            <a:ln w="28575">
              <a:noFill/>
            </a:ln>
          </c:spPr>
          <c:marker>
            <c:symbol val="diamond"/>
            <c:size val="7"/>
            <c:spPr>
              <a:solidFill>
                <a:schemeClr val="tx2">
                  <a:lumMod val="60000"/>
                  <a:lumOff val="40000"/>
                </a:schemeClr>
              </a:solidFill>
              <a:ln>
                <a:noFill/>
              </a:ln>
            </c:spPr>
          </c:marker>
          <c:xVal>
            <c:numRef>
              <c:f>Plots!$X$3:$X$127</c:f>
              <c:numCache>
                <c:formatCode>General</c:formatCode>
                <c:ptCount val="125"/>
                <c:pt idx="0">
                  <c:v>2570543301957610.5</c:v>
                </c:pt>
                <c:pt idx="1">
                  <c:v>4949653055715105</c:v>
                </c:pt>
                <c:pt idx="2">
                  <c:v>5833713399338513</c:v>
                </c:pt>
                <c:pt idx="3">
                  <c:v>6008547763758440</c:v>
                </c:pt>
                <c:pt idx="4">
                  <c:v>5760865848738813</c:v>
                </c:pt>
                <c:pt idx="5">
                  <c:v>5477428868696070</c:v>
                </c:pt>
                <c:pt idx="6">
                  <c:v>5190259457345216</c:v>
                </c:pt>
                <c:pt idx="7">
                  <c:v>4909137811321948</c:v>
                </c:pt>
                <c:pt idx="8">
                  <c:v>4647574598739492</c:v>
                </c:pt>
                <c:pt idx="9">
                  <c:v>4394124055985381.5</c:v>
                </c:pt>
                <c:pt idx="10">
                  <c:v>4151890806928548.5</c:v>
                </c:pt>
                <c:pt idx="11">
                  <c:v>3921141659066975.5</c:v>
                </c:pt>
                <c:pt idx="12">
                  <c:v>3703092265059672</c:v>
                </c:pt>
                <c:pt idx="13">
                  <c:v>3493301710839045.5</c:v>
                </c:pt>
                <c:pt idx="14">
                  <c:v>3296847013372315.5</c:v>
                </c:pt>
                <c:pt idx="15">
                  <c:v>3109649404965931</c:v>
                </c:pt>
                <c:pt idx="16">
                  <c:v>2935824725568038.5</c:v>
                </c:pt>
                <c:pt idx="17">
                  <c:v>2768004913725125</c:v>
                </c:pt>
                <c:pt idx="18">
                  <c:v>2605328933281195</c:v>
                </c:pt>
                <c:pt idx="19">
                  <c:v>2456078816119886.5</c:v>
                </c:pt>
                <c:pt idx="20">
                  <c:v>2311693604615756.5</c:v>
                </c:pt>
                <c:pt idx="21">
                  <c:v>2175304865050213.2</c:v>
                </c:pt>
                <c:pt idx="22">
                  <c:v>2046976692457513</c:v>
                </c:pt>
                <c:pt idx="23">
                  <c:v>1930286282316380</c:v>
                </c:pt>
                <c:pt idx="24">
                  <c:v>1817151018139053.5</c:v>
                </c:pt>
                <c:pt idx="25">
                  <c:v>1706538584993716.7</c:v>
                </c:pt>
                <c:pt idx="26">
                  <c:v>1608189698628867.7</c:v>
                </c:pt>
                <c:pt idx="27">
                  <c:v>1508681525363699.5</c:v>
                </c:pt>
                <c:pt idx="28">
                  <c:v>1419210902985149.2</c:v>
                </c:pt>
                <c:pt idx="29">
                  <c:v>1334726171170972.7</c:v>
                </c:pt>
                <c:pt idx="30">
                  <c:v>1255274643594521.2</c:v>
                </c:pt>
                <c:pt idx="31">
                  <c:v>1181033338262852.5</c:v>
                </c:pt>
                <c:pt idx="32">
                  <c:v>1110842205774551.7</c:v>
                </c:pt>
                <c:pt idx="33">
                  <c:v>1046375899859826.7</c:v>
                </c:pt>
                <c:pt idx="34">
                  <c:v>981654410699123.37</c:v>
                </c:pt>
                <c:pt idx="35">
                  <c:v>920279321210841</c:v>
                </c:pt>
                <c:pt idx="36">
                  <c:v>866911298173467.5</c:v>
                </c:pt>
                <c:pt idx="37">
                  <c:v>810426459152659.37</c:v>
                </c:pt>
                <c:pt idx="38">
                  <c:v>763358463740832.12</c:v>
                </c:pt>
                <c:pt idx="39">
                  <c:v>716953783064207</c:v>
                </c:pt>
                <c:pt idx="40">
                  <c:v>671440239179813.62</c:v>
                </c:pt>
                <c:pt idx="41">
                  <c:v>632585605360739.87</c:v>
                </c:pt>
                <c:pt idx="42">
                  <c:v>594877576548499.87</c:v>
                </c:pt>
                <c:pt idx="43">
                  <c:v>558803497437873.87</c:v>
                </c:pt>
                <c:pt idx="44">
                  <c:v>525936397662685.12</c:v>
                </c:pt>
                <c:pt idx="45">
                  <c:v>496384760970123.25</c:v>
                </c:pt>
                <c:pt idx="46">
                  <c:v>466529452901519.75</c:v>
                </c:pt>
                <c:pt idx="47">
                  <c:v>436356495374078.56</c:v>
                </c:pt>
                <c:pt idx="48">
                  <c:v>410926321710108.94</c:v>
                </c:pt>
                <c:pt idx="49">
                  <c:v>383061719521397.62</c:v>
                </c:pt>
                <c:pt idx="50">
                  <c:v>361623820867841.12</c:v>
                </c:pt>
                <c:pt idx="51">
                  <c:v>342507794712562.25</c:v>
                </c:pt>
                <c:pt idx="52">
                  <c:v>320778588159744.81</c:v>
                </c:pt>
                <c:pt idx="53">
                  <c:v>301192926109249.12</c:v>
                </c:pt>
                <c:pt idx="54">
                  <c:v>281686691212186.31</c:v>
                </c:pt>
                <c:pt idx="55">
                  <c:v>263812641506680.25</c:v>
                </c:pt>
                <c:pt idx="56">
                  <c:v>247722526360051.34</c:v>
                </c:pt>
                <c:pt idx="57">
                  <c:v>234409524429355.06</c:v>
                </c:pt>
                <c:pt idx="58">
                  <c:v>223882285214754.78</c:v>
                </c:pt>
                <c:pt idx="59">
                  <c:v>206982737866104.34</c:v>
                </c:pt>
                <c:pt idx="60">
                  <c:v>194297478983106.44</c:v>
                </c:pt>
                <c:pt idx="61">
                  <c:v>182123397385648.66</c:v>
                </c:pt>
                <c:pt idx="62">
                  <c:v>172037571277213.97</c:v>
                </c:pt>
                <c:pt idx="63">
                  <c:v>158621065731657.69</c:v>
                </c:pt>
                <c:pt idx="64">
                  <c:v>149292398503537.66</c:v>
                </c:pt>
                <c:pt idx="65">
                  <c:v>142007226815471.22</c:v>
                </c:pt>
                <c:pt idx="66">
                  <c:v>130115737143489.77</c:v>
                </c:pt>
                <c:pt idx="67">
                  <c:v>122657335641369.5</c:v>
                </c:pt>
                <c:pt idx="68">
                  <c:v>117898866455761.83</c:v>
                </c:pt>
                <c:pt idx="69">
                  <c:v>108508245967704.77</c:v>
                </c:pt>
                <c:pt idx="70">
                  <c:v>103672119910114.28</c:v>
                </c:pt>
                <c:pt idx="71">
                  <c:v>95777572202118.828</c:v>
                </c:pt>
                <c:pt idx="72">
                  <c:v>92121302546752.172</c:v>
                </c:pt>
                <c:pt idx="73">
                  <c:v>83627026968321.281</c:v>
                </c:pt>
                <c:pt idx="74">
                  <c:v>79434274140220.281</c:v>
                </c:pt>
                <c:pt idx="75">
                  <c:v>75701869115549.219</c:v>
                </c:pt>
                <c:pt idx="76">
                  <c:v>67887382724532.203</c:v>
                </c:pt>
                <c:pt idx="77">
                  <c:v>65786979248123.922</c:v>
                </c:pt>
                <c:pt idx="78">
                  <c:v>61926801644526.148</c:v>
                </c:pt>
                <c:pt idx="79">
                  <c:v>59219310493642.984</c:v>
                </c:pt>
                <c:pt idx="80">
                  <c:v>55532307451007.289</c:v>
                </c:pt>
                <c:pt idx="81">
                  <c:v>53841720313191.492</c:v>
                </c:pt>
                <c:pt idx="82">
                  <c:v>48553690855707.719</c:v>
                </c:pt>
                <c:pt idx="83">
                  <c:v>46038095245649.547</c:v>
                </c:pt>
                <c:pt idx="84">
                  <c:v>43220080313024.859</c:v>
                </c:pt>
                <c:pt idx="85">
                  <c:v>41870671022837.562</c:v>
                </c:pt>
                <c:pt idx="86">
                  <c:v>36796818139133.687</c:v>
                </c:pt>
                <c:pt idx="87">
                  <c:v>39004395878691.375</c:v>
                </c:pt>
                <c:pt idx="88">
                  <c:v>34724956138347.5</c:v>
                </c:pt>
                <c:pt idx="89">
                  <c:v>34304040447779.578</c:v>
                </c:pt>
                <c:pt idx="90">
                  <c:v>28902110832481.367</c:v>
                </c:pt>
                <c:pt idx="91">
                  <c:v>24599140172633.539</c:v>
                </c:pt>
                <c:pt idx="92">
                  <c:v>25119976604209.305</c:v>
                </c:pt>
                <c:pt idx="93">
                  <c:v>26144997666151.078</c:v>
                </c:pt>
                <c:pt idx="94">
                  <c:v>22483085329580.437</c:v>
                </c:pt>
                <c:pt idx="95">
                  <c:v>22046596906371.477</c:v>
                </c:pt>
                <c:pt idx="96">
                  <c:v>19999148044437.879</c:v>
                </c:pt>
                <c:pt idx="97">
                  <c:v>22113725646169.887</c:v>
                </c:pt>
                <c:pt idx="98">
                  <c:v>18489534989323.258</c:v>
                </c:pt>
                <c:pt idx="99">
                  <c:v>16410756109611.918</c:v>
                </c:pt>
                <c:pt idx="100">
                  <c:v>20569575119990.066</c:v>
                </c:pt>
                <c:pt idx="101">
                  <c:v>18288283267637.207</c:v>
                </c:pt>
                <c:pt idx="102">
                  <c:v>13831096004605.926</c:v>
                </c:pt>
                <c:pt idx="103">
                  <c:v>12056886924688.834</c:v>
                </c:pt>
                <c:pt idx="104">
                  <c:v>11036348782605.006</c:v>
                </c:pt>
                <c:pt idx="105">
                  <c:v>13395811104118.633</c:v>
                </c:pt>
                <c:pt idx="106">
                  <c:v>14383659262937.029</c:v>
                </c:pt>
                <c:pt idx="107">
                  <c:v>9882628192152.2832</c:v>
                </c:pt>
                <c:pt idx="108">
                  <c:v>10250445479340.23</c:v>
                </c:pt>
                <c:pt idx="109">
                  <c:v>11939694415419.74</c:v>
                </c:pt>
                <c:pt idx="110">
                  <c:v>7576877494734.8066</c:v>
                </c:pt>
                <c:pt idx="111">
                  <c:v>7526775755522.4902</c:v>
                </c:pt>
                <c:pt idx="112">
                  <c:v>8980073642954.0684</c:v>
                </c:pt>
                <c:pt idx="113">
                  <c:v>6291483412224.5898</c:v>
                </c:pt>
                <c:pt idx="114">
                  <c:v>7459986824201.8779</c:v>
                </c:pt>
                <c:pt idx="115">
                  <c:v>7793971183831.6924</c:v>
                </c:pt>
                <c:pt idx="116">
                  <c:v>8278356565312.8604</c:v>
                </c:pt>
                <c:pt idx="117">
                  <c:v>5707518901897.5459</c:v>
                </c:pt>
                <c:pt idx="118">
                  <c:v>4840281870809.5693</c:v>
                </c:pt>
                <c:pt idx="119">
                  <c:v>5874344560472.2021</c:v>
                </c:pt>
                <c:pt idx="120">
                  <c:v>7126050973802.084</c:v>
                </c:pt>
                <c:pt idx="121">
                  <c:v>5407264158596.5264</c:v>
                </c:pt>
                <c:pt idx="122">
                  <c:v>3173949192784.0449</c:v>
                </c:pt>
                <c:pt idx="123">
                  <c:v>7393191625540.9912</c:v>
                </c:pt>
                <c:pt idx="124">
                  <c:v>5023701178325.1797</c:v>
                </c:pt>
              </c:numCache>
            </c:numRef>
          </c:xVal>
          <c:yVal>
            <c:numRef>
              <c:f>Plots!$Y$3:$Y$127</c:f>
              <c:numCache>
                <c:formatCode>General</c:formatCode>
                <c:ptCount val="125"/>
                <c:pt idx="0">
                  <c:v>0</c:v>
                </c:pt>
                <c:pt idx="1">
                  <c:v>0</c:v>
                </c:pt>
                <c:pt idx="2">
                  <c:v>1.1291257421503253E-5</c:v>
                </c:pt>
                <c:pt idx="3">
                  <c:v>1.1083191090216215E-5</c:v>
                </c:pt>
                <c:pt idx="4">
                  <c:v>1.0794672006177982E-5</c:v>
                </c:pt>
                <c:pt idx="5">
                  <c:v>1.0717981349342701E-5</c:v>
                </c:pt>
                <c:pt idx="6">
                  <c:v>1.0774196432348212E-5</c:v>
                </c:pt>
                <c:pt idx="7">
                  <c:v>1.0835083396739019E-5</c:v>
                </c:pt>
                <c:pt idx="8">
                  <c:v>1.0894731465127327E-5</c:v>
                </c:pt>
                <c:pt idx="9">
                  <c:v>1.0931326582232727E-5</c:v>
                </c:pt>
                <c:pt idx="10">
                  <c:v>1.095976001256108E-5</c:v>
                </c:pt>
                <c:pt idx="11">
                  <c:v>1.0980830858099294E-5</c:v>
                </c:pt>
                <c:pt idx="12">
                  <c:v>1.1003336887698835E-5</c:v>
                </c:pt>
                <c:pt idx="13">
                  <c:v>1.1006899046695995E-5</c:v>
                </c:pt>
                <c:pt idx="14">
                  <c:v>1.101202906868691E-5</c:v>
                </c:pt>
                <c:pt idx="15">
                  <c:v>1.1010170774798436E-5</c:v>
                </c:pt>
                <c:pt idx="16">
                  <c:v>1.101377820002481E-5</c:v>
                </c:pt>
                <c:pt idx="17">
                  <c:v>1.1001219255539384E-5</c:v>
                </c:pt>
                <c:pt idx="18">
                  <c:v>1.0968956346847169E-5</c:v>
                </c:pt>
                <c:pt idx="19">
                  <c:v>1.0950623027509961E-5</c:v>
                </c:pt>
                <c:pt idx="20">
                  <c:v>1.0910062668183928E-5</c:v>
                </c:pt>
                <c:pt idx="21">
                  <c:v>1.0863996753134153E-5</c:v>
                </c:pt>
                <c:pt idx="22">
                  <c:v>1.0813722357660526E-5</c:v>
                </c:pt>
                <c:pt idx="23">
                  <c:v>1.0784181069342393E-5</c:v>
                </c:pt>
                <c:pt idx="24">
                  <c:v>1.0733967405593584E-5</c:v>
                </c:pt>
                <c:pt idx="25">
                  <c:v>1.065306785221275E-5</c:v>
                </c:pt>
                <c:pt idx="26">
                  <c:v>1.0607076172465739E-5</c:v>
                </c:pt>
                <c:pt idx="27">
                  <c:v>1.0512039360148919E-5</c:v>
                </c:pt>
                <c:pt idx="28">
                  <c:v>1.0460363278007771E-5</c:v>
                </c:pt>
                <c:pt idx="29">
                  <c:v>1.0389473543841928E-5</c:v>
                </c:pt>
                <c:pt idx="30">
                  <c:v>1.0314208499053963E-5</c:v>
                </c:pt>
                <c:pt idx="31">
                  <c:v>1.0238836861506981E-5</c:v>
                </c:pt>
                <c:pt idx="32">
                  <c:v>1.0156266955600043E-5</c:v>
                </c:pt>
                <c:pt idx="33">
                  <c:v>1.0087867798984082E-5</c:v>
                </c:pt>
                <c:pt idx="34">
                  <c:v>9.9736289703728168E-6</c:v>
                </c:pt>
                <c:pt idx="35">
                  <c:v>9.8547928781745649E-6</c:v>
                </c:pt>
                <c:pt idx="36">
                  <c:v>9.7777851375706567E-6</c:v>
                </c:pt>
                <c:pt idx="37">
                  <c:v>9.6239648989583382E-6</c:v>
                </c:pt>
                <c:pt idx="38">
                  <c:v>9.5472625839769504E-6</c:v>
                </c:pt>
                <c:pt idx="39">
                  <c:v>9.4428312712157199E-6</c:v>
                </c:pt>
                <c:pt idx="40">
                  <c:v>9.3094608860364192E-6</c:v>
                </c:pt>
                <c:pt idx="41">
                  <c:v>9.2274366675129548E-6</c:v>
                </c:pt>
                <c:pt idx="42">
                  <c:v>9.1310206567125037E-6</c:v>
                </c:pt>
                <c:pt idx="43">
                  <c:v>9.0172536245353464E-6</c:v>
                </c:pt>
                <c:pt idx="44">
                  <c:v>8.9261845676731843E-6</c:v>
                </c:pt>
                <c:pt idx="45">
                  <c:v>8.8521482395427699E-6</c:v>
                </c:pt>
                <c:pt idx="46">
                  <c:v>8.7428900299952001E-6</c:v>
                </c:pt>
                <c:pt idx="47">
                  <c:v>8.5930508262793448E-6</c:v>
                </c:pt>
                <c:pt idx="48">
                  <c:v>8.5011600950259004E-6</c:v>
                </c:pt>
                <c:pt idx="49">
                  <c:v>8.3287483830284529E-6</c:v>
                </c:pt>
                <c:pt idx="50">
                  <c:v>8.255316929080576E-6</c:v>
                </c:pt>
                <c:pt idx="51">
                  <c:v>8.2124229724332779E-6</c:v>
                </c:pt>
                <c:pt idx="52">
                  <c:v>8.0714280891287982E-6</c:v>
                </c:pt>
                <c:pt idx="53">
                  <c:v>7.9536926353344834E-6</c:v>
                </c:pt>
                <c:pt idx="54">
                  <c:v>7.812481005989878E-6</c:v>
                </c:pt>
                <c:pt idx="55">
                  <c:v>7.6806281530294079E-6</c:v>
                </c:pt>
                <c:pt idx="56">
                  <c:v>7.5695421166542838E-6</c:v>
                </c:pt>
                <c:pt idx="57">
                  <c:v>7.5132858124943017E-6</c:v>
                </c:pt>
                <c:pt idx="58">
                  <c:v>7.5311984300044829E-6</c:v>
                </c:pt>
                <c:pt idx="59">
                  <c:v>7.3140519213267552E-6</c:v>
                </c:pt>
                <c:pt idx="60">
                  <c:v>7.1970079617019873E-6</c:v>
                </c:pt>
                <c:pt idx="61">
                  <c:v>7.0822710787511864E-6</c:v>
                </c:pt>
                <c:pt idx="62">
                  <c:v>7.0309072454594627E-6</c:v>
                </c:pt>
                <c:pt idx="63">
                  <c:v>6.8027616818395652E-6</c:v>
                </c:pt>
                <c:pt idx="64">
                  <c:v>6.7131808114457031E-6</c:v>
                </c:pt>
                <c:pt idx="65">
                  <c:v>6.7007422665530539E-6</c:v>
                </c:pt>
                <c:pt idx="66">
                  <c:v>6.4328388984842105E-6</c:v>
                </c:pt>
                <c:pt idx="67">
                  <c:v>6.3597456248027236E-6</c:v>
                </c:pt>
                <c:pt idx="68">
                  <c:v>6.4172686379474538E-6</c:v>
                </c:pt>
                <c:pt idx="69">
                  <c:v>6.1959217084737081E-6</c:v>
                </c:pt>
                <c:pt idx="70">
                  <c:v>6.2154706092680169E-6</c:v>
                </c:pt>
                <c:pt idx="71">
                  <c:v>6.0184289890876754E-6</c:v>
                </c:pt>
                <c:pt idx="72">
                  <c:v>6.073132920107045E-6</c:v>
                </c:pt>
                <c:pt idx="73">
                  <c:v>5.7786407078860443E-6</c:v>
                </c:pt>
                <c:pt idx="74">
                  <c:v>5.7532832528609813E-6</c:v>
                </c:pt>
                <c:pt idx="75">
                  <c:v>5.7565541878108782E-6</c:v>
                </c:pt>
                <c:pt idx="76">
                  <c:v>5.407190143592818E-6</c:v>
                </c:pt>
                <c:pt idx="77">
                  <c:v>5.5095933329676942E-6</c:v>
                </c:pt>
                <c:pt idx="78">
                  <c:v>5.4434572981821972E-6</c:v>
                </c:pt>
                <c:pt idx="79">
                  <c:v>5.453380816111744E-6</c:v>
                </c:pt>
                <c:pt idx="80">
                  <c:v>5.3725307699382439E-6</c:v>
                </c:pt>
                <c:pt idx="81">
                  <c:v>5.4649309128061139E-6</c:v>
                </c:pt>
                <c:pt idx="82">
                  <c:v>5.1713219407476822E-6</c:v>
                </c:pt>
                <c:pt idx="83">
                  <c:v>5.1418186698722867E-6</c:v>
                </c:pt>
                <c:pt idx="84">
                  <c:v>5.0708766234062442E-6</c:v>
                </c:pt>
                <c:pt idx="85">
                  <c:v>5.1583190092689787E-6</c:v>
                </c:pt>
                <c:pt idx="86">
                  <c:v>4.7578860034045463E-6</c:v>
                </c:pt>
                <c:pt idx="87">
                  <c:v>5.2972538743263104E-6</c:v>
                </c:pt>
                <c:pt idx="88">
                  <c:v>4.9395269635819129E-6</c:v>
                </c:pt>
                <c:pt idx="89">
                  <c:v>5.1186603467605523E-6</c:v>
                </c:pt>
                <c:pt idx="90">
                  <c:v>4.5305896441980113E-6</c:v>
                </c:pt>
                <c:pt idx="91">
                  <c:v>4.0594040516456797E-6</c:v>
                </c:pt>
                <c:pt idx="92">
                  <c:v>4.3624402501472838E-6</c:v>
                </c:pt>
                <c:pt idx="93">
                  <c:v>4.7777764399927362E-6</c:v>
                </c:pt>
                <c:pt idx="94">
                  <c:v>4.3181803658149154E-6</c:v>
                </c:pt>
                <c:pt idx="95">
                  <c:v>4.4543627397303479E-6</c:v>
                </c:pt>
                <c:pt idx="96">
                  <c:v>4.2564243923027042E-6</c:v>
                </c:pt>
                <c:pt idx="97">
                  <c:v>4.9521491483987903E-6</c:v>
                </c:pt>
                <c:pt idx="98">
                  <c:v>4.3512444693659134E-6</c:v>
                </c:pt>
                <c:pt idx="99">
                  <c:v>4.073603180816441E-6</c:v>
                </c:pt>
                <c:pt idx="100">
                  <c:v>5.3788794063634012E-6</c:v>
                </c:pt>
                <c:pt idx="101">
                  <c:v>5.0248821882440447E-6</c:v>
                </c:pt>
                <c:pt idx="102">
                  <c:v>3.9706444535120974E-6</c:v>
                </c:pt>
                <c:pt idx="103">
                  <c:v>3.6781006345339628E-6</c:v>
                </c:pt>
                <c:pt idx="104">
                  <c:v>3.563632894999591E-6</c:v>
                </c:pt>
                <c:pt idx="105">
                  <c:v>4.5745582059262603E-6</c:v>
                </c:pt>
                <c:pt idx="106">
                  <c:v>5.183470359688106E-6</c:v>
                </c:pt>
                <c:pt idx="107">
                  <c:v>3.7302303441207791E-6</c:v>
                </c:pt>
                <c:pt idx="108">
                  <c:v>4.1047882270042646E-6</c:v>
                </c:pt>
                <c:pt idx="109">
                  <c:v>5.0713248212554772E-6</c:v>
                </c:pt>
                <c:pt idx="110">
                  <c:v>3.3733999823286881E-6</c:v>
                </c:pt>
                <c:pt idx="111">
                  <c:v>3.6016860148353084E-6</c:v>
                </c:pt>
                <c:pt idx="112">
                  <c:v>4.505339577511041E-6</c:v>
                </c:pt>
                <c:pt idx="113">
                  <c:v>3.3515935281620607E-6</c:v>
                </c:pt>
                <c:pt idx="114">
                  <c:v>4.198590022795842E-6</c:v>
                </c:pt>
                <c:pt idx="115">
                  <c:v>4.6520868550255585E-6</c:v>
                </c:pt>
                <c:pt idx="116">
                  <c:v>5.2180902770948036E-6</c:v>
                </c:pt>
                <c:pt idx="117">
                  <c:v>3.8181588340925584E-6</c:v>
                </c:pt>
                <c:pt idx="118">
                  <c:v>3.4535588273033561E-6</c:v>
                </c:pt>
                <c:pt idx="119">
                  <c:v>4.4108426284152759E-6</c:v>
                </c:pt>
                <c:pt idx="120">
                  <c:v>5.6660509701086426E-6</c:v>
                </c:pt>
                <c:pt idx="121">
                  <c:v>4.5712392942062898E-6</c:v>
                </c:pt>
                <c:pt idx="122">
                  <c:v>2.8645409431493381E-6</c:v>
                </c:pt>
                <c:pt idx="123">
                  <c:v>0</c:v>
                </c:pt>
                <c:pt idx="124">
                  <c:v>0</c:v>
                </c:pt>
              </c:numCache>
            </c:numRef>
          </c:yVal>
          <c:smooth val="0"/>
        </c:ser>
        <c:ser>
          <c:idx val="13"/>
          <c:order val="13"/>
          <c:tx>
            <c:strRef>
              <c:f>Plots!$Z$1</c:f>
              <c:strCache>
                <c:ptCount val="1"/>
                <c:pt idx="0">
                  <c:v>55</c:v>
                </c:pt>
              </c:strCache>
            </c:strRef>
          </c:tx>
          <c:spPr>
            <a:ln w="28575">
              <a:noFill/>
            </a:ln>
          </c:spPr>
          <c:marker>
            <c:symbol val="diamond"/>
            <c:size val="7"/>
            <c:spPr>
              <a:solidFill>
                <a:srgbClr val="0070C0"/>
              </a:solidFill>
              <a:ln>
                <a:noFill/>
              </a:ln>
            </c:spPr>
          </c:marker>
          <c:xVal>
            <c:numRef>
              <c:f>Plots!$Z$3:$Z$127</c:f>
              <c:numCache>
                <c:formatCode>General</c:formatCode>
                <c:ptCount val="125"/>
                <c:pt idx="0">
                  <c:v>2421741444081115</c:v>
                </c:pt>
                <c:pt idx="1">
                  <c:v>4781066103812095</c:v>
                </c:pt>
                <c:pt idx="2">
                  <c:v>5613930266289601</c:v>
                </c:pt>
                <c:pt idx="3">
                  <c:v>5701102082961926</c:v>
                </c:pt>
                <c:pt idx="4">
                  <c:v>5472532805451624</c:v>
                </c:pt>
                <c:pt idx="5">
                  <c:v>5191049042143006</c:v>
                </c:pt>
                <c:pt idx="6">
                  <c:v>4918672855656981</c:v>
                </c:pt>
                <c:pt idx="7">
                  <c:v>4652380260898488</c:v>
                </c:pt>
                <c:pt idx="8">
                  <c:v>4398425995368892</c:v>
                </c:pt>
                <c:pt idx="9">
                  <c:v>4152463209509868</c:v>
                </c:pt>
                <c:pt idx="10">
                  <c:v>3924906103321824</c:v>
                </c:pt>
                <c:pt idx="11">
                  <c:v>3704278569974224.5</c:v>
                </c:pt>
                <c:pt idx="12">
                  <c:v>3495912272146111.5</c:v>
                </c:pt>
                <c:pt idx="13">
                  <c:v>3292904407813344</c:v>
                </c:pt>
                <c:pt idx="14">
                  <c:v>3101303346275925</c:v>
                </c:pt>
                <c:pt idx="15">
                  <c:v>2925786031824695</c:v>
                </c:pt>
                <c:pt idx="16">
                  <c:v>2754149164738447.5</c:v>
                </c:pt>
                <c:pt idx="17">
                  <c:v>2593932930121070.5</c:v>
                </c:pt>
                <c:pt idx="18">
                  <c:v>2440325328769837</c:v>
                </c:pt>
                <c:pt idx="19">
                  <c:v>2297759363505024.5</c:v>
                </c:pt>
                <c:pt idx="20">
                  <c:v>2158605673066343</c:v>
                </c:pt>
                <c:pt idx="21">
                  <c:v>2031226576500496</c:v>
                </c:pt>
                <c:pt idx="22">
                  <c:v>1910003379891645.5</c:v>
                </c:pt>
                <c:pt idx="23">
                  <c:v>1795793979750206.7</c:v>
                </c:pt>
                <c:pt idx="24">
                  <c:v>1692047750379660.2</c:v>
                </c:pt>
                <c:pt idx="25">
                  <c:v>1588701479467949.7</c:v>
                </c:pt>
                <c:pt idx="26">
                  <c:v>1492787003852204</c:v>
                </c:pt>
                <c:pt idx="27">
                  <c:v>1402433403588751</c:v>
                </c:pt>
                <c:pt idx="28">
                  <c:v>1318169722401023.7</c:v>
                </c:pt>
                <c:pt idx="29">
                  <c:v>1237923210773135.2</c:v>
                </c:pt>
                <c:pt idx="30">
                  <c:v>1163411667059781</c:v>
                </c:pt>
                <c:pt idx="31">
                  <c:v>1093804775696358.7</c:v>
                </c:pt>
                <c:pt idx="32">
                  <c:v>1030063512770636.4</c:v>
                </c:pt>
                <c:pt idx="33">
                  <c:v>964292123970413</c:v>
                </c:pt>
                <c:pt idx="34">
                  <c:v>906465103072866.5</c:v>
                </c:pt>
                <c:pt idx="35">
                  <c:v>853269820268529.62</c:v>
                </c:pt>
                <c:pt idx="36">
                  <c:v>800558521648755.12</c:v>
                </c:pt>
                <c:pt idx="37">
                  <c:v>751135894464827.62</c:v>
                </c:pt>
                <c:pt idx="38">
                  <c:v>705643315539878.87</c:v>
                </c:pt>
                <c:pt idx="39">
                  <c:v>661995196918345.62</c:v>
                </c:pt>
                <c:pt idx="40">
                  <c:v>619176478630634</c:v>
                </c:pt>
                <c:pt idx="41">
                  <c:v>583251294769073.62</c:v>
                </c:pt>
                <c:pt idx="42">
                  <c:v>547960728452883.69</c:v>
                </c:pt>
                <c:pt idx="43">
                  <c:v>509292035551904.69</c:v>
                </c:pt>
                <c:pt idx="44">
                  <c:v>480574082214431</c:v>
                </c:pt>
                <c:pt idx="45">
                  <c:v>453412841054303.56</c:v>
                </c:pt>
                <c:pt idx="46">
                  <c:v>424307766624296.25</c:v>
                </c:pt>
                <c:pt idx="47">
                  <c:v>396477541271759</c:v>
                </c:pt>
                <c:pt idx="48">
                  <c:v>379558667172910.25</c:v>
                </c:pt>
                <c:pt idx="49">
                  <c:v>351890839398522.75</c:v>
                </c:pt>
                <c:pt idx="50">
                  <c:v>330659161252250.87</c:v>
                </c:pt>
                <c:pt idx="51">
                  <c:v>310741215678107.37</c:v>
                </c:pt>
                <c:pt idx="52">
                  <c:v>291606328119533.06</c:v>
                </c:pt>
                <c:pt idx="53">
                  <c:v>273138007173869.19</c:v>
                </c:pt>
                <c:pt idx="54">
                  <c:v>258460586039135.25</c:v>
                </c:pt>
                <c:pt idx="55">
                  <c:v>243554848193499.5</c:v>
                </c:pt>
                <c:pt idx="56">
                  <c:v>225058716957091.41</c:v>
                </c:pt>
                <c:pt idx="57">
                  <c:v>211025873207234.06</c:v>
                </c:pt>
                <c:pt idx="58">
                  <c:v>199030159973631.78</c:v>
                </c:pt>
                <c:pt idx="59">
                  <c:v>187795637904914.75</c:v>
                </c:pt>
                <c:pt idx="60">
                  <c:v>175922905659289.19</c:v>
                </c:pt>
                <c:pt idx="61">
                  <c:v>169716314780450.94</c:v>
                </c:pt>
                <c:pt idx="62">
                  <c:v>156193228422635.56</c:v>
                </c:pt>
                <c:pt idx="63">
                  <c:v>146513363824323.25</c:v>
                </c:pt>
                <c:pt idx="64">
                  <c:v>136665286030007.8</c:v>
                </c:pt>
                <c:pt idx="65">
                  <c:v>128978384640543.53</c:v>
                </c:pt>
                <c:pt idx="66">
                  <c:v>122155475056865.89</c:v>
                </c:pt>
                <c:pt idx="67">
                  <c:v>117518652584320.84</c:v>
                </c:pt>
                <c:pt idx="68">
                  <c:v>108074381009539.75</c:v>
                </c:pt>
                <c:pt idx="69">
                  <c:v>101172244862934.81</c:v>
                </c:pt>
                <c:pt idx="70">
                  <c:v>91651297731740.406</c:v>
                </c:pt>
                <c:pt idx="71">
                  <c:v>85101157313425.578</c:v>
                </c:pt>
                <c:pt idx="72">
                  <c:v>80920838116110.312</c:v>
                </c:pt>
                <c:pt idx="73">
                  <c:v>77561964228705.797</c:v>
                </c:pt>
                <c:pt idx="74">
                  <c:v>76164310956672.953</c:v>
                </c:pt>
                <c:pt idx="75">
                  <c:v>71218674733444.391</c:v>
                </c:pt>
                <c:pt idx="76">
                  <c:v>66180663799294.086</c:v>
                </c:pt>
                <c:pt idx="77">
                  <c:v>58183037792025.789</c:v>
                </c:pt>
                <c:pt idx="78">
                  <c:v>54740617510408.984</c:v>
                </c:pt>
                <c:pt idx="79">
                  <c:v>52772146352849.727</c:v>
                </c:pt>
                <c:pt idx="80">
                  <c:v>48869474439337.93</c:v>
                </c:pt>
                <c:pt idx="81">
                  <c:v>48485719986958.023</c:v>
                </c:pt>
                <c:pt idx="82">
                  <c:v>47302795026698.648</c:v>
                </c:pt>
                <c:pt idx="83">
                  <c:v>44027207761523.914</c:v>
                </c:pt>
                <c:pt idx="84">
                  <c:v>44682167669287.062</c:v>
                </c:pt>
                <c:pt idx="85">
                  <c:v>37036133812086.828</c:v>
                </c:pt>
                <c:pt idx="86">
                  <c:v>36733105988807.148</c:v>
                </c:pt>
                <c:pt idx="87">
                  <c:v>38439918100661.805</c:v>
                </c:pt>
                <c:pt idx="88">
                  <c:v>33162228221970.023</c:v>
                </c:pt>
                <c:pt idx="89">
                  <c:v>32971077404451.094</c:v>
                </c:pt>
                <c:pt idx="90">
                  <c:v>31616877651409.406</c:v>
                </c:pt>
                <c:pt idx="91">
                  <c:v>27175290735311.441</c:v>
                </c:pt>
                <c:pt idx="92">
                  <c:v>25791352245873.113</c:v>
                </c:pt>
                <c:pt idx="93">
                  <c:v>25377869065983.047</c:v>
                </c:pt>
                <c:pt idx="94">
                  <c:v>25648199293365.605</c:v>
                </c:pt>
                <c:pt idx="95">
                  <c:v>23024997460056.113</c:v>
                </c:pt>
                <c:pt idx="96">
                  <c:v>22278213451700.398</c:v>
                </c:pt>
                <c:pt idx="97">
                  <c:v>20245122424567.672</c:v>
                </c:pt>
                <c:pt idx="98">
                  <c:v>19356010641701.824</c:v>
                </c:pt>
                <c:pt idx="99">
                  <c:v>19546524887380.492</c:v>
                </c:pt>
                <c:pt idx="100">
                  <c:v>18419623055576.777</c:v>
                </c:pt>
                <c:pt idx="101">
                  <c:v>17340656988865.32</c:v>
                </c:pt>
                <c:pt idx="102">
                  <c:v>12886714121326.859</c:v>
                </c:pt>
                <c:pt idx="103">
                  <c:v>16753818566916.354</c:v>
                </c:pt>
                <c:pt idx="104">
                  <c:v>13361841793668.23</c:v>
                </c:pt>
                <c:pt idx="105">
                  <c:v>14359988694885.072</c:v>
                </c:pt>
                <c:pt idx="106">
                  <c:v>13456894351386.211</c:v>
                </c:pt>
                <c:pt idx="107">
                  <c:v>10037692433406.666</c:v>
                </c:pt>
                <c:pt idx="108">
                  <c:v>13789525212876.65</c:v>
                </c:pt>
                <c:pt idx="109">
                  <c:v>11366831393286.281</c:v>
                </c:pt>
                <c:pt idx="110">
                  <c:v>10306663916434.566</c:v>
                </c:pt>
                <c:pt idx="111">
                  <c:v>12158265764168.814</c:v>
                </c:pt>
                <c:pt idx="112">
                  <c:v>10907898874704.58</c:v>
                </c:pt>
                <c:pt idx="113">
                  <c:v>8567177169207.7783</c:v>
                </c:pt>
                <c:pt idx="114">
                  <c:v>11572586727202.447</c:v>
                </c:pt>
                <c:pt idx="115">
                  <c:v>8282734245029.4746</c:v>
                </c:pt>
                <c:pt idx="116">
                  <c:v>7808653276863.9873</c:v>
                </c:pt>
                <c:pt idx="117">
                  <c:v>6876677573387.6377</c:v>
                </c:pt>
                <c:pt idx="118">
                  <c:v>8424991004578.6484</c:v>
                </c:pt>
                <c:pt idx="119">
                  <c:v>6939850803505.875</c:v>
                </c:pt>
                <c:pt idx="120">
                  <c:v>8377570931912.0264</c:v>
                </c:pt>
                <c:pt idx="121">
                  <c:v>5061589675902.0049</c:v>
                </c:pt>
                <c:pt idx="122">
                  <c:v>4604203669686.3633</c:v>
                </c:pt>
                <c:pt idx="123">
                  <c:v>5487553010978.3506</c:v>
                </c:pt>
                <c:pt idx="124">
                  <c:v>5850506844074.2881</c:v>
                </c:pt>
              </c:numCache>
            </c:numRef>
          </c:xVal>
          <c:yVal>
            <c:numRef>
              <c:f>Plots!$AA$3:$AA$127</c:f>
              <c:numCache>
                <c:formatCode>General</c:formatCode>
                <c:ptCount val="125"/>
                <c:pt idx="0">
                  <c:v>0</c:v>
                </c:pt>
                <c:pt idx="1">
                  <c:v>0</c:v>
                </c:pt>
                <c:pt idx="2">
                  <c:v>1.0686345755143018E-5</c:v>
                </c:pt>
                <c:pt idx="3">
                  <c:v>1.0427841222416436E-5</c:v>
                </c:pt>
                <c:pt idx="4">
                  <c:v>1.0168118025316095E-5</c:v>
                </c:pt>
                <c:pt idx="5">
                  <c:v>1.0072141631962813E-5</c:v>
                </c:pt>
                <c:pt idx="6">
                  <c:v>1.012973427272581E-5</c:v>
                </c:pt>
                <c:pt idx="7">
                  <c:v>1.0186497871772264E-5</c:v>
                </c:pt>
                <c:pt idx="8">
                  <c:v>1.0222735054761734E-5</c:v>
                </c:pt>
                <c:pt idx="9">
                  <c:v>1.0243706329288859E-5</c:v>
                </c:pt>
                <c:pt idx="10">
                  <c:v>1.0269864946201789E-5</c:v>
                </c:pt>
                <c:pt idx="11">
                  <c:v>1.0289061295032893E-5</c:v>
                </c:pt>
                <c:pt idx="12">
                  <c:v>1.0309547015891382E-5</c:v>
                </c:pt>
                <c:pt idx="13">
                  <c:v>1.0304910230705382E-5</c:v>
                </c:pt>
                <c:pt idx="14">
                  <c:v>1.0294503100784901E-5</c:v>
                </c:pt>
                <c:pt idx="15">
                  <c:v>1.0300162023814929E-5</c:v>
                </c:pt>
                <c:pt idx="16">
                  <c:v>1.0279248739716351E-5</c:v>
                </c:pt>
                <c:pt idx="17">
                  <c:v>1.0258717777244275E-5</c:v>
                </c:pt>
                <c:pt idx="18">
                  <c:v>1.0228103057876741E-5</c:v>
                </c:pt>
                <c:pt idx="19">
                  <c:v>1.0202162352037848E-5</c:v>
                </c:pt>
                <c:pt idx="20">
                  <c:v>1.0147983918532938E-5</c:v>
                </c:pt>
                <c:pt idx="21">
                  <c:v>1.0108271846506286E-5</c:v>
                </c:pt>
                <c:pt idx="22">
                  <c:v>1.0055285332216084E-5</c:v>
                </c:pt>
                <c:pt idx="23">
                  <c:v>1.0002593441925504E-5</c:v>
                </c:pt>
                <c:pt idx="24">
                  <c:v>9.9653728437216511E-6</c:v>
                </c:pt>
                <c:pt idx="25">
                  <c:v>9.8909782090465748E-6</c:v>
                </c:pt>
                <c:pt idx="26">
                  <c:v>9.8185657921682401E-6</c:v>
                </c:pt>
                <c:pt idx="27">
                  <c:v>9.7447371385207185E-6</c:v>
                </c:pt>
                <c:pt idx="28">
                  <c:v>9.6903725088165976E-6</c:v>
                </c:pt>
                <c:pt idx="29">
                  <c:v>9.6124084384702439E-6</c:v>
                </c:pt>
                <c:pt idx="30">
                  <c:v>9.5368801203898757E-6</c:v>
                </c:pt>
                <c:pt idx="31">
                  <c:v>9.4587003047283746E-6</c:v>
                </c:pt>
                <c:pt idx="32">
                  <c:v>9.3954255404115383E-6</c:v>
                </c:pt>
                <c:pt idx="33">
                  <c:v>9.2739868840122607E-6</c:v>
                </c:pt>
                <c:pt idx="34">
                  <c:v>9.1903161275286414E-6</c:v>
                </c:pt>
                <c:pt idx="35">
                  <c:v>9.1163518068932712E-6</c:v>
                </c:pt>
                <c:pt idx="36">
                  <c:v>9.0081760489662062E-6</c:v>
                </c:pt>
                <c:pt idx="37">
                  <c:v>8.8998085841051292E-6</c:v>
                </c:pt>
                <c:pt idx="38">
                  <c:v>8.8035439553302759E-6</c:v>
                </c:pt>
                <c:pt idx="39">
                  <c:v>8.6989332719904423E-6</c:v>
                </c:pt>
                <c:pt idx="40">
                  <c:v>8.5640495549021041E-6</c:v>
                </c:pt>
                <c:pt idx="41">
                  <c:v>8.4869077938776835E-6</c:v>
                </c:pt>
                <c:pt idx="42">
                  <c:v>8.3900193201672982E-6</c:v>
                </c:pt>
                <c:pt idx="43">
                  <c:v>8.2022783798480619E-6</c:v>
                </c:pt>
                <c:pt idx="44">
                  <c:v>8.1372028639881136E-6</c:v>
                </c:pt>
                <c:pt idx="45">
                  <c:v>8.0710413913491201E-6</c:v>
                </c:pt>
                <c:pt idx="46">
                  <c:v>7.9396923784663226E-6</c:v>
                </c:pt>
                <c:pt idx="47">
                  <c:v>7.7951324054631439E-6</c:v>
                </c:pt>
                <c:pt idx="48">
                  <c:v>7.8411731149292316E-6</c:v>
                </c:pt>
                <c:pt idx="49">
                  <c:v>7.639957576122436E-6</c:v>
                </c:pt>
                <c:pt idx="50">
                  <c:v>7.5361256634792777E-6</c:v>
                </c:pt>
                <c:pt idx="51">
                  <c:v>7.4330852360348938E-6</c:v>
                </c:pt>
                <c:pt idx="52">
                  <c:v>7.3248259566825623E-6</c:v>
                </c:pt>
                <c:pt idx="53">
                  <c:v>7.2067731779918923E-6</c:v>
                </c:pt>
                <c:pt idx="54">
                  <c:v>7.1539037710871754E-6</c:v>
                </c:pt>
                <c:pt idx="55">
                  <c:v>7.0750636861943365E-6</c:v>
                </c:pt>
                <c:pt idx="56">
                  <c:v>6.8605732150778617E-6</c:v>
                </c:pt>
                <c:pt idx="57">
                  <c:v>6.7465355171186089E-6</c:v>
                </c:pt>
                <c:pt idx="58">
                  <c:v>6.6801615756100256E-6</c:v>
                </c:pt>
                <c:pt idx="59">
                  <c:v>6.6258334396372077E-6</c:v>
                </c:pt>
                <c:pt idx="60">
                  <c:v>6.5140842963173797E-6</c:v>
                </c:pt>
                <c:pt idx="61">
                  <c:v>6.5889106655388897E-6</c:v>
                </c:pt>
                <c:pt idx="62">
                  <c:v>6.371699996572451E-6</c:v>
                </c:pt>
                <c:pt idx="63">
                  <c:v>6.2722419337027869E-6</c:v>
                </c:pt>
                <c:pt idx="64">
                  <c:v>6.1404779146936023E-6</c:v>
                </c:pt>
                <c:pt idx="65">
                  <c:v>6.0777758930937024E-6</c:v>
                </c:pt>
                <c:pt idx="66">
                  <c:v>6.0335877356263658E-6</c:v>
                </c:pt>
                <c:pt idx="67">
                  <c:v>6.0876244275255218E-6</c:v>
                </c:pt>
                <c:pt idx="68">
                  <c:v>5.8720492244047891E-6</c:v>
                </c:pt>
                <c:pt idx="69">
                  <c:v>5.7678371516850886E-6</c:v>
                </c:pt>
                <c:pt idx="70">
                  <c:v>5.4837327663440133E-6</c:v>
                </c:pt>
                <c:pt idx="71">
                  <c:v>5.3417341690467408E-6</c:v>
                </c:pt>
                <c:pt idx="72">
                  <c:v>5.3304342307022713E-6</c:v>
                </c:pt>
                <c:pt idx="73">
                  <c:v>5.3581415603087803E-6</c:v>
                </c:pt>
                <c:pt idx="74">
                  <c:v>5.5143335378041552E-6</c:v>
                </c:pt>
                <c:pt idx="75">
                  <c:v>5.4026673303885338E-6</c:v>
                </c:pt>
                <c:pt idx="76">
                  <c:v>5.2644529676355859E-6</c:v>
                </c:pt>
                <c:pt idx="77">
                  <c:v>4.8570710720608311E-6</c:v>
                </c:pt>
                <c:pt idx="78">
                  <c:v>4.7975539965845967E-6</c:v>
                </c:pt>
                <c:pt idx="79">
                  <c:v>4.8583913067984102E-6</c:v>
                </c:pt>
                <c:pt idx="80">
                  <c:v>4.7283240506916159E-6</c:v>
                </c:pt>
                <c:pt idx="81">
                  <c:v>4.9279599005072557E-6</c:v>
                </c:pt>
                <c:pt idx="82">
                  <c:v>5.0384005843303059E-6</c:v>
                </c:pt>
                <c:pt idx="83">
                  <c:v>4.9244061034214713E-6</c:v>
                </c:pt>
                <c:pt idx="84">
                  <c:v>5.2331338020143118E-6</c:v>
                </c:pt>
                <c:pt idx="85">
                  <c:v>4.5581285400169307E-6</c:v>
                </c:pt>
                <c:pt idx="86">
                  <c:v>4.7411362556762382E-6</c:v>
                </c:pt>
                <c:pt idx="87">
                  <c:v>5.2159153325455219E-6</c:v>
                </c:pt>
                <c:pt idx="88">
                  <c:v>4.7169175026509015E-6</c:v>
                </c:pt>
                <c:pt idx="89">
                  <c:v>4.9205069386543585E-6</c:v>
                </c:pt>
                <c:pt idx="90">
                  <c:v>4.9625611519126508E-6</c:v>
                </c:pt>
                <c:pt idx="91">
                  <c:v>4.4881939653218078E-6</c:v>
                </c:pt>
                <c:pt idx="92">
                  <c:v>4.4770396297622324E-6</c:v>
                </c:pt>
                <c:pt idx="93">
                  <c:v>4.6434283876009623E-6</c:v>
                </c:pt>
                <c:pt idx="94">
                  <c:v>4.9331006308684648E-6</c:v>
                </c:pt>
                <c:pt idx="95">
                  <c:v>4.6586799639516426E-6</c:v>
                </c:pt>
                <c:pt idx="96">
                  <c:v>4.7261173402280206E-6</c:v>
                </c:pt>
                <c:pt idx="97">
                  <c:v>4.5304401028956499E-6</c:v>
                </c:pt>
                <c:pt idx="98">
                  <c:v>4.5573130362386522E-6</c:v>
                </c:pt>
                <c:pt idx="99">
                  <c:v>4.8411699785564673E-6</c:v>
                </c:pt>
                <c:pt idx="100">
                  <c:v>4.8111373059386189E-6</c:v>
                </c:pt>
                <c:pt idx="101">
                  <c:v>4.7711399582806528E-6</c:v>
                </c:pt>
                <c:pt idx="102">
                  <c:v>3.7408085063253309E-6</c:v>
                </c:pt>
                <c:pt idx="103">
                  <c:v>5.1285551847781967E-6</c:v>
                </c:pt>
                <c:pt idx="104">
                  <c:v>4.3175540620706311E-6</c:v>
                </c:pt>
                <c:pt idx="105">
                  <c:v>4.890154599044805E-6</c:v>
                </c:pt>
                <c:pt idx="106">
                  <c:v>4.8535927389448628E-6</c:v>
                </c:pt>
                <c:pt idx="107">
                  <c:v>3.8227026203461362E-6</c:v>
                </c:pt>
                <c:pt idx="108">
                  <c:v>5.5154736154454035E-6</c:v>
                </c:pt>
                <c:pt idx="109">
                  <c:v>4.8163857826573624E-6</c:v>
                </c:pt>
                <c:pt idx="110">
                  <c:v>4.6101388955986095E-6</c:v>
                </c:pt>
                <c:pt idx="111">
                  <c:v>5.767311760306682E-6</c:v>
                </c:pt>
                <c:pt idx="112">
                  <c:v>5.4545892232463178E-6</c:v>
                </c:pt>
                <c:pt idx="113">
                  <c:v>4.5017618227835466E-6</c:v>
                </c:pt>
                <c:pt idx="114">
                  <c:v>6.463925345950332E-6</c:v>
                </c:pt>
                <c:pt idx="115">
                  <c:v>4.9134806339502752E-6</c:v>
                </c:pt>
                <c:pt idx="116">
                  <c:v>4.9045762207745516E-6</c:v>
                </c:pt>
                <c:pt idx="117">
                  <c:v>4.5661306384978705E-6</c:v>
                </c:pt>
                <c:pt idx="118">
                  <c:v>5.9522188023493492E-6</c:v>
                </c:pt>
                <c:pt idx="119">
                  <c:v>5.1928208145074828E-6</c:v>
                </c:pt>
                <c:pt idx="120">
                  <c:v>6.5155912503556659E-6</c:v>
                </c:pt>
                <c:pt idx="121">
                  <c:v>4.2701015232541409E-6</c:v>
                </c:pt>
                <c:pt idx="122">
                  <c:v>4.1110457531518437E-6</c:v>
                </c:pt>
                <c:pt idx="123">
                  <c:v>0</c:v>
                </c:pt>
                <c:pt idx="124">
                  <c:v>0</c:v>
                </c:pt>
              </c:numCache>
            </c:numRef>
          </c:yVal>
          <c:smooth val="0"/>
        </c:ser>
        <c:ser>
          <c:idx val="14"/>
          <c:order val="14"/>
          <c:tx>
            <c:strRef>
              <c:f>Plots!$AB$1</c:f>
              <c:strCache>
                <c:ptCount val="1"/>
                <c:pt idx="0">
                  <c:v>45</c:v>
                </c:pt>
              </c:strCache>
            </c:strRef>
          </c:tx>
          <c:spPr>
            <a:ln w="28575">
              <a:noFill/>
            </a:ln>
          </c:spPr>
          <c:marker>
            <c:symbol val="diamond"/>
            <c:size val="7"/>
            <c:spPr>
              <a:solidFill>
                <a:srgbClr val="7030A0"/>
              </a:solidFill>
              <a:ln>
                <a:noFill/>
              </a:ln>
            </c:spPr>
          </c:marker>
          <c:xVal>
            <c:numRef>
              <c:f>Plots!$AB$3:$AB$127</c:f>
              <c:numCache>
                <c:formatCode>General</c:formatCode>
                <c:ptCount val="125"/>
                <c:pt idx="0">
                  <c:v>2261488365049378.5</c:v>
                </c:pt>
                <c:pt idx="1">
                  <c:v>4416709175281734.5</c:v>
                </c:pt>
                <c:pt idx="2">
                  <c:v>5205248220864680</c:v>
                </c:pt>
                <c:pt idx="3">
                  <c:v>5301060925286794</c:v>
                </c:pt>
                <c:pt idx="4">
                  <c:v>5087422418784469</c:v>
                </c:pt>
                <c:pt idx="5">
                  <c:v>4836751527656955</c:v>
                </c:pt>
                <c:pt idx="6">
                  <c:v>4577390695973862</c:v>
                </c:pt>
                <c:pt idx="7">
                  <c:v>4323951560583783</c:v>
                </c:pt>
                <c:pt idx="8">
                  <c:v>4089288329405933.5</c:v>
                </c:pt>
                <c:pt idx="9">
                  <c:v>3855094551759254.5</c:v>
                </c:pt>
                <c:pt idx="10">
                  <c:v>3639619818558296.5</c:v>
                </c:pt>
                <c:pt idx="11">
                  <c:v>3436636696697867</c:v>
                </c:pt>
                <c:pt idx="12">
                  <c:v>3241649079011725.5</c:v>
                </c:pt>
                <c:pt idx="13">
                  <c:v>3051314968852121.5</c:v>
                </c:pt>
                <c:pt idx="14">
                  <c:v>2875726416098784</c:v>
                </c:pt>
                <c:pt idx="15">
                  <c:v>2709568507169496</c:v>
                </c:pt>
                <c:pt idx="16">
                  <c:v>2551141760291209.5</c:v>
                </c:pt>
                <c:pt idx="17">
                  <c:v>2398405813293513</c:v>
                </c:pt>
                <c:pt idx="18">
                  <c:v>2256407071414251</c:v>
                </c:pt>
                <c:pt idx="19">
                  <c:v>2125737149254847</c:v>
                </c:pt>
                <c:pt idx="20">
                  <c:v>1997867600584854.7</c:v>
                </c:pt>
                <c:pt idx="21">
                  <c:v>1877308073716259.2</c:v>
                </c:pt>
                <c:pt idx="22">
                  <c:v>1765536849879028.2</c:v>
                </c:pt>
                <c:pt idx="23">
                  <c:v>1656634533801486.5</c:v>
                </c:pt>
                <c:pt idx="24">
                  <c:v>1557185161147492.7</c:v>
                </c:pt>
                <c:pt idx="25">
                  <c:v>1462928613791669.5</c:v>
                </c:pt>
                <c:pt idx="26">
                  <c:v>1373803624886361</c:v>
                </c:pt>
                <c:pt idx="27">
                  <c:v>1288023521574143.7</c:v>
                </c:pt>
                <c:pt idx="28">
                  <c:v>1212182546815749.5</c:v>
                </c:pt>
                <c:pt idx="29">
                  <c:v>1134855317744595.5</c:v>
                </c:pt>
                <c:pt idx="30">
                  <c:v>1065989427026157.7</c:v>
                </c:pt>
                <c:pt idx="31">
                  <c:v>999129903788443.25</c:v>
                </c:pt>
                <c:pt idx="32">
                  <c:v>939668494151315</c:v>
                </c:pt>
                <c:pt idx="33">
                  <c:v>880183715551970.75</c:v>
                </c:pt>
                <c:pt idx="34">
                  <c:v>826713237401834.12</c:v>
                </c:pt>
                <c:pt idx="35">
                  <c:v>776511744021359.75</c:v>
                </c:pt>
                <c:pt idx="36">
                  <c:v>731014809690440.37</c:v>
                </c:pt>
                <c:pt idx="37">
                  <c:v>685303125353458.5</c:v>
                </c:pt>
                <c:pt idx="38">
                  <c:v>639730945215730.37</c:v>
                </c:pt>
                <c:pt idx="39">
                  <c:v>600441359284427.75</c:v>
                </c:pt>
                <c:pt idx="40">
                  <c:v>563263591005328.12</c:v>
                </c:pt>
                <c:pt idx="41">
                  <c:v>526480441813486.87</c:v>
                </c:pt>
                <c:pt idx="42">
                  <c:v>495249023293936.5</c:v>
                </c:pt>
                <c:pt idx="43">
                  <c:v>464596347101598.06</c:v>
                </c:pt>
                <c:pt idx="44">
                  <c:v>436233375541676</c:v>
                </c:pt>
                <c:pt idx="45">
                  <c:v>409334140817121.44</c:v>
                </c:pt>
                <c:pt idx="46">
                  <c:v>382952727240906.25</c:v>
                </c:pt>
                <c:pt idx="47">
                  <c:v>361309222380720.44</c:v>
                </c:pt>
                <c:pt idx="48">
                  <c:v>337045005880780.31</c:v>
                </c:pt>
                <c:pt idx="49">
                  <c:v>315629236736090.94</c:v>
                </c:pt>
                <c:pt idx="50">
                  <c:v>299741544992094.62</c:v>
                </c:pt>
                <c:pt idx="51">
                  <c:v>278309011616602.62</c:v>
                </c:pt>
                <c:pt idx="52">
                  <c:v>261273204921771.59</c:v>
                </c:pt>
                <c:pt idx="53">
                  <c:v>245454942103980.06</c:v>
                </c:pt>
                <c:pt idx="54">
                  <c:v>231577551147509.34</c:v>
                </c:pt>
                <c:pt idx="55">
                  <c:v>215785368399667.12</c:v>
                </c:pt>
                <c:pt idx="56">
                  <c:v>203936332682522.22</c:v>
                </c:pt>
                <c:pt idx="57">
                  <c:v>192455976488422</c:v>
                </c:pt>
                <c:pt idx="58">
                  <c:v>175782833918823.5</c:v>
                </c:pt>
                <c:pt idx="59">
                  <c:v>167610889649329.56</c:v>
                </c:pt>
                <c:pt idx="60">
                  <c:v>160829537497244.44</c:v>
                </c:pt>
                <c:pt idx="61">
                  <c:v>148232807907207.56</c:v>
                </c:pt>
                <c:pt idx="62">
                  <c:v>138367529802426.62</c:v>
                </c:pt>
                <c:pt idx="63">
                  <c:v>132190530648875.27</c:v>
                </c:pt>
                <c:pt idx="64">
                  <c:v>122727185466134.61</c:v>
                </c:pt>
                <c:pt idx="65">
                  <c:v>115736035583153.47</c:v>
                </c:pt>
                <c:pt idx="66">
                  <c:v>110065351315304.83</c:v>
                </c:pt>
                <c:pt idx="67">
                  <c:v>105086086875305.16</c:v>
                </c:pt>
                <c:pt idx="68">
                  <c:v>98584592794713.203</c:v>
                </c:pt>
                <c:pt idx="69">
                  <c:v>92865545433051</c:v>
                </c:pt>
                <c:pt idx="70">
                  <c:v>85446893106778.453</c:v>
                </c:pt>
                <c:pt idx="71">
                  <c:v>81200386241650.297</c:v>
                </c:pt>
                <c:pt idx="72">
                  <c:v>72548044189688.719</c:v>
                </c:pt>
                <c:pt idx="73">
                  <c:v>71438913920988.047</c:v>
                </c:pt>
                <c:pt idx="74">
                  <c:v>66640277521344.828</c:v>
                </c:pt>
                <c:pt idx="75">
                  <c:v>64424479422600.742</c:v>
                </c:pt>
                <c:pt idx="76">
                  <c:v>60116852485902.703</c:v>
                </c:pt>
                <c:pt idx="77">
                  <c:v>59252692137336.242</c:v>
                </c:pt>
                <c:pt idx="78">
                  <c:v>52359786003711.992</c:v>
                </c:pt>
                <c:pt idx="79">
                  <c:v>48879008338002.18</c:v>
                </c:pt>
                <c:pt idx="80">
                  <c:v>47200105063166.781</c:v>
                </c:pt>
                <c:pt idx="81">
                  <c:v>44962366834669.328</c:v>
                </c:pt>
                <c:pt idx="82">
                  <c:v>42544476457445.352</c:v>
                </c:pt>
                <c:pt idx="83">
                  <c:v>43284871441735.859</c:v>
                </c:pt>
                <c:pt idx="84">
                  <c:v>41064210301093.828</c:v>
                </c:pt>
                <c:pt idx="85">
                  <c:v>34936909250378.492</c:v>
                </c:pt>
                <c:pt idx="86">
                  <c:v>31409624693765.469</c:v>
                </c:pt>
                <c:pt idx="87">
                  <c:v>29707463354336.633</c:v>
                </c:pt>
                <c:pt idx="88">
                  <c:v>29601981334039.137</c:v>
                </c:pt>
                <c:pt idx="89">
                  <c:v>29752571724158.598</c:v>
                </c:pt>
                <c:pt idx="90">
                  <c:v>25447949054671.332</c:v>
                </c:pt>
                <c:pt idx="91">
                  <c:v>26019598824152.703</c:v>
                </c:pt>
                <c:pt idx="92">
                  <c:v>23823802367700.086</c:v>
                </c:pt>
                <c:pt idx="93">
                  <c:v>21314045289192.477</c:v>
                </c:pt>
                <c:pt idx="94">
                  <c:v>21539415481648.836</c:v>
                </c:pt>
                <c:pt idx="95">
                  <c:v>19466876698054.973</c:v>
                </c:pt>
                <c:pt idx="96">
                  <c:v>18025971092897.246</c:v>
                </c:pt>
                <c:pt idx="97">
                  <c:v>17020774159467.029</c:v>
                </c:pt>
                <c:pt idx="98">
                  <c:v>15596122714133.432</c:v>
                </c:pt>
                <c:pt idx="99">
                  <c:v>15626135656403.027</c:v>
                </c:pt>
                <c:pt idx="100">
                  <c:v>15866021463970.762</c:v>
                </c:pt>
                <c:pt idx="101">
                  <c:v>12854116167966.283</c:v>
                </c:pt>
                <c:pt idx="102">
                  <c:v>12659452109408.148</c:v>
                </c:pt>
                <c:pt idx="103">
                  <c:v>10773492111255.34</c:v>
                </c:pt>
                <c:pt idx="104">
                  <c:v>10519193949610.85</c:v>
                </c:pt>
                <c:pt idx="105">
                  <c:v>11177521745186.359</c:v>
                </c:pt>
                <c:pt idx="106">
                  <c:v>9950813219010.9941</c:v>
                </c:pt>
                <c:pt idx="107">
                  <c:v>8425985457921.7686</c:v>
                </c:pt>
                <c:pt idx="108">
                  <c:v>7858300634818.8555</c:v>
                </c:pt>
                <c:pt idx="109">
                  <c:v>6499405806490.3428</c:v>
                </c:pt>
                <c:pt idx="110">
                  <c:v>6842750025313.5244</c:v>
                </c:pt>
                <c:pt idx="111">
                  <c:v>5231186166858.1562</c:v>
                </c:pt>
                <c:pt idx="112">
                  <c:v>5425081337964.3037</c:v>
                </c:pt>
                <c:pt idx="113">
                  <c:v>2371010295628.3477</c:v>
                </c:pt>
                <c:pt idx="114">
                  <c:v>4306850427566.8926</c:v>
                </c:pt>
                <c:pt idx="115">
                  <c:v>5052236060780.0703</c:v>
                </c:pt>
                <c:pt idx="116">
                  <c:v>2757901253571.5527</c:v>
                </c:pt>
                <c:pt idx="117">
                  <c:v>3919413450322.0059</c:v>
                </c:pt>
                <c:pt idx="118">
                  <c:v>4381365389757.7002</c:v>
                </c:pt>
                <c:pt idx="119">
                  <c:v>1062872359801.2106</c:v>
                </c:pt>
                <c:pt idx="120">
                  <c:v>1166842218789.2717</c:v>
                </c:pt>
                <c:pt idx="121">
                  <c:v>2698366570413.1128</c:v>
                </c:pt>
                <c:pt idx="122">
                  <c:v>3025831655020.2676</c:v>
                </c:pt>
                <c:pt idx="123">
                  <c:v>2296632291391.6279</c:v>
                </c:pt>
                <c:pt idx="124">
                  <c:v>1850466411713.9973</c:v>
                </c:pt>
              </c:numCache>
            </c:numRef>
          </c:xVal>
          <c:yVal>
            <c:numRef>
              <c:f>Plots!$AC$3:$AC$127</c:f>
              <c:numCache>
                <c:formatCode>General</c:formatCode>
                <c:ptCount val="125"/>
                <c:pt idx="0">
                  <c:v>0</c:v>
                </c:pt>
                <c:pt idx="1">
                  <c:v>0</c:v>
                </c:pt>
                <c:pt idx="2">
                  <c:v>1.0029783998465042E-5</c:v>
                </c:pt>
                <c:pt idx="3">
                  <c:v>9.8120975936920798E-6</c:v>
                </c:pt>
                <c:pt idx="4">
                  <c:v>9.5886358393608607E-6</c:v>
                </c:pt>
                <c:pt idx="5">
                  <c:v>9.5361880018978323E-6</c:v>
                </c:pt>
                <c:pt idx="6">
                  <c:v>9.5669390020948495E-6</c:v>
                </c:pt>
                <c:pt idx="7">
                  <c:v>9.6039480750570931E-6</c:v>
                </c:pt>
                <c:pt idx="8">
                  <c:v>9.6414842731992052E-6</c:v>
                </c:pt>
                <c:pt idx="9">
                  <c:v>9.6484049555891505E-6</c:v>
                </c:pt>
                <c:pt idx="10">
                  <c:v>9.6585852380255721E-6</c:v>
                </c:pt>
                <c:pt idx="11">
                  <c:v>9.6743926983729728E-6</c:v>
                </c:pt>
                <c:pt idx="12">
                  <c:v>9.6787555914225034E-6</c:v>
                </c:pt>
                <c:pt idx="13">
                  <c:v>9.6596848370773078E-6</c:v>
                </c:pt>
                <c:pt idx="14">
                  <c:v>9.6487760888215681E-6</c:v>
                </c:pt>
                <c:pt idx="15">
                  <c:v>9.6358130913144994E-6</c:v>
                </c:pt>
                <c:pt idx="16">
                  <c:v>9.6122800572315782E-6</c:v>
                </c:pt>
                <c:pt idx="17">
                  <c:v>9.5745679983877665E-6</c:v>
                </c:pt>
                <c:pt idx="18">
                  <c:v>9.5421988109339542E-6</c:v>
                </c:pt>
                <c:pt idx="19">
                  <c:v>9.5182180243167767E-6</c:v>
                </c:pt>
                <c:pt idx="20">
                  <c:v>9.4704413348796465E-6</c:v>
                </c:pt>
                <c:pt idx="21">
                  <c:v>9.4157229972760165E-6</c:v>
                </c:pt>
                <c:pt idx="22">
                  <c:v>9.3665223471038199E-6</c:v>
                </c:pt>
                <c:pt idx="23">
                  <c:v>9.2953741388451423E-6</c:v>
                </c:pt>
                <c:pt idx="24">
                  <c:v>9.2361508027076467E-6</c:v>
                </c:pt>
                <c:pt idx="25">
                  <c:v>9.1698181192840017E-6</c:v>
                </c:pt>
                <c:pt idx="26">
                  <c:v>9.0979619920514862E-6</c:v>
                </c:pt>
                <c:pt idx="27">
                  <c:v>9.0087287118214901E-6</c:v>
                </c:pt>
                <c:pt idx="28">
                  <c:v>8.9693124802406761E-6</c:v>
                </c:pt>
                <c:pt idx="29">
                  <c:v>8.8666344019282911E-6</c:v>
                </c:pt>
                <c:pt idx="30">
                  <c:v>8.7913474309011985E-6</c:v>
                </c:pt>
                <c:pt idx="31">
                  <c:v>8.6905398862012611E-6</c:v>
                </c:pt>
                <c:pt idx="32">
                  <c:v>8.6200776088289081E-6</c:v>
                </c:pt>
                <c:pt idx="33">
                  <c:v>8.5147550034617309E-6</c:v>
                </c:pt>
                <c:pt idx="34">
                  <c:v>8.4286281728321847E-6</c:v>
                </c:pt>
                <c:pt idx="35">
                  <c:v>8.3426236245392234E-6</c:v>
                </c:pt>
                <c:pt idx="36">
                  <c:v>8.2728922689625339E-6</c:v>
                </c:pt>
                <c:pt idx="37">
                  <c:v>8.1643518958054858E-6</c:v>
                </c:pt>
                <c:pt idx="38">
                  <c:v>8.024443098433121E-6</c:v>
                </c:pt>
                <c:pt idx="39">
                  <c:v>7.9297059385227818E-6</c:v>
                </c:pt>
                <c:pt idx="40">
                  <c:v>7.8313896223178042E-6</c:v>
                </c:pt>
                <c:pt idx="41">
                  <c:v>7.6989546187877642E-6</c:v>
                </c:pt>
                <c:pt idx="42">
                  <c:v>7.6212350481820376E-6</c:v>
                </c:pt>
                <c:pt idx="43">
                  <c:v>7.5149488803733028E-6</c:v>
                </c:pt>
                <c:pt idx="44">
                  <c:v>7.4160463576829399E-6</c:v>
                </c:pt>
                <c:pt idx="45">
                  <c:v>7.3193302165181706E-6</c:v>
                </c:pt>
                <c:pt idx="46">
                  <c:v>7.1939743540298511E-6</c:v>
                </c:pt>
                <c:pt idx="47">
                  <c:v>7.132293036167688E-6</c:v>
                </c:pt>
                <c:pt idx="48">
                  <c:v>6.9936293847131163E-6</c:v>
                </c:pt>
                <c:pt idx="49">
                  <c:v>6.8785388022476413E-6</c:v>
                </c:pt>
                <c:pt idx="50">
                  <c:v>6.8582691217344633E-6</c:v>
                </c:pt>
                <c:pt idx="51">
                  <c:v>6.6853729284940375E-6</c:v>
                </c:pt>
                <c:pt idx="52">
                  <c:v>6.588862692454392E-6</c:v>
                </c:pt>
                <c:pt idx="53">
                  <c:v>6.5003274976490428E-6</c:v>
                </c:pt>
                <c:pt idx="54">
                  <c:v>6.4364699084493931E-6</c:v>
                </c:pt>
                <c:pt idx="55">
                  <c:v>6.2950499760756543E-6</c:v>
                </c:pt>
                <c:pt idx="56">
                  <c:v>6.2384408557014796E-6</c:v>
                </c:pt>
                <c:pt idx="57">
                  <c:v>6.1779871109593682E-6</c:v>
                </c:pt>
                <c:pt idx="58">
                  <c:v>5.9270679502364945E-6</c:v>
                </c:pt>
                <c:pt idx="59">
                  <c:v>5.9335736496934479E-6</c:v>
                </c:pt>
                <c:pt idx="60">
                  <c:v>5.975587576478216E-6</c:v>
                </c:pt>
                <c:pt idx="61">
                  <c:v>5.777870462398994E-6</c:v>
                </c:pt>
                <c:pt idx="62">
                  <c:v>5.6645973841794835E-6</c:v>
                </c:pt>
                <c:pt idx="63">
                  <c:v>5.681817101768538E-6</c:v>
                </c:pt>
                <c:pt idx="64">
                  <c:v>5.5333878403047999E-6</c:v>
                </c:pt>
                <c:pt idx="65">
                  <c:v>5.468744936202713E-6</c:v>
                </c:pt>
                <c:pt idx="66">
                  <c:v>5.4580393161255514E-6</c:v>
                </c:pt>
                <c:pt idx="67">
                  <c:v>5.4639265549682441E-6</c:v>
                </c:pt>
                <c:pt idx="68">
                  <c:v>5.3829797237271653E-6</c:v>
                </c:pt>
                <c:pt idx="69">
                  <c:v>5.3163523272299983E-6</c:v>
                </c:pt>
                <c:pt idx="70">
                  <c:v>5.1330407605766552E-6</c:v>
                </c:pt>
                <c:pt idx="71">
                  <c:v>5.1095105154947453E-6</c:v>
                </c:pt>
                <c:pt idx="72">
                  <c:v>4.7889066320954796E-6</c:v>
                </c:pt>
                <c:pt idx="73">
                  <c:v>4.948688332255273E-6</c:v>
                </c:pt>
                <c:pt idx="74">
                  <c:v>4.8403942849649927E-6</c:v>
                </c:pt>
                <c:pt idx="75">
                  <c:v>4.9128558957549374E-6</c:v>
                </c:pt>
                <c:pt idx="76">
                  <c:v>4.8044306814530609E-6</c:v>
                </c:pt>
                <c:pt idx="77">
                  <c:v>4.9681845232071749E-6</c:v>
                </c:pt>
                <c:pt idx="78">
                  <c:v>4.6064691850272391E-6</c:v>
                </c:pt>
                <c:pt idx="79">
                  <c:v>4.5172653263746991E-6</c:v>
                </c:pt>
                <c:pt idx="80">
                  <c:v>4.5790371797290311E-6</c:v>
                </c:pt>
                <c:pt idx="81">
                  <c:v>4.5818830763422675E-6</c:v>
                </c:pt>
                <c:pt idx="82">
                  <c:v>4.5494672389226173E-6</c:v>
                </c:pt>
                <c:pt idx="83">
                  <c:v>4.8590741187664336E-6</c:v>
                </c:pt>
                <c:pt idx="84">
                  <c:v>4.8299655366033778E-6</c:v>
                </c:pt>
                <c:pt idx="85">
                  <c:v>4.3073611210274908E-6</c:v>
                </c:pt>
                <c:pt idx="86">
                  <c:v>4.0615592170394548E-6</c:v>
                </c:pt>
                <c:pt idx="87">
                  <c:v>4.0445481846636015E-6</c:v>
                </c:pt>
                <c:pt idx="88">
                  <c:v>4.2310424843277672E-6</c:v>
                </c:pt>
                <c:pt idx="89">
                  <c:v>4.4670262187859464E-6</c:v>
                </c:pt>
                <c:pt idx="90">
                  <c:v>4.0145262678892024E-6</c:v>
                </c:pt>
                <c:pt idx="91">
                  <c:v>4.3176586820291752E-6</c:v>
                </c:pt>
                <c:pt idx="92">
                  <c:v>4.1557537111644697E-6</c:v>
                </c:pt>
                <c:pt idx="93">
                  <c:v>3.9030788695828606E-6</c:v>
                </c:pt>
                <c:pt idx="94">
                  <c:v>4.1514684100477883E-6</c:v>
                </c:pt>
                <c:pt idx="95">
                  <c:v>3.9429783473714067E-6</c:v>
                </c:pt>
                <c:pt idx="96">
                  <c:v>3.8496176444849251E-6</c:v>
                </c:pt>
                <c:pt idx="97">
                  <c:v>3.814820252024434E-6</c:v>
                </c:pt>
                <c:pt idx="98">
                  <c:v>3.688816196813587E-6</c:v>
                </c:pt>
                <c:pt idx="99">
                  <c:v>3.894826617023577E-6</c:v>
                </c:pt>
                <c:pt idx="100">
                  <c:v>4.1720991616572104E-6</c:v>
                </c:pt>
                <c:pt idx="101">
                  <c:v>3.5646480167743205E-6</c:v>
                </c:pt>
                <c:pt idx="102">
                  <c:v>3.6812037130689953E-6</c:v>
                </c:pt>
                <c:pt idx="103">
                  <c:v>3.3234786204914824E-6</c:v>
                </c:pt>
                <c:pt idx="104">
                  <c:v>3.3924500101470143E-6</c:v>
                </c:pt>
                <c:pt idx="105">
                  <c:v>3.8296258433022251E-6</c:v>
                </c:pt>
                <c:pt idx="106">
                  <c:v>3.5945808353762401E-6</c:v>
                </c:pt>
                <c:pt idx="107">
                  <c:v>3.2189969953309949E-6</c:v>
                </c:pt>
                <c:pt idx="108">
                  <c:v>3.1886292564700691E-6</c:v>
                </c:pt>
                <c:pt idx="109">
                  <c:v>2.7708720348725922E-6</c:v>
                </c:pt>
                <c:pt idx="110">
                  <c:v>3.0607689559831017E-6</c:v>
                </c:pt>
                <c:pt idx="111">
                  <c:v>2.4924716650481982E-6</c:v>
                </c:pt>
                <c:pt idx="112">
                  <c:v>2.7272744820548569E-6</c:v>
                </c:pt>
                <c:pt idx="113">
                  <c:v>1.2526072944015136E-6</c:v>
                </c:pt>
                <c:pt idx="114">
                  <c:v>2.4251431747936309E-6</c:v>
                </c:pt>
                <c:pt idx="115">
                  <c:v>3.0085953407608803E-6</c:v>
                </c:pt>
                <c:pt idx="116">
                  <c:v>1.7724705687014279E-6</c:v>
                </c:pt>
                <c:pt idx="117">
                  <c:v>2.6179356792251353E-6</c:v>
                </c:pt>
                <c:pt idx="118">
                  <c:v>3.119797827341683E-6</c:v>
                </c:pt>
                <c:pt idx="119">
                  <c:v>7.9789769211016617E-7</c:v>
                </c:pt>
                <c:pt idx="120">
                  <c:v>9.2678112103540913E-7</c:v>
                </c:pt>
                <c:pt idx="121">
                  <c:v>2.3118831302869068E-6</c:v>
                </c:pt>
                <c:pt idx="122">
                  <c:v>2.7413648350868231E-6</c:v>
                </c:pt>
                <c:pt idx="123">
                  <c:v>0</c:v>
                </c:pt>
                <c:pt idx="124">
                  <c:v>0</c:v>
                </c:pt>
              </c:numCache>
            </c:numRef>
          </c:yVal>
          <c:smooth val="0"/>
        </c:ser>
        <c:ser>
          <c:idx val="0"/>
          <c:order val="0"/>
          <c:tx>
            <c:strRef>
              <c:f>Plots!$AD$1</c:f>
              <c:strCache>
                <c:ptCount val="1"/>
                <c:pt idx="0">
                  <c:v>35</c:v>
                </c:pt>
              </c:strCache>
            </c:strRef>
          </c:tx>
          <c:spPr>
            <a:ln w="28575">
              <a:noFill/>
            </a:ln>
          </c:spPr>
          <c:marker>
            <c:spPr>
              <a:solidFill>
                <a:schemeClr val="accent4">
                  <a:lumMod val="50000"/>
                </a:schemeClr>
              </a:solidFill>
              <a:ln>
                <a:noFill/>
              </a:ln>
            </c:spPr>
          </c:marker>
          <c:xVal>
            <c:numRef>
              <c:f>Plots!$AD$3:$AD$127</c:f>
              <c:numCache>
                <c:formatCode>General</c:formatCode>
                <c:ptCount val="125"/>
                <c:pt idx="0">
                  <c:v>2215051167372483.5</c:v>
                </c:pt>
                <c:pt idx="1">
                  <c:v>4339805858848166</c:v>
                </c:pt>
                <c:pt idx="2">
                  <c:v>5073569309110765</c:v>
                </c:pt>
                <c:pt idx="3">
                  <c:v>5136517295787239</c:v>
                </c:pt>
                <c:pt idx="4">
                  <c:v>4909560353549486</c:v>
                </c:pt>
                <c:pt idx="5">
                  <c:v>4669001849558041</c:v>
                </c:pt>
                <c:pt idx="6">
                  <c:v>4421635896884549</c:v>
                </c:pt>
                <c:pt idx="7">
                  <c:v>4176652239164759</c:v>
                </c:pt>
                <c:pt idx="8">
                  <c:v>3938569906425649.5</c:v>
                </c:pt>
                <c:pt idx="9">
                  <c:v>3710998509972983.5</c:v>
                </c:pt>
                <c:pt idx="10">
                  <c:v>3496909519520986</c:v>
                </c:pt>
                <c:pt idx="11">
                  <c:v>3292887666362797.5</c:v>
                </c:pt>
                <c:pt idx="12">
                  <c:v>3101391318795048</c:v>
                </c:pt>
                <c:pt idx="13">
                  <c:v>2914362280747193</c:v>
                </c:pt>
                <c:pt idx="14">
                  <c:v>2745608404093400.5</c:v>
                </c:pt>
                <c:pt idx="15">
                  <c:v>2579245728297773</c:v>
                </c:pt>
                <c:pt idx="16">
                  <c:v>2425206289963866</c:v>
                </c:pt>
                <c:pt idx="17">
                  <c:v>2277618747495413.5</c:v>
                </c:pt>
                <c:pt idx="18">
                  <c:v>2141508752184578.2</c:v>
                </c:pt>
                <c:pt idx="19">
                  <c:v>2011913213514131.3</c:v>
                </c:pt>
                <c:pt idx="20">
                  <c:v>1890506320955255.5</c:v>
                </c:pt>
                <c:pt idx="21">
                  <c:v>1774088120472812</c:v>
                </c:pt>
                <c:pt idx="22">
                  <c:v>1667413560865581</c:v>
                </c:pt>
                <c:pt idx="23">
                  <c:v>1561268006305190.7</c:v>
                </c:pt>
                <c:pt idx="24">
                  <c:v>1466168775928969.8</c:v>
                </c:pt>
                <c:pt idx="25">
                  <c:v>1379300832227081.2</c:v>
                </c:pt>
                <c:pt idx="26">
                  <c:v>1293158965979789.7</c:v>
                </c:pt>
                <c:pt idx="27">
                  <c:v>1211755079137380.5</c:v>
                </c:pt>
                <c:pt idx="28">
                  <c:v>1136395005684116.5</c:v>
                </c:pt>
                <c:pt idx="29">
                  <c:v>1064904616541912.4</c:v>
                </c:pt>
                <c:pt idx="30">
                  <c:v>999866240541793.5</c:v>
                </c:pt>
                <c:pt idx="31">
                  <c:v>936191837522815.87</c:v>
                </c:pt>
                <c:pt idx="32">
                  <c:v>877426244764711.75</c:v>
                </c:pt>
                <c:pt idx="33">
                  <c:v>824890574658911.12</c:v>
                </c:pt>
                <c:pt idx="34">
                  <c:v>774898165429531.25</c:v>
                </c:pt>
                <c:pt idx="35">
                  <c:v>725234586236742.87</c:v>
                </c:pt>
                <c:pt idx="36">
                  <c:v>680825335673179.75</c:v>
                </c:pt>
                <c:pt idx="37">
                  <c:v>641112180605925</c:v>
                </c:pt>
                <c:pt idx="38">
                  <c:v>595661946587995.87</c:v>
                </c:pt>
                <c:pt idx="39">
                  <c:v>557915277517240.19</c:v>
                </c:pt>
                <c:pt idx="40">
                  <c:v>526547172111212.12</c:v>
                </c:pt>
                <c:pt idx="41">
                  <c:v>493041792977399.44</c:v>
                </c:pt>
                <c:pt idx="42">
                  <c:v>462026119368176.62</c:v>
                </c:pt>
                <c:pt idx="43">
                  <c:v>433829643464896.94</c:v>
                </c:pt>
                <c:pt idx="44">
                  <c:v>406788351334993.5</c:v>
                </c:pt>
                <c:pt idx="45">
                  <c:v>381639097352997.81</c:v>
                </c:pt>
                <c:pt idx="46">
                  <c:v>355750301436222.44</c:v>
                </c:pt>
                <c:pt idx="47">
                  <c:v>335176883048881.5</c:v>
                </c:pt>
                <c:pt idx="48">
                  <c:v>316200749543348.5</c:v>
                </c:pt>
                <c:pt idx="49">
                  <c:v>297107141657940.62</c:v>
                </c:pt>
                <c:pt idx="50">
                  <c:v>277278115845822.03</c:v>
                </c:pt>
                <c:pt idx="51">
                  <c:v>260466323609453.09</c:v>
                </c:pt>
                <c:pt idx="52">
                  <c:v>243914129151085.81</c:v>
                </c:pt>
                <c:pt idx="53">
                  <c:v>227651270364176.5</c:v>
                </c:pt>
                <c:pt idx="54">
                  <c:v>216184085536803.12</c:v>
                </c:pt>
                <c:pt idx="55">
                  <c:v>203881745329685.59</c:v>
                </c:pt>
                <c:pt idx="56">
                  <c:v>190675314649954.25</c:v>
                </c:pt>
                <c:pt idx="57">
                  <c:v>179513208037814.31</c:v>
                </c:pt>
                <c:pt idx="58">
                  <c:v>167462420251761.12</c:v>
                </c:pt>
                <c:pt idx="59">
                  <c:v>158438758264840.47</c:v>
                </c:pt>
                <c:pt idx="60">
                  <c:v>147796785023002.94</c:v>
                </c:pt>
                <c:pt idx="61">
                  <c:v>137748694260660.3</c:v>
                </c:pt>
                <c:pt idx="62">
                  <c:v>130932004767992</c:v>
                </c:pt>
                <c:pt idx="63">
                  <c:v>123207633973800.05</c:v>
                </c:pt>
                <c:pt idx="64">
                  <c:v>116635075123572.48</c:v>
                </c:pt>
                <c:pt idx="65">
                  <c:v>106411919822766.7</c:v>
                </c:pt>
                <c:pt idx="66">
                  <c:v>100662792697314.45</c:v>
                </c:pt>
                <c:pt idx="67">
                  <c:v>97097747864390.266</c:v>
                </c:pt>
                <c:pt idx="68">
                  <c:v>90780173175973.406</c:v>
                </c:pt>
                <c:pt idx="69">
                  <c:v>85736522583347.094</c:v>
                </c:pt>
                <c:pt idx="70">
                  <c:v>81157578416633.703</c:v>
                </c:pt>
                <c:pt idx="71">
                  <c:v>75619039211329.937</c:v>
                </c:pt>
                <c:pt idx="72">
                  <c:v>68835646478881.273</c:v>
                </c:pt>
                <c:pt idx="73">
                  <c:v>65863384195330.937</c:v>
                </c:pt>
                <c:pt idx="74">
                  <c:v>62978942874832.312</c:v>
                </c:pt>
                <c:pt idx="75">
                  <c:v>59092407678519.133</c:v>
                </c:pt>
                <c:pt idx="76">
                  <c:v>54879441940064.508</c:v>
                </c:pt>
                <c:pt idx="77">
                  <c:v>53404351572723.078</c:v>
                </c:pt>
                <c:pt idx="78">
                  <c:v>50985018007305.523</c:v>
                </c:pt>
                <c:pt idx="79">
                  <c:v>45864279282712.633</c:v>
                </c:pt>
                <c:pt idx="80">
                  <c:v>44420716729771.094</c:v>
                </c:pt>
                <c:pt idx="81">
                  <c:v>42834720206595.516</c:v>
                </c:pt>
                <c:pt idx="82">
                  <c:v>40920911006855.859</c:v>
                </c:pt>
                <c:pt idx="83">
                  <c:v>36739373449218.555</c:v>
                </c:pt>
                <c:pt idx="84">
                  <c:v>36111873304960.227</c:v>
                </c:pt>
                <c:pt idx="85">
                  <c:v>33103906660121.973</c:v>
                </c:pt>
                <c:pt idx="86">
                  <c:v>30910091647007.52</c:v>
                </c:pt>
                <c:pt idx="87">
                  <c:v>30027202548986.285</c:v>
                </c:pt>
                <c:pt idx="88">
                  <c:v>28020296324098.75</c:v>
                </c:pt>
                <c:pt idx="89">
                  <c:v>29315441789346.539</c:v>
                </c:pt>
                <c:pt idx="90">
                  <c:v>23086600001695.137</c:v>
                </c:pt>
                <c:pt idx="91">
                  <c:v>22049662632956.566</c:v>
                </c:pt>
                <c:pt idx="92">
                  <c:v>19522813683744.777</c:v>
                </c:pt>
                <c:pt idx="93">
                  <c:v>20871139181704.516</c:v>
                </c:pt>
                <c:pt idx="94">
                  <c:v>17125907608606.83</c:v>
                </c:pt>
                <c:pt idx="95">
                  <c:v>16686532065524.437</c:v>
                </c:pt>
                <c:pt idx="96">
                  <c:v>16644006573714.744</c:v>
                </c:pt>
                <c:pt idx="97">
                  <c:v>17352737737357.102</c:v>
                </c:pt>
                <c:pt idx="98">
                  <c:v>13881744201277.66</c:v>
                </c:pt>
                <c:pt idx="99">
                  <c:v>12678689272355.176</c:v>
                </c:pt>
                <c:pt idx="100">
                  <c:v>11038029655723.979</c:v>
                </c:pt>
                <c:pt idx="101">
                  <c:v>12013825248258.893</c:v>
                </c:pt>
                <c:pt idx="102">
                  <c:v>11900633169939.781</c:v>
                </c:pt>
                <c:pt idx="103">
                  <c:v>10387812015799.9</c:v>
                </c:pt>
                <c:pt idx="104">
                  <c:v>10571550365572.541</c:v>
                </c:pt>
                <c:pt idx="105">
                  <c:v>9935596974684.25</c:v>
                </c:pt>
                <c:pt idx="106">
                  <c:v>7520950601937.8154</c:v>
                </c:pt>
                <c:pt idx="107">
                  <c:v>6096463953347.5107</c:v>
                </c:pt>
                <c:pt idx="108">
                  <c:v>9850809655496.25</c:v>
                </c:pt>
                <c:pt idx="109">
                  <c:v>7619713454214.334</c:v>
                </c:pt>
                <c:pt idx="110">
                  <c:v>8014896807774.1533</c:v>
                </c:pt>
                <c:pt idx="111">
                  <c:v>7393947729350.4189</c:v>
                </c:pt>
                <c:pt idx="112">
                  <c:v>4574805701668.0166</c:v>
                </c:pt>
                <c:pt idx="113">
                  <c:v>4462161218964.7549</c:v>
                </c:pt>
                <c:pt idx="114">
                  <c:v>2380308219748.499</c:v>
                </c:pt>
                <c:pt idx="115">
                  <c:v>4786042744442.8574</c:v>
                </c:pt>
                <c:pt idx="116">
                  <c:v>8071338623400.7637</c:v>
                </c:pt>
                <c:pt idx="117">
                  <c:v>4645209251346.9893</c:v>
                </c:pt>
                <c:pt idx="118">
                  <c:v>6716880326317.8936</c:v>
                </c:pt>
                <c:pt idx="119">
                  <c:v>3856875738431.2085</c:v>
                </c:pt>
                <c:pt idx="120">
                  <c:v>934386149398.05164</c:v>
                </c:pt>
                <c:pt idx="121">
                  <c:v>3716160452613.4868</c:v>
                </c:pt>
                <c:pt idx="122">
                  <c:v>5870924959512.5254</c:v>
                </c:pt>
                <c:pt idx="123">
                  <c:v>2267902735282.6265</c:v>
                </c:pt>
                <c:pt idx="124">
                  <c:v>1355209698596.6841</c:v>
                </c:pt>
              </c:numCache>
            </c:numRef>
          </c:xVal>
          <c:yVal>
            <c:numRef>
              <c:f>Plots!$AE$3:$AE$127</c:f>
              <c:numCache>
                <c:formatCode>General</c:formatCode>
                <c:ptCount val="125"/>
                <c:pt idx="0">
                  <c:v>0</c:v>
                </c:pt>
                <c:pt idx="1">
                  <c:v>0</c:v>
                </c:pt>
                <c:pt idx="2">
                  <c:v>9.5636062981742042E-6</c:v>
                </c:pt>
                <c:pt idx="3">
                  <c:v>9.3427657478945177E-6</c:v>
                </c:pt>
                <c:pt idx="4">
                  <c:v>9.0915148299900913E-6</c:v>
                </c:pt>
                <c:pt idx="5">
                  <c:v>9.0157025011016198E-6</c:v>
                </c:pt>
                <c:pt idx="6">
                  <c:v>9.0388591528612343E-6</c:v>
                </c:pt>
                <c:pt idx="7">
                  <c:v>9.0748021795774244E-6</c:v>
                </c:pt>
                <c:pt idx="8">
                  <c:v>9.098039098863075E-6</c:v>
                </c:pt>
                <c:pt idx="9">
                  <c:v>9.1120035773011125E-6</c:v>
                </c:pt>
                <c:pt idx="10">
                  <c:v>9.1209672360436855E-6</c:v>
                </c:pt>
                <c:pt idx="11">
                  <c:v>9.1172473143618855E-6</c:v>
                </c:pt>
                <c:pt idx="12">
                  <c:v>9.113312328456557E-6</c:v>
                </c:pt>
                <c:pt idx="13">
                  <c:v>9.0836684510765895E-6</c:v>
                </c:pt>
                <c:pt idx="14">
                  <c:v>9.0745213222673238E-6</c:v>
                </c:pt>
                <c:pt idx="15">
                  <c:v>9.041408078484011E-6</c:v>
                </c:pt>
                <c:pt idx="16">
                  <c:v>9.0125430267988737E-6</c:v>
                </c:pt>
                <c:pt idx="17">
                  <c:v>8.9724231638139242E-6</c:v>
                </c:pt>
                <c:pt idx="18">
                  <c:v>8.9424822931915747E-6</c:v>
                </c:pt>
                <c:pt idx="19">
                  <c:v>8.9011236339545298E-6</c:v>
                </c:pt>
                <c:pt idx="20">
                  <c:v>8.8568732946072114E-6</c:v>
                </c:pt>
                <c:pt idx="21">
                  <c:v>8.7973330437995501E-6</c:v>
                </c:pt>
                <c:pt idx="22">
                  <c:v>8.7490988929304797E-6</c:v>
                </c:pt>
                <c:pt idx="23">
                  <c:v>8.6680954213194351E-6</c:v>
                </c:pt>
                <c:pt idx="24">
                  <c:v>8.6070889941157731E-6</c:v>
                </c:pt>
                <c:pt idx="25">
                  <c:v>8.5607509010827593E-6</c:v>
                </c:pt>
                <c:pt idx="26">
                  <c:v>8.4805602344705515E-6</c:v>
                </c:pt>
                <c:pt idx="27">
                  <c:v>8.3931031318195287E-6</c:v>
                </c:pt>
                <c:pt idx="28">
                  <c:v>8.3257757227990492E-6</c:v>
                </c:pt>
                <c:pt idx="29">
                  <c:v>8.2427422922033069E-6</c:v>
                </c:pt>
                <c:pt idx="30">
                  <c:v>8.1694208238942482E-6</c:v>
                </c:pt>
                <c:pt idx="31">
                  <c:v>8.0720696978557259E-6</c:v>
                </c:pt>
                <c:pt idx="32">
                  <c:v>7.9796950055044035E-6</c:v>
                </c:pt>
                <c:pt idx="33">
                  <c:v>7.9088726132116755E-6</c:v>
                </c:pt>
                <c:pt idx="34">
                  <c:v>7.8321886258400694E-6</c:v>
                </c:pt>
                <c:pt idx="35">
                  <c:v>7.7238661636552063E-6</c:v>
                </c:pt>
                <c:pt idx="36">
                  <c:v>7.6392552857855555E-6</c:v>
                </c:pt>
                <c:pt idx="37">
                  <c:v>7.5731659862282727E-6</c:v>
                </c:pt>
                <c:pt idx="38">
                  <c:v>7.4089690988427436E-6</c:v>
                </c:pt>
                <c:pt idx="39">
                  <c:v>7.3094350383070343E-6</c:v>
                </c:pt>
                <c:pt idx="40">
                  <c:v>7.2621698427193412E-6</c:v>
                </c:pt>
                <c:pt idx="41">
                  <c:v>7.1556059240225171E-6</c:v>
                </c:pt>
                <c:pt idx="42">
                  <c:v>7.0552991470103114E-6</c:v>
                </c:pt>
                <c:pt idx="43">
                  <c:v>6.9662979356602939E-6</c:v>
                </c:pt>
                <c:pt idx="44">
                  <c:v>6.8683086960485978E-6</c:v>
                </c:pt>
                <c:pt idx="45">
                  <c:v>6.7732033193177903E-6</c:v>
                </c:pt>
                <c:pt idx="46">
                  <c:v>6.6352071352353318E-6</c:v>
                </c:pt>
                <c:pt idx="47">
                  <c:v>6.5717247934154533E-6</c:v>
                </c:pt>
                <c:pt idx="48">
                  <c:v>6.5125849692680064E-6</c:v>
                </c:pt>
                <c:pt idx="49">
                  <c:v>6.4310977000404508E-6</c:v>
                </c:pt>
                <c:pt idx="50">
                  <c:v>6.3001730662215023E-6</c:v>
                </c:pt>
                <c:pt idx="51">
                  <c:v>6.2141074945059427E-6</c:v>
                </c:pt>
                <c:pt idx="52">
                  <c:v>6.10890845640239E-6</c:v>
                </c:pt>
                <c:pt idx="53">
                  <c:v>5.9902216916955266E-6</c:v>
                </c:pt>
                <c:pt idx="54">
                  <c:v>5.9733748961075459E-6</c:v>
                </c:pt>
                <c:pt idx="55">
                  <c:v>5.9113782707085998E-6</c:v>
                </c:pt>
                <c:pt idx="56">
                  <c:v>5.8001026388120676E-6</c:v>
                </c:pt>
                <c:pt idx="57">
                  <c:v>5.7265770989443902E-6</c:v>
                </c:pt>
                <c:pt idx="58">
                  <c:v>5.609189457840713E-6</c:v>
                </c:pt>
                <c:pt idx="59">
                  <c:v>5.5730294235629385E-6</c:v>
                </c:pt>
                <c:pt idx="60">
                  <c:v>5.4545730096210082E-6</c:v>
                </c:pt>
                <c:pt idx="61">
                  <c:v>5.3324729548877923E-6</c:v>
                </c:pt>
                <c:pt idx="62">
                  <c:v>5.3333736300578099E-6</c:v>
                </c:pt>
                <c:pt idx="63">
                  <c:v>5.2660296076399135E-6</c:v>
                </c:pt>
                <c:pt idx="64">
                  <c:v>5.2235417291028799E-6</c:v>
                </c:pt>
                <c:pt idx="65">
                  <c:v>5.0028614659970478E-6</c:v>
                </c:pt>
                <c:pt idx="66">
                  <c:v>4.9604288492423386E-6</c:v>
                </c:pt>
                <c:pt idx="67">
                  <c:v>5.0198700955484933E-6</c:v>
                </c:pt>
                <c:pt idx="68">
                  <c:v>4.9260814202730606E-6</c:v>
                </c:pt>
                <c:pt idx="69">
                  <c:v>4.8838717668274422E-6</c:v>
                </c:pt>
                <c:pt idx="70">
                  <c:v>4.8474207126550827E-6</c:v>
                </c:pt>
                <c:pt idx="71">
                  <c:v>4.7335301788513559E-6</c:v>
                </c:pt>
                <c:pt idx="72">
                  <c:v>4.5188134122850916E-6</c:v>
                </c:pt>
                <c:pt idx="73">
                  <c:v>4.5380018289401971E-6</c:v>
                </c:pt>
                <c:pt idx="74">
                  <c:v>4.5485069048843179E-6</c:v>
                </c:pt>
                <c:pt idx="75">
                  <c:v>4.4735557230684439E-6</c:v>
                </c:pt>
                <c:pt idx="76">
                  <c:v>4.3576084441764972E-6</c:v>
                </c:pt>
                <c:pt idx="77">
                  <c:v>4.4469943469455001E-6</c:v>
                </c:pt>
                <c:pt idx="78">
                  <c:v>4.4622050398669285E-6</c:v>
                </c:pt>
                <c:pt idx="79">
                  <c:v>4.2154613827283217E-6</c:v>
                </c:pt>
                <c:pt idx="80">
                  <c:v>4.2777686015232291E-6</c:v>
                </c:pt>
                <c:pt idx="81">
                  <c:v>4.3365419583407061E-6</c:v>
                </c:pt>
                <c:pt idx="82">
                  <c:v>4.3453062069454721E-6</c:v>
                </c:pt>
                <c:pt idx="83">
                  <c:v>4.091787678437085E-6</c:v>
                </c:pt>
                <c:pt idx="84">
                  <c:v>4.2175919689355493E-6</c:v>
                </c:pt>
                <c:pt idx="85">
                  <c:v>4.0594120542971997E-6</c:v>
                </c:pt>
                <c:pt idx="86">
                  <c:v>3.9779815287797986E-6</c:v>
                </c:pt>
                <c:pt idx="87">
                  <c:v>4.0665136708262491E-6</c:v>
                </c:pt>
                <c:pt idx="88">
                  <c:v>3.9817186958709439E-6</c:v>
                </c:pt>
                <c:pt idx="89">
                  <c:v>4.3669215864129394E-6</c:v>
                </c:pt>
                <c:pt idx="90">
                  <c:v>3.6151712132411729E-6</c:v>
                </c:pt>
                <c:pt idx="91">
                  <c:v>3.6280872089104776E-6</c:v>
                </c:pt>
                <c:pt idx="92">
                  <c:v>3.3836854817560604E-6</c:v>
                </c:pt>
                <c:pt idx="93">
                  <c:v>3.7982483119625724E-6</c:v>
                </c:pt>
                <c:pt idx="94">
                  <c:v>3.2848751710830947E-6</c:v>
                </c:pt>
                <c:pt idx="95">
                  <c:v>3.3721417113794382E-6</c:v>
                </c:pt>
                <c:pt idx="96">
                  <c:v>3.5411816067341976E-6</c:v>
                </c:pt>
                <c:pt idx="97">
                  <c:v>3.8726669169119488E-6</c:v>
                </c:pt>
                <c:pt idx="98">
                  <c:v>3.2731339104967865E-6</c:v>
                </c:pt>
                <c:pt idx="99">
                  <c:v>3.1375001017298937E-6</c:v>
                </c:pt>
                <c:pt idx="100">
                  <c:v>2.8870708414351529E-6</c:v>
                </c:pt>
                <c:pt idx="101">
                  <c:v>3.3152853795381385E-6</c:v>
                </c:pt>
                <c:pt idx="102">
                  <c:v>3.479112888351132E-6</c:v>
                </c:pt>
                <c:pt idx="103">
                  <c:v>3.1855848264817977E-6</c:v>
                </c:pt>
                <c:pt idx="104">
                  <c:v>3.4136583749947178E-6</c:v>
                </c:pt>
                <c:pt idx="105">
                  <c:v>3.3872968658682775E-6</c:v>
                </c:pt>
                <c:pt idx="106">
                  <c:v>2.709089114572979E-6</c:v>
                </c:pt>
                <c:pt idx="107">
                  <c:v>2.3314771616583166E-6</c:v>
                </c:pt>
                <c:pt idx="108">
                  <c:v>3.9558195983230351E-6</c:v>
                </c:pt>
                <c:pt idx="109">
                  <c:v>3.2331986168500563E-6</c:v>
                </c:pt>
                <c:pt idx="110">
                  <c:v>3.6017244967284649E-6</c:v>
                </c:pt>
                <c:pt idx="111">
                  <c:v>3.5035299086742095E-6</c:v>
                </c:pt>
                <c:pt idx="112">
                  <c:v>2.2881898011842472E-6</c:v>
                </c:pt>
                <c:pt idx="113">
                  <c:v>2.3579650392191525E-6</c:v>
                </c:pt>
                <c:pt idx="114">
                  <c:v>1.3469181455709587E-6</c:v>
                </c:pt>
                <c:pt idx="115">
                  <c:v>2.8425026963608715E-6</c:v>
                </c:pt>
                <c:pt idx="116">
                  <c:v>5.1214771167991701E-6</c:v>
                </c:pt>
                <c:pt idx="117">
                  <c:v>3.083632629214022E-6</c:v>
                </c:pt>
                <c:pt idx="118">
                  <c:v>4.72795478381396E-6</c:v>
                </c:pt>
                <c:pt idx="119">
                  <c:v>2.8355668087481214E-6</c:v>
                </c:pt>
                <c:pt idx="120">
                  <c:v>7.3495863574958745E-7</c:v>
                </c:pt>
                <c:pt idx="121">
                  <c:v>3.1097751450034832E-6</c:v>
                </c:pt>
                <c:pt idx="122">
                  <c:v>5.2244161978774165E-6</c:v>
                </c:pt>
                <c:pt idx="123">
                  <c:v>0</c:v>
                </c:pt>
                <c:pt idx="124">
                  <c:v>0</c:v>
                </c:pt>
              </c:numCache>
            </c:numRef>
          </c:yVal>
          <c:smooth val="0"/>
        </c:ser>
        <c:dLbls>
          <c:showLegendKey val="0"/>
          <c:showVal val="0"/>
          <c:showCatName val="0"/>
          <c:showSerName val="0"/>
          <c:showPercent val="0"/>
          <c:showBubbleSize val="0"/>
        </c:dLbls>
        <c:axId val="318926496"/>
        <c:axId val="318926888"/>
      </c:scatterChart>
      <c:valAx>
        <c:axId val="318926496"/>
        <c:scaling>
          <c:logBase val="10"/>
          <c:orientation val="minMax"/>
          <c:min val="10000000000000"/>
        </c:scaling>
        <c:delete val="0"/>
        <c:axPos val="b"/>
        <c:title>
          <c:tx>
            <c:rich>
              <a:bodyPr/>
              <a:lstStyle/>
              <a:p>
                <a:pPr>
                  <a:defRPr/>
                </a:pPr>
                <a:r>
                  <a:rPr lang="en-US"/>
                  <a:t>Minority</a:t>
                </a:r>
                <a:r>
                  <a:rPr lang="en-US" baseline="0"/>
                  <a:t> Carrier Density (cm</a:t>
                </a:r>
                <a:r>
                  <a:rPr lang="en-US" baseline="30000"/>
                  <a:t>-3</a:t>
                </a:r>
                <a:r>
                  <a:rPr lang="en-US" baseline="0"/>
                  <a:t>)</a:t>
                </a:r>
                <a:endParaRPr lang="en-US"/>
              </a:p>
            </c:rich>
          </c:tx>
          <c:layout/>
          <c:overlay val="0"/>
        </c:title>
        <c:numFmt formatCode="General" sourceLinked="1"/>
        <c:majorTickMark val="none"/>
        <c:minorTickMark val="none"/>
        <c:tickLblPos val="nextTo"/>
        <c:crossAx val="318926888"/>
        <c:crosses val="autoZero"/>
        <c:crossBetween val="midCat"/>
      </c:valAx>
      <c:valAx>
        <c:axId val="318926888"/>
        <c:scaling>
          <c:orientation val="minMax"/>
        </c:scaling>
        <c:delete val="0"/>
        <c:axPos val="l"/>
        <c:majorGridlines/>
        <c:title>
          <c:tx>
            <c:rich>
              <a:bodyPr/>
              <a:lstStyle/>
              <a:p>
                <a:pPr>
                  <a:defRPr/>
                </a:pPr>
                <a:r>
                  <a:rPr lang="en-US"/>
                  <a:t>Lifetime (s)</a:t>
                </a:r>
              </a:p>
            </c:rich>
          </c:tx>
          <c:layout/>
          <c:overlay val="0"/>
        </c:title>
        <c:numFmt formatCode="0.00E+00" sourceLinked="0"/>
        <c:majorTickMark val="none"/>
        <c:minorTickMark val="none"/>
        <c:tickLblPos val="nextTo"/>
        <c:crossAx val="31892649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ViewPoint" max="35" min="1" page="10" val="34"/>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822388</xdr:colOff>
      <xdr:row>11</xdr:row>
      <xdr:rowOff>2802</xdr:rowOff>
    </xdr:from>
    <xdr:to>
      <xdr:col>12</xdr:col>
      <xdr:colOff>15639</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813822</xdr:colOff>
      <xdr:row>32</xdr:row>
      <xdr:rowOff>142178</xdr:rowOff>
    </xdr:from>
    <xdr:to>
      <xdr:col>12</xdr:col>
      <xdr:colOff>5878</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12</xdr:col>
          <xdr:colOff>104775</xdr:colOff>
          <xdr:row>11</xdr:row>
          <xdr:rowOff>28575</xdr:rowOff>
        </xdr:from>
        <xdr:to>
          <xdr:col>13</xdr:col>
          <xdr:colOff>0</xdr:colOff>
          <xdr:row>13</xdr:row>
          <xdr:rowOff>104775</xdr:rowOff>
        </xdr:to>
        <xdr:sp macro="" textlink="">
          <xdr:nvSpPr>
            <xdr:cNvPr id="51299" name="Button 99" hidden="1">
              <a:extLst>
                <a:ext uri="{63B3BB69-23CF-44E3-9099-C40C66FF867C}">
                  <a14:compatExt spid="_x0000_s5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33</xdr:row>
          <xdr:rowOff>28575</xdr:rowOff>
        </xdr:from>
        <xdr:to>
          <xdr:col>12</xdr:col>
          <xdr:colOff>733425</xdr:colOff>
          <xdr:row>35</xdr:row>
          <xdr:rowOff>114300</xdr:rowOff>
        </xdr:to>
        <xdr:sp macro="" textlink="">
          <xdr:nvSpPr>
            <xdr:cNvPr id="51300" name="Button 100" hidden="1">
              <a:extLst>
                <a:ext uri="{63B3BB69-23CF-44E3-9099-C40C66FF867C}">
                  <a14:compatExt spid="_x0000_s5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0</xdr:row>
          <xdr:rowOff>104775</xdr:rowOff>
        </xdr:from>
        <xdr:to>
          <xdr:col>9</xdr:col>
          <xdr:colOff>381000</xdr:colOff>
          <xdr:row>2</xdr:row>
          <xdr:rowOff>85725</xdr:rowOff>
        </xdr:to>
        <xdr:sp macro="" textlink="">
          <xdr:nvSpPr>
            <xdr:cNvPr id="51322" name="Spinner 122" hidden="1">
              <a:extLst>
                <a:ext uri="{63B3BB69-23CF-44E3-9099-C40C66FF867C}">
                  <a14:compatExt spid="_x0000_s5132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9</xdr:col>
      <xdr:colOff>448235</xdr:colOff>
      <xdr:row>0</xdr:row>
      <xdr:rowOff>67236</xdr:rowOff>
    </xdr:from>
    <xdr:to>
      <xdr:col>11</xdr:col>
      <xdr:colOff>124722</xdr:colOff>
      <xdr:row>3</xdr:row>
      <xdr:rowOff>22411</xdr:rowOff>
    </xdr:to>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3441" y="67236"/>
          <a:ext cx="1559075" cy="537881"/>
        </a:xfrm>
        <a:prstGeom prst="rect">
          <a:avLst/>
        </a:prstGeom>
      </xdr:spPr>
    </xdr:pic>
    <xdr:clientData/>
  </xdr:twoCellAnchor>
  <xdr:twoCellAnchor>
    <xdr:from>
      <xdr:col>0</xdr:col>
      <xdr:colOff>33618</xdr:colOff>
      <xdr:row>0</xdr:row>
      <xdr:rowOff>44817</xdr:rowOff>
    </xdr:from>
    <xdr:to>
      <xdr:col>1</xdr:col>
      <xdr:colOff>488756</xdr:colOff>
      <xdr:row>2</xdr:row>
      <xdr:rowOff>182963</xdr:rowOff>
    </xdr:to>
    <xdr:sp macro="[0]!ZeroInstrumentButton_Click" textlink="">
      <xdr:nvSpPr>
        <xdr:cNvPr id="17" name="Rectangle 16"/>
        <xdr:cNvSpPr/>
      </xdr:nvSpPr>
      <xdr:spPr>
        <a:xfrm>
          <a:off x="3361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Zero Instrument</a:t>
          </a:r>
          <a:endParaRPr lang="en-US" sz="1200" b="1">
            <a:solidFill>
              <a:sysClr val="windowText" lastClr="000000"/>
            </a:solidFill>
          </a:endParaRPr>
        </a:p>
      </xdr:txBody>
    </xdr:sp>
    <xdr:clientData/>
  </xdr:twoCellAnchor>
  <xdr:twoCellAnchor>
    <xdr:from>
      <xdr:col>1</xdr:col>
      <xdr:colOff>560295</xdr:colOff>
      <xdr:row>0</xdr:row>
      <xdr:rowOff>44817</xdr:rowOff>
    </xdr:from>
    <xdr:to>
      <xdr:col>3</xdr:col>
      <xdr:colOff>118963</xdr:colOff>
      <xdr:row>2</xdr:row>
      <xdr:rowOff>182963</xdr:rowOff>
    </xdr:to>
    <xdr:sp macro="[0]!MeasureButton_Click" textlink="">
      <xdr:nvSpPr>
        <xdr:cNvPr id="18" name="Rectangle 17"/>
        <xdr:cNvSpPr/>
      </xdr:nvSpPr>
      <xdr:spPr>
        <a:xfrm>
          <a:off x="1714501"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Measure Wafer</a:t>
          </a:r>
          <a:endParaRPr lang="en-US" sz="1200" b="1">
            <a:solidFill>
              <a:sysClr val="windowText" lastClr="000000"/>
            </a:solidFill>
          </a:endParaRPr>
        </a:p>
      </xdr:txBody>
    </xdr:sp>
    <xdr:clientData/>
  </xdr:twoCellAnchor>
  <xdr:twoCellAnchor>
    <xdr:from>
      <xdr:col>3</xdr:col>
      <xdr:colOff>190502</xdr:colOff>
      <xdr:row>0</xdr:row>
      <xdr:rowOff>44817</xdr:rowOff>
    </xdr:from>
    <xdr:to>
      <xdr:col>4</xdr:col>
      <xdr:colOff>813728</xdr:colOff>
      <xdr:row>2</xdr:row>
      <xdr:rowOff>182963</xdr:rowOff>
    </xdr:to>
    <xdr:sp macro="[0]!LogToSummaryButton_Click" textlink="">
      <xdr:nvSpPr>
        <xdr:cNvPr id="19" name="Rectangle 18"/>
        <xdr:cNvSpPr/>
      </xdr:nvSpPr>
      <xdr:spPr>
        <a:xfrm>
          <a:off x="3395384"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Log To Summary</a:t>
          </a:r>
          <a:endParaRPr lang="en-US" sz="1200" b="1">
            <a:solidFill>
              <a:sysClr val="windowText" lastClr="000000"/>
            </a:solidFill>
          </a:endParaRPr>
        </a:p>
      </xdr:txBody>
    </xdr:sp>
    <xdr:clientData/>
  </xdr:twoCellAnchor>
  <xdr:twoCellAnchor>
    <xdr:from>
      <xdr:col>4</xdr:col>
      <xdr:colOff>885267</xdr:colOff>
      <xdr:row>0</xdr:row>
      <xdr:rowOff>44817</xdr:rowOff>
    </xdr:from>
    <xdr:to>
      <xdr:col>6</xdr:col>
      <xdr:colOff>656846</xdr:colOff>
      <xdr:row>2</xdr:row>
      <xdr:rowOff>182963</xdr:rowOff>
    </xdr:to>
    <xdr:sp macro="[0]!SaveGraphtoTextButton_Click" textlink="">
      <xdr:nvSpPr>
        <xdr:cNvPr id="20" name="Rectangle 19"/>
        <xdr:cNvSpPr/>
      </xdr:nvSpPr>
      <xdr:spPr>
        <a:xfrm>
          <a:off x="5076267"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Save Graph Data to .txt File</a:t>
          </a:r>
          <a:endParaRPr lang="en-US" sz="1200" b="1">
            <a:solidFill>
              <a:sysClr val="windowText" lastClr="000000"/>
            </a:solidFill>
          </a:endParaRPr>
        </a:p>
      </xdr:txBody>
    </xdr:sp>
    <xdr:clientData/>
  </xdr:twoCellAnchor>
  <xdr:twoCellAnchor>
    <xdr:from>
      <xdr:col>6</xdr:col>
      <xdr:colOff>728383</xdr:colOff>
      <xdr:row>0</xdr:row>
      <xdr:rowOff>44817</xdr:rowOff>
    </xdr:from>
    <xdr:to>
      <xdr:col>8</xdr:col>
      <xdr:colOff>264639</xdr:colOff>
      <xdr:row>2</xdr:row>
      <xdr:rowOff>182963</xdr:rowOff>
    </xdr:to>
    <xdr:sp macro="[0]!TempScanButton_Click" textlink="">
      <xdr:nvSpPr>
        <xdr:cNvPr id="21" name="Rectangle 20"/>
        <xdr:cNvSpPr/>
      </xdr:nvSpPr>
      <xdr:spPr>
        <a:xfrm>
          <a:off x="675714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Temperature Scan</a:t>
          </a:r>
          <a:endParaRPr lang="en-US" sz="12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707571</xdr:colOff>
      <xdr:row>20</xdr:row>
      <xdr:rowOff>77560</xdr:rowOff>
    </xdr:from>
    <xdr:to>
      <xdr:col>30</xdr:col>
      <xdr:colOff>326572</xdr:colOff>
      <xdr:row>37</xdr:row>
      <xdr:rowOff>44903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581025</xdr:colOff>
      <xdr:row>9</xdr:row>
      <xdr:rowOff>0</xdr:rowOff>
    </xdr:from>
    <xdr:to>
      <xdr:col>17</xdr:col>
      <xdr:colOff>85725</xdr:colOff>
      <xdr:row>38</xdr:row>
      <xdr:rowOff>109537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0.6627</cdr:x>
      <cdr:y>0.74861</cdr:y>
    </cdr:from>
    <cdr:to>
      <cdr:x>0.87882</cdr:x>
      <cdr:y>0.86193</cdr:y>
    </cdr:to>
    <cdr:pic>
      <cdr:nvPicPr>
        <cdr:cNvPr id="2" name="SintonLogo"/>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cstate="print"/>
        <a:srcRect xmlns:a="http://schemas.openxmlformats.org/drawingml/2006/main"/>
        <a:stretch xmlns:a="http://schemas.openxmlformats.org/drawingml/2006/main">
          <a:fillRect/>
        </a:stretch>
      </cdr:blipFill>
      <cdr:spPr bwMode="auto">
        <a:xfrm xmlns:a="http://schemas.openxmlformats.org/drawingml/2006/main">
          <a:off x="4241800" y="3422650"/>
          <a:ext cx="1383324" cy="518094"/>
        </a:xfrm>
        <a:prstGeom xmlns:a="http://schemas.openxmlformats.org/drawingml/2006/main" prst="rect">
          <a:avLst/>
        </a:prstGeom>
        <a:noFill xmlns:a="http://schemas.openxmlformats.org/drawingml/2006/main"/>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zoomScale="85" zoomScaleNormal="85" workbookViewId="0">
      <selection activeCell="G6" sqref="G6"/>
    </sheetView>
  </sheetViews>
  <sheetFormatPr defaultRowHeight="12.75" x14ac:dyDescent="0.2"/>
  <cols>
    <col min="1" max="1" width="17.28515625" style="39" customWidth="1"/>
    <col min="2" max="2" width="14.85546875" style="39" customWidth="1"/>
    <col min="3" max="3" width="16" style="39" customWidth="1"/>
    <col min="4" max="4" width="14.85546875" style="39" customWidth="1"/>
    <col min="5" max="6" width="13.7109375" style="39" customWidth="1"/>
    <col min="7" max="7" width="13.42578125" style="39" customWidth="1"/>
    <col min="8" max="8" width="17.7109375" style="39" customWidth="1"/>
    <col min="9" max="9" width="15.7109375" style="39" customWidth="1"/>
    <col min="10" max="11" width="14.140625" style="39" customWidth="1"/>
    <col min="12" max="12" width="12.42578125" style="39" customWidth="1"/>
    <col min="13" max="13" width="11.28515625" style="39" customWidth="1"/>
    <col min="14" max="14" width="9.28515625" style="39" bestFit="1" customWidth="1"/>
    <col min="15" max="15" width="10.5703125" style="39" bestFit="1" customWidth="1"/>
    <col min="16" max="16384" width="9.140625" style="39"/>
  </cols>
  <sheetData>
    <row r="1" spans="1:20" ht="15.75" customHeight="1" x14ac:dyDescent="0.25">
      <c r="C1" s="40"/>
      <c r="E1" s="41"/>
      <c r="L1" s="42" t="s">
        <v>158</v>
      </c>
      <c r="R1" s="41"/>
    </row>
    <row r="2" spans="1:20" s="46" customFormat="1" ht="15" customHeight="1" x14ac:dyDescent="0.25">
      <c r="A2" s="43"/>
      <c r="B2" s="43"/>
      <c r="C2" s="44"/>
      <c r="D2" s="43"/>
      <c r="E2" s="43"/>
      <c r="F2" s="43"/>
      <c r="G2" s="43"/>
      <c r="H2" s="43"/>
      <c r="I2" s="45">
        <v>34</v>
      </c>
      <c r="L2" s="47" t="s">
        <v>48</v>
      </c>
      <c r="M2" s="48" t="s">
        <v>335</v>
      </c>
      <c r="N2" s="49" t="s">
        <v>336</v>
      </c>
      <c r="P2" s="50"/>
      <c r="Q2" s="43"/>
      <c r="R2" s="43"/>
      <c r="S2" s="43"/>
    </row>
    <row r="3" spans="1:20" s="46" customFormat="1" ht="15" customHeight="1" x14ac:dyDescent="0.2">
      <c r="A3" s="51"/>
      <c r="B3" s="52"/>
      <c r="C3" s="53"/>
      <c r="D3" s="54"/>
      <c r="E3" s="54"/>
      <c r="F3" s="54"/>
      <c r="G3" s="55"/>
      <c r="H3" s="43"/>
      <c r="M3" s="43"/>
      <c r="N3" s="43"/>
      <c r="P3" s="43"/>
      <c r="Q3" s="43"/>
      <c r="R3" s="43"/>
      <c r="S3" s="43"/>
    </row>
    <row r="4" spans="1:20" s="46" customFormat="1" ht="15" customHeight="1" x14ac:dyDescent="0.25">
      <c r="A4" s="56" t="s">
        <v>156</v>
      </c>
      <c r="B4" s="56"/>
      <c r="C4" s="57"/>
      <c r="D4" s="56"/>
      <c r="E4" s="56" t="s">
        <v>13</v>
      </c>
      <c r="F4" s="56"/>
      <c r="G4" s="56"/>
      <c r="I4" s="56" t="s">
        <v>159</v>
      </c>
      <c r="J4" s="58"/>
      <c r="K4" s="58"/>
      <c r="L4" s="56" t="s">
        <v>320</v>
      </c>
      <c r="M4" s="50"/>
      <c r="O4" s="50"/>
      <c r="P4" s="50"/>
      <c r="Q4" s="59"/>
      <c r="R4" s="43"/>
      <c r="S4" s="43"/>
    </row>
    <row r="5" spans="1:20" ht="35.25" customHeight="1" x14ac:dyDescent="0.25">
      <c r="A5" s="60" t="s">
        <v>14</v>
      </c>
      <c r="B5" s="61" t="s">
        <v>157</v>
      </c>
      <c r="C5" s="61" t="s">
        <v>161</v>
      </c>
      <c r="D5" s="62" t="s">
        <v>261</v>
      </c>
      <c r="E5" s="60" t="s">
        <v>20</v>
      </c>
      <c r="F5" s="61" t="s">
        <v>337</v>
      </c>
      <c r="G5" s="63" t="s">
        <v>170</v>
      </c>
      <c r="H5" s="64" t="s">
        <v>155</v>
      </c>
      <c r="I5" s="61" t="s">
        <v>15</v>
      </c>
      <c r="J5" s="61" t="s">
        <v>19</v>
      </c>
      <c r="K5" s="61" t="s">
        <v>22</v>
      </c>
      <c r="L5" s="65" t="s">
        <v>321</v>
      </c>
      <c r="M5" s="66" t="s">
        <v>322</v>
      </c>
      <c r="N5" s="66" t="s">
        <v>323</v>
      </c>
      <c r="O5" s="67" t="s">
        <v>324</v>
      </c>
      <c r="P5" s="46"/>
      <c r="Q5" s="59"/>
      <c r="R5" s="43"/>
      <c r="S5" s="43"/>
      <c r="T5" s="46"/>
    </row>
    <row r="6" spans="1:20" s="83" customFormat="1" ht="15.75" customHeight="1" x14ac:dyDescent="0.25">
      <c r="A6" s="68" t="s">
        <v>389</v>
      </c>
      <c r="B6" s="69">
        <v>1.7999999999999999E-2</v>
      </c>
      <c r="C6" s="70">
        <v>1.5</v>
      </c>
      <c r="D6" s="71" t="s">
        <v>224</v>
      </c>
      <c r="E6" s="72">
        <v>0.7</v>
      </c>
      <c r="F6" s="73">
        <v>4000000000000000</v>
      </c>
      <c r="G6" s="74">
        <v>0</v>
      </c>
      <c r="H6" s="75" t="s">
        <v>287</v>
      </c>
      <c r="I6" s="76">
        <f>MeasDate</f>
        <v>42033</v>
      </c>
      <c r="J6" s="77">
        <f>MeasTime</f>
        <v>0.58460648148148142</v>
      </c>
      <c r="K6" s="78" t="s">
        <v>355</v>
      </c>
      <c r="L6" s="79">
        <v>30</v>
      </c>
      <c r="M6" s="74">
        <v>200</v>
      </c>
      <c r="N6" s="74">
        <v>5</v>
      </c>
      <c r="O6" s="80">
        <v>0.5</v>
      </c>
      <c r="P6" s="81"/>
      <c r="Q6" s="46"/>
      <c r="R6" s="81"/>
      <c r="S6" s="82"/>
      <c r="T6" s="81"/>
    </row>
    <row r="7" spans="1:20" ht="18.75" customHeight="1" x14ac:dyDescent="0.25">
      <c r="A7" s="56" t="s">
        <v>23</v>
      </c>
      <c r="B7" s="56"/>
      <c r="C7" s="50"/>
      <c r="D7" s="49"/>
      <c r="E7" s="84"/>
      <c r="F7" s="85"/>
      <c r="G7" s="49" t="s">
        <v>258</v>
      </c>
      <c r="H7" s="50"/>
      <c r="I7" s="50"/>
      <c r="J7" s="49"/>
      <c r="K7" s="86"/>
      <c r="M7" s="56" t="s">
        <v>254</v>
      </c>
      <c r="O7" s="50"/>
      <c r="P7" s="43"/>
      <c r="Q7" s="43"/>
      <c r="R7" s="43"/>
      <c r="S7" s="43"/>
      <c r="T7" s="46"/>
    </row>
    <row r="8" spans="1:20" ht="49.5" customHeight="1" x14ac:dyDescent="0.25">
      <c r="A8" s="60" t="s">
        <v>25</v>
      </c>
      <c r="B8" s="87" t="s">
        <v>338</v>
      </c>
      <c r="C8" s="61" t="s">
        <v>339</v>
      </c>
      <c r="D8" s="61" t="s">
        <v>340</v>
      </c>
      <c r="E8" s="61" t="s">
        <v>262</v>
      </c>
      <c r="F8" s="61" t="s">
        <v>341</v>
      </c>
      <c r="G8" s="61" t="s">
        <v>342</v>
      </c>
      <c r="H8" s="61" t="s">
        <v>343</v>
      </c>
      <c r="I8" s="61" t="s">
        <v>344</v>
      </c>
      <c r="J8" s="61" t="s">
        <v>345</v>
      </c>
      <c r="K8" s="88" t="s">
        <v>266</v>
      </c>
      <c r="L8" s="88" t="s">
        <v>346</v>
      </c>
      <c r="M8" s="283" t="str">
        <f ca="1">RefCellErrorMsg&amp;MCDErrorMsg&amp;LightBiasErrorMsg&amp;AirVoltageError&amp;AnalysisModeErrorMsg&amp;mobilitymodelerror</f>
        <v xml:space="preserve">  Saturated Reference Cell  - Data for MCD&gt; 4.9E+15 not valid   Remove Sample From Stage and Re-Zero Instrument  </v>
      </c>
      <c r="N8" s="284"/>
      <c r="O8" s="285"/>
      <c r="P8" s="43"/>
      <c r="Q8" s="43"/>
      <c r="R8" s="43"/>
      <c r="S8" s="43"/>
      <c r="T8" s="46"/>
    </row>
    <row r="9" spans="1:20" s="83" customFormat="1" ht="17.25" customHeight="1" x14ac:dyDescent="0.25">
      <c r="A9" s="89">
        <f>MeasuredLifetime</f>
        <v>9.0820652329804741</v>
      </c>
      <c r="B9" s="90">
        <f>CorrectedSheetRho</f>
        <v>23.008724091296607</v>
      </c>
      <c r="C9" s="91">
        <f>CorrectedResistivity</f>
        <v>0.41415703364333889</v>
      </c>
      <c r="D9" s="92">
        <f>Jo</f>
        <v>8.0819764740192272E-14</v>
      </c>
      <c r="E9" s="90">
        <f>TauFitIntercept</f>
        <v>9.5368416182487703</v>
      </c>
      <c r="F9" s="93">
        <f>MinApparentCD</f>
        <v>934386149398.05164</v>
      </c>
      <c r="G9" s="93">
        <f>MaxApparentCD</f>
        <v>5136517295787239</v>
      </c>
      <c r="H9" s="93">
        <f>BiasPtCD</f>
        <v>0</v>
      </c>
      <c r="I9" s="93">
        <f>Traps</f>
        <v>0</v>
      </c>
      <c r="J9" s="93">
        <f>SampleDoping</f>
        <v>9785536500003082</v>
      </c>
      <c r="K9" s="94">
        <f ca="1">ImpliedVoc1sun</f>
        <v>0.57464323717238142</v>
      </c>
      <c r="L9" s="95">
        <f>Temperature</f>
        <v>35.478814999999997</v>
      </c>
      <c r="M9" s="286"/>
      <c r="N9" s="287"/>
      <c r="O9" s="288"/>
      <c r="P9" s="43"/>
      <c r="Q9" s="82"/>
      <c r="R9" s="82"/>
      <c r="S9" s="82"/>
      <c r="T9" s="81"/>
    </row>
    <row r="10" spans="1:20" s="83" customFormat="1" ht="18" customHeight="1" x14ac:dyDescent="0.2">
      <c r="A10" s="275" t="str">
        <f>LifetimeTextLabel</f>
        <v>Lifetime = 9.08 µs @ 4.0E+15 cm-3</v>
      </c>
      <c r="B10" s="276"/>
      <c r="C10" s="276"/>
      <c r="D10" s="276"/>
      <c r="E10" s="276"/>
      <c r="F10" s="276"/>
      <c r="G10" s="276"/>
      <c r="H10" s="276"/>
      <c r="I10" s="277"/>
      <c r="J10" s="281" t="str">
        <f>PassFailMsg</f>
        <v/>
      </c>
      <c r="K10" s="96"/>
      <c r="M10" s="286"/>
      <c r="N10" s="287"/>
      <c r="O10" s="288"/>
      <c r="P10" s="96"/>
      <c r="Q10" s="97"/>
      <c r="R10" s="97"/>
      <c r="S10" s="97"/>
    </row>
    <row r="11" spans="1:20" ht="11.25" customHeight="1" x14ac:dyDescent="0.2">
      <c r="A11" s="278"/>
      <c r="B11" s="279"/>
      <c r="C11" s="279"/>
      <c r="D11" s="279"/>
      <c r="E11" s="279"/>
      <c r="F11" s="279"/>
      <c r="G11" s="279"/>
      <c r="H11" s="279"/>
      <c r="I11" s="280"/>
      <c r="J11" s="282"/>
      <c r="K11" s="41"/>
      <c r="M11" s="289"/>
      <c r="N11" s="290"/>
      <c r="O11" s="291"/>
      <c r="P11" s="41"/>
      <c r="Q11" s="41"/>
      <c r="R11" s="41"/>
      <c r="S11" s="41"/>
    </row>
    <row r="12" spans="1:20" x14ac:dyDescent="0.2">
      <c r="A12" s="98"/>
      <c r="B12" s="98"/>
      <c r="C12" s="98"/>
      <c r="D12" s="98"/>
      <c r="E12" s="43"/>
      <c r="F12" s="41"/>
      <c r="G12" s="41"/>
      <c r="H12" s="41"/>
      <c r="I12" s="41"/>
      <c r="J12" s="41"/>
      <c r="K12" s="41"/>
      <c r="L12" s="41"/>
      <c r="M12" s="41"/>
      <c r="N12" s="41"/>
      <c r="O12" s="41"/>
      <c r="P12" s="41"/>
      <c r="Q12" s="41"/>
      <c r="R12" s="41"/>
      <c r="S12" s="41"/>
    </row>
    <row r="13" spans="1:20" x14ac:dyDescent="0.2">
      <c r="A13" s="99"/>
      <c r="B13" s="82"/>
      <c r="C13" s="100"/>
      <c r="D13" s="101"/>
      <c r="E13" s="43"/>
      <c r="F13" s="41"/>
      <c r="G13" s="41"/>
      <c r="H13" s="41"/>
      <c r="I13" s="41"/>
      <c r="J13" s="41"/>
      <c r="K13" s="41"/>
      <c r="L13" s="41"/>
      <c r="M13" s="41"/>
      <c r="N13" s="41"/>
      <c r="O13" s="41"/>
      <c r="P13" s="41"/>
      <c r="Q13" s="41"/>
      <c r="R13" s="41"/>
      <c r="S13" s="41"/>
    </row>
    <row r="14" spans="1:20" x14ac:dyDescent="0.2">
      <c r="A14" s="43"/>
      <c r="B14" s="43"/>
      <c r="C14" s="43"/>
      <c r="D14" s="43"/>
      <c r="E14" s="43"/>
      <c r="F14" s="41"/>
      <c r="G14" s="41"/>
      <c r="H14" s="41"/>
      <c r="I14" s="41"/>
      <c r="J14" s="41"/>
      <c r="K14" s="41"/>
      <c r="L14" s="41"/>
      <c r="M14" s="41"/>
      <c r="N14" s="41"/>
      <c r="O14" s="41"/>
      <c r="P14" s="41"/>
      <c r="Q14" s="41"/>
      <c r="R14" s="41"/>
      <c r="S14" s="41"/>
    </row>
    <row r="15" spans="1:20" x14ac:dyDescent="0.2">
      <c r="A15" s="98"/>
      <c r="B15" s="98"/>
      <c r="C15" s="98"/>
      <c r="D15" s="98"/>
      <c r="E15" s="43"/>
      <c r="F15" s="41"/>
      <c r="G15" s="41"/>
      <c r="H15" s="41"/>
      <c r="I15" s="41"/>
      <c r="J15" s="41"/>
      <c r="K15" s="41"/>
      <c r="L15" s="41"/>
      <c r="M15" s="41"/>
      <c r="N15" s="41"/>
      <c r="O15" s="41"/>
      <c r="P15" s="41"/>
      <c r="Q15" s="41"/>
      <c r="R15" s="41"/>
      <c r="S15" s="41"/>
    </row>
    <row r="16" spans="1:20" x14ac:dyDescent="0.2">
      <c r="A16" s="99"/>
      <c r="B16" s="43"/>
      <c r="C16" s="102"/>
      <c r="D16" s="103"/>
      <c r="E16" s="43"/>
      <c r="F16" s="41"/>
      <c r="G16" s="41"/>
      <c r="H16" s="41"/>
      <c r="I16" s="41"/>
      <c r="J16" s="41"/>
      <c r="K16" s="41"/>
      <c r="L16" s="41"/>
      <c r="M16" s="41"/>
      <c r="N16" s="41"/>
      <c r="O16" s="41"/>
      <c r="P16" s="41"/>
      <c r="Q16" s="41"/>
      <c r="R16" s="41"/>
      <c r="S16" s="41"/>
    </row>
    <row r="17" spans="1:19" x14ac:dyDescent="0.2">
      <c r="A17" s="99"/>
      <c r="B17" s="43"/>
      <c r="C17" s="102"/>
      <c r="D17" s="103"/>
      <c r="E17" s="43"/>
      <c r="F17" s="41"/>
      <c r="G17" s="41"/>
      <c r="H17" s="41"/>
      <c r="I17" s="41"/>
      <c r="J17" s="41"/>
      <c r="K17" s="41"/>
      <c r="L17" s="41"/>
      <c r="M17" s="41"/>
      <c r="N17" s="41"/>
      <c r="O17" s="41"/>
      <c r="P17" s="41"/>
      <c r="Q17" s="41"/>
      <c r="R17" s="41"/>
      <c r="S17" s="41"/>
    </row>
    <row r="18" spans="1:19" x14ac:dyDescent="0.2">
      <c r="A18" s="43"/>
      <c r="B18" s="43"/>
      <c r="C18" s="43"/>
      <c r="D18" s="43"/>
      <c r="E18" s="43"/>
      <c r="F18" s="41"/>
      <c r="G18" s="41"/>
      <c r="H18" s="41"/>
      <c r="I18" s="41"/>
      <c r="J18" s="41"/>
      <c r="K18" s="41"/>
      <c r="L18" s="41"/>
      <c r="M18" s="41"/>
      <c r="N18" s="41"/>
      <c r="O18" s="41"/>
      <c r="P18" s="41"/>
      <c r="Q18" s="41"/>
      <c r="R18" s="41"/>
      <c r="S18" s="41"/>
    </row>
    <row r="19" spans="1:19" x14ac:dyDescent="0.2">
      <c r="A19" s="43"/>
      <c r="B19" s="43"/>
      <c r="C19" s="43"/>
      <c r="D19" s="43"/>
      <c r="E19" s="43"/>
      <c r="F19" s="41"/>
      <c r="G19" s="41"/>
      <c r="H19" s="41"/>
      <c r="I19" s="41"/>
      <c r="J19" s="41"/>
      <c r="K19" s="41"/>
      <c r="L19" s="41"/>
      <c r="M19" s="41"/>
      <c r="N19" s="41"/>
      <c r="O19" s="41"/>
      <c r="P19" s="41"/>
      <c r="Q19" s="41"/>
      <c r="R19" s="41"/>
      <c r="S19" s="41"/>
    </row>
    <row r="20" spans="1:19" x14ac:dyDescent="0.2">
      <c r="A20" s="41"/>
      <c r="B20" s="41"/>
      <c r="C20" s="41"/>
      <c r="D20" s="41"/>
      <c r="E20" s="41"/>
      <c r="F20" s="41"/>
      <c r="G20" s="41"/>
      <c r="H20" s="41"/>
      <c r="I20" s="41"/>
      <c r="J20" s="41"/>
      <c r="K20" s="41"/>
      <c r="L20" s="41"/>
      <c r="M20" s="41"/>
      <c r="N20" s="41"/>
      <c r="O20" s="41"/>
      <c r="P20" s="41"/>
      <c r="Q20" s="41"/>
      <c r="R20" s="41"/>
      <c r="S20" s="41"/>
    </row>
    <row r="21" spans="1:19" x14ac:dyDescent="0.2">
      <c r="A21" s="41"/>
      <c r="B21" s="41"/>
      <c r="C21" s="41"/>
      <c r="D21" s="41"/>
      <c r="E21" s="41"/>
      <c r="F21" s="41"/>
      <c r="G21" s="41"/>
      <c r="H21" s="41"/>
      <c r="I21" s="41"/>
      <c r="J21" s="41"/>
      <c r="K21" s="41"/>
      <c r="L21" s="41"/>
      <c r="M21" s="41"/>
      <c r="N21" s="41"/>
      <c r="O21" s="41"/>
      <c r="P21" s="41"/>
      <c r="Q21" s="41"/>
      <c r="R21" s="41"/>
      <c r="S21" s="41"/>
    </row>
    <row r="22" spans="1:19" x14ac:dyDescent="0.2">
      <c r="A22" s="41"/>
      <c r="B22" s="41"/>
      <c r="C22" s="41"/>
      <c r="D22" s="41"/>
      <c r="E22" s="41"/>
      <c r="F22" s="41"/>
      <c r="G22" s="41"/>
      <c r="H22" s="41"/>
      <c r="I22" s="41"/>
      <c r="J22" s="41"/>
      <c r="K22" s="41"/>
      <c r="L22" s="41"/>
      <c r="M22" s="41"/>
      <c r="N22" s="41"/>
      <c r="O22" s="41"/>
      <c r="P22" s="41"/>
      <c r="Q22" s="41"/>
      <c r="R22" s="41"/>
      <c r="S22" s="41"/>
    </row>
    <row r="23" spans="1:19" x14ac:dyDescent="0.2">
      <c r="A23" s="41"/>
      <c r="B23" s="41"/>
      <c r="C23" s="41"/>
      <c r="D23" s="41"/>
      <c r="E23" s="41"/>
      <c r="F23" s="41"/>
      <c r="G23" s="41"/>
      <c r="H23" s="41"/>
      <c r="I23" s="41"/>
      <c r="J23" s="41"/>
      <c r="K23" s="41"/>
      <c r="L23" s="41"/>
      <c r="M23" s="41"/>
      <c r="N23" s="41"/>
      <c r="O23" s="41"/>
      <c r="P23" s="41"/>
      <c r="Q23" s="41"/>
      <c r="R23" s="41"/>
      <c r="S23" s="41"/>
    </row>
    <row r="24" spans="1:19" x14ac:dyDescent="0.2">
      <c r="A24" s="41"/>
      <c r="B24" s="41"/>
      <c r="C24" s="41"/>
      <c r="D24" s="41"/>
      <c r="E24" s="41"/>
      <c r="F24" s="41"/>
      <c r="G24" s="41"/>
      <c r="H24" s="41"/>
      <c r="I24" s="41"/>
      <c r="J24" s="41"/>
      <c r="K24" s="41"/>
      <c r="L24" s="41"/>
      <c r="M24" s="41"/>
      <c r="N24" s="41"/>
      <c r="O24" s="41"/>
      <c r="P24" s="41"/>
      <c r="Q24" s="41"/>
      <c r="R24" s="41"/>
      <c r="S24" s="41"/>
    </row>
    <row r="25" spans="1:19" x14ac:dyDescent="0.2">
      <c r="A25" s="41"/>
      <c r="B25" s="41"/>
      <c r="C25" s="41"/>
      <c r="D25" s="41"/>
      <c r="E25" s="41"/>
      <c r="F25" s="41"/>
      <c r="G25" s="41"/>
      <c r="H25" s="41"/>
      <c r="I25" s="41"/>
      <c r="J25" s="41"/>
      <c r="K25" s="41"/>
      <c r="L25" s="41"/>
      <c r="M25" s="41"/>
      <c r="N25" s="41"/>
      <c r="O25" s="41"/>
      <c r="P25" s="41"/>
      <c r="Q25" s="41"/>
      <c r="R25" s="41"/>
      <c r="S25" s="41"/>
    </row>
    <row r="26" spans="1:19" x14ac:dyDescent="0.2">
      <c r="A26" s="41"/>
      <c r="B26" s="41"/>
      <c r="C26" s="41"/>
      <c r="D26" s="41"/>
      <c r="E26" s="41"/>
      <c r="F26" s="41"/>
      <c r="G26" s="41"/>
      <c r="H26" s="41"/>
      <c r="I26" s="41"/>
      <c r="J26" s="41"/>
      <c r="K26" s="41"/>
      <c r="L26" s="41"/>
      <c r="M26" s="41"/>
      <c r="N26" s="41"/>
      <c r="O26" s="41"/>
      <c r="P26" s="41"/>
      <c r="Q26" s="41"/>
      <c r="R26" s="41"/>
      <c r="S26" s="41"/>
    </row>
    <row r="27" spans="1:19" x14ac:dyDescent="0.2">
      <c r="A27" s="41"/>
      <c r="B27" s="41"/>
      <c r="C27" s="41"/>
      <c r="D27" s="41"/>
      <c r="E27" s="41"/>
      <c r="F27" s="41"/>
      <c r="G27" s="41"/>
      <c r="H27" s="41"/>
      <c r="I27" s="41"/>
      <c r="J27" s="41"/>
      <c r="K27" s="41"/>
      <c r="L27" s="41"/>
      <c r="M27" s="41"/>
      <c r="N27" s="41"/>
      <c r="O27" s="41"/>
      <c r="P27" s="41"/>
      <c r="Q27" s="41"/>
      <c r="R27" s="41"/>
      <c r="S27" s="41"/>
    </row>
    <row r="28" spans="1:19" x14ac:dyDescent="0.2">
      <c r="A28" s="41"/>
      <c r="B28" s="41"/>
      <c r="C28" s="41"/>
      <c r="D28" s="41"/>
      <c r="E28" s="41"/>
      <c r="F28" s="41"/>
      <c r="G28" s="41"/>
      <c r="H28" s="41"/>
      <c r="I28" s="41"/>
      <c r="J28" s="41"/>
      <c r="K28" s="41"/>
      <c r="L28" s="41"/>
      <c r="M28" s="41"/>
      <c r="N28" s="41"/>
      <c r="O28" s="41"/>
      <c r="P28" s="41"/>
      <c r="Q28" s="41"/>
      <c r="R28" s="41"/>
      <c r="S28" s="41"/>
    </row>
    <row r="29" spans="1:19" x14ac:dyDescent="0.2">
      <c r="A29" s="41"/>
      <c r="B29" s="41"/>
      <c r="C29" s="41"/>
      <c r="D29" s="41"/>
      <c r="E29" s="41"/>
      <c r="F29" s="41"/>
      <c r="G29" s="41"/>
      <c r="H29" s="41"/>
      <c r="I29" s="41"/>
      <c r="J29" s="41"/>
      <c r="K29" s="41"/>
      <c r="L29" s="41"/>
      <c r="M29" s="41"/>
      <c r="N29" s="41"/>
      <c r="O29" s="41"/>
      <c r="P29" s="41"/>
      <c r="Q29" s="41"/>
      <c r="R29" s="41"/>
      <c r="S29" s="41"/>
    </row>
    <row r="30" spans="1:19" x14ac:dyDescent="0.2">
      <c r="A30" s="41"/>
      <c r="B30" s="41"/>
      <c r="C30" s="41"/>
      <c r="D30" s="41"/>
      <c r="E30" s="41"/>
      <c r="F30" s="41"/>
      <c r="G30" s="41"/>
      <c r="H30" s="41"/>
      <c r="I30" s="41"/>
      <c r="J30" s="41"/>
      <c r="K30" s="41"/>
      <c r="L30" s="41"/>
      <c r="M30" s="41"/>
      <c r="N30" s="41"/>
      <c r="O30" s="41"/>
      <c r="P30" s="41"/>
      <c r="Q30" s="41"/>
      <c r="R30" s="41"/>
      <c r="S30" s="41"/>
    </row>
    <row r="31" spans="1:19" x14ac:dyDescent="0.2">
      <c r="A31" s="41"/>
      <c r="B31" s="41"/>
      <c r="C31" s="41"/>
      <c r="D31" s="41"/>
      <c r="E31" s="41"/>
      <c r="F31" s="41"/>
      <c r="G31" s="41"/>
      <c r="H31" s="41"/>
      <c r="I31" s="41"/>
      <c r="J31" s="41"/>
      <c r="K31" s="41"/>
      <c r="L31" s="41"/>
      <c r="M31" s="41"/>
      <c r="N31" s="41"/>
      <c r="O31" s="41"/>
      <c r="P31" s="41"/>
      <c r="Q31" s="41"/>
      <c r="R31" s="41"/>
      <c r="S31" s="41"/>
    </row>
    <row r="32" spans="1:19" x14ac:dyDescent="0.2">
      <c r="A32" s="41"/>
      <c r="B32" s="41"/>
      <c r="C32" s="41"/>
      <c r="D32" s="41"/>
      <c r="E32" s="41"/>
      <c r="F32" s="41"/>
      <c r="G32" s="41"/>
      <c r="H32" s="41"/>
      <c r="I32" s="41"/>
      <c r="J32" s="41"/>
      <c r="K32" s="41"/>
      <c r="L32" s="41"/>
      <c r="M32" s="41"/>
      <c r="N32" s="41"/>
      <c r="O32" s="41"/>
      <c r="P32" s="41"/>
      <c r="Q32" s="41"/>
      <c r="R32" s="41"/>
      <c r="S32" s="41"/>
    </row>
    <row r="33" spans="1:19" x14ac:dyDescent="0.2">
      <c r="A33" s="41"/>
      <c r="B33" s="41"/>
      <c r="C33" s="41"/>
      <c r="D33" s="41"/>
      <c r="E33" s="41"/>
      <c r="F33" s="41"/>
      <c r="G33" s="41"/>
      <c r="H33" s="41"/>
      <c r="I33" s="41"/>
      <c r="J33" s="41"/>
      <c r="K33" s="41"/>
      <c r="L33" s="41"/>
      <c r="M33" s="41"/>
      <c r="N33" s="41"/>
      <c r="O33" s="41"/>
      <c r="P33" s="41"/>
      <c r="Q33" s="41"/>
      <c r="R33" s="41"/>
      <c r="S33" s="41"/>
    </row>
    <row r="34" spans="1:19" x14ac:dyDescent="0.2">
      <c r="A34" s="41"/>
      <c r="B34" s="41"/>
      <c r="C34" s="41"/>
      <c r="D34" s="41"/>
      <c r="E34" s="41"/>
      <c r="F34" s="41"/>
      <c r="G34" s="41"/>
      <c r="H34" s="41"/>
      <c r="I34" s="41"/>
      <c r="J34" s="41"/>
      <c r="K34" s="41"/>
      <c r="L34" s="41"/>
      <c r="M34" s="41"/>
      <c r="N34" s="41"/>
      <c r="O34" s="41"/>
      <c r="P34" s="41"/>
      <c r="Q34" s="41"/>
      <c r="R34" s="41"/>
      <c r="S34" s="41"/>
    </row>
    <row r="35" spans="1:19" x14ac:dyDescent="0.2">
      <c r="A35" s="41"/>
      <c r="B35" s="41"/>
      <c r="C35" s="41"/>
      <c r="D35" s="41"/>
      <c r="E35" s="41"/>
      <c r="F35" s="41"/>
      <c r="G35" s="41"/>
      <c r="H35" s="41"/>
      <c r="I35" s="41"/>
      <c r="J35" s="41"/>
      <c r="K35" s="41"/>
      <c r="L35" s="41"/>
      <c r="M35" s="41"/>
      <c r="N35" s="41"/>
      <c r="O35" s="41"/>
      <c r="P35" s="41"/>
      <c r="Q35" s="41"/>
      <c r="R35" s="41"/>
      <c r="S35" s="41"/>
    </row>
    <row r="36" spans="1:19" x14ac:dyDescent="0.2">
      <c r="A36" s="41"/>
      <c r="B36" s="41"/>
      <c r="C36" s="41"/>
      <c r="D36" s="41"/>
      <c r="E36" s="41"/>
      <c r="F36" s="41"/>
      <c r="G36" s="41"/>
      <c r="H36" s="41"/>
      <c r="I36" s="41"/>
      <c r="J36" s="41"/>
      <c r="K36" s="41"/>
      <c r="L36" s="41"/>
      <c r="M36" s="41"/>
      <c r="N36" s="41"/>
      <c r="O36" s="41"/>
      <c r="P36" s="41"/>
      <c r="Q36" s="41"/>
      <c r="R36" s="41"/>
      <c r="S36" s="41"/>
    </row>
    <row r="37" spans="1:19" x14ac:dyDescent="0.2">
      <c r="A37" s="41"/>
      <c r="B37" s="41"/>
      <c r="C37" s="41"/>
      <c r="D37" s="41"/>
      <c r="E37" s="41"/>
      <c r="F37" s="41"/>
      <c r="G37" s="41"/>
      <c r="H37" s="41"/>
      <c r="I37" s="41"/>
      <c r="J37" s="41"/>
      <c r="K37" s="41"/>
      <c r="L37" s="41"/>
      <c r="M37" s="41"/>
      <c r="N37" s="41"/>
      <c r="O37" s="41"/>
      <c r="P37" s="41"/>
      <c r="Q37" s="41"/>
      <c r="R37" s="41"/>
      <c r="S37" s="41"/>
    </row>
    <row r="38" spans="1:19" x14ac:dyDescent="0.2">
      <c r="A38" s="41"/>
      <c r="B38" s="41"/>
      <c r="C38" s="41"/>
      <c r="D38" s="41"/>
      <c r="E38" s="41"/>
      <c r="F38" s="41"/>
      <c r="G38" s="41"/>
      <c r="H38" s="41"/>
      <c r="I38" s="41"/>
      <c r="J38" s="41"/>
      <c r="K38" s="41"/>
      <c r="L38" s="41"/>
      <c r="M38" s="41"/>
      <c r="N38" s="41"/>
      <c r="O38" s="41"/>
      <c r="P38" s="41"/>
      <c r="Q38" s="41"/>
      <c r="R38" s="41"/>
      <c r="S38" s="41"/>
    </row>
    <row r="39" spans="1:19" x14ac:dyDescent="0.2">
      <c r="A39" s="41"/>
      <c r="B39" s="41"/>
      <c r="C39" s="41"/>
      <c r="D39" s="41"/>
      <c r="E39" s="41"/>
      <c r="F39" s="41"/>
      <c r="G39" s="41"/>
      <c r="H39" s="41"/>
      <c r="I39" s="41"/>
      <c r="J39" s="41"/>
      <c r="K39" s="41"/>
      <c r="L39" s="41"/>
      <c r="M39" s="41"/>
      <c r="N39" s="41"/>
      <c r="O39" s="41"/>
      <c r="P39" s="41"/>
      <c r="Q39" s="41"/>
      <c r="R39" s="41"/>
      <c r="S39" s="41"/>
    </row>
    <row r="40" spans="1:19" x14ac:dyDescent="0.2">
      <c r="A40" s="41"/>
      <c r="B40" s="41"/>
      <c r="C40" s="41"/>
      <c r="D40" s="41"/>
      <c r="E40" s="41"/>
      <c r="F40" s="41"/>
      <c r="G40" s="41"/>
      <c r="H40" s="41"/>
      <c r="I40" s="41"/>
      <c r="J40" s="41"/>
      <c r="K40" s="41"/>
      <c r="L40" s="41"/>
      <c r="M40" s="41"/>
      <c r="N40" s="41"/>
      <c r="O40" s="41"/>
      <c r="P40" s="41"/>
      <c r="Q40" s="41"/>
      <c r="R40" s="41"/>
      <c r="S40" s="41"/>
    </row>
    <row r="41" spans="1:19" x14ac:dyDescent="0.2">
      <c r="A41" s="41"/>
      <c r="B41" s="41"/>
      <c r="C41" s="41"/>
      <c r="D41" s="41"/>
      <c r="E41" s="41"/>
      <c r="F41" s="41"/>
      <c r="G41" s="41"/>
      <c r="H41" s="41"/>
      <c r="I41" s="41"/>
      <c r="J41" s="41"/>
      <c r="K41" s="41"/>
      <c r="L41" s="41"/>
      <c r="M41" s="41"/>
      <c r="N41" s="41"/>
      <c r="O41" s="41"/>
      <c r="P41" s="41"/>
      <c r="Q41" s="41"/>
      <c r="R41" s="41"/>
      <c r="S41" s="41"/>
    </row>
    <row r="42" spans="1:19" x14ac:dyDescent="0.2">
      <c r="A42" s="41"/>
      <c r="B42" s="41"/>
      <c r="C42" s="41"/>
      <c r="D42" s="41"/>
      <c r="E42" s="41"/>
      <c r="F42" s="41"/>
      <c r="G42" s="41"/>
      <c r="H42" s="41"/>
      <c r="I42" s="41"/>
      <c r="J42" s="41"/>
      <c r="K42" s="41"/>
      <c r="L42" s="41"/>
      <c r="M42" s="41"/>
      <c r="N42" s="41"/>
      <c r="O42" s="41"/>
      <c r="P42" s="41"/>
      <c r="Q42" s="41"/>
      <c r="R42" s="41"/>
      <c r="S42" s="41"/>
    </row>
    <row r="43" spans="1:19" x14ac:dyDescent="0.2">
      <c r="A43" s="41"/>
      <c r="B43" s="41"/>
      <c r="C43" s="41"/>
      <c r="D43" s="41"/>
      <c r="E43" s="41"/>
      <c r="F43" s="41"/>
      <c r="G43" s="41"/>
      <c r="H43" s="41"/>
      <c r="I43" s="41"/>
      <c r="J43" s="41"/>
      <c r="K43" s="41"/>
      <c r="L43" s="41"/>
      <c r="M43" s="41"/>
      <c r="N43" s="41"/>
      <c r="O43" s="41"/>
      <c r="P43" s="41"/>
      <c r="Q43" s="41"/>
      <c r="R43" s="41"/>
      <c r="S43" s="41"/>
    </row>
    <row r="44" spans="1:19" x14ac:dyDescent="0.2">
      <c r="A44" s="41"/>
      <c r="B44" s="41"/>
      <c r="C44" s="41"/>
      <c r="D44" s="41"/>
      <c r="E44" s="41"/>
      <c r="F44" s="41"/>
      <c r="G44" s="41"/>
      <c r="H44" s="41"/>
      <c r="I44" s="41"/>
      <c r="J44" s="41"/>
      <c r="K44" s="41"/>
      <c r="L44" s="41"/>
      <c r="M44" s="41"/>
      <c r="N44" s="41"/>
      <c r="O44" s="41"/>
      <c r="P44" s="41"/>
      <c r="Q44" s="41"/>
      <c r="R44" s="41"/>
      <c r="S44" s="41"/>
    </row>
    <row r="45" spans="1:19" x14ac:dyDescent="0.2">
      <c r="A45" s="41"/>
      <c r="B45" s="41"/>
      <c r="C45" s="41"/>
      <c r="D45" s="41"/>
      <c r="E45" s="41"/>
      <c r="F45" s="41"/>
      <c r="G45" s="41"/>
      <c r="H45" s="41"/>
      <c r="I45" s="41"/>
      <c r="J45" s="41"/>
      <c r="K45" s="41"/>
      <c r="L45" s="41"/>
      <c r="M45" s="41"/>
      <c r="N45" s="41"/>
      <c r="O45" s="41"/>
      <c r="P45" s="41"/>
      <c r="Q45" s="41"/>
      <c r="R45" s="41"/>
      <c r="S45" s="41"/>
    </row>
    <row r="46" spans="1:19" x14ac:dyDescent="0.2">
      <c r="A46" s="41"/>
      <c r="B46" s="41"/>
      <c r="C46" s="41"/>
      <c r="D46" s="41"/>
      <c r="E46" s="41"/>
      <c r="F46" s="41"/>
      <c r="G46" s="41"/>
      <c r="H46" s="41"/>
      <c r="I46" s="41"/>
      <c r="J46" s="41"/>
      <c r="K46" s="41"/>
      <c r="L46" s="41"/>
      <c r="M46" s="41"/>
      <c r="N46" s="41"/>
      <c r="O46" s="41"/>
      <c r="P46" s="41"/>
      <c r="Q46" s="41"/>
      <c r="R46" s="41"/>
      <c r="S46" s="41"/>
    </row>
    <row r="47" spans="1:19" x14ac:dyDescent="0.2">
      <c r="A47" s="41"/>
      <c r="B47" s="41"/>
      <c r="C47" s="41"/>
      <c r="D47" s="41"/>
      <c r="E47" s="41"/>
      <c r="F47" s="41"/>
      <c r="G47" s="41"/>
      <c r="H47" s="41"/>
      <c r="I47" s="41"/>
      <c r="J47" s="41"/>
      <c r="K47" s="41"/>
      <c r="L47" s="41"/>
      <c r="M47" s="41"/>
      <c r="N47" s="41"/>
      <c r="O47" s="41"/>
      <c r="P47" s="41"/>
      <c r="Q47" s="41"/>
      <c r="R47" s="41"/>
      <c r="S47" s="41"/>
    </row>
    <row r="48" spans="1:19" x14ac:dyDescent="0.2">
      <c r="A48" s="41"/>
      <c r="B48" s="41"/>
      <c r="C48" s="41"/>
      <c r="D48" s="41"/>
      <c r="E48" s="41"/>
      <c r="F48" s="41"/>
      <c r="G48" s="41"/>
      <c r="H48" s="41"/>
      <c r="I48" s="41"/>
      <c r="J48" s="41"/>
      <c r="K48" s="41"/>
      <c r="L48" s="41"/>
      <c r="M48" s="41"/>
      <c r="N48" s="41"/>
      <c r="O48" s="41"/>
      <c r="P48" s="41"/>
      <c r="Q48" s="41"/>
      <c r="R48" s="41"/>
      <c r="S48" s="41"/>
    </row>
    <row r="49" spans="1:19" x14ac:dyDescent="0.2">
      <c r="A49" s="41"/>
      <c r="B49" s="41"/>
      <c r="C49" s="41"/>
      <c r="D49" s="41"/>
      <c r="E49" s="41"/>
      <c r="F49" s="41"/>
      <c r="G49" s="41"/>
      <c r="H49" s="41"/>
      <c r="I49" s="41"/>
      <c r="J49" s="41"/>
      <c r="K49" s="41"/>
      <c r="L49" s="41"/>
      <c r="M49" s="41"/>
      <c r="N49" s="41"/>
      <c r="O49" s="41"/>
      <c r="P49" s="41"/>
      <c r="Q49" s="41"/>
      <c r="R49" s="41"/>
      <c r="S49" s="41"/>
    </row>
    <row r="50" spans="1:19" x14ac:dyDescent="0.2">
      <c r="A50" s="41"/>
      <c r="B50" s="41"/>
      <c r="C50" s="41"/>
      <c r="D50" s="41"/>
      <c r="E50" s="41"/>
      <c r="F50" s="41"/>
      <c r="G50" s="41"/>
      <c r="H50" s="41"/>
      <c r="I50" s="41"/>
      <c r="J50" s="41"/>
      <c r="K50" s="41"/>
      <c r="L50" s="41"/>
      <c r="M50" s="41"/>
      <c r="N50" s="41"/>
      <c r="O50" s="41"/>
      <c r="P50" s="41"/>
      <c r="Q50" s="41"/>
      <c r="R50" s="41"/>
      <c r="S50" s="41"/>
    </row>
    <row r="51" spans="1:19" x14ac:dyDescent="0.2">
      <c r="A51" s="41"/>
      <c r="B51" s="41"/>
      <c r="C51" s="41"/>
      <c r="D51" s="41"/>
      <c r="E51" s="41"/>
      <c r="F51" s="41"/>
      <c r="G51" s="41"/>
      <c r="H51" s="41"/>
      <c r="I51" s="41"/>
      <c r="J51" s="41"/>
      <c r="K51" s="41"/>
      <c r="L51" s="41"/>
      <c r="M51" s="41"/>
      <c r="N51" s="41"/>
      <c r="O51" s="41"/>
      <c r="P51" s="41"/>
      <c r="Q51" s="41"/>
      <c r="R51" s="41"/>
      <c r="S51" s="41"/>
    </row>
    <row r="52" spans="1:19" x14ac:dyDescent="0.2">
      <c r="A52" s="41"/>
      <c r="B52" s="41"/>
      <c r="C52" s="41"/>
      <c r="D52" s="41"/>
      <c r="E52" s="41"/>
      <c r="F52" s="41"/>
      <c r="G52" s="41"/>
      <c r="H52" s="41"/>
      <c r="I52" s="41"/>
      <c r="J52" s="41"/>
      <c r="K52" s="41"/>
      <c r="L52" s="41"/>
      <c r="M52" s="41"/>
      <c r="N52" s="41"/>
      <c r="O52" s="41"/>
      <c r="P52" s="41"/>
      <c r="Q52" s="41"/>
      <c r="R52" s="41"/>
      <c r="S52" s="41"/>
    </row>
    <row r="53" spans="1:19" x14ac:dyDescent="0.2">
      <c r="A53" s="41"/>
      <c r="B53" s="41"/>
      <c r="C53" s="41"/>
      <c r="D53" s="41"/>
      <c r="E53" s="41"/>
      <c r="F53" s="41"/>
      <c r="G53" s="41"/>
      <c r="H53" s="41"/>
      <c r="I53" s="41"/>
      <c r="J53" s="41"/>
      <c r="K53" s="41"/>
      <c r="L53" s="41"/>
      <c r="M53" s="41"/>
      <c r="N53" s="41"/>
      <c r="O53" s="41"/>
      <c r="P53" s="41"/>
      <c r="Q53" s="41"/>
      <c r="R53" s="41"/>
      <c r="S53" s="41"/>
    </row>
    <row r="54" spans="1:19" x14ac:dyDescent="0.2">
      <c r="A54" s="41"/>
      <c r="B54" s="41"/>
      <c r="C54" s="41"/>
      <c r="D54" s="41"/>
      <c r="E54" s="41"/>
      <c r="F54" s="41"/>
      <c r="G54" s="41"/>
      <c r="H54" s="41"/>
      <c r="I54" s="41"/>
      <c r="J54" s="41"/>
      <c r="K54" s="41"/>
      <c r="L54" s="41"/>
      <c r="M54" s="41"/>
      <c r="N54" s="41"/>
      <c r="O54" s="41"/>
      <c r="P54" s="41"/>
      <c r="Q54" s="41"/>
      <c r="R54" s="41"/>
      <c r="S54" s="41"/>
    </row>
    <row r="55" spans="1:19" x14ac:dyDescent="0.2">
      <c r="A55" s="41"/>
      <c r="B55" s="41"/>
      <c r="C55" s="41"/>
      <c r="D55" s="41"/>
      <c r="E55" s="41"/>
      <c r="F55" s="41"/>
      <c r="G55" s="41"/>
      <c r="H55" s="41"/>
      <c r="I55" s="41"/>
      <c r="J55" s="41"/>
      <c r="K55" s="41"/>
      <c r="L55" s="41"/>
      <c r="M55" s="41"/>
      <c r="N55" s="41"/>
      <c r="O55" s="41"/>
      <c r="P55" s="41"/>
      <c r="Q55" s="41"/>
      <c r="R55" s="41"/>
      <c r="S55" s="41"/>
    </row>
    <row r="56" spans="1:19" x14ac:dyDescent="0.2">
      <c r="A56" s="41"/>
      <c r="B56" s="41"/>
      <c r="C56" s="41"/>
      <c r="D56" s="41"/>
      <c r="E56" s="41"/>
      <c r="F56" s="41"/>
      <c r="G56" s="41"/>
      <c r="H56" s="41"/>
      <c r="I56" s="41"/>
      <c r="J56" s="41"/>
      <c r="K56" s="41"/>
      <c r="L56" s="41"/>
      <c r="M56" s="41"/>
      <c r="N56" s="41"/>
      <c r="O56" s="41"/>
      <c r="P56" s="41"/>
      <c r="Q56" s="41"/>
      <c r="R56" s="41"/>
      <c r="S56" s="41"/>
    </row>
    <row r="57" spans="1:19" x14ac:dyDescent="0.2">
      <c r="A57" s="41"/>
      <c r="B57" s="41"/>
      <c r="C57" s="41"/>
      <c r="D57" s="41"/>
      <c r="E57" s="41"/>
      <c r="F57" s="41"/>
      <c r="G57" s="41"/>
      <c r="H57" s="41"/>
      <c r="I57" s="41"/>
      <c r="J57" s="41"/>
      <c r="K57" s="41"/>
      <c r="L57" s="41"/>
      <c r="M57" s="41"/>
      <c r="N57" s="41"/>
      <c r="O57" s="41"/>
      <c r="P57" s="41"/>
      <c r="Q57" s="41"/>
      <c r="R57" s="41"/>
      <c r="S57" s="41"/>
    </row>
    <row r="66" spans="2:2" x14ac:dyDescent="0.2">
      <c r="B66" s="104"/>
    </row>
    <row r="67" spans="2:2" x14ac:dyDescent="0.2">
      <c r="B67" s="104"/>
    </row>
    <row r="68" spans="2:2" x14ac:dyDescent="0.2">
      <c r="B68" s="104"/>
    </row>
    <row r="69" spans="2:2" x14ac:dyDescent="0.2">
      <c r="B69" s="104"/>
    </row>
    <row r="70" spans="2:2" x14ac:dyDescent="0.2">
      <c r="B70" s="104"/>
    </row>
    <row r="71" spans="2:2" x14ac:dyDescent="0.2">
      <c r="B71" s="104"/>
    </row>
    <row r="72" spans="2:2" x14ac:dyDescent="0.2">
      <c r="B72" s="104"/>
    </row>
    <row r="73" spans="2:2" x14ac:dyDescent="0.2">
      <c r="B73" s="104"/>
    </row>
    <row r="74" spans="2:2" x14ac:dyDescent="0.2">
      <c r="B74" s="104"/>
    </row>
    <row r="75" spans="2:2" x14ac:dyDescent="0.2">
      <c r="B75" s="104"/>
    </row>
    <row r="76" spans="2:2" x14ac:dyDescent="0.2">
      <c r="B76" s="104"/>
    </row>
    <row r="135" spans="1:3" x14ac:dyDescent="0.2">
      <c r="A135" s="39" t="s">
        <v>9</v>
      </c>
    </row>
    <row r="136" spans="1:3" x14ac:dyDescent="0.2">
      <c r="C136" s="105">
        <v>1.46738701E-2</v>
      </c>
    </row>
  </sheetData>
  <sheetProtection sheet="1" objects="1" scenarios="1" selectLockedCells="1"/>
  <mergeCells count="3">
    <mergeCell ref="A10:I11"/>
    <mergeCell ref="J10:J11"/>
    <mergeCell ref="M8:O11"/>
  </mergeCells>
  <phoneticPr fontId="3"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99" r:id="rId4" name="Button 99">
              <controlPr defaultSize="0" print="0" autoFill="0" autoPict="0" macro="[0]!RescaleInverse">
                <anchor>
                  <from>
                    <xdr:col>12</xdr:col>
                    <xdr:colOff>104775</xdr:colOff>
                    <xdr:row>11</xdr:row>
                    <xdr:rowOff>28575</xdr:rowOff>
                  </from>
                  <to>
                    <xdr:col>13</xdr:col>
                    <xdr:colOff>0</xdr:colOff>
                    <xdr:row>13</xdr:row>
                    <xdr:rowOff>104775</xdr:rowOff>
                  </to>
                </anchor>
              </controlPr>
            </control>
          </mc:Choice>
        </mc:AlternateContent>
        <mc:AlternateContent xmlns:mc="http://schemas.openxmlformats.org/markup-compatibility/2006">
          <mc:Choice Requires="x14">
            <control shapeId="51300" r:id="rId5" name="Button 100">
              <controlPr defaultSize="0" print="0" autoFill="0" autoPict="0" macro="[0]!RescaleLifetime">
                <anchor>
                  <from>
                    <xdr:col>12</xdr:col>
                    <xdr:colOff>85725</xdr:colOff>
                    <xdr:row>33</xdr:row>
                    <xdr:rowOff>28575</xdr:rowOff>
                  </from>
                  <to>
                    <xdr:col>12</xdr:col>
                    <xdr:colOff>733425</xdr:colOff>
                    <xdr:row>35</xdr:row>
                    <xdr:rowOff>114300</xdr:rowOff>
                  </to>
                </anchor>
              </controlPr>
            </control>
          </mc:Choice>
        </mc:AlternateContent>
        <mc:AlternateContent xmlns:mc="http://schemas.openxmlformats.org/markup-compatibility/2006">
          <mc:Choice Requires="x14">
            <control shapeId="51322" r:id="rId6" name="Spinner 122">
              <controlPr defaultSize="0" autoPict="0" macro="[0]!Spinner122_Change">
                <anchor>
                  <from>
                    <xdr:col>9</xdr:col>
                    <xdr:colOff>0</xdr:colOff>
                    <xdr:row>0</xdr:row>
                    <xdr:rowOff>104775</xdr:rowOff>
                  </from>
                  <to>
                    <xdr:col>9</xdr:col>
                    <xdr:colOff>381000</xdr:colOff>
                    <xdr:row>2</xdr:row>
                    <xdr:rowOff>85725</xdr:rowOff>
                  </to>
                </anchor>
              </controlPr>
            </control>
          </mc:Choice>
        </mc:AlternateContent>
      </controls>
    </mc:Choice>
  </mc:AlternateContent>
  <webPublishItems count="1">
    <webPublishItem id="5403" divId="QSS2PC99f_5403" sourceType="sheet" destinationFile="C:\Stu\Consulting\New XL Files\PCfiles\Page.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08"/>
  <sheetViews>
    <sheetView zoomScale="85" zoomScaleNormal="85" workbookViewId="0">
      <selection activeCell="F3" sqref="F3"/>
    </sheetView>
  </sheetViews>
  <sheetFormatPr defaultColWidth="11.42578125" defaultRowHeight="12.75" x14ac:dyDescent="0.2"/>
  <cols>
    <col min="1" max="1" width="11.7109375" style="200" customWidth="1"/>
    <col min="2" max="2" width="13.85546875" style="200" customWidth="1"/>
    <col min="3" max="3" width="12" style="200" customWidth="1"/>
    <col min="4" max="4" width="11" style="200" customWidth="1"/>
    <col min="5" max="5" width="11.85546875" style="200" customWidth="1"/>
    <col min="6" max="6" width="13.42578125" style="200" customWidth="1"/>
    <col min="7" max="7" width="12" style="200" customWidth="1"/>
    <col min="8" max="8" width="13.85546875" style="200" customWidth="1"/>
    <col min="9" max="9" width="14" style="200" customWidth="1"/>
    <col min="10" max="10" width="14.5703125" style="200" customWidth="1"/>
    <col min="11" max="11" width="13.85546875" style="200" customWidth="1"/>
    <col min="12" max="12" width="14.5703125" style="200" customWidth="1"/>
    <col min="13" max="13" width="13.7109375" style="200" customWidth="1"/>
    <col min="14" max="14" width="13.28515625" style="200" customWidth="1"/>
    <col min="15" max="15" width="14.5703125" style="200" customWidth="1"/>
    <col min="16" max="16" width="12.85546875" style="200" customWidth="1"/>
    <col min="17" max="17" width="15.7109375" style="200" customWidth="1"/>
    <col min="18" max="18" width="13.42578125" style="200" customWidth="1"/>
    <col min="19" max="19" width="14" style="200" customWidth="1"/>
    <col min="20" max="20" width="15.42578125" style="200" customWidth="1"/>
    <col min="21" max="21" width="16.85546875" style="200" customWidth="1"/>
    <col min="22" max="22" width="17.5703125" style="200" customWidth="1"/>
    <col min="23" max="23" width="15.140625" style="200" customWidth="1"/>
    <col min="24" max="24" width="13.7109375" style="200" customWidth="1"/>
    <col min="25" max="25" width="13.140625" style="200" customWidth="1"/>
    <col min="26" max="26" width="12.42578125" style="200" customWidth="1"/>
    <col min="27" max="27" width="10.5703125" style="200" customWidth="1"/>
    <col min="28" max="28" width="14.85546875" style="200" customWidth="1"/>
    <col min="29" max="29" width="10.42578125" style="200" customWidth="1"/>
    <col min="30" max="30" width="13" style="200" bestFit="1" customWidth="1"/>
    <col min="31" max="31" width="12.85546875" style="200" customWidth="1"/>
    <col min="32" max="33" width="11.42578125" style="200"/>
    <col min="34" max="34" width="13" style="200" bestFit="1" customWidth="1"/>
    <col min="35" max="16384" width="11.42578125" style="200"/>
  </cols>
  <sheetData>
    <row r="1" spans="1:31" ht="19.5" customHeight="1" x14ac:dyDescent="0.25">
      <c r="A1" s="195" t="s">
        <v>160</v>
      </c>
      <c r="B1" s="196"/>
      <c r="C1" s="196"/>
      <c r="D1" s="196"/>
      <c r="E1" s="197" t="s">
        <v>15</v>
      </c>
      <c r="F1" s="198">
        <v>42033</v>
      </c>
      <c r="G1" s="199"/>
      <c r="H1" s="196"/>
      <c r="J1" s="196" t="s">
        <v>191</v>
      </c>
      <c r="K1" s="200" t="s">
        <v>36</v>
      </c>
      <c r="L1" s="201" t="s">
        <v>192</v>
      </c>
      <c r="M1" s="292" t="str">
        <f>"Lifetime = "&amp;K2&amp;" "&amp;L1&amp;" @ "&amp;J2&amp;" "&amp;L2</f>
        <v>Lifetime = 9.08 µs @ 4.0E+15 cm-3</v>
      </c>
      <c r="N1" s="292"/>
      <c r="O1" s="292"/>
      <c r="P1" s="196"/>
      <c r="Q1" s="202" t="s">
        <v>255</v>
      </c>
      <c r="R1" s="203" t="str">
        <f>IF(MAX(C9:C133)&gt;0.6,"  Saturated Reference Cell  - Data for MCD&gt; "&amp;J4&amp; " not valid ","")</f>
        <v xml:space="preserve">  Saturated Reference Cell  - Data for MCD&gt; 4.9E+15 not valid </v>
      </c>
      <c r="S1" s="201" t="s">
        <v>155</v>
      </c>
      <c r="T1" s="204" t="str">
        <f>IF(AND(PCRefRatio&gt;1000,AnalysisMode&lt;&gt;"Transient"),"Recommended Analysis Mode is Transient for this sample",IF(AND(PCRefRatio&lt;1000,AnalysisMode="Transient"),"Recommended Analysis Mode is Generalized for this sample",""))</f>
        <v/>
      </c>
      <c r="U1" s="196"/>
      <c r="V1" s="196"/>
      <c r="W1" s="201"/>
      <c r="X1" s="201"/>
      <c r="Y1" s="201"/>
      <c r="Z1" s="201"/>
    </row>
    <row r="2" spans="1:31" ht="15" x14ac:dyDescent="0.2">
      <c r="A2" s="202" t="s">
        <v>336</v>
      </c>
      <c r="B2" s="121"/>
      <c r="C2" s="205"/>
      <c r="D2" s="121"/>
      <c r="E2" s="206" t="s">
        <v>19</v>
      </c>
      <c r="F2" s="207">
        <v>0.58460648148148142</v>
      </c>
      <c r="G2" s="201"/>
      <c r="H2" s="208"/>
      <c r="I2" s="196" t="s">
        <v>190</v>
      </c>
      <c r="J2" s="208" t="str">
        <f>TEXT(SpecMCD,"0.0E+00")</f>
        <v>4.0E+15</v>
      </c>
      <c r="K2" s="201" t="str">
        <f>TEXT(MeasuredLifetime,"0.00")</f>
        <v>9.08</v>
      </c>
      <c r="L2" s="201" t="s">
        <v>349</v>
      </c>
      <c r="M2" s="201"/>
      <c r="N2" s="208"/>
      <c r="O2" s="201"/>
      <c r="P2" s="121"/>
      <c r="Q2" s="209" t="s">
        <v>256</v>
      </c>
      <c r="R2" s="203" t="str">
        <f>IF(OR(SpecMCD&gt;MaxApparentCD,SpecMCD&lt;MinApparentCD),"  Choose Specificed MCD within Data, Min MCD &lt; Spec MCD &lt; Max MCD","")</f>
        <v/>
      </c>
      <c r="S2" s="201" t="s">
        <v>317</v>
      </c>
      <c r="T2" s="196" t="str">
        <f>IF(AND(Temperature&gt;30,MobilityModel=DK),"Use Dorkel/ Leturqc mobility model for this analysis","")</f>
        <v/>
      </c>
      <c r="U2" s="196"/>
      <c r="V2" s="196"/>
      <c r="W2" s="210"/>
      <c r="X2" s="210"/>
      <c r="Y2" s="210"/>
      <c r="Z2" s="210"/>
    </row>
    <row r="3" spans="1:31" x14ac:dyDescent="0.2">
      <c r="A3" s="199"/>
      <c r="B3" s="211"/>
      <c r="C3" s="196"/>
      <c r="D3" s="196"/>
      <c r="E3" s="206" t="s">
        <v>313</v>
      </c>
      <c r="F3" s="212">
        <v>35.478814999999997</v>
      </c>
      <c r="G3" s="201"/>
      <c r="H3" s="201"/>
      <c r="I3" s="201"/>
      <c r="J3" s="196" t="s">
        <v>269</v>
      </c>
      <c r="K3" s="201"/>
      <c r="L3" s="208"/>
      <c r="M3" s="201"/>
      <c r="N3" s="208"/>
      <c r="O3" s="201"/>
      <c r="P3" s="213"/>
      <c r="Q3" s="214" t="s">
        <v>257</v>
      </c>
      <c r="R3" s="203" t="str">
        <f>IF(BiasLight=0,"",IF(MAX(M9:M133)=0,"  Choose Bias Light within data  ",""))</f>
        <v/>
      </c>
      <c r="S3" s="201"/>
      <c r="T3" s="196"/>
      <c r="U3" s="196"/>
      <c r="V3" s="196"/>
      <c r="W3" s="210"/>
      <c r="X3" s="210"/>
      <c r="Y3" s="210"/>
      <c r="Z3" s="210"/>
    </row>
    <row r="4" spans="1:31" ht="15.75" customHeight="1" x14ac:dyDescent="0.2">
      <c r="A4" s="215"/>
      <c r="B4" s="196"/>
      <c r="C4" s="201"/>
      <c r="D4" s="215"/>
      <c r="E4" s="201"/>
      <c r="F4" s="196"/>
      <c r="G4" s="201"/>
      <c r="H4" s="201"/>
      <c r="I4" s="201"/>
      <c r="J4" s="196" t="str">
        <f>TEXT(AC6,"0.0E+00")</f>
        <v>4.9E+15</v>
      </c>
      <c r="K4" s="196"/>
      <c r="L4" s="205"/>
      <c r="M4" s="201"/>
      <c r="N4" s="121"/>
      <c r="O4" s="201"/>
      <c r="P4" s="215"/>
      <c r="Q4" s="202" t="s">
        <v>163</v>
      </c>
      <c r="R4" s="216" t="str">
        <f ca="1">IF(OR(Air_Voltage&lt;-0.95,Air_Voltage&gt;-0.5,(NOW()-ZeroInstTime)&gt;0.5,AirVStdev&gt;0.01),"  Remove Sample From Stage and Re-Zero Instrument  ","")</f>
        <v xml:space="preserve">  Remove Sample From Stage and Re-Zero Instrument  </v>
      </c>
      <c r="S4" s="208"/>
      <c r="T4" s="208"/>
      <c r="U4" s="215"/>
      <c r="V4" s="196"/>
      <c r="W4" s="217"/>
      <c r="X4" s="201"/>
      <c r="Y4" s="201"/>
      <c r="Z4" s="201"/>
    </row>
    <row r="5" spans="1:31" ht="43.5" customHeight="1" x14ac:dyDescent="0.25">
      <c r="A5" s="218" t="s">
        <v>173</v>
      </c>
      <c r="B5" s="219" t="s">
        <v>174</v>
      </c>
      <c r="C5" s="219" t="s">
        <v>303</v>
      </c>
      <c r="D5" s="219" t="s">
        <v>16</v>
      </c>
      <c r="E5" s="219" t="s">
        <v>296</v>
      </c>
      <c r="F5" s="219" t="s">
        <v>31</v>
      </c>
      <c r="G5" s="219" t="s">
        <v>183</v>
      </c>
      <c r="H5" s="219" t="s">
        <v>184</v>
      </c>
      <c r="I5" s="219" t="s">
        <v>186</v>
      </c>
      <c r="J5" s="219" t="s">
        <v>182</v>
      </c>
      <c r="K5" s="220" t="s">
        <v>185</v>
      </c>
      <c r="L5" s="220" t="s">
        <v>187</v>
      </c>
      <c r="M5" s="219" t="s">
        <v>3</v>
      </c>
      <c r="N5" s="219" t="s">
        <v>17</v>
      </c>
      <c r="O5" s="219" t="s">
        <v>188</v>
      </c>
      <c r="P5" s="219" t="s">
        <v>177</v>
      </c>
      <c r="Q5" s="219" t="s">
        <v>178</v>
      </c>
      <c r="R5" s="219" t="s">
        <v>350</v>
      </c>
      <c r="S5" s="219" t="s">
        <v>302</v>
      </c>
      <c r="T5" s="219" t="s">
        <v>279</v>
      </c>
      <c r="U5" s="220" t="s">
        <v>280</v>
      </c>
      <c r="V5" s="219" t="s">
        <v>314</v>
      </c>
      <c r="W5" s="219" t="s">
        <v>315</v>
      </c>
      <c r="X5" s="219" t="s">
        <v>316</v>
      </c>
      <c r="Y5" s="219" t="s">
        <v>351</v>
      </c>
      <c r="Z5" s="220" t="s">
        <v>352</v>
      </c>
      <c r="AA5" s="219" t="s">
        <v>18</v>
      </c>
      <c r="AB5" s="219" t="s">
        <v>189</v>
      </c>
      <c r="AC5" s="220" t="s">
        <v>267</v>
      </c>
      <c r="AD5" s="219" t="s">
        <v>311</v>
      </c>
      <c r="AE5" s="221" t="s">
        <v>312</v>
      </c>
    </row>
    <row r="6" spans="1:31" x14ac:dyDescent="0.2">
      <c r="A6" s="222">
        <f>B166</f>
        <v>0.67978000000000005</v>
      </c>
      <c r="B6" s="154">
        <f>CalcDarkSheetResistance(Dark_Voltage,A_cal,B_cal,C_cal)</f>
        <v>22.213918840823514</v>
      </c>
      <c r="C6" s="223">
        <f>SheetResistance*Thickness</f>
        <v>0.39985053913482321</v>
      </c>
      <c r="D6" s="224">
        <f>calcdoping(InputResistivity,SampleType)</f>
        <v>9785536500003082</v>
      </c>
      <c r="E6" s="225">
        <f>SUMSQ(B9:B133)/SUMSQ(C9:C133)</f>
        <v>0.95328355574819779</v>
      </c>
      <c r="F6" s="154">
        <f>MAX(E9:E133)</f>
        <v>59.653651103990761</v>
      </c>
      <c r="G6" s="226">
        <f>SpecMCD*(1-Fit_Range)</f>
        <v>2800000000000000</v>
      </c>
      <c r="H6" s="226">
        <f>SpecMCD*(1+Fit_Range)</f>
        <v>5200000000000000</v>
      </c>
      <c r="I6" s="227">
        <f>MIN($I$14:$I$133)</f>
        <v>934386149398.05164</v>
      </c>
      <c r="J6" s="226">
        <f>MAX($I$9:$I$132)</f>
        <v>5136517295787239</v>
      </c>
      <c r="K6" s="227">
        <f>LOOKUP(2,1/(I9:I133=MaxApparentCD),A9:A133)</f>
        <v>3.4989999999999999E-4</v>
      </c>
      <c r="L6" s="227">
        <f>LOOKUP(2,1/(I9:I133=MaxApparentCD),H9:H133)</f>
        <v>1.9359016543326446E-2</v>
      </c>
      <c r="M6" s="226">
        <f>IF(BiasLight=0,0,INTERCEPT($N18:$N130,$M18:$M130)+BiasLight*SLOPE($N18:$N130,$M18:$M130))</f>
        <v>0</v>
      </c>
      <c r="N6" s="226">
        <f>BiasPtCD-(BiasLight*0.038*OptConst)*MeasuredLifetimeAuger*0.000001/(1.6E-19*Thickness)</f>
        <v>0</v>
      </c>
      <c r="O6" s="227">
        <f>SpecMCD-Traps</f>
        <v>4000000000000000</v>
      </c>
      <c r="P6" s="156">
        <f>IF(MAX(R10:R131)=0,0,SLOPE(R10:R131,J10:J131))</f>
        <v>3.9186444494433945E-13</v>
      </c>
      <c r="Q6" s="154">
        <f>IF(MAX(R10:R131)=0,0,INTERCEPT(R10:R130,J10:J130))</f>
        <v>108539.65710512956</v>
      </c>
      <c r="R6" s="156">
        <f>IF(MaxSuns&gt;0.1,1000000*1/(Q6+(SpecMCD)*P6),0)</f>
        <v>9.0820652329804741</v>
      </c>
      <c r="S6" s="156">
        <f>R6/1000000</f>
        <v>9.0820652329804744E-6</v>
      </c>
      <c r="T6" s="228">
        <f>IF(MAX(T10:T131)=0,0,SLOPE(T10:T131,J10:J131))</f>
        <v>3.7890185063381285E-13</v>
      </c>
      <c r="U6" s="156">
        <f>IF(MAX(T10:T131)=0,0,INTERCEPT(T10:T130,J10:J130))</f>
        <v>108564.27538524522</v>
      </c>
      <c r="V6" s="229">
        <f>IF(MaxSuns&gt;0.1,1000000*1/(FitInterceptAuger+(SpecMCD)*FitSlopeAuger),0)</f>
        <v>9.0843119984772187</v>
      </c>
      <c r="W6" s="227">
        <f>MeasuredLifetimeAuger/1000000</f>
        <v>9.0843119984772193E-6</v>
      </c>
      <c r="X6" s="227">
        <f>IF(MeasuredLifetimeAuger&gt;0,1000000/MeasuredLifetimeAuger,0)</f>
        <v>110079.88278778047</v>
      </c>
      <c r="Y6" s="230">
        <f>IF(MaxSuns&gt;0.1,1000000/(FitInterceptAuger-(FitSlopeAuger*(SampleDoping-Traps))),0)</f>
        <v>9.5368416182487703</v>
      </c>
      <c r="Z6" s="156" t="str">
        <f>IF(AugerModel="Richter",SLOPE(W10:W131,J10:J131),"")</f>
        <v/>
      </c>
      <c r="AA6" s="228">
        <f>IF(AugerModel="Sinton",calcjo(FitSlopeAuger,Thickness),calcJoRichter(Thickness,Z6))</f>
        <v>8.0819764740192272E-14</v>
      </c>
      <c r="AB6" s="231">
        <f ca="1">FORECAST(1,OFFSET(X9,MATCH(1,Y9:Y133,-1)-1,0,2),OFFSET(Y9,MATCH(1,Y9:Y133,-1)-1,0,2))</f>
        <v>0.57464323717238142</v>
      </c>
      <c r="AC6" s="232">
        <f>MIN(Z9:Z133)</f>
        <v>4909560353549486</v>
      </c>
      <c r="AD6" s="233">
        <f>1/((1/SheetResistance)-(AD9*Temperature^3+AD10*Temperature^2+AD11*Temperature+AD12))</f>
        <v>23.008724091296607</v>
      </c>
      <c r="AE6" s="234">
        <f>AD6*Thickness</f>
        <v>0.41415703364333889</v>
      </c>
    </row>
    <row r="7" spans="1:31" s="201" customFormat="1" x14ac:dyDescent="0.2">
      <c r="A7" s="235"/>
      <c r="B7" s="196"/>
      <c r="C7" s="196"/>
      <c r="D7" s="235"/>
      <c r="K7" s="236"/>
      <c r="L7" s="237"/>
      <c r="M7" s="208"/>
      <c r="O7" s="208"/>
      <c r="S7" s="238"/>
      <c r="T7" s="235"/>
      <c r="U7" s="239"/>
      <c r="V7" s="196"/>
      <c r="W7" s="240"/>
    </row>
    <row r="8" spans="1:31" ht="42" customHeight="1" x14ac:dyDescent="0.2">
      <c r="A8" s="241" t="s">
        <v>276</v>
      </c>
      <c r="B8" s="242" t="s">
        <v>55</v>
      </c>
      <c r="C8" s="219" t="s">
        <v>56</v>
      </c>
      <c r="D8" s="219" t="s">
        <v>6</v>
      </c>
      <c r="E8" s="219" t="s">
        <v>4</v>
      </c>
      <c r="F8" s="219" t="s">
        <v>10</v>
      </c>
      <c r="G8" s="219" t="s">
        <v>5</v>
      </c>
      <c r="H8" s="220" t="s">
        <v>47</v>
      </c>
      <c r="I8" s="219" t="s">
        <v>180</v>
      </c>
      <c r="J8" s="219" t="s">
        <v>175</v>
      </c>
      <c r="K8" s="219" t="s">
        <v>8</v>
      </c>
      <c r="L8" s="219" t="s">
        <v>12</v>
      </c>
      <c r="M8" s="219" t="s">
        <v>7</v>
      </c>
      <c r="N8" s="219" t="s">
        <v>179</v>
      </c>
      <c r="O8" s="219" t="s">
        <v>11</v>
      </c>
      <c r="P8" s="219" t="s">
        <v>181</v>
      </c>
      <c r="Q8" s="220" t="s">
        <v>176</v>
      </c>
      <c r="R8" s="220" t="s">
        <v>281</v>
      </c>
      <c r="S8" s="219" t="s">
        <v>299</v>
      </c>
      <c r="T8" s="220" t="s">
        <v>300</v>
      </c>
      <c r="U8" s="219" t="s">
        <v>294</v>
      </c>
      <c r="V8" s="220" t="s">
        <v>295</v>
      </c>
      <c r="W8" s="220" t="s">
        <v>332</v>
      </c>
      <c r="X8" s="219" t="s">
        <v>278</v>
      </c>
      <c r="Y8" s="220" t="s">
        <v>277</v>
      </c>
      <c r="Z8" s="220" t="s">
        <v>268</v>
      </c>
      <c r="AA8" s="220" t="s">
        <v>304</v>
      </c>
      <c r="AB8" s="220" t="s">
        <v>305</v>
      </c>
      <c r="AC8" s="220" t="s">
        <v>306</v>
      </c>
      <c r="AD8" s="220" t="s">
        <v>307</v>
      </c>
      <c r="AE8" s="243" t="s">
        <v>308</v>
      </c>
    </row>
    <row r="9" spans="1:31" x14ac:dyDescent="0.2">
      <c r="A9" s="244">
        <v>4.99E-5</v>
      </c>
      <c r="B9" s="244">
        <v>0.28174399999999999</v>
      </c>
      <c r="C9" s="245">
        <v>0.36832900000000002</v>
      </c>
      <c r="D9" s="246">
        <f>IF(CouplingMode="AC",B9-(A$11-A$10)*SUM(B$9:B9)/0.21,B9)</f>
        <v>0.28174399999999999</v>
      </c>
      <c r="E9" s="247">
        <f>IF(C9&gt;0,C9/RefCellCal,0.00001)</f>
        <v>34.999011869310337</v>
      </c>
      <c r="F9" s="247">
        <f t="shared" ref="F9:F40" si="0">E9-BiasLight</f>
        <v>34.999011869310337</v>
      </c>
      <c r="G9" s="248">
        <f t="shared" ref="G9:G40" si="1">F9*0.038*OptConst/1.602E-19</f>
        <v>5.8113215713087078E+18</v>
      </c>
      <c r="H9" s="249">
        <f>CalcConductance(B9,Dark_Voltage,A_cal,B_cal,C_cal)</f>
        <v>8.7402319923967908E-3</v>
      </c>
      <c r="I9" s="248">
        <f>IF(MobilityModel=DK,CalcDeltaN(H9,SampleDoping,Thickness,AreaFrac),CalcDeltaNDL(H9,AreaFrac,Thickness,SampleType,SampleDoping,Temperature))</f>
        <v>2215051167372483.5</v>
      </c>
      <c r="J9" s="248" t="str">
        <f t="shared" ref="J9:J40" si="2">IF(AND(AND(I9&gt;=FitRangeMin,I9&lt;=FitRangeMax),A9&gt;TimeofMaxCD),I9,"")</f>
        <v/>
      </c>
      <c r="K9" s="248">
        <f>IF(I9-BiasPtCD=0,0.00001,I9-BiasPtCD)</f>
        <v>2215051167372483.5</v>
      </c>
      <c r="L9" s="250"/>
      <c r="M9" s="196" t="str">
        <f t="shared" ref="M9:M40" si="3">IF(E9&gt;0.85*BiasLight,IF( E9&lt;1.15*BiasLight,E9,""),"")</f>
        <v/>
      </c>
      <c r="N9" s="196" t="str">
        <f t="shared" ref="N9:N40" si="4">IF(E9&gt;0.85*BiasLight,IF(E9&lt;1.15*BiasLight,I9,""),"")</f>
        <v/>
      </c>
      <c r="O9" s="250">
        <f t="shared" ref="O9:O40" si="5">I9-Traps</f>
        <v>2215051167372483.5</v>
      </c>
      <c r="P9" s="248"/>
      <c r="Q9" s="250"/>
      <c r="R9" s="251"/>
      <c r="S9" s="252"/>
      <c r="T9" s="201"/>
      <c r="U9" s="252">
        <f>FitInterceptAuger+FitSlopeAuger*(I9+Traps)</f>
        <v>109403.56237181123</v>
      </c>
      <c r="V9" s="251" t="str">
        <f>IF(AugerModel="Sinton","",IF(SampleType="n-type",n_intr_boltzmann(SampleDoping,0,K9,Temperature+273.15),n_intr_boltzmann(0,SampleDoping,K9,Temperature+273.15)))</f>
        <v/>
      </c>
      <c r="W9" s="251" t="str">
        <f>IF(V9="","",IF(T9="","",(V9^2)*T9))</f>
        <v/>
      </c>
      <c r="X9" s="246" t="str">
        <f>IF(AND(A9&gt;TimeofMaxCD,I9&gt;Traps),IF(AugerModel="Sinton",CalcImpliedV(SampleDoping,O9),CalcImpliedVRichter(O9,SampleDoping,V9)),"")</f>
        <v/>
      </c>
      <c r="Y9" s="253" t="str">
        <f t="shared" ref="Y9:Y40" si="6">IF(OR(P9="",P9&lt;0,A9&lt;=TimeofMaxCD),"",(O9*Thickness*1.602E-19/(0.038*OptConst*P9)))</f>
        <v/>
      </c>
      <c r="Z9" s="200" t="str">
        <f t="shared" ref="Z9:Z40" si="7">IF(C9&gt;0.6,O9,"")</f>
        <v/>
      </c>
      <c r="AA9" s="254">
        <v>25.574943999999999</v>
      </c>
      <c r="AB9" s="254">
        <v>4293.71516748875</v>
      </c>
      <c r="AC9" s="251">
        <f>1/AB9</f>
        <v>2.328985414709906E-4</v>
      </c>
      <c r="AD9" s="251">
        <f>INDEX(LINEST(AC9:AC44,AA9:AA44^{1,2,3}),1)</f>
        <v>-1.0460341881812718E-9</v>
      </c>
      <c r="AE9" s="251">
        <f t="shared" ref="AE9:AE40" si="8">H9/(K9*AreaFrac*Thickness*1.602E-19)</f>
        <v>1368.3720052497295</v>
      </c>
    </row>
    <row r="10" spans="1:31" x14ac:dyDescent="0.2">
      <c r="A10" s="244">
        <v>1.4990000000000001E-4</v>
      </c>
      <c r="B10" s="244">
        <v>0.53121399999999996</v>
      </c>
      <c r="C10" s="245">
        <v>0.55086999999999997</v>
      </c>
      <c r="D10" s="246">
        <f>IF(CouplingMode="AC",B10-(A$11-A$10)*SUM(B$9:B10)/0.21,B10)</f>
        <v>0.53121399999999996</v>
      </c>
      <c r="E10" s="247">
        <f t="shared" ref="E10:E40" si="9">IF(C10&gt;0,C10/RefCellCal,0.00001)</f>
        <v>52.344251113670076</v>
      </c>
      <c r="F10" s="247">
        <f t="shared" si="0"/>
        <v>52.344251113670076</v>
      </c>
      <c r="G10" s="248">
        <f t="shared" si="1"/>
        <v>8.6913675382248673E+18</v>
      </c>
      <c r="H10" s="249">
        <f t="shared" ref="H10:H40" si="10">CalcConductance(B10,Dark_Voltage,A_cal,B_cal,C_cal)</f>
        <v>1.6538043799340534E-2</v>
      </c>
      <c r="I10" s="248">
        <f>IF(MobilityModel=DK,CalcDeltaN(H10,SampleDoping,Thickness,AreaFrac),CalcDeltaNDL(H10,AreaFrac,Thickness,SampleType,SampleDoping,Temperature))</f>
        <v>4339805858848166</v>
      </c>
      <c r="J10" s="248" t="str">
        <f t="shared" si="2"/>
        <v/>
      </c>
      <c r="K10" s="248">
        <f t="shared" ref="K10:K40" si="11">IF(I10-BiasPtCD=0,0.00001,I10-BiasPtCD)</f>
        <v>4339805858848166</v>
      </c>
      <c r="L10" s="250"/>
      <c r="M10" s="196" t="str">
        <f t="shared" si="3"/>
        <v/>
      </c>
      <c r="N10" s="196" t="str">
        <f t="shared" si="4"/>
        <v/>
      </c>
      <c r="O10" s="250">
        <f t="shared" si="5"/>
        <v>4339805858848166</v>
      </c>
      <c r="P10" s="248"/>
      <c r="Q10" s="250"/>
      <c r="R10" s="251"/>
      <c r="S10" s="252"/>
      <c r="T10" s="201"/>
      <c r="U10" s="252">
        <f t="shared" ref="U10:U40" si="12">FitInterceptAuger+FitSlopeAuger*(I10+Traps)</f>
        <v>110208.63585655425</v>
      </c>
      <c r="V10" s="251" t="str">
        <f>IF(AugerModel="Sinton","",IF(SampleType="n-type",n_intr_boltzmann(SampleDoping,0,K10,Temperature+273.15),n_intr_boltzmann(0,SampleDoping,K10,Temperature+273.15)))</f>
        <v/>
      </c>
      <c r="W10" s="251" t="str">
        <f t="shared" ref="W10:W73" si="13">IF(V10="","",IF(T10="","",(V10^2)*T10))</f>
        <v/>
      </c>
      <c r="X10" s="246" t="str">
        <f>IF(AND(A10&gt;TimeofMaxCD,I10&gt;Traps),IF(AugerModel="Sinton",CalcImpliedV(SampleDoping,O10),CalcImpliedVRichter(O10,SampleDoping,V10)),"")</f>
        <v/>
      </c>
      <c r="Y10" s="253" t="str">
        <f t="shared" si="6"/>
        <v/>
      </c>
      <c r="Z10" s="200" t="str">
        <f t="shared" si="7"/>
        <v/>
      </c>
      <c r="AA10" s="254">
        <v>30.514984999999999</v>
      </c>
      <c r="AB10" s="254">
        <v>950.53301340631413</v>
      </c>
      <c r="AC10" s="251">
        <f t="shared" ref="AC10:AC44" si="14">1/AB10</f>
        <v>1.0520413135535576E-3</v>
      </c>
      <c r="AD10" s="251">
        <f>INDEX(LINEST(AC9:AC44,AA9:AA44^{1,2,3}),1,2)</f>
        <v>9.461477656792033E-8</v>
      </c>
      <c r="AE10" s="251">
        <f t="shared" si="8"/>
        <v>1321.5354549523686</v>
      </c>
    </row>
    <row r="11" spans="1:31" x14ac:dyDescent="0.2">
      <c r="A11" s="244">
        <v>2.499E-4</v>
      </c>
      <c r="B11" s="244">
        <v>0.61400100000000002</v>
      </c>
      <c r="C11" s="245">
        <v>0.612294</v>
      </c>
      <c r="D11" s="246">
        <f>IF(CouplingMode="AC",B11-(A$11-A$10)*SUM(B$9:B11)/0.21,B11)</f>
        <v>0.61400100000000002</v>
      </c>
      <c r="E11" s="247">
        <f t="shared" si="9"/>
        <v>58.180824679858233</v>
      </c>
      <c r="F11" s="247">
        <f t="shared" si="0"/>
        <v>58.180824679858233</v>
      </c>
      <c r="G11" s="248">
        <f t="shared" si="1"/>
        <v>9.6604864949077955E+18</v>
      </c>
      <c r="H11" s="249">
        <f t="shared" si="10"/>
        <v>1.9137960127476913E-2</v>
      </c>
      <c r="I11" s="248">
        <f>IF(MobilityModel=DK,CalcDeltaN(H11,SampleDoping,Thickness,AreaFrac),CalcDeltaNDL(H11,AreaFrac,Thickness,SampleType,SampleDoping,Temperature))</f>
        <v>5073569309110765</v>
      </c>
      <c r="J11" s="248" t="str">
        <f t="shared" si="2"/>
        <v/>
      </c>
      <c r="K11" s="248">
        <f t="shared" si="11"/>
        <v>5073569309110765</v>
      </c>
      <c r="L11" s="250">
        <f t="shared" ref="L11:L42" si="15">IF(ABS(SLOPE(K9:K13,A9:A13))&lt;1000000000000,-1000000000000,(SLOPE(K9:K13,A9:A13)))</f>
        <v>6.1857298092930785E+18</v>
      </c>
      <c r="M11" s="196" t="str">
        <f t="shared" si="3"/>
        <v/>
      </c>
      <c r="N11" s="196" t="str">
        <f t="shared" si="4"/>
        <v/>
      </c>
      <c r="O11" s="250">
        <f t="shared" si="5"/>
        <v>5073569309110765</v>
      </c>
      <c r="P11" s="248">
        <f>calclifetime(AnalysisMode,K11,Thickness,G11,L11)</f>
        <v>9.5636062981742042E-6</v>
      </c>
      <c r="Q11" s="250"/>
      <c r="R11" s="251"/>
      <c r="S11" s="252">
        <f>IF(AND(E11&gt;0.95*BiasLight,E11&lt;1.05*BiasLight),"",IF(AugerModel="Sinton",calclifetimeauger(Auger_Coefficient,I11,P11),calclifetimerichter(SampleType,I11,SampleDoping,P11)))</f>
        <v>104520.33612513679</v>
      </c>
      <c r="T11" s="201"/>
      <c r="U11" s="252">
        <f t="shared" si="12"/>
        <v>110486.6601857862</v>
      </c>
      <c r="V11" s="251" t="str">
        <f>IF(AugerModel="Sinton","",IF(SampleType="n-type",n_intr_boltzmann(SampleDoping,0,K11,Temperature+273.15),n_intr_boltzmann(0,SampleDoping,K11,Temperature+273.15)))</f>
        <v/>
      </c>
      <c r="W11" s="251" t="str">
        <f t="shared" si="13"/>
        <v/>
      </c>
      <c r="X11" s="246" t="str">
        <f>IF(AND(A11&gt;TimeofMaxCD,I11&gt;Traps),IF(AugerModel="Sinton",CalcImpliedV(SampleDoping,O11),CalcImpliedVRichter(O11,SampleDoping,V11)),"")</f>
        <v/>
      </c>
      <c r="Y11" s="253" t="str">
        <f t="shared" si="6"/>
        <v/>
      </c>
      <c r="Z11" s="200">
        <f t="shared" si="7"/>
        <v>5073569309110765</v>
      </c>
      <c r="AA11" s="254">
        <v>35.505572999999998</v>
      </c>
      <c r="AB11" s="254">
        <v>579.01823372252954</v>
      </c>
      <c r="AC11" s="251">
        <f t="shared" si="14"/>
        <v>1.7270613285715775E-3</v>
      </c>
      <c r="AD11" s="251">
        <f>INDEX(LINEST(AC9:AC44,AA9:AA44^{1,2,3}),1,3)</f>
        <v>1.3220590164630849E-4</v>
      </c>
      <c r="AE11" s="251">
        <f t="shared" si="8"/>
        <v>1308.1183292568519</v>
      </c>
    </row>
    <row r="12" spans="1:31" x14ac:dyDescent="0.2">
      <c r="A12" s="244">
        <v>3.4989999999999999E-4</v>
      </c>
      <c r="B12" s="244">
        <v>0.621031</v>
      </c>
      <c r="C12" s="245">
        <v>0.62779399999999996</v>
      </c>
      <c r="D12" s="246">
        <f>IF(CouplingMode="AC",B12-(A$11-A$10)*SUM(B$9:B12)/0.21,B12)</f>
        <v>0.621031</v>
      </c>
      <c r="E12" s="247">
        <f t="shared" si="9"/>
        <v>59.653651103990761</v>
      </c>
      <c r="F12" s="247">
        <f t="shared" si="0"/>
        <v>59.653651103990761</v>
      </c>
      <c r="G12" s="248">
        <f t="shared" si="1"/>
        <v>9.9050381982905999E+18</v>
      </c>
      <c r="H12" s="249">
        <f t="shared" si="10"/>
        <v>1.9359016543326446E-2</v>
      </c>
      <c r="I12" s="248">
        <f>IF(MobilityModel=DK,CalcDeltaN(H12,SampleDoping,Thickness,AreaFrac),CalcDeltaNDL(H12,AreaFrac,Thickness,SampleType,SampleDoping,Temperature))</f>
        <v>5136517295787239</v>
      </c>
      <c r="J12" s="248" t="str">
        <f t="shared" si="2"/>
        <v/>
      </c>
      <c r="K12" s="248">
        <f t="shared" si="11"/>
        <v>5136517295787239</v>
      </c>
      <c r="L12" s="250">
        <f t="shared" si="15"/>
        <v>4.943830258584711E+17</v>
      </c>
      <c r="M12" s="196" t="str">
        <f t="shared" si="3"/>
        <v/>
      </c>
      <c r="N12" s="196" t="str">
        <f t="shared" si="4"/>
        <v/>
      </c>
      <c r="O12" s="250">
        <f t="shared" si="5"/>
        <v>5136517295787239</v>
      </c>
      <c r="P12" s="248">
        <f t="shared" ref="P12:P42" si="16">calclifetime(AnalysisMode,K12,Thickness,G12,L12)</f>
        <v>9.3427657478945177E-6</v>
      </c>
      <c r="Q12" s="250" t="str">
        <f t="shared" ref="Q12:Q43" si="17">IF($J12="","",P12)</f>
        <v/>
      </c>
      <c r="R12" s="251" t="str">
        <f t="shared" ref="R12:R43" si="18">IF(Q12="","",1/Q12)</f>
        <v/>
      </c>
      <c r="S12" s="252">
        <f>IF(AND(E12&gt;0.95*BiasLight,E12&lt;1.05*BiasLight),"",IF(AugerModel="Sinton",calclifetimeauger(Auger_Coefficient,I12,P12),calclifetimerichter(SampleType,I12,SampleDoping,P12)))</f>
        <v>106990.88906845226</v>
      </c>
      <c r="T12" s="201" t="str">
        <f t="shared" ref="T12:T43" si="19">IF($J12="","",S12)</f>
        <v/>
      </c>
      <c r="U12" s="252">
        <f t="shared" si="12"/>
        <v>110510.51129443159</v>
      </c>
      <c r="V12" s="251" t="str">
        <f>IF(AugerModel="Sinton","",IF(SampleType="n-type",n_intr_boltzmann(SampleDoping,0,K12,Temperature+273.15),n_intr_boltzmann(0,SampleDoping,K12,Temperature+273.15)))</f>
        <v/>
      </c>
      <c r="W12" s="251" t="str">
        <f t="shared" si="13"/>
        <v/>
      </c>
      <c r="X12" s="246" t="str">
        <f>IF(AND(A12&gt;TimeofMaxCD,I12&gt;Traps),IF(AugerModel="Sinton",CalcImpliedV(SampleDoping,O12),CalcImpliedVRichter(O12,SampleDoping,V12)),"")</f>
        <v/>
      </c>
      <c r="Y12" s="253" t="str">
        <f t="shared" si="6"/>
        <v/>
      </c>
      <c r="Z12" s="200">
        <f t="shared" si="7"/>
        <v>5136517295787239</v>
      </c>
      <c r="AA12" s="254">
        <v>40.471617000000002</v>
      </c>
      <c r="AB12" s="254">
        <v>480.02527736007789</v>
      </c>
      <c r="AC12" s="251">
        <f t="shared" si="14"/>
        <v>2.083223628346299E-3</v>
      </c>
      <c r="AD12" s="251">
        <f>INDEX(LINEST(AC9:AC44,AA9:AA44^{1,2,3}),1,4)</f>
        <v>-3.2078448914350591E-3</v>
      </c>
      <c r="AE12" s="251">
        <f t="shared" si="8"/>
        <v>1307.0118324361172</v>
      </c>
    </row>
    <row r="13" spans="1:31" x14ac:dyDescent="0.2">
      <c r="A13" s="244">
        <v>4.4989999999999999E-4</v>
      </c>
      <c r="B13" s="244">
        <v>0.59563200000000005</v>
      </c>
      <c r="C13" s="245">
        <v>0.61406300000000003</v>
      </c>
      <c r="D13" s="246">
        <f>IF(CouplingMode="AC",B13-(A$11-A$10)*SUM(B$9:B13)/0.21,B13)</f>
        <v>0.59563200000000005</v>
      </c>
      <c r="E13" s="247">
        <f t="shared" si="9"/>
        <v>58.348916934328585</v>
      </c>
      <c r="F13" s="247">
        <f t="shared" si="0"/>
        <v>58.348916934328585</v>
      </c>
      <c r="G13" s="248">
        <f t="shared" si="1"/>
        <v>9.688396944151937E+18</v>
      </c>
      <c r="H13" s="249">
        <f t="shared" si="10"/>
        <v>1.8560558917311093E-2</v>
      </c>
      <c r="I13" s="248">
        <f>IF(MobilityModel=DK,CalcDeltaN(H13,SampleDoping,Thickness,AreaFrac),CalcDeltaNDL(H13,AreaFrac,Thickness,SampleType,SampleDoping,Temperature))</f>
        <v>4909560353549486</v>
      </c>
      <c r="J13" s="248">
        <f t="shared" si="2"/>
        <v>4909560353549486</v>
      </c>
      <c r="K13" s="248">
        <f t="shared" si="11"/>
        <v>4909560353549486</v>
      </c>
      <c r="L13" s="250">
        <f t="shared" si="15"/>
        <v>-1.77138227068163E+18</v>
      </c>
      <c r="M13" s="196" t="str">
        <f t="shared" si="3"/>
        <v/>
      </c>
      <c r="N13" s="196" t="str">
        <f t="shared" si="4"/>
        <v/>
      </c>
      <c r="O13" s="250">
        <f t="shared" si="5"/>
        <v>4909560353549486</v>
      </c>
      <c r="P13" s="248">
        <f t="shared" si="16"/>
        <v>9.0915148299900913E-6</v>
      </c>
      <c r="Q13" s="250">
        <f t="shared" si="17"/>
        <v>9.0915148299900913E-6</v>
      </c>
      <c r="R13" s="251">
        <f t="shared" si="18"/>
        <v>109992.67104545765</v>
      </c>
      <c r="S13" s="252">
        <f>IF(AND(E13&gt;0.95*BiasLight,E13&lt;1.05*BiasLight),"",IF(AugerModel="Sinton",calclifetimeauger(Auger_Coefficient,I13,P13),calclifetimerichter(SampleType,I13,SampleDoping,P13)))</f>
        <v>109952.65876590151</v>
      </c>
      <c r="T13" s="201">
        <f t="shared" si="19"/>
        <v>109952.65876590151</v>
      </c>
      <c r="U13" s="252">
        <f t="shared" si="12"/>
        <v>110424.51688900351</v>
      </c>
      <c r="V13" s="251" t="str">
        <f>IF(AugerModel="Sinton","",IF(SampleType="n-type",n_intr_boltzmann(SampleDoping,0,K13,Temperature+273.15),n_intr_boltzmann(0,SampleDoping,K13,Temperature+273.15)))</f>
        <v/>
      </c>
      <c r="W13" s="251" t="str">
        <f t="shared" si="13"/>
        <v/>
      </c>
      <c r="X13" s="246">
        <f>IF(AND(A13&gt;TimeofMaxCD,I13&gt;Traps),IF(AugerModel="Sinton",CalcImpliedV(SampleDoping,O13),CalcImpliedVRichter(O13,SampleDoping,V13)),"")</f>
        <v>0.70918925923060949</v>
      </c>
      <c r="Y13" s="253">
        <f t="shared" si="6"/>
        <v>58.540945427401432</v>
      </c>
      <c r="Z13" s="200">
        <f t="shared" si="7"/>
        <v>4909560353549486</v>
      </c>
      <c r="AA13" s="254">
        <v>45.471893999999999</v>
      </c>
      <c r="AB13" s="254">
        <v>370.16472897680944</v>
      </c>
      <c r="AC13" s="251">
        <f t="shared" si="14"/>
        <v>2.7014999585837076E-3</v>
      </c>
      <c r="AE13" s="251">
        <f t="shared" si="8"/>
        <v>1311.0324160363489</v>
      </c>
    </row>
    <row r="14" spans="1:31" x14ac:dyDescent="0.2">
      <c r="A14" s="244">
        <v>5.4989999999999998E-4</v>
      </c>
      <c r="B14" s="244">
        <v>0.56855</v>
      </c>
      <c r="C14" s="245">
        <v>0.58807699999999996</v>
      </c>
      <c r="D14" s="246">
        <f>IF(CouplingMode="AC",B14-(A$11-A$10)*SUM(B$9:B14)/0.21,B14)</f>
        <v>0.56855</v>
      </c>
      <c r="E14" s="247">
        <f t="shared" si="9"/>
        <v>55.879699679005491</v>
      </c>
      <c r="F14" s="247">
        <f t="shared" si="0"/>
        <v>55.879699679005491</v>
      </c>
      <c r="G14" s="248">
        <f t="shared" si="1"/>
        <v>9.2784020690483528E+18</v>
      </c>
      <c r="H14" s="249">
        <f t="shared" si="10"/>
        <v>1.7709823947802392E-2</v>
      </c>
      <c r="I14" s="248">
        <f>IF(MobilityModel=DK,CalcDeltaN(H14,SampleDoping,Thickness,AreaFrac),CalcDeltaNDL(H14,AreaFrac,Thickness,SampleType,SampleDoping,Temperature))</f>
        <v>4669001849558041</v>
      </c>
      <c r="J14" s="248">
        <f t="shared" si="2"/>
        <v>4669001849558041</v>
      </c>
      <c r="K14" s="248">
        <f t="shared" si="11"/>
        <v>4669001849558041</v>
      </c>
      <c r="L14" s="250">
        <f t="shared" si="15"/>
        <v>-2.4076545699098977E+18</v>
      </c>
      <c r="M14" s="196" t="str">
        <f t="shared" si="3"/>
        <v/>
      </c>
      <c r="N14" s="196" t="str">
        <f t="shared" si="4"/>
        <v/>
      </c>
      <c r="O14" s="250">
        <f t="shared" si="5"/>
        <v>4669001849558041</v>
      </c>
      <c r="P14" s="248">
        <f t="shared" si="16"/>
        <v>9.0157025011016198E-6</v>
      </c>
      <c r="Q14" s="250">
        <f t="shared" si="17"/>
        <v>9.0157025011016198E-6</v>
      </c>
      <c r="R14" s="251">
        <f t="shared" si="18"/>
        <v>110917.59071218366</v>
      </c>
      <c r="S14" s="252">
        <f>IF(AND(E14&gt;0.95*BiasLight,E14&lt;1.05*BiasLight),"",IF(AugerModel="Sinton",calclifetimeauger(Auger_Coefficient,I14,P14),calclifetimerichter(SampleType,I14,SampleDoping,P14)))</f>
        <v>110881.40341225351</v>
      </c>
      <c r="T14" s="201">
        <f t="shared" si="19"/>
        <v>110881.40341225351</v>
      </c>
      <c r="U14" s="252">
        <f t="shared" si="12"/>
        <v>110333.36882665545</v>
      </c>
      <c r="V14" s="251" t="str">
        <f>IF(AugerModel="Sinton","",IF(SampleType="n-type",n_intr_boltzmann(SampleDoping,0,K14,Temperature+273.15),n_intr_boltzmann(0,SampleDoping,K14,Temperature+273.15)))</f>
        <v/>
      </c>
      <c r="W14" s="251" t="str">
        <f t="shared" si="13"/>
        <v/>
      </c>
      <c r="X14" s="246">
        <f>IF(AND(A14&gt;TimeofMaxCD,I14&gt;Traps),IF(AugerModel="Sinton",CalcImpliedV(SampleDoping,O14),CalcImpliedVRichter(O14,SampleDoping,V14)),"")</f>
        <v>0.70747459206145535</v>
      </c>
      <c r="Y14" s="253">
        <f t="shared" si="6"/>
        <v>56.140703916516486</v>
      </c>
      <c r="Z14" s="200" t="str">
        <f t="shared" si="7"/>
        <v/>
      </c>
      <c r="AA14" s="254">
        <v>50.503872000000001</v>
      </c>
      <c r="AB14" s="254">
        <v>277.34000992042826</v>
      </c>
      <c r="AC14" s="251">
        <f t="shared" si="14"/>
        <v>3.6056824267328411E-3</v>
      </c>
      <c r="AE14" s="251">
        <f t="shared" si="8"/>
        <v>1315.3919541856449</v>
      </c>
    </row>
    <row r="15" spans="1:31" x14ac:dyDescent="0.2">
      <c r="A15" s="244">
        <v>6.4990000000000002E-4</v>
      </c>
      <c r="B15" s="244">
        <v>0.54052500000000003</v>
      </c>
      <c r="C15" s="245">
        <v>0.555311</v>
      </c>
      <c r="D15" s="246">
        <f>IF(CouplingMode="AC",B15-(A$11-A$10)*SUM(B$9:B15)/0.21,B15)</f>
        <v>0.54052500000000003</v>
      </c>
      <c r="E15" s="247">
        <f t="shared" si="9"/>
        <v>52.766239639448948</v>
      </c>
      <c r="F15" s="247">
        <f t="shared" si="0"/>
        <v>52.766239639448948</v>
      </c>
      <c r="G15" s="248">
        <f t="shared" si="1"/>
        <v>8.7614355456263537E+18</v>
      </c>
      <c r="H15" s="249">
        <f t="shared" si="10"/>
        <v>1.6830151246975247E-2</v>
      </c>
      <c r="I15" s="248">
        <f>IF(MobilityModel=DK,CalcDeltaN(H15,SampleDoping,Thickness,AreaFrac),CalcDeltaNDL(H15,AreaFrac,Thickness,SampleType,SampleDoping,Temperature))</f>
        <v>4421635896884549</v>
      </c>
      <c r="J15" s="248">
        <f t="shared" si="2"/>
        <v>4421635896884549</v>
      </c>
      <c r="K15" s="248">
        <f t="shared" si="11"/>
        <v>4421635896884549</v>
      </c>
      <c r="L15" s="250">
        <f t="shared" si="15"/>
        <v>-2.4343305046409554E+18</v>
      </c>
      <c r="M15" s="196" t="str">
        <f t="shared" si="3"/>
        <v/>
      </c>
      <c r="N15" s="196" t="str">
        <f t="shared" si="4"/>
        <v/>
      </c>
      <c r="O15" s="250">
        <f t="shared" si="5"/>
        <v>4421635896884549</v>
      </c>
      <c r="P15" s="248">
        <f t="shared" si="16"/>
        <v>9.0388591528612343E-6</v>
      </c>
      <c r="Q15" s="250">
        <f t="shared" si="17"/>
        <v>9.0388591528612343E-6</v>
      </c>
      <c r="R15" s="251">
        <f t="shared" si="18"/>
        <v>110633.43095499523</v>
      </c>
      <c r="S15" s="252">
        <f>IF(AND(E15&gt;0.95*BiasLight,E15&lt;1.05*BiasLight),"",IF(AugerModel="Sinton",calclifetimeauger(Auger_Coefficient,I15,P15),calclifetimerichter(SampleType,I15,SampleDoping,P15)))</f>
        <v>110600.97652074756</v>
      </c>
      <c r="T15" s="201">
        <f t="shared" si="19"/>
        <v>110600.97652074756</v>
      </c>
      <c r="U15" s="252">
        <f t="shared" si="12"/>
        <v>110239.64140940367</v>
      </c>
      <c r="V15" s="251" t="str">
        <f>IF(AugerModel="Sinton","",IF(SampleType="n-type",n_intr_boltzmann(SampleDoping,0,K15,Temperature+273.15),n_intr_boltzmann(0,SampleDoping,K15,Temperature+273.15)))</f>
        <v/>
      </c>
      <c r="W15" s="251" t="str">
        <f t="shared" si="13"/>
        <v/>
      </c>
      <c r="X15" s="246">
        <f>IF(AND(A15&gt;TimeofMaxCD,I15&gt;Traps),IF(AugerModel="Sinton",CalcImpliedV(SampleDoping,O15),CalcImpliedVRichter(O15,SampleDoping,V15)),"")</f>
        <v>0.7056326942171931</v>
      </c>
      <c r="Y15" s="253">
        <f t="shared" si="6"/>
        <v>53.030135708741525</v>
      </c>
      <c r="Z15" s="200" t="str">
        <f t="shared" si="7"/>
        <v/>
      </c>
      <c r="AA15" s="254">
        <v>55.478293000000001</v>
      </c>
      <c r="AB15" s="254">
        <v>235.07848136567836</v>
      </c>
      <c r="AC15" s="251">
        <f t="shared" si="14"/>
        <v>4.2538985031319873E-3</v>
      </c>
      <c r="AE15" s="251">
        <f t="shared" si="8"/>
        <v>1319.98812629955</v>
      </c>
    </row>
    <row r="16" spans="1:31" x14ac:dyDescent="0.2">
      <c r="A16" s="244">
        <v>7.4989999999999996E-4</v>
      </c>
      <c r="B16" s="244">
        <v>0.51258899999999996</v>
      </c>
      <c r="C16" s="245">
        <v>0.52234199999999997</v>
      </c>
      <c r="D16" s="246">
        <f>IF(CouplingMode="AC",B16-(A$11-A$10)*SUM(B$9:B16)/0.21,B16)</f>
        <v>0.51258899999999996</v>
      </c>
      <c r="E16" s="247">
        <f t="shared" si="9"/>
        <v>49.63349032478925</v>
      </c>
      <c r="F16" s="247">
        <f t="shared" si="0"/>
        <v>49.63349032478925</v>
      </c>
      <c r="G16" s="248">
        <f t="shared" si="1"/>
        <v>8.2412661837665044E+18</v>
      </c>
      <c r="H16" s="249">
        <f t="shared" si="10"/>
        <v>1.5953965570774914E-2</v>
      </c>
      <c r="I16" s="248">
        <f>IF(MobilityModel=DK,CalcDeltaN(H16,SampleDoping,Thickness,AreaFrac),CalcDeltaNDL(H16,AreaFrac,Thickness,SampleType,SampleDoping,Temperature))</f>
        <v>4176652239164759</v>
      </c>
      <c r="J16" s="248">
        <f t="shared" si="2"/>
        <v>4176652239164759</v>
      </c>
      <c r="K16" s="248">
        <f t="shared" si="11"/>
        <v>4176652239164759</v>
      </c>
      <c r="L16" s="250">
        <f t="shared" si="15"/>
        <v>-2.3990726696290145E+18</v>
      </c>
      <c r="M16" s="196" t="str">
        <f t="shared" si="3"/>
        <v/>
      </c>
      <c r="N16" s="196" t="str">
        <f t="shared" si="4"/>
        <v/>
      </c>
      <c r="O16" s="250">
        <f t="shared" si="5"/>
        <v>4176652239164759</v>
      </c>
      <c r="P16" s="248">
        <f t="shared" si="16"/>
        <v>9.0748021795774244E-6</v>
      </c>
      <c r="Q16" s="250">
        <f t="shared" si="17"/>
        <v>9.0748021795774244E-6</v>
      </c>
      <c r="R16" s="251">
        <f t="shared" si="18"/>
        <v>110195.23954477714</v>
      </c>
      <c r="S16" s="252">
        <f>IF(AND(E16&gt;0.95*BiasLight,E16&lt;1.05*BiasLight),"",IF(AugerModel="Sinton",calclifetimeauger(Auger_Coefficient,I16,P16),calclifetimerichter(SampleType,I16,SampleDoping,P16)))</f>
        <v>110166.28180105846</v>
      </c>
      <c r="T16" s="201">
        <f t="shared" si="19"/>
        <v>110166.28180105846</v>
      </c>
      <c r="U16" s="252">
        <f t="shared" si="12"/>
        <v>110146.81664811861</v>
      </c>
      <c r="V16" s="251" t="str">
        <f>IF(AugerModel="Sinton","",IF(SampleType="n-type",n_intr_boltzmann(SampleDoping,0,K16,Temperature+273.15),n_intr_boltzmann(0,SampleDoping,K16,Temperature+273.15)))</f>
        <v/>
      </c>
      <c r="W16" s="251" t="str">
        <f t="shared" si="13"/>
        <v/>
      </c>
      <c r="X16" s="246">
        <f>IF(AND(A16&gt;TimeofMaxCD,I16&gt;Traps),IF(AugerModel="Sinton",CalcImpliedV(SampleDoping,O16),CalcImpliedVRichter(O16,SampleDoping,V16)),"")</f>
        <v>0.70372151805906502</v>
      </c>
      <c r="Y16" s="253">
        <f t="shared" si="6"/>
        <v>49.893564232689343</v>
      </c>
      <c r="Z16" s="200" t="str">
        <f t="shared" si="7"/>
        <v/>
      </c>
      <c r="AA16" s="254">
        <v>60.477620000000002</v>
      </c>
      <c r="AB16" s="254">
        <v>211.94597692788435</v>
      </c>
      <c r="AC16" s="251">
        <f t="shared" si="14"/>
        <v>4.7181834470028886E-3</v>
      </c>
      <c r="AE16" s="251">
        <f t="shared" si="8"/>
        <v>1324.6627304548074</v>
      </c>
    </row>
    <row r="17" spans="1:31" x14ac:dyDescent="0.2">
      <c r="A17" s="244">
        <v>8.499E-4</v>
      </c>
      <c r="B17" s="244">
        <v>0.485263</v>
      </c>
      <c r="C17" s="245">
        <v>0.49124200000000001</v>
      </c>
      <c r="D17" s="246">
        <f>IF(CouplingMode="AC",B17-(A$11-A$10)*SUM(B$9:B17)/0.21,B17)</f>
        <v>0.485263</v>
      </c>
      <c r="E17" s="247">
        <f t="shared" si="9"/>
        <v>46.678335370562046</v>
      </c>
      <c r="F17" s="247">
        <f t="shared" si="0"/>
        <v>46.678335370562046</v>
      </c>
      <c r="G17" s="248">
        <f t="shared" si="1"/>
        <v>7.7505850240758436E+18</v>
      </c>
      <c r="H17" s="249">
        <f t="shared" si="10"/>
        <v>1.5097581758801014E-2</v>
      </c>
      <c r="I17" s="248">
        <f>IF(MobilityModel=DK,CalcDeltaN(H17,SampleDoping,Thickness,AreaFrac),CalcDeltaNDL(H17,AreaFrac,Thickness,SampleType,SampleDoping,Temperature))</f>
        <v>3938569906425649.5</v>
      </c>
      <c r="J17" s="248">
        <f t="shared" si="2"/>
        <v>3938569906425649.5</v>
      </c>
      <c r="K17" s="248">
        <f t="shared" si="11"/>
        <v>3938569906425649.5</v>
      </c>
      <c r="L17" s="250">
        <f t="shared" si="15"/>
        <v>-2.3151064839189007E+18</v>
      </c>
      <c r="M17" s="196" t="str">
        <f t="shared" si="3"/>
        <v/>
      </c>
      <c r="N17" s="196" t="str">
        <f t="shared" si="4"/>
        <v/>
      </c>
      <c r="O17" s="250">
        <f t="shared" si="5"/>
        <v>3938569906425649.5</v>
      </c>
      <c r="P17" s="248">
        <f t="shared" si="16"/>
        <v>9.098039098863075E-6</v>
      </c>
      <c r="Q17" s="250">
        <f t="shared" si="17"/>
        <v>9.098039098863075E-6</v>
      </c>
      <c r="R17" s="251">
        <f t="shared" si="18"/>
        <v>109913.79451479427</v>
      </c>
      <c r="S17" s="252">
        <f>IF(AND(E17&gt;0.95*BiasLight,E17&lt;1.05*BiasLight),"",IF(AugerModel="Sinton",calclifetimeauger(Auger_Coefficient,I17,P17),calclifetimerichter(SampleType,I17,SampleDoping,P17)))</f>
        <v>109888.04404216731</v>
      </c>
      <c r="T17" s="201">
        <f t="shared" si="19"/>
        <v>109888.04404216731</v>
      </c>
      <c r="U17" s="252">
        <f t="shared" si="12"/>
        <v>110056.60681164054</v>
      </c>
      <c r="V17" s="251" t="str">
        <f>IF(AugerModel="Sinton","",IF(SampleType="n-type",n_intr_boltzmann(SampleDoping,0,K17,Temperature+273.15),n_intr_boltzmann(0,SampleDoping,K17,Temperature+273.15)))</f>
        <v/>
      </c>
      <c r="W17" s="251" t="str">
        <f t="shared" si="13"/>
        <v/>
      </c>
      <c r="X17" s="246">
        <f>IF(AND(A17&gt;TimeofMaxCD,I17&gt;Traps),IF(AugerModel="Sinton",CalcImpliedV(SampleDoping,O17),CalcImpliedVRichter(O17,SampleDoping,V17)),"")</f>
        <v>0.70177186980018813</v>
      </c>
      <c r="Y17" s="253">
        <f t="shared" si="6"/>
        <v>46.929306838871376</v>
      </c>
      <c r="Z17" s="200" t="str">
        <f t="shared" si="7"/>
        <v/>
      </c>
      <c r="AA17" s="254">
        <v>65.476241999999999</v>
      </c>
      <c r="AB17" s="254">
        <v>177.12104469091474</v>
      </c>
      <c r="AC17" s="251">
        <f t="shared" si="14"/>
        <v>5.6458564917853272E-3</v>
      </c>
      <c r="AE17" s="251">
        <f t="shared" si="8"/>
        <v>1329.3330888469343</v>
      </c>
    </row>
    <row r="18" spans="1:31" x14ac:dyDescent="0.2">
      <c r="A18" s="244">
        <v>9.4990000000000005E-4</v>
      </c>
      <c r="B18" s="244">
        <v>0.458976</v>
      </c>
      <c r="C18" s="245">
        <v>0.462113</v>
      </c>
      <c r="D18" s="246">
        <f>IF(CouplingMode="AC",B18-(A$11-A$10)*SUM(B$9:B18)/0.21,B18)</f>
        <v>0.458976</v>
      </c>
      <c r="E18" s="247">
        <f t="shared" si="9"/>
        <v>43.910466924848727</v>
      </c>
      <c r="F18" s="247">
        <f t="shared" si="0"/>
        <v>43.910466924848727</v>
      </c>
      <c r="G18" s="248">
        <f t="shared" si="1"/>
        <v>7.2910013745379277E+18</v>
      </c>
      <c r="H18" s="249">
        <f t="shared" si="10"/>
        <v>1.4274384820193185E-2</v>
      </c>
      <c r="I18" s="248">
        <f>IF(MobilityModel=DK,CalcDeltaN(H18,SampleDoping,Thickness,AreaFrac),CalcDeltaNDL(H18,AreaFrac,Thickness,SampleType,SampleDoping,Temperature))</f>
        <v>3710998509972983.5</v>
      </c>
      <c r="J18" s="248">
        <f t="shared" si="2"/>
        <v>3710998509972983.5</v>
      </c>
      <c r="K18" s="248">
        <f t="shared" si="11"/>
        <v>3710998509972983.5</v>
      </c>
      <c r="L18" s="250">
        <f t="shared" si="15"/>
        <v>-2.2091895325085865E+18</v>
      </c>
      <c r="M18" s="196" t="str">
        <f t="shared" si="3"/>
        <v/>
      </c>
      <c r="N18" s="196" t="str">
        <f t="shared" si="4"/>
        <v/>
      </c>
      <c r="O18" s="250">
        <f t="shared" si="5"/>
        <v>3710998509972983.5</v>
      </c>
      <c r="P18" s="248">
        <f t="shared" si="16"/>
        <v>9.1120035773011125E-6</v>
      </c>
      <c r="Q18" s="250">
        <f t="shared" si="17"/>
        <v>9.1120035773011125E-6</v>
      </c>
      <c r="R18" s="251">
        <f t="shared" si="18"/>
        <v>109745.34760841154</v>
      </c>
      <c r="S18" s="252">
        <f>IF(AND(E18&gt;0.95*BiasLight,E18&lt;1.05*BiasLight),"",IF(AugerModel="Sinton",calclifetimeauger(Auger_Coefficient,I18,P18),calclifetimerichter(SampleType,I18,SampleDoping,P18)))</f>
        <v>109722.48690190945</v>
      </c>
      <c r="T18" s="201">
        <f t="shared" si="19"/>
        <v>109722.48690190945</v>
      </c>
      <c r="U18" s="252">
        <f t="shared" si="12"/>
        <v>109970.3795883733</v>
      </c>
      <c r="V18" s="251" t="str">
        <f>IF(AugerModel="Sinton","",IF(SampleType="n-type",n_intr_boltzmann(SampleDoping,0,K18,Temperature+273.15),n_intr_boltzmann(0,SampleDoping,K18,Temperature+273.15)))</f>
        <v/>
      </c>
      <c r="W18" s="251" t="str">
        <f t="shared" si="13"/>
        <v/>
      </c>
      <c r="X18" s="246">
        <f>IF(AND(A18&gt;TimeofMaxCD,I18&gt;Traps),IF(AugerModel="Sinton",CalcImpliedV(SampleDoping,O18),CalcImpliedVRichter(O18,SampleDoping,V18)),"")</f>
        <v>0.69981332583947264</v>
      </c>
      <c r="Y18" s="253">
        <f t="shared" si="6"/>
        <v>44.149956358530744</v>
      </c>
      <c r="Z18" s="200" t="str">
        <f t="shared" si="7"/>
        <v/>
      </c>
      <c r="AA18" s="254">
        <v>70.471900000000005</v>
      </c>
      <c r="AB18" s="254">
        <v>163.55334972624357</v>
      </c>
      <c r="AC18" s="251">
        <f t="shared" si="14"/>
        <v>6.1142128955096612E-3</v>
      </c>
      <c r="AE18" s="251">
        <f t="shared" si="8"/>
        <v>1333.9255890234972</v>
      </c>
    </row>
    <row r="19" spans="1:31" x14ac:dyDescent="0.2">
      <c r="A19" s="244">
        <v>1.0499000000000001E-3</v>
      </c>
      <c r="B19" s="244">
        <v>0.43409300000000001</v>
      </c>
      <c r="C19" s="245">
        <v>0.43501099999999998</v>
      </c>
      <c r="D19" s="246">
        <f>IF(CouplingMode="AC",B19-(A$11-A$10)*SUM(B$9:B19)/0.21,B19)</f>
        <v>0.43409300000000001</v>
      </c>
      <c r="E19" s="247">
        <f t="shared" si="9"/>
        <v>41.335206166988094</v>
      </c>
      <c r="F19" s="247">
        <f t="shared" si="0"/>
        <v>41.335206166988094</v>
      </c>
      <c r="G19" s="248">
        <f t="shared" si="1"/>
        <v>6.863398776790782E+18</v>
      </c>
      <c r="H19" s="249">
        <f t="shared" si="10"/>
        <v>1.3495719943130084E-2</v>
      </c>
      <c r="I19" s="248">
        <f>IF(MobilityModel=DK,CalcDeltaN(H19,SampleDoping,Thickness,AreaFrac),CalcDeltaNDL(H19,AreaFrac,Thickness,SampleType,SampleDoping,Temperature))</f>
        <v>3496909519520986</v>
      </c>
      <c r="J19" s="248">
        <f t="shared" si="2"/>
        <v>3496909519520986</v>
      </c>
      <c r="K19" s="248">
        <f t="shared" si="11"/>
        <v>3496909519520986</v>
      </c>
      <c r="L19" s="250">
        <f t="shared" si="15"/>
        <v>-2.0924680188713897E+18</v>
      </c>
      <c r="M19" s="196" t="str">
        <f t="shared" si="3"/>
        <v/>
      </c>
      <c r="N19" s="196" t="str">
        <f t="shared" si="4"/>
        <v/>
      </c>
      <c r="O19" s="250">
        <f t="shared" si="5"/>
        <v>3496909519520986</v>
      </c>
      <c r="P19" s="248">
        <f t="shared" si="16"/>
        <v>9.1209672360436855E-6</v>
      </c>
      <c r="Q19" s="250">
        <f t="shared" si="17"/>
        <v>9.1209672360436855E-6</v>
      </c>
      <c r="R19" s="251">
        <f t="shared" si="18"/>
        <v>109637.49502884525</v>
      </c>
      <c r="S19" s="252">
        <f>IF(AND(E19&gt;0.95*BiasLight,E19&lt;1.05*BiasLight),"",IF(AugerModel="Sinton",calclifetimeauger(Auger_Coefficient,I19,P19),calclifetimerichter(SampleType,I19,SampleDoping,P19)))</f>
        <v>109617.19592437365</v>
      </c>
      <c r="T19" s="201">
        <f t="shared" si="19"/>
        <v>109617.19592437365</v>
      </c>
      <c r="U19" s="252">
        <f t="shared" si="12"/>
        <v>109889.26087369071</v>
      </c>
      <c r="V19" s="251" t="str">
        <f>IF(AugerModel="Sinton","",IF(SampleType="n-type",n_intr_boltzmann(SampleDoping,0,K19,Temperature+273.15),n_intr_boltzmann(0,SampleDoping,K19,Temperature+273.15)))</f>
        <v/>
      </c>
      <c r="W19" s="251" t="str">
        <f t="shared" si="13"/>
        <v/>
      </c>
      <c r="X19" s="246">
        <f>IF(AND(A19&gt;TimeofMaxCD,I19&gt;Traps),IF(AugerModel="Sinton",CalcImpliedV(SampleDoping,O19),CalcImpliedVRichter(O19,SampleDoping,V19)),"")</f>
        <v>0.69787601550702405</v>
      </c>
      <c r="Y19" s="253">
        <f t="shared" si="6"/>
        <v>41.562042286507548</v>
      </c>
      <c r="Z19" s="200" t="str">
        <f t="shared" si="7"/>
        <v/>
      </c>
      <c r="AA19" s="254">
        <v>75.441408999999993</v>
      </c>
      <c r="AB19" s="254">
        <v>148.09635600709825</v>
      </c>
      <c r="AC19" s="251">
        <f t="shared" si="14"/>
        <v>6.7523606046867891E-3</v>
      </c>
      <c r="AE19" s="251">
        <f t="shared" si="8"/>
        <v>1338.3713929214809</v>
      </c>
    </row>
    <row r="20" spans="1:31" x14ac:dyDescent="0.2">
      <c r="A20" s="244">
        <v>1.1498999999999999E-3</v>
      </c>
      <c r="B20" s="244">
        <v>0.41023799999999999</v>
      </c>
      <c r="C20" s="245">
        <v>0.40977799999999998</v>
      </c>
      <c r="D20" s="246">
        <f>IF(CouplingMode="AC",B20-(A$11-A$10)*SUM(B$9:B20)/0.21,B20)</f>
        <v>0.41023799999999999</v>
      </c>
      <c r="E20" s="247">
        <f t="shared" si="9"/>
        <v>38.937539769559962</v>
      </c>
      <c r="F20" s="247">
        <f t="shared" si="0"/>
        <v>38.937539769559962</v>
      </c>
      <c r="G20" s="248">
        <f t="shared" si="1"/>
        <v>6.4652843812128276E+18</v>
      </c>
      <c r="H20" s="249">
        <f t="shared" si="10"/>
        <v>1.2749740011281659E-2</v>
      </c>
      <c r="I20" s="248">
        <f>IF(MobilityModel=DK,CalcDeltaN(H20,SampleDoping,Thickness,AreaFrac),CalcDeltaNDL(H20,AreaFrac,Thickness,SampleType,SampleDoping,Temperature))</f>
        <v>3292887666362797.5</v>
      </c>
      <c r="J20" s="248">
        <f t="shared" si="2"/>
        <v>3292887666362797.5</v>
      </c>
      <c r="K20" s="248">
        <f t="shared" si="11"/>
        <v>3292887666362797.5</v>
      </c>
      <c r="L20" s="250">
        <f t="shared" si="15"/>
        <v>-1.9887906591775196E+18</v>
      </c>
      <c r="M20" s="196" t="str">
        <f t="shared" si="3"/>
        <v/>
      </c>
      <c r="N20" s="196" t="str">
        <f t="shared" si="4"/>
        <v/>
      </c>
      <c r="O20" s="250">
        <f t="shared" si="5"/>
        <v>3292887666362797.5</v>
      </c>
      <c r="P20" s="248">
        <f t="shared" si="16"/>
        <v>9.1172473143618855E-6</v>
      </c>
      <c r="Q20" s="250">
        <f t="shared" si="17"/>
        <v>9.1172473143618855E-6</v>
      </c>
      <c r="R20" s="251">
        <f t="shared" si="18"/>
        <v>109682.22814629109</v>
      </c>
      <c r="S20" s="252">
        <f>IF(AND(E20&gt;0.95*BiasLight,E20&lt;1.05*BiasLight),"",IF(AugerModel="Sinton",calclifetimeauger(Auger_Coefficient,I20,P20),calclifetimerichter(SampleType,I20,SampleDoping,P20)))</f>
        <v>109664.22858504683</v>
      </c>
      <c r="T20" s="201">
        <f t="shared" si="19"/>
        <v>109664.22858504683</v>
      </c>
      <c r="U20" s="252">
        <f t="shared" si="12"/>
        <v>109811.95661595934</v>
      </c>
      <c r="V20" s="251" t="str">
        <f>IF(AugerModel="Sinton","",IF(SampleType="n-type",n_intr_boltzmann(SampleDoping,0,K20,Temperature+273.15),n_intr_boltzmann(0,SampleDoping,K20,Temperature+273.15)))</f>
        <v/>
      </c>
      <c r="W20" s="251" t="str">
        <f t="shared" si="13"/>
        <v/>
      </c>
      <c r="X20" s="246">
        <f>IF(AND(A20&gt;TimeofMaxCD,I20&gt;Traps),IF(AugerModel="Sinton",CalcImpliedV(SampleDoping,O20),CalcImpliedVRichter(O20,SampleDoping,V20)),"")</f>
        <v>0.69593400186650423</v>
      </c>
      <c r="Y20" s="253">
        <f t="shared" si="6"/>
        <v>39.153136639665384</v>
      </c>
      <c r="Z20" s="200" t="str">
        <f t="shared" si="7"/>
        <v/>
      </c>
      <c r="AA20" s="254">
        <v>80.439930000000004</v>
      </c>
      <c r="AB20" s="254">
        <v>134.50246490751914</v>
      </c>
      <c r="AC20" s="251">
        <f t="shared" si="14"/>
        <v>7.4348079842817558E-3</v>
      </c>
      <c r="AE20" s="251">
        <f t="shared" si="8"/>
        <v>1342.7321775519981</v>
      </c>
    </row>
    <row r="21" spans="1:31" x14ac:dyDescent="0.2">
      <c r="A21" s="244">
        <v>1.2499E-3</v>
      </c>
      <c r="B21" s="244">
        <v>0.38771800000000001</v>
      </c>
      <c r="C21" s="245">
        <v>0.386106</v>
      </c>
      <c r="D21" s="246">
        <f>IF(CouplingMode="AC",B21-(A$11-A$10)*SUM(B$9:B21)/0.21,B21)</f>
        <v>0.38771800000000001</v>
      </c>
      <c r="E21" s="247">
        <f t="shared" si="9"/>
        <v>36.688201246200919</v>
      </c>
      <c r="F21" s="247">
        <f t="shared" si="0"/>
        <v>36.688201246200919</v>
      </c>
      <c r="G21" s="248">
        <f t="shared" si="1"/>
        <v>6.0917987087949076E+18</v>
      </c>
      <c r="H21" s="249">
        <f t="shared" si="10"/>
        <v>1.2045970666818763E-2</v>
      </c>
      <c r="I21" s="248">
        <f>IF(MobilityModel=DK,CalcDeltaN(H21,SampleDoping,Thickness,AreaFrac),CalcDeltaNDL(H21,AreaFrac,Thickness,SampleType,SampleDoping,Temperature))</f>
        <v>3101391318795048</v>
      </c>
      <c r="J21" s="248">
        <f t="shared" si="2"/>
        <v>3101391318795048</v>
      </c>
      <c r="K21" s="248">
        <f t="shared" si="11"/>
        <v>3101391318795048</v>
      </c>
      <c r="L21" s="250">
        <f t="shared" si="15"/>
        <v>-1.8811276164707756E+18</v>
      </c>
      <c r="M21" s="196" t="str">
        <f t="shared" si="3"/>
        <v/>
      </c>
      <c r="N21" s="196" t="str">
        <f t="shared" si="4"/>
        <v/>
      </c>
      <c r="O21" s="250">
        <f t="shared" si="5"/>
        <v>3101391318795048</v>
      </c>
      <c r="P21" s="248">
        <f t="shared" si="16"/>
        <v>9.113312328456557E-6</v>
      </c>
      <c r="Q21" s="250">
        <f t="shared" si="17"/>
        <v>9.113312328456557E-6</v>
      </c>
      <c r="R21" s="251">
        <f t="shared" si="18"/>
        <v>109729.58721907003</v>
      </c>
      <c r="S21" s="252">
        <f>IF(AND(E21&gt;0.95*BiasLight,E21&lt;1.05*BiasLight),"",IF(AugerModel="Sinton",calclifetimeauger(Auger_Coefficient,I21,P21),calclifetimerichter(SampleType,I21,SampleDoping,P21)))</f>
        <v>109713.62029640362</v>
      </c>
      <c r="T21" s="201">
        <f t="shared" si="19"/>
        <v>109713.62029640362</v>
      </c>
      <c r="U21" s="252">
        <f t="shared" si="12"/>
        <v>109739.39829547631</v>
      </c>
      <c r="V21" s="251" t="str">
        <f>IF(AugerModel="Sinton","",IF(SampleType="n-type",n_intr_boltzmann(SampleDoping,0,K21,Temperature+273.15),n_intr_boltzmann(0,SampleDoping,K21,Temperature+273.15)))</f>
        <v/>
      </c>
      <c r="W21" s="251" t="str">
        <f t="shared" si="13"/>
        <v/>
      </c>
      <c r="X21" s="246">
        <f>IF(AND(A21&gt;TimeofMaxCD,I21&gt;Traps),IF(AugerModel="Sinton",CalcImpliedV(SampleDoping,O21),CalcImpliedVRichter(O21,SampleDoping,V21)),"")</f>
        <v>0.69401587141060739</v>
      </c>
      <c r="Y21" s="253">
        <f t="shared" si="6"/>
        <v>36.892126794879665</v>
      </c>
      <c r="Z21" s="200" t="str">
        <f t="shared" si="7"/>
        <v/>
      </c>
      <c r="AA21" s="254">
        <v>85.464177000000007</v>
      </c>
      <c r="AB21" s="254">
        <v>123.36174290106487</v>
      </c>
      <c r="AC21" s="251">
        <f t="shared" si="14"/>
        <v>8.1062408529846402E-3</v>
      </c>
      <c r="AE21" s="251">
        <f t="shared" si="8"/>
        <v>1346.9461011769961</v>
      </c>
    </row>
    <row r="22" spans="1:31" x14ac:dyDescent="0.2">
      <c r="A22" s="244">
        <v>1.3499E-3</v>
      </c>
      <c r="B22" s="244">
        <v>0.36559900000000001</v>
      </c>
      <c r="C22" s="245">
        <v>0.36399500000000001</v>
      </c>
      <c r="D22" s="246">
        <f>IF(CouplingMode="AC",B22-(A$11-A$10)*SUM(B$9:B22)/0.21,B22)</f>
        <v>0.36559900000000001</v>
      </c>
      <c r="E22" s="247">
        <f t="shared" si="9"/>
        <v>34.587190596910958</v>
      </c>
      <c r="F22" s="247">
        <f t="shared" si="0"/>
        <v>34.587190596910958</v>
      </c>
      <c r="G22" s="248">
        <f t="shared" si="1"/>
        <v>5.742941759537025E+18</v>
      </c>
      <c r="H22" s="249">
        <f t="shared" si="10"/>
        <v>1.1355170866649049E-2</v>
      </c>
      <c r="I22" s="248">
        <f>IF(MobilityModel=DK,CalcDeltaN(H22,SampleDoping,Thickness,AreaFrac),CalcDeltaNDL(H22,AreaFrac,Thickness,SampleType,SampleDoping,Temperature))</f>
        <v>2914362280747193</v>
      </c>
      <c r="J22" s="248">
        <f t="shared" si="2"/>
        <v>2914362280747193</v>
      </c>
      <c r="K22" s="248">
        <f t="shared" si="11"/>
        <v>2914362280747193</v>
      </c>
      <c r="L22" s="250">
        <f t="shared" si="15"/>
        <v>-1.7830667908316961E+18</v>
      </c>
      <c r="M22" s="196" t="str">
        <f t="shared" si="3"/>
        <v/>
      </c>
      <c r="N22" s="196" t="str">
        <f t="shared" si="4"/>
        <v/>
      </c>
      <c r="O22" s="250">
        <f t="shared" si="5"/>
        <v>2914362280747193</v>
      </c>
      <c r="P22" s="248">
        <f t="shared" si="16"/>
        <v>9.0836684510765895E-6</v>
      </c>
      <c r="Q22" s="250">
        <f t="shared" si="17"/>
        <v>9.0836684510765895E-6</v>
      </c>
      <c r="R22" s="251">
        <f t="shared" si="18"/>
        <v>110087.68157775296</v>
      </c>
      <c r="S22" s="252">
        <f>IF(AND(E22&gt;0.95*BiasLight,E22&lt;1.05*BiasLight),"",IF(AugerModel="Sinton",calclifetimeauger(Auger_Coefficient,I22,P22),calclifetimerichter(SampleType,I22,SampleDoping,P22)))</f>
        <v>110073.58235529724</v>
      </c>
      <c r="T22" s="201">
        <f t="shared" si="19"/>
        <v>110073.58235529724</v>
      </c>
      <c r="U22" s="252">
        <f t="shared" si="12"/>
        <v>109668.5326468377</v>
      </c>
      <c r="V22" s="251" t="str">
        <f>IF(AugerModel="Sinton","",IF(SampleType="n-type",n_intr_boltzmann(SampleDoping,0,K22,Temperature+273.15),n_intr_boltzmann(0,SampleDoping,K22,Temperature+273.15)))</f>
        <v/>
      </c>
      <c r="W22" s="251" t="str">
        <f t="shared" si="13"/>
        <v/>
      </c>
      <c r="X22" s="246">
        <f>IF(AND(A22&gt;TimeofMaxCD,I22&gt;Traps),IF(AugerModel="Sinton",CalcImpliedV(SampleDoping,O22),CalcImpliedVRichter(O22,SampleDoping,V22)),"")</f>
        <v>0.69204238549838704</v>
      </c>
      <c r="Y22" s="253">
        <f t="shared" si="6"/>
        <v>34.780485762250883</v>
      </c>
      <c r="Z22" s="200" t="str">
        <f t="shared" si="7"/>
        <v/>
      </c>
      <c r="AA22" s="254">
        <v>90.457423000000006</v>
      </c>
      <c r="AB22" s="254">
        <v>114.31083543570352</v>
      </c>
      <c r="AC22" s="251">
        <f t="shared" si="14"/>
        <v>8.7480770846300963E-3</v>
      </c>
      <c r="AE22" s="251">
        <f t="shared" si="8"/>
        <v>1351.1859460132571</v>
      </c>
    </row>
    <row r="23" spans="1:31" x14ac:dyDescent="0.2">
      <c r="A23" s="244">
        <v>1.4499000000000001E-3</v>
      </c>
      <c r="B23" s="244">
        <v>0.34553299999999998</v>
      </c>
      <c r="C23" s="245">
        <v>0.34325699999999998</v>
      </c>
      <c r="D23" s="246">
        <f>IF(CouplingMode="AC",B23-(A$11-A$10)*SUM(B$9:B23)/0.21,B23)</f>
        <v>0.34553299999999998</v>
      </c>
      <c r="E23" s="247">
        <f t="shared" si="9"/>
        <v>32.616643862481254</v>
      </c>
      <c r="F23" s="247">
        <f t="shared" si="0"/>
        <v>32.616643862481254</v>
      </c>
      <c r="G23" s="248">
        <f t="shared" si="1"/>
        <v>5.4157473579400827E+18</v>
      </c>
      <c r="H23" s="249">
        <f t="shared" si="10"/>
        <v>1.0728863890839872E-2</v>
      </c>
      <c r="I23" s="248">
        <f>IF(MobilityModel=DK,CalcDeltaN(H23,SampleDoping,Thickness,AreaFrac),CalcDeltaNDL(H23,AreaFrac,Thickness,SampleType,SampleDoping,Temperature))</f>
        <v>2745608404093400.5</v>
      </c>
      <c r="J23" s="248" t="str">
        <f t="shared" si="2"/>
        <v/>
      </c>
      <c r="K23" s="248">
        <f t="shared" si="11"/>
        <v>2745608404093400.5</v>
      </c>
      <c r="L23" s="250">
        <f t="shared" si="15"/>
        <v>-1.6874866101117842E+18</v>
      </c>
      <c r="M23" s="196" t="str">
        <f t="shared" si="3"/>
        <v/>
      </c>
      <c r="N23" s="196" t="str">
        <f t="shared" si="4"/>
        <v/>
      </c>
      <c r="O23" s="250">
        <f t="shared" si="5"/>
        <v>2745608404093400.5</v>
      </c>
      <c r="P23" s="248">
        <f t="shared" si="16"/>
        <v>9.0745213222673238E-6</v>
      </c>
      <c r="Q23" s="250" t="str">
        <f t="shared" si="17"/>
        <v/>
      </c>
      <c r="R23" s="251" t="str">
        <f t="shared" si="18"/>
        <v/>
      </c>
      <c r="S23" s="252">
        <f>IF(AND(E23&gt;0.95*BiasLight,E23&lt;1.05*BiasLight),"",IF(AugerModel="Sinton",calclifetimeauger(Auger_Coefficient,I23,P23),calclifetimerichter(SampleType,I23,SampleDoping,P23)))</f>
        <v>110186.13641132432</v>
      </c>
      <c r="T23" s="201" t="str">
        <f t="shared" si="19"/>
        <v/>
      </c>
      <c r="U23" s="252">
        <f t="shared" si="12"/>
        <v>109604.59149067196</v>
      </c>
      <c r="V23" s="251" t="str">
        <f>IF(AugerModel="Sinton","",IF(SampleType="n-type",n_intr_boltzmann(SampleDoping,0,K23,Temperature+273.15),n_intr_boltzmann(0,SampleDoping,K23,Temperature+273.15)))</f>
        <v/>
      </c>
      <c r="W23" s="251" t="str">
        <f t="shared" si="13"/>
        <v/>
      </c>
      <c r="X23" s="246">
        <f>IF(AND(A23&gt;TimeofMaxCD,I23&gt;Traps),IF(AugerModel="Sinton",CalcImpliedV(SampleDoping,O23),CalcImpliedVRichter(O23,SampleDoping,V23)),"")</f>
        <v>0.69016636763091321</v>
      </c>
      <c r="Y23" s="253">
        <f t="shared" si="6"/>
        <v>32.799577561312766</v>
      </c>
      <c r="Z23" s="200" t="str">
        <f t="shared" si="7"/>
        <v/>
      </c>
      <c r="AA23" s="254">
        <v>95.445974000000007</v>
      </c>
      <c r="AB23" s="254">
        <v>106.56239300774862</v>
      </c>
      <c r="AC23" s="251">
        <f t="shared" si="14"/>
        <v>9.3841736448925794E-3</v>
      </c>
      <c r="AE23" s="251">
        <f t="shared" si="8"/>
        <v>1355.1273900210153</v>
      </c>
    </row>
    <row r="24" spans="1:31" x14ac:dyDescent="0.2">
      <c r="A24" s="244">
        <v>1.5499000000000001E-3</v>
      </c>
      <c r="B24" s="244">
        <v>0.32564799999999999</v>
      </c>
      <c r="C24" s="245">
        <v>0.32363599999999998</v>
      </c>
      <c r="D24" s="246">
        <f>IF(CouplingMode="AC",B24-(A$11-A$10)*SUM(B$9:B24)/0.21,B24)</f>
        <v>0.32564799999999999</v>
      </c>
      <c r="E24" s="247">
        <f t="shared" si="9"/>
        <v>30.752235651648714</v>
      </c>
      <c r="F24" s="247">
        <f t="shared" si="0"/>
        <v>30.752235651648714</v>
      </c>
      <c r="G24" s="248">
        <f t="shared" si="1"/>
        <v>5.1061764565159526E+18</v>
      </c>
      <c r="H24" s="249">
        <f t="shared" si="10"/>
        <v>1.0108558719010299E-2</v>
      </c>
      <c r="I24" s="248">
        <f>IF(MobilityModel=DK,CalcDeltaN(H24,SampleDoping,Thickness,AreaFrac),CalcDeltaNDL(H24,AreaFrac,Thickness,SampleType,SampleDoping,Temperature))</f>
        <v>2579245728297773</v>
      </c>
      <c r="J24" s="248" t="str">
        <f t="shared" si="2"/>
        <v/>
      </c>
      <c r="K24" s="248">
        <f t="shared" si="11"/>
        <v>2579245728297773</v>
      </c>
      <c r="L24" s="250">
        <f t="shared" si="15"/>
        <v>-1.5938891806330941E+18</v>
      </c>
      <c r="M24" s="196" t="str">
        <f t="shared" si="3"/>
        <v/>
      </c>
      <c r="N24" s="196" t="str">
        <f t="shared" si="4"/>
        <v/>
      </c>
      <c r="O24" s="250">
        <f t="shared" si="5"/>
        <v>2579245728297773</v>
      </c>
      <c r="P24" s="248">
        <f t="shared" si="16"/>
        <v>9.041408078484011E-6</v>
      </c>
      <c r="Q24" s="250" t="str">
        <f t="shared" si="17"/>
        <v/>
      </c>
      <c r="R24" s="251" t="str">
        <f t="shared" si="18"/>
        <v/>
      </c>
      <c r="S24" s="252">
        <f>IF(AND(E24&gt;0.95*BiasLight,E24&lt;1.05*BiasLight),"",IF(AugerModel="Sinton",calclifetimeauger(Auger_Coefficient,I24,P24),calclifetimerichter(SampleType,I24,SampleDoping,P24)))</f>
        <v>110591.19835834847</v>
      </c>
      <c r="T24" s="201" t="str">
        <f t="shared" si="19"/>
        <v/>
      </c>
      <c r="U24" s="252">
        <f t="shared" si="12"/>
        <v>109541.55636493659</v>
      </c>
      <c r="V24" s="251" t="str">
        <f>IF(AugerModel="Sinton","",IF(SampleType="n-type",n_intr_boltzmann(SampleDoping,0,K24,Temperature+273.15),n_intr_boltzmann(0,SampleDoping,K24,Temperature+273.15)))</f>
        <v/>
      </c>
      <c r="W24" s="251" t="str">
        <f t="shared" si="13"/>
        <v/>
      </c>
      <c r="X24" s="246">
        <f>IF(AND(A24&gt;TimeofMaxCD,I24&gt;Traps),IF(AugerModel="Sinton",CalcImpliedV(SampleDoping,O24),CalcImpliedVRichter(O24,SampleDoping,V24)),"")</f>
        <v>0.68821725352731411</v>
      </c>
      <c r="Y24" s="253">
        <f t="shared" si="6"/>
        <v>30.925022826132675</v>
      </c>
      <c r="Z24" s="200" t="str">
        <f t="shared" si="7"/>
        <v/>
      </c>
      <c r="AA24" s="254">
        <v>100.439252</v>
      </c>
      <c r="AB24" s="254">
        <v>99.557426474107885</v>
      </c>
      <c r="AC24" s="251">
        <f t="shared" si="14"/>
        <v>1.0044454094643277E-2</v>
      </c>
      <c r="AE24" s="251">
        <f t="shared" si="8"/>
        <v>1359.1315730557121</v>
      </c>
    </row>
    <row r="25" spans="1:31" x14ac:dyDescent="0.2">
      <c r="A25" s="244">
        <v>1.6498999999999999E-3</v>
      </c>
      <c r="B25" s="244">
        <v>0.30714200000000003</v>
      </c>
      <c r="C25" s="245">
        <v>0.30527500000000002</v>
      </c>
      <c r="D25" s="246">
        <f>IF(CouplingMode="AC",B25-(A$11-A$10)*SUM(B$9:B25)/0.21,B25)</f>
        <v>0.30714200000000003</v>
      </c>
      <c r="E25" s="247">
        <f t="shared" si="9"/>
        <v>29.00755397593921</v>
      </c>
      <c r="F25" s="247">
        <f t="shared" si="0"/>
        <v>29.00755397593921</v>
      </c>
      <c r="G25" s="248">
        <f t="shared" si="1"/>
        <v>4.8164852419474586E+18</v>
      </c>
      <c r="H25" s="249">
        <f t="shared" si="10"/>
        <v>9.5315860663547219E-3</v>
      </c>
      <c r="I25" s="248">
        <f>IF(MobilityModel=DK,CalcDeltaN(H25,SampleDoping,Thickness,AreaFrac),CalcDeltaNDL(H25,AreaFrac,Thickness,SampleType,SampleDoping,Temperature))</f>
        <v>2425206289963866</v>
      </c>
      <c r="J25" s="248" t="str">
        <f t="shared" si="2"/>
        <v/>
      </c>
      <c r="K25" s="248">
        <f t="shared" si="11"/>
        <v>2425206289963866</v>
      </c>
      <c r="L25" s="250">
        <f t="shared" si="15"/>
        <v>-1.5098262846200046E+18</v>
      </c>
      <c r="M25" s="196" t="str">
        <f t="shared" si="3"/>
        <v/>
      </c>
      <c r="N25" s="196" t="str">
        <f t="shared" si="4"/>
        <v/>
      </c>
      <c r="O25" s="250">
        <f t="shared" si="5"/>
        <v>2425206289963866</v>
      </c>
      <c r="P25" s="248">
        <f t="shared" si="16"/>
        <v>9.0125430267988737E-6</v>
      </c>
      <c r="Q25" s="250" t="str">
        <f t="shared" si="17"/>
        <v/>
      </c>
      <c r="R25" s="251" t="str">
        <f t="shared" si="18"/>
        <v/>
      </c>
      <c r="S25" s="252">
        <f>IF(AND(E25&gt;0.95*BiasLight,E25&lt;1.05*BiasLight),"",IF(AugerModel="Sinton",calclifetimeauger(Auger_Coefficient,I25,P25),calclifetimerichter(SampleType,I25,SampleDoping,P25)))</f>
        <v>110946.71094243108</v>
      </c>
      <c r="T25" s="201" t="str">
        <f t="shared" si="19"/>
        <v/>
      </c>
      <c r="U25" s="252">
        <f t="shared" si="12"/>
        <v>109483.19053668129</v>
      </c>
      <c r="V25" s="251" t="str">
        <f>IF(AugerModel="Sinton","",IF(SampleType="n-type",n_intr_boltzmann(SampleDoping,0,K25,Temperature+273.15),n_intr_boltzmann(0,SampleDoping,K25,Temperature+273.15)))</f>
        <v/>
      </c>
      <c r="W25" s="251" t="str">
        <f t="shared" si="13"/>
        <v/>
      </c>
      <c r="X25" s="246">
        <f>IF(AND(A25&gt;TimeofMaxCD,I25&gt;Traps),IF(AugerModel="Sinton",CalcImpliedV(SampleDoping,O25),CalcImpliedVRichter(O25,SampleDoping,V25)),"")</f>
        <v>0.68631319853416084</v>
      </c>
      <c r="Y25" s="253">
        <f t="shared" si="6"/>
        <v>29.171228226853874</v>
      </c>
      <c r="Z25" s="200" t="str">
        <f t="shared" si="7"/>
        <v/>
      </c>
      <c r="AA25" s="254">
        <v>105.532697</v>
      </c>
      <c r="AB25" s="254">
        <v>93.924023141841204</v>
      </c>
      <c r="AC25" s="251">
        <f t="shared" si="14"/>
        <v>1.0646903385833786E-2</v>
      </c>
      <c r="AE25" s="251">
        <f t="shared" si="8"/>
        <v>1362.9548548435753</v>
      </c>
    </row>
    <row r="26" spans="1:31" x14ac:dyDescent="0.2">
      <c r="A26" s="244">
        <v>1.7499E-3</v>
      </c>
      <c r="B26" s="244">
        <v>0.28932400000000003</v>
      </c>
      <c r="C26" s="245">
        <v>0.28798600000000002</v>
      </c>
      <c r="D26" s="246">
        <f>IF(CouplingMode="AC",B26-(A$11-A$10)*SUM(B$9:B26)/0.21,B26)</f>
        <v>0.28932400000000003</v>
      </c>
      <c r="E26" s="247">
        <f t="shared" si="9"/>
        <v>27.364734876143903</v>
      </c>
      <c r="F26" s="247">
        <f t="shared" si="0"/>
        <v>27.364734876143903</v>
      </c>
      <c r="G26" s="248">
        <f t="shared" si="1"/>
        <v>4.5437075387355044E+18</v>
      </c>
      <c r="H26" s="249">
        <f t="shared" si="10"/>
        <v>8.9763506781234889E-3</v>
      </c>
      <c r="I26" s="248">
        <f>IF(MobilityModel=DK,CalcDeltaN(H26,SampleDoping,Thickness,AreaFrac),CalcDeltaNDL(H26,AreaFrac,Thickness,SampleType,SampleDoping,Temperature))</f>
        <v>2277618747495413.5</v>
      </c>
      <c r="J26" s="248" t="str">
        <f t="shared" si="2"/>
        <v/>
      </c>
      <c r="K26" s="248">
        <f t="shared" si="11"/>
        <v>2277618747495413.5</v>
      </c>
      <c r="L26" s="250">
        <f t="shared" si="15"/>
        <v>-1.4183625673465715E+18</v>
      </c>
      <c r="M26" s="196" t="str">
        <f t="shared" si="3"/>
        <v/>
      </c>
      <c r="N26" s="196" t="str">
        <f t="shared" si="4"/>
        <v/>
      </c>
      <c r="O26" s="250">
        <f t="shared" si="5"/>
        <v>2277618747495413.5</v>
      </c>
      <c r="P26" s="248">
        <f t="shared" si="16"/>
        <v>8.9724231638139242E-6</v>
      </c>
      <c r="Q26" s="250" t="str">
        <f t="shared" si="17"/>
        <v/>
      </c>
      <c r="R26" s="251" t="str">
        <f t="shared" si="18"/>
        <v/>
      </c>
      <c r="S26" s="252">
        <f>IF(AND(E26&gt;0.95*BiasLight,E26&lt;1.05*BiasLight),"",IF(AugerModel="Sinton",calclifetimeauger(Auger_Coefficient,I26,P26),calclifetimerichter(SampleType,I26,SampleDoping,P26)))</f>
        <v>111444.00094183652</v>
      </c>
      <c r="T26" s="201" t="str">
        <f t="shared" si="19"/>
        <v/>
      </c>
      <c r="U26" s="252">
        <f t="shared" si="12"/>
        <v>109427.2693437095</v>
      </c>
      <c r="V26" s="251" t="str">
        <f>IF(AugerModel="Sinton","",IF(SampleType="n-type",n_intr_boltzmann(SampleDoping,0,K26,Temperature+273.15),n_intr_boltzmann(0,SampleDoping,K26,Temperature+273.15)))</f>
        <v/>
      </c>
      <c r="W26" s="251" t="str">
        <f t="shared" si="13"/>
        <v/>
      </c>
      <c r="X26" s="246">
        <f>IF(AND(A26&gt;TimeofMaxCD,I26&gt;Traps),IF(AugerModel="Sinton",CalcImpliedV(SampleDoping,O26),CalcImpliedVRichter(O26,SampleDoping,V26)),"")</f>
        <v>0.68438782461373959</v>
      </c>
      <c r="Y26" s="253">
        <f t="shared" si="6"/>
        <v>27.518493909948436</v>
      </c>
      <c r="Z26" s="200" t="str">
        <f t="shared" si="7"/>
        <v/>
      </c>
      <c r="AA26" s="254">
        <v>110.37857200000001</v>
      </c>
      <c r="AB26" s="254">
        <v>89.146194899335541</v>
      </c>
      <c r="AC26" s="251">
        <f t="shared" si="14"/>
        <v>1.1217528702478064E-2</v>
      </c>
      <c r="AE26" s="251">
        <f t="shared" si="8"/>
        <v>1366.7332654737565</v>
      </c>
    </row>
    <row r="27" spans="1:31" x14ac:dyDescent="0.2">
      <c r="A27" s="244">
        <v>1.8499E-3</v>
      </c>
      <c r="B27" s="244">
        <v>0.272814</v>
      </c>
      <c r="C27" s="245">
        <v>0.27168599999999998</v>
      </c>
      <c r="D27" s="246">
        <f>IF(CouplingMode="AC",B27-(A$11-A$10)*SUM(B$9:B27)/0.21,B27)</f>
        <v>0.272814</v>
      </c>
      <c r="E27" s="247">
        <f t="shared" si="9"/>
        <v>25.815891604314206</v>
      </c>
      <c r="F27" s="247">
        <f t="shared" si="0"/>
        <v>25.815891604314206</v>
      </c>
      <c r="G27" s="248">
        <f t="shared" si="1"/>
        <v>4.2865338119522964E+18</v>
      </c>
      <c r="H27" s="249">
        <f t="shared" si="10"/>
        <v>8.4621259012026898E-3</v>
      </c>
      <c r="I27" s="248">
        <f>IF(MobilityModel=DK,CalcDeltaN(H27,SampleDoping,Thickness,AreaFrac),CalcDeltaNDL(H27,AreaFrac,Thickness,SampleType,SampleDoping,Temperature))</f>
        <v>2141508752184578.2</v>
      </c>
      <c r="J27" s="248" t="str">
        <f t="shared" si="2"/>
        <v/>
      </c>
      <c r="K27" s="248">
        <f t="shared" si="11"/>
        <v>2141508752184578.2</v>
      </c>
      <c r="L27" s="250">
        <f t="shared" si="15"/>
        <v>-1.3351054719985034E+18</v>
      </c>
      <c r="M27" s="196" t="str">
        <f t="shared" si="3"/>
        <v/>
      </c>
      <c r="N27" s="196" t="str">
        <f t="shared" si="4"/>
        <v/>
      </c>
      <c r="O27" s="250">
        <f t="shared" si="5"/>
        <v>2141508752184578.2</v>
      </c>
      <c r="P27" s="248">
        <f t="shared" si="16"/>
        <v>8.9424822931915747E-6</v>
      </c>
      <c r="Q27" s="250" t="str">
        <f t="shared" si="17"/>
        <v/>
      </c>
      <c r="R27" s="251" t="str">
        <f t="shared" si="18"/>
        <v/>
      </c>
      <c r="S27" s="252">
        <f>IF(AND(E27&gt;0.95*BiasLight,E27&lt;1.05*BiasLight),"",IF(AugerModel="Sinton",calclifetimeauger(Auger_Coefficient,I27,P27),calclifetimerichter(SampleType,I27,SampleDoping,P27)))</f>
        <v>111818.16070276769</v>
      </c>
      <c r="T27" s="201" t="str">
        <f t="shared" si="19"/>
        <v/>
      </c>
      <c r="U27" s="252">
        <f t="shared" si="12"/>
        <v>109375.69701459646</v>
      </c>
      <c r="V27" s="251" t="str">
        <f>IF(AugerModel="Sinton","",IF(SampleType="n-type",n_intr_boltzmann(SampleDoping,0,K27,Temperature+273.15),n_intr_boltzmann(0,SampleDoping,K27,Temperature+273.15)))</f>
        <v/>
      </c>
      <c r="W27" s="251" t="str">
        <f t="shared" si="13"/>
        <v/>
      </c>
      <c r="X27" s="246">
        <f>IF(AND(A27&gt;TimeofMaxCD,I27&gt;Traps),IF(AugerModel="Sinton",CalcImpliedV(SampleDoping,O27),CalcImpliedVRichter(O27,SampleDoping,V27)),"")</f>
        <v>0.68251329884540324</v>
      </c>
      <c r="Y27" s="253">
        <f t="shared" si="6"/>
        <v>25.960625068188449</v>
      </c>
      <c r="Z27" s="200" t="str">
        <f t="shared" si="7"/>
        <v/>
      </c>
      <c r="AA27" s="254">
        <v>115.414168</v>
      </c>
      <c r="AB27" s="254">
        <v>84.784474294357636</v>
      </c>
      <c r="AC27" s="251">
        <f t="shared" si="14"/>
        <v>1.179461226035519E-2</v>
      </c>
      <c r="AE27" s="251">
        <f t="shared" si="8"/>
        <v>1370.3282532521066</v>
      </c>
    </row>
    <row r="28" spans="1:31" x14ac:dyDescent="0.2">
      <c r="A28" s="244">
        <v>1.9499000000000001E-3</v>
      </c>
      <c r="B28" s="244">
        <v>0.257023</v>
      </c>
      <c r="C28" s="245">
        <v>0.25643300000000002</v>
      </c>
      <c r="D28" s="246">
        <f>IF(CouplingMode="AC",B28-(A$11-A$10)*SUM(B$9:B28)/0.21,B28)</f>
        <v>0.257023</v>
      </c>
      <c r="E28" s="247">
        <f t="shared" si="9"/>
        <v>24.366535381908182</v>
      </c>
      <c r="F28" s="247">
        <f t="shared" si="0"/>
        <v>24.366535381908182</v>
      </c>
      <c r="G28" s="248">
        <f t="shared" si="1"/>
        <v>4.0458791582943672E+18</v>
      </c>
      <c r="H28" s="249">
        <f t="shared" si="10"/>
        <v>7.9705215266111448E-3</v>
      </c>
      <c r="I28" s="248">
        <f>IF(MobilityModel=DK,CalcDeltaN(H28,SampleDoping,Thickness,AreaFrac),CalcDeltaNDL(H28,AreaFrac,Thickness,SampleType,SampleDoping,Temperature))</f>
        <v>2011913213514131.3</v>
      </c>
      <c r="J28" s="248" t="str">
        <f t="shared" si="2"/>
        <v/>
      </c>
      <c r="K28" s="248">
        <f t="shared" si="11"/>
        <v>2011913213514131.3</v>
      </c>
      <c r="L28" s="250">
        <f t="shared" si="15"/>
        <v>-1.2580636852745257E+18</v>
      </c>
      <c r="M28" s="196" t="str">
        <f t="shared" si="3"/>
        <v/>
      </c>
      <c r="N28" s="196" t="str">
        <f t="shared" si="4"/>
        <v/>
      </c>
      <c r="O28" s="250">
        <f t="shared" si="5"/>
        <v>2011913213514131.3</v>
      </c>
      <c r="P28" s="248">
        <f t="shared" si="16"/>
        <v>8.9011236339545298E-6</v>
      </c>
      <c r="Q28" s="250" t="str">
        <f t="shared" si="17"/>
        <v/>
      </c>
      <c r="R28" s="251" t="str">
        <f t="shared" si="18"/>
        <v/>
      </c>
      <c r="S28" s="252">
        <f>IF(AND(E28&gt;0.95*BiasLight,E28&lt;1.05*BiasLight),"",IF(AugerModel="Sinton",calclifetimeauger(Auger_Coefficient,I28,P28),calclifetimerichter(SampleType,I28,SampleDoping,P28)))</f>
        <v>112338.64750686706</v>
      </c>
      <c r="T28" s="201" t="str">
        <f t="shared" si="19"/>
        <v/>
      </c>
      <c r="U28" s="252">
        <f t="shared" si="12"/>
        <v>109326.59302516034</v>
      </c>
      <c r="V28" s="251" t="str">
        <f>IF(AugerModel="Sinton","",IF(SampleType="n-type",n_intr_boltzmann(SampleDoping,0,K28,Temperature+273.15),n_intr_boltzmann(0,SampleDoping,K28,Temperature+273.15)))</f>
        <v/>
      </c>
      <c r="W28" s="251" t="str">
        <f t="shared" si="13"/>
        <v/>
      </c>
      <c r="X28" s="246">
        <f>IF(AND(A28&gt;TimeofMaxCD,I28&gt;Traps),IF(AugerModel="Sinton",CalcImpliedV(SampleDoping,O28),CalcImpliedVRichter(O28,SampleDoping,V28)),"")</f>
        <v>0.68062894665337625</v>
      </c>
      <c r="Y28" s="253">
        <f t="shared" si="6"/>
        <v>24.502917052692304</v>
      </c>
      <c r="Z28" s="200" t="str">
        <f t="shared" si="7"/>
        <v/>
      </c>
      <c r="AA28" s="254">
        <v>120.43200899999999</v>
      </c>
      <c r="AB28" s="254">
        <v>81.005726711876193</v>
      </c>
      <c r="AC28" s="251">
        <f t="shared" si="14"/>
        <v>1.2344806232735032E-2</v>
      </c>
      <c r="AE28" s="251">
        <f t="shared" si="8"/>
        <v>1373.8600001797327</v>
      </c>
    </row>
    <row r="29" spans="1:31" x14ac:dyDescent="0.2">
      <c r="A29" s="244">
        <v>2.0498999999999999E-3</v>
      </c>
      <c r="B29" s="244">
        <v>0.24216499999999999</v>
      </c>
      <c r="C29" s="245">
        <v>0.24216499999999999</v>
      </c>
      <c r="D29" s="246">
        <f>IF(CouplingMode="AC",B29-(A$11-A$10)*SUM(B$9:B29)/0.21,B29)</f>
        <v>0.24216499999999999</v>
      </c>
      <c r="E29" s="247">
        <f t="shared" si="9"/>
        <v>23.010774903229279</v>
      </c>
      <c r="F29" s="247">
        <f t="shared" si="0"/>
        <v>23.010774903229279</v>
      </c>
      <c r="G29" s="248">
        <f t="shared" si="1"/>
        <v>3.820765370948182E+18</v>
      </c>
      <c r="H29" s="249">
        <f t="shared" si="10"/>
        <v>7.5081652326407927E-3</v>
      </c>
      <c r="I29" s="248">
        <f>IF(MobilityModel=DK,CalcDeltaN(H29,SampleDoping,Thickness,AreaFrac),CalcDeltaNDL(H29,AreaFrac,Thickness,SampleType,SampleDoping,Temperature))</f>
        <v>1890506320955255.5</v>
      </c>
      <c r="J29" s="248" t="str">
        <f t="shared" si="2"/>
        <v/>
      </c>
      <c r="K29" s="248">
        <f t="shared" si="11"/>
        <v>1890506320955255.5</v>
      </c>
      <c r="L29" s="250">
        <f t="shared" si="15"/>
        <v>-1.1860154756793137E+18</v>
      </c>
      <c r="M29" s="196" t="str">
        <f t="shared" si="3"/>
        <v/>
      </c>
      <c r="N29" s="196" t="str">
        <f t="shared" si="4"/>
        <v/>
      </c>
      <c r="O29" s="250">
        <f t="shared" si="5"/>
        <v>1890506320955255.5</v>
      </c>
      <c r="P29" s="248">
        <f t="shared" si="16"/>
        <v>8.8568732946072114E-6</v>
      </c>
      <c r="Q29" s="250" t="str">
        <f t="shared" si="17"/>
        <v/>
      </c>
      <c r="R29" s="251" t="str">
        <f t="shared" si="18"/>
        <v/>
      </c>
      <c r="S29" s="252">
        <f>IF(AND(E29&gt;0.95*BiasLight,E29&lt;1.05*BiasLight),"",IF(AugerModel="Sinton",calclifetimeauger(Auger_Coefficient,I29,P29),calclifetimerichter(SampleType,I29,SampleDoping,P29)))</f>
        <v>112900.72919849264</v>
      </c>
      <c r="T29" s="201" t="str">
        <f t="shared" si="19"/>
        <v/>
      </c>
      <c r="U29" s="252">
        <f t="shared" si="12"/>
        <v>109280.59172889008</v>
      </c>
      <c r="V29" s="251" t="str">
        <f>IF(AugerModel="Sinton","",IF(SampleType="n-type",n_intr_boltzmann(SampleDoping,0,K29,Temperature+273.15),n_intr_boltzmann(0,SampleDoping,K29,Temperature+273.15)))</f>
        <v/>
      </c>
      <c r="W29" s="251" t="str">
        <f t="shared" si="13"/>
        <v/>
      </c>
      <c r="X29" s="246">
        <f>IF(AND(A29&gt;TimeofMaxCD,I29&gt;Traps),IF(AugerModel="Sinton",CalcImpliedV(SampleDoping,O29),CalcImpliedVRichter(O29,SampleDoping,V29)),"")</f>
        <v>0.67876422025897909</v>
      </c>
      <c r="Y29" s="253">
        <f t="shared" si="6"/>
        <v>23.139346114720588</v>
      </c>
      <c r="Z29" s="200" t="str">
        <f t="shared" si="7"/>
        <v/>
      </c>
      <c r="AA29" s="254">
        <v>125.43118</v>
      </c>
      <c r="AB29" s="254">
        <v>77.809397610286311</v>
      </c>
      <c r="AC29" s="251">
        <f t="shared" si="14"/>
        <v>1.2851918029343556E-2</v>
      </c>
      <c r="AE29" s="251">
        <f t="shared" si="8"/>
        <v>1377.2750210416109</v>
      </c>
    </row>
    <row r="30" spans="1:31" x14ac:dyDescent="0.2">
      <c r="A30" s="244">
        <v>2.1499000000000002E-3</v>
      </c>
      <c r="B30" s="244">
        <v>0.227857</v>
      </c>
      <c r="C30" s="245">
        <v>0.22878599999999999</v>
      </c>
      <c r="D30" s="246">
        <f>IF(CouplingMode="AC",B30-(A$11-A$10)*SUM(B$9:B30)/0.21,B30)</f>
        <v>0.227857</v>
      </c>
      <c r="E30" s="247">
        <f t="shared" si="9"/>
        <v>21.739488146553853</v>
      </c>
      <c r="F30" s="247">
        <f t="shared" si="0"/>
        <v>21.739488146553853</v>
      </c>
      <c r="G30" s="248">
        <f t="shared" si="1"/>
        <v>3.6096778071056957E+18</v>
      </c>
      <c r="H30" s="249">
        <f t="shared" si="10"/>
        <v>7.0631091229668846E-3</v>
      </c>
      <c r="I30" s="248">
        <f>IF(MobilityModel=DK,CalcDeltaN(H30,SampleDoping,Thickness,AreaFrac),CalcDeltaNDL(H30,AreaFrac,Thickness,SampleType,SampleDoping,Temperature))</f>
        <v>1774088120472812</v>
      </c>
      <c r="J30" s="248" t="str">
        <f t="shared" si="2"/>
        <v/>
      </c>
      <c r="K30" s="248">
        <f t="shared" si="11"/>
        <v>1774088120472812</v>
      </c>
      <c r="L30" s="250">
        <f t="shared" si="15"/>
        <v>-1.1243831745075558E+18</v>
      </c>
      <c r="M30" s="196" t="str">
        <f t="shared" si="3"/>
        <v/>
      </c>
      <c r="N30" s="196" t="str">
        <f t="shared" si="4"/>
        <v/>
      </c>
      <c r="O30" s="250">
        <f t="shared" si="5"/>
        <v>1774088120472812</v>
      </c>
      <c r="P30" s="248">
        <f t="shared" si="16"/>
        <v>8.7973330437995501E-6</v>
      </c>
      <c r="Q30" s="250" t="str">
        <f t="shared" si="17"/>
        <v/>
      </c>
      <c r="R30" s="251" t="str">
        <f t="shared" si="18"/>
        <v/>
      </c>
      <c r="S30" s="252">
        <f>IF(AND(E30&gt;0.95*BiasLight,E30&lt;1.05*BiasLight),"",IF(AugerModel="Sinton",calclifetimeauger(Auger_Coefficient,I30,P30),calclifetimerichter(SampleType,I30,SampleDoping,P30)))</f>
        <v>113665.58841206964</v>
      </c>
      <c r="T30" s="201" t="str">
        <f t="shared" si="19"/>
        <v/>
      </c>
      <c r="U30" s="252">
        <f t="shared" si="12"/>
        <v>109236.48065727983</v>
      </c>
      <c r="V30" s="251" t="str">
        <f>IF(AugerModel="Sinton","",IF(SampleType="n-type",n_intr_boltzmann(SampleDoping,0,K30,Temperature+273.15),n_intr_boltzmann(0,SampleDoping,K30,Temperature+273.15)))</f>
        <v/>
      </c>
      <c r="W30" s="251" t="str">
        <f t="shared" si="13"/>
        <v/>
      </c>
      <c r="X30" s="246">
        <f>IF(AND(A30&gt;TimeofMaxCD,I30&gt;Traps),IF(AugerModel="Sinton",CalcImpliedV(SampleDoping,O30),CalcImpliedVRichter(O30,SampleDoping,V30)),"")</f>
        <v>0.67687397929719839</v>
      </c>
      <c r="Y30" s="253">
        <f t="shared" si="6"/>
        <v>21.861378045877537</v>
      </c>
      <c r="Z30" s="200" t="str">
        <f t="shared" si="7"/>
        <v/>
      </c>
      <c r="AA30" s="254">
        <v>130.38081299999999</v>
      </c>
      <c r="AB30" s="254">
        <v>74.589379511139683</v>
      </c>
      <c r="AC30" s="251">
        <f t="shared" si="14"/>
        <v>1.3406734397765747E-2</v>
      </c>
      <c r="AE30" s="251">
        <f t="shared" si="8"/>
        <v>1380.6567209654315</v>
      </c>
    </row>
    <row r="31" spans="1:31" x14ac:dyDescent="0.2">
      <c r="A31" s="244">
        <v>2.2499E-3</v>
      </c>
      <c r="B31" s="244">
        <v>0.21469299999999999</v>
      </c>
      <c r="C31" s="245">
        <v>0.21621599999999999</v>
      </c>
      <c r="D31" s="246">
        <f>IF(CouplingMode="AC",B31-(A$11-A$10)*SUM(B$9:B31)/0.21,B31)</f>
        <v>0.21469299999999999</v>
      </c>
      <c r="E31" s="247">
        <f t="shared" si="9"/>
        <v>20.545073427112182</v>
      </c>
      <c r="F31" s="247">
        <f t="shared" si="0"/>
        <v>20.545073427112182</v>
      </c>
      <c r="G31" s="248">
        <f t="shared" si="1"/>
        <v>3.4113542644268667E+18</v>
      </c>
      <c r="H31" s="249">
        <f t="shared" si="10"/>
        <v>6.6537980013352538E-3</v>
      </c>
      <c r="I31" s="248">
        <f>IF(MobilityModel=DK,CalcDeltaN(H31,SampleDoping,Thickness,AreaFrac),CalcDeltaNDL(H31,AreaFrac,Thickness,SampleType,SampleDoping,Temperature))</f>
        <v>1667413560865581</v>
      </c>
      <c r="J31" s="248" t="str">
        <f t="shared" si="2"/>
        <v/>
      </c>
      <c r="K31" s="248">
        <f t="shared" si="11"/>
        <v>1667413560865581</v>
      </c>
      <c r="L31" s="250">
        <f t="shared" si="15"/>
        <v>-1.0614952042201928E+18</v>
      </c>
      <c r="M31" s="196" t="str">
        <f t="shared" si="3"/>
        <v/>
      </c>
      <c r="N31" s="196" t="str">
        <f t="shared" si="4"/>
        <v/>
      </c>
      <c r="O31" s="250">
        <f t="shared" si="5"/>
        <v>1667413560865581</v>
      </c>
      <c r="P31" s="248">
        <f t="shared" si="16"/>
        <v>8.7490988929304797E-6</v>
      </c>
      <c r="Q31" s="250" t="str">
        <f t="shared" si="17"/>
        <v/>
      </c>
      <c r="R31" s="251" t="str">
        <f t="shared" si="18"/>
        <v/>
      </c>
      <c r="S31" s="252">
        <f>IF(AND(E31&gt;0.95*BiasLight,E31&lt;1.05*BiasLight),"",IF(AugerModel="Sinton",calclifetimeauger(Auger_Coefficient,I31,P31),calclifetimerichter(SampleType,I31,SampleDoping,P31)))</f>
        <v>114292.86981478437</v>
      </c>
      <c r="T31" s="201" t="str">
        <f t="shared" si="19"/>
        <v/>
      </c>
      <c r="U31" s="252">
        <f t="shared" si="12"/>
        <v>109196.0614692291</v>
      </c>
      <c r="V31" s="251" t="str">
        <f>IF(AugerModel="Sinton","",IF(SampleType="n-type",n_intr_boltzmann(SampleDoping,0,K31,Temperature+273.15),n_intr_boltzmann(0,SampleDoping,K31,Temperature+273.15)))</f>
        <v/>
      </c>
      <c r="W31" s="251" t="str">
        <f t="shared" si="13"/>
        <v/>
      </c>
      <c r="X31" s="246">
        <f>IF(AND(A31&gt;TimeofMaxCD,I31&gt;Traps),IF(AugerModel="Sinton",CalcImpliedV(SampleDoping,O31),CalcImpliedVRichter(O31,SampleDoping,V31)),"")</f>
        <v>0.67504269481538026</v>
      </c>
      <c r="Y31" s="253">
        <f t="shared" si="6"/>
        <v>20.660145892183209</v>
      </c>
      <c r="Z31" s="200" t="str">
        <f t="shared" si="7"/>
        <v/>
      </c>
      <c r="AA31" s="254">
        <v>135.37871899999999</v>
      </c>
      <c r="AB31" s="254">
        <v>72.14800624853477</v>
      </c>
      <c r="AC31" s="251">
        <f t="shared" si="14"/>
        <v>1.3860396870222712E-2</v>
      </c>
      <c r="AE31" s="251">
        <f t="shared" si="8"/>
        <v>1383.8571633620118</v>
      </c>
    </row>
    <row r="32" spans="1:31" x14ac:dyDescent="0.2">
      <c r="A32" s="244">
        <v>2.3498999999999998E-3</v>
      </c>
      <c r="B32" s="244">
        <v>0.201542</v>
      </c>
      <c r="C32" s="245">
        <v>0.20435800000000001</v>
      </c>
      <c r="D32" s="246">
        <f>IF(CouplingMode="AC",B32-(A$11-A$10)*SUM(B$9:B32)/0.21,B32)</f>
        <v>0.201542</v>
      </c>
      <c r="E32" s="247">
        <f t="shared" si="9"/>
        <v>19.41831370212099</v>
      </c>
      <c r="F32" s="247">
        <f t="shared" si="0"/>
        <v>19.41831370212099</v>
      </c>
      <c r="G32" s="248">
        <f t="shared" si="1"/>
        <v>3.2242643225743969E+18</v>
      </c>
      <c r="H32" s="249">
        <f t="shared" si="10"/>
        <v>6.2450445909001673E-3</v>
      </c>
      <c r="I32" s="248">
        <f>IF(MobilityModel=DK,CalcDeltaN(H32,SampleDoping,Thickness,AreaFrac),CalcDeltaNDL(H32,AreaFrac,Thickness,SampleType,SampleDoping,Temperature))</f>
        <v>1561268006305190.7</v>
      </c>
      <c r="J32" s="248" t="str">
        <f t="shared" si="2"/>
        <v/>
      </c>
      <c r="K32" s="248">
        <f t="shared" si="11"/>
        <v>1561268006305190.7</v>
      </c>
      <c r="L32" s="250">
        <f t="shared" si="15"/>
        <v>-9.9081936142807322E+17</v>
      </c>
      <c r="M32" s="196" t="str">
        <f t="shared" si="3"/>
        <v/>
      </c>
      <c r="N32" s="196" t="str">
        <f t="shared" si="4"/>
        <v/>
      </c>
      <c r="O32" s="250">
        <f t="shared" si="5"/>
        <v>1561268006305190.7</v>
      </c>
      <c r="P32" s="248">
        <f t="shared" si="16"/>
        <v>8.6680954213194351E-6</v>
      </c>
      <c r="Q32" s="250" t="str">
        <f t="shared" si="17"/>
        <v/>
      </c>
      <c r="R32" s="251" t="str">
        <f t="shared" si="18"/>
        <v/>
      </c>
      <c r="S32" s="252">
        <f>IF(AND(E32&gt;0.95*BiasLight,E32&lt;1.05*BiasLight),"",IF(AugerModel="Sinton",calclifetimeauger(Auger_Coefficient,I32,P32),calclifetimerichter(SampleType,I32,SampleDoping,P32)))</f>
        <v>115361.55029257658</v>
      </c>
      <c r="T32" s="201" t="str">
        <f t="shared" si="19"/>
        <v/>
      </c>
      <c r="U32" s="252">
        <f t="shared" si="12"/>
        <v>109155.84272216962</v>
      </c>
      <c r="V32" s="251" t="str">
        <f>IF(AugerModel="Sinton","",IF(SampleType="n-type",n_intr_boltzmann(SampleDoping,0,K32,Temperature+273.15),n_intr_boltzmann(0,SampleDoping,K32,Temperature+273.15)))</f>
        <v/>
      </c>
      <c r="W32" s="251" t="str">
        <f t="shared" si="13"/>
        <v/>
      </c>
      <c r="X32" s="246">
        <f>IF(AND(A32&gt;TimeofMaxCD,I32&gt;Traps),IF(AugerModel="Sinton",CalcImpliedV(SampleDoping,O32),CalcImpliedVRichter(O32,SampleDoping,V32)),"")</f>
        <v>0.6731137219802017</v>
      </c>
      <c r="Y32" s="253">
        <f t="shared" si="6"/>
        <v>19.525724480715507</v>
      </c>
      <c r="Z32" s="200" t="str">
        <f t="shared" si="7"/>
        <v/>
      </c>
      <c r="AA32" s="254">
        <v>140.399551</v>
      </c>
      <c r="AB32" s="254">
        <v>69.778635882549878</v>
      </c>
      <c r="AC32" s="251">
        <f t="shared" si="14"/>
        <v>1.4331033952615263E-2</v>
      </c>
      <c r="AE32" s="251">
        <f t="shared" si="8"/>
        <v>1387.1488514980792</v>
      </c>
    </row>
    <row r="33" spans="1:31" x14ac:dyDescent="0.2">
      <c r="A33" s="244">
        <v>2.4499000000000001E-3</v>
      </c>
      <c r="B33" s="244">
        <v>0.18971399999999999</v>
      </c>
      <c r="C33" s="245">
        <v>0.19327800000000001</v>
      </c>
      <c r="D33" s="246">
        <f>IF(CouplingMode="AC",B33-(A$11-A$10)*SUM(B$9:B33)/0.21,B33)</f>
        <v>0.18971399999999999</v>
      </c>
      <c r="E33" s="247">
        <f t="shared" si="9"/>
        <v>18.365480361515285</v>
      </c>
      <c r="F33" s="247">
        <f t="shared" si="0"/>
        <v>18.365480361515285</v>
      </c>
      <c r="G33" s="248">
        <f t="shared" si="1"/>
        <v>3.0494492984788173E+18</v>
      </c>
      <c r="H33" s="249">
        <f t="shared" si="10"/>
        <v>5.8775431138393536E-3</v>
      </c>
      <c r="I33" s="248">
        <f>IF(MobilityModel=DK,CalcDeltaN(H33,SampleDoping,Thickness,AreaFrac),CalcDeltaNDL(H33,AreaFrac,Thickness,SampleType,SampleDoping,Temperature))</f>
        <v>1466168775928969.8</v>
      </c>
      <c r="J33" s="248" t="str">
        <f t="shared" si="2"/>
        <v/>
      </c>
      <c r="K33" s="248">
        <f t="shared" si="11"/>
        <v>1466168775928969.8</v>
      </c>
      <c r="L33" s="250">
        <f t="shared" si="15"/>
        <v>-9.3047636384969139E+17</v>
      </c>
      <c r="M33" s="196" t="str">
        <f t="shared" si="3"/>
        <v/>
      </c>
      <c r="N33" s="196" t="str">
        <f t="shared" si="4"/>
        <v/>
      </c>
      <c r="O33" s="250">
        <f t="shared" si="5"/>
        <v>1466168775928969.8</v>
      </c>
      <c r="P33" s="248">
        <f t="shared" si="16"/>
        <v>8.6070889941157731E-6</v>
      </c>
      <c r="Q33" s="250" t="str">
        <f t="shared" si="17"/>
        <v/>
      </c>
      <c r="R33" s="251" t="str">
        <f t="shared" si="18"/>
        <v/>
      </c>
      <c r="S33" s="252">
        <f>IF(AND(E33&gt;0.95*BiasLight,E33&lt;1.05*BiasLight),"",IF(AugerModel="Sinton",calclifetimeauger(Auger_Coefficient,I33,P33),calclifetimerichter(SampleType,I33,SampleDoping,P33)))</f>
        <v>116179.73126235367</v>
      </c>
      <c r="T33" s="201" t="str">
        <f t="shared" si="19"/>
        <v/>
      </c>
      <c r="U33" s="252">
        <f t="shared" si="12"/>
        <v>109119.80944778622</v>
      </c>
      <c r="V33" s="251" t="str">
        <f>IF(AugerModel="Sinton","",IF(SampleType="n-type",n_intr_boltzmann(SampleDoping,0,K33,Temperature+273.15),n_intr_boltzmann(0,SampleDoping,K33,Temperature+273.15)))</f>
        <v/>
      </c>
      <c r="W33" s="251" t="str">
        <f t="shared" si="13"/>
        <v/>
      </c>
      <c r="X33" s="246">
        <f>IF(AND(A33&gt;TimeofMaxCD,I33&gt;Traps),IF(AugerModel="Sinton",CalcImpliedV(SampleDoping,O33),CalcImpliedVRichter(O33,SampleDoping,V33)),"")</f>
        <v>0.67128299971700456</v>
      </c>
      <c r="Y33" s="253">
        <f t="shared" si="6"/>
        <v>18.4663495962069</v>
      </c>
      <c r="Z33" s="200" t="str">
        <f t="shared" si="7"/>
        <v/>
      </c>
      <c r="AA33" s="254">
        <v>145.42892699999999</v>
      </c>
      <c r="AB33" s="254">
        <v>67.451837995844173</v>
      </c>
      <c r="AC33" s="251">
        <f t="shared" si="14"/>
        <v>1.4825392898287097E-2</v>
      </c>
      <c r="AE33" s="251">
        <f t="shared" si="8"/>
        <v>1390.1985790936706</v>
      </c>
    </row>
    <row r="34" spans="1:31" x14ac:dyDescent="0.2">
      <c r="A34" s="244">
        <v>2.5498999999999999E-3</v>
      </c>
      <c r="B34" s="244">
        <v>0.178871</v>
      </c>
      <c r="C34" s="245">
        <v>0.18282000000000001</v>
      </c>
      <c r="D34" s="246">
        <f>IF(CouplingMode="AC",B34-(A$11-A$10)*SUM(B$9:B34)/0.21,B34)</f>
        <v>0.178871</v>
      </c>
      <c r="E34" s="247">
        <f t="shared" si="9"/>
        <v>17.371750119994125</v>
      </c>
      <c r="F34" s="247">
        <f t="shared" si="0"/>
        <v>17.371750119994125</v>
      </c>
      <c r="G34" s="248">
        <f t="shared" si="1"/>
        <v>2.8844478975770516E+18</v>
      </c>
      <c r="H34" s="249">
        <f t="shared" si="10"/>
        <v>5.5407550808790201E-3</v>
      </c>
      <c r="I34" s="248">
        <f>IF(MobilityModel=DK,CalcDeltaN(H34,SampleDoping,Thickness,AreaFrac),CalcDeltaNDL(H34,AreaFrac,Thickness,SampleType,SampleDoping,Temperature))</f>
        <v>1379300832227081.2</v>
      </c>
      <c r="J34" s="248" t="str">
        <f t="shared" si="2"/>
        <v/>
      </c>
      <c r="K34" s="248">
        <f t="shared" si="11"/>
        <v>1379300832227081.2</v>
      </c>
      <c r="L34" s="250">
        <f t="shared" si="15"/>
        <v>-8.7203566428480026E+17</v>
      </c>
      <c r="M34" s="196" t="str">
        <f t="shared" si="3"/>
        <v/>
      </c>
      <c r="N34" s="196" t="str">
        <f t="shared" si="4"/>
        <v/>
      </c>
      <c r="O34" s="250">
        <f t="shared" si="5"/>
        <v>1379300832227081.2</v>
      </c>
      <c r="P34" s="248">
        <f t="shared" si="16"/>
        <v>8.5607509010827593E-6</v>
      </c>
      <c r="Q34" s="250" t="str">
        <f t="shared" si="17"/>
        <v/>
      </c>
      <c r="R34" s="251" t="str">
        <f t="shared" si="18"/>
        <v/>
      </c>
      <c r="S34" s="252">
        <f>IF(AND(E34&gt;0.95*BiasLight,E34&lt;1.05*BiasLight),"",IF(AugerModel="Sinton",calclifetimeauger(Auger_Coefficient,I34,P34),calclifetimerichter(SampleType,I34,SampleDoping,P34)))</f>
        <v>116809.02479632068</v>
      </c>
      <c r="T34" s="201" t="str">
        <f t="shared" si="19"/>
        <v/>
      </c>
      <c r="U34" s="252">
        <f t="shared" si="12"/>
        <v>109086.89502315682</v>
      </c>
      <c r="V34" s="251" t="str">
        <f>IF(AugerModel="Sinton","",IF(SampleType="n-type",n_intr_boltzmann(SampleDoping,0,K34,Temperature+273.15),n_intr_boltzmann(0,SampleDoping,K34,Temperature+273.15)))</f>
        <v/>
      </c>
      <c r="W34" s="251" t="str">
        <f t="shared" si="13"/>
        <v/>
      </c>
      <c r="X34" s="246">
        <f>IF(AND(A34&gt;TimeofMaxCD,I34&gt;Traps),IF(AugerModel="Sinton",CalcImpliedV(SampleDoping,O34),CalcImpliedVRichter(O34,SampleDoping,V34)),"")</f>
        <v>0.66951485007402856</v>
      </c>
      <c r="Y34" s="253">
        <f t="shared" si="6"/>
        <v>17.466284031329902</v>
      </c>
      <c r="Z34" s="200" t="str">
        <f t="shared" si="7"/>
        <v/>
      </c>
      <c r="AA34" s="254">
        <v>150.45680400000001</v>
      </c>
      <c r="AB34" s="254">
        <v>65.353998089210194</v>
      </c>
      <c r="AC34" s="251">
        <f t="shared" si="14"/>
        <v>1.5301282694824113E-2</v>
      </c>
      <c r="AE34" s="251">
        <f t="shared" si="8"/>
        <v>1393.0764107156867</v>
      </c>
    </row>
    <row r="35" spans="1:31" x14ac:dyDescent="0.2">
      <c r="A35" s="244">
        <v>2.6499000000000002E-3</v>
      </c>
      <c r="B35" s="244">
        <v>0.16808100000000001</v>
      </c>
      <c r="C35" s="245">
        <v>0.17302100000000001</v>
      </c>
      <c r="D35" s="246">
        <f>IF(CouplingMode="AC",B35-(A$11-A$10)*SUM(B$9:B35)/0.21,B35)</f>
        <v>0.16808100000000001</v>
      </c>
      <c r="E35" s="247">
        <f t="shared" si="9"/>
        <v>16.440638756763502</v>
      </c>
      <c r="F35" s="247">
        <f t="shared" si="0"/>
        <v>16.440638756763502</v>
      </c>
      <c r="G35" s="248">
        <f t="shared" si="1"/>
        <v>2.7298438884513679E+18</v>
      </c>
      <c r="H35" s="249">
        <f t="shared" si="10"/>
        <v>5.2057167835954238E-3</v>
      </c>
      <c r="I35" s="248">
        <f>IF(MobilityModel=DK,CalcDeltaN(H35,SampleDoping,Thickness,AreaFrac),CalcDeltaNDL(H35,AreaFrac,Thickness,SampleType,SampleDoping,Temperature))</f>
        <v>1293158965979789.7</v>
      </c>
      <c r="J35" s="248" t="str">
        <f t="shared" si="2"/>
        <v/>
      </c>
      <c r="K35" s="248">
        <f t="shared" si="11"/>
        <v>1293158965979789.7</v>
      </c>
      <c r="L35" s="250">
        <f t="shared" si="15"/>
        <v>-8.2709329357940762E+17</v>
      </c>
      <c r="M35" s="196" t="str">
        <f t="shared" si="3"/>
        <v/>
      </c>
      <c r="N35" s="196" t="str">
        <f t="shared" si="4"/>
        <v/>
      </c>
      <c r="O35" s="250">
        <f t="shared" si="5"/>
        <v>1293158965979789.7</v>
      </c>
      <c r="P35" s="248">
        <f t="shared" si="16"/>
        <v>8.4805602344705515E-6</v>
      </c>
      <c r="Q35" s="250" t="str">
        <f t="shared" si="17"/>
        <v/>
      </c>
      <c r="R35" s="251" t="str">
        <f t="shared" si="18"/>
        <v/>
      </c>
      <c r="S35" s="252">
        <f>IF(AND(E35&gt;0.95*BiasLight,E35&lt;1.05*BiasLight),"",IF(AugerModel="Sinton",calclifetimeauger(Auger_Coefficient,I35,P35),calclifetimerichter(SampleType,I35,SampleDoping,P35)))</f>
        <v>117913.96213532241</v>
      </c>
      <c r="T35" s="201" t="str">
        <f t="shared" si="19"/>
        <v/>
      </c>
      <c r="U35" s="252">
        <f t="shared" si="12"/>
        <v>109054.25571061867</v>
      </c>
      <c r="V35" s="251" t="str">
        <f>IF(AugerModel="Sinton","",IF(SampleType="n-type",n_intr_boltzmann(SampleDoping,0,K35,Temperature+273.15),n_intr_boltzmann(0,SampleDoping,K35,Temperature+273.15)))</f>
        <v/>
      </c>
      <c r="W35" s="251" t="str">
        <f t="shared" si="13"/>
        <v/>
      </c>
      <c r="X35" s="246">
        <f>IF(AND(A35&gt;TimeofMaxCD,I35&gt;Traps),IF(AugerModel="Sinton",CalcImpliedV(SampleDoping,O35),CalcImpliedVRichter(O35,SampleDoping,V35)),"")</f>
        <v>0.66765915679524968</v>
      </c>
      <c r="Y35" s="253">
        <f t="shared" si="6"/>
        <v>16.530300644784763</v>
      </c>
      <c r="Z35" s="200" t="str">
        <f t="shared" si="7"/>
        <v/>
      </c>
      <c r="AA35" s="254">
        <v>155.38770099999999</v>
      </c>
      <c r="AB35" s="254">
        <v>63.892573017993726</v>
      </c>
      <c r="AC35" s="251">
        <f t="shared" si="14"/>
        <v>1.5651271388278185E-2</v>
      </c>
      <c r="AE35" s="251">
        <f t="shared" si="8"/>
        <v>1396.0263141821465</v>
      </c>
    </row>
    <row r="36" spans="1:31" x14ac:dyDescent="0.2">
      <c r="A36" s="244">
        <v>2.7499E-3</v>
      </c>
      <c r="B36" s="244">
        <v>0.15784899999999999</v>
      </c>
      <c r="C36" s="245">
        <v>0.16381599999999999</v>
      </c>
      <c r="D36" s="246">
        <f>IF(CouplingMode="AC",B36-(A$11-A$10)*SUM(B$9:B36)/0.21,B36)</f>
        <v>0.15784899999999999</v>
      </c>
      <c r="E36" s="247">
        <f t="shared" si="9"/>
        <v>15.565969902948021</v>
      </c>
      <c r="F36" s="247">
        <f t="shared" si="0"/>
        <v>15.565969902948021</v>
      </c>
      <c r="G36" s="248">
        <f t="shared" si="1"/>
        <v>2.5846117317004826E+18</v>
      </c>
      <c r="H36" s="249">
        <f t="shared" si="10"/>
        <v>4.8881002479842714E-3</v>
      </c>
      <c r="I36" s="248">
        <f>IF(MobilityModel=DK,CalcDeltaN(H36,SampleDoping,Thickness,AreaFrac),CalcDeltaNDL(H36,AreaFrac,Thickness,SampleType,SampleDoping,Temperature))</f>
        <v>1211755079137380.5</v>
      </c>
      <c r="J36" s="248" t="str">
        <f t="shared" si="2"/>
        <v/>
      </c>
      <c r="K36" s="248">
        <f t="shared" si="11"/>
        <v>1211755079137380.5</v>
      </c>
      <c r="L36" s="250">
        <f t="shared" si="15"/>
        <v>-7.8555639166601114E+17</v>
      </c>
      <c r="M36" s="196" t="str">
        <f t="shared" si="3"/>
        <v/>
      </c>
      <c r="N36" s="196" t="str">
        <f t="shared" si="4"/>
        <v/>
      </c>
      <c r="O36" s="250">
        <f t="shared" si="5"/>
        <v>1211755079137380.5</v>
      </c>
      <c r="P36" s="248">
        <f t="shared" si="16"/>
        <v>8.3931031318195287E-6</v>
      </c>
      <c r="Q36" s="250" t="str">
        <f t="shared" si="17"/>
        <v/>
      </c>
      <c r="R36" s="251" t="str">
        <f t="shared" si="18"/>
        <v/>
      </c>
      <c r="S36" s="252">
        <f>IF(AND(E36&gt;0.95*BiasLight,E36&lt;1.05*BiasLight),"",IF(AugerModel="Sinton",calclifetimeauger(Auger_Coefficient,I36,P36),calclifetimerichter(SampleType,I36,SampleDoping,P36)))</f>
        <v>119143.00663626932</v>
      </c>
      <c r="T36" s="201" t="str">
        <f t="shared" si="19"/>
        <v/>
      </c>
      <c r="U36" s="252">
        <f t="shared" si="12"/>
        <v>109023.4116272453</v>
      </c>
      <c r="V36" s="251" t="str">
        <f>IF(AugerModel="Sinton","",IF(SampleType="n-type",n_intr_boltzmann(SampleDoping,0,K36,Temperature+273.15),n_intr_boltzmann(0,SampleDoping,K36,Temperature+273.15)))</f>
        <v/>
      </c>
      <c r="W36" s="251" t="str">
        <f t="shared" si="13"/>
        <v/>
      </c>
      <c r="X36" s="246">
        <f>IF(AND(A36&gt;TimeofMaxCD,I36&gt;Traps),IF(AugerModel="Sinton",CalcImpliedV(SampleDoping,O36),CalcImpliedVRichter(O36,SampleDoping,V36)),"")</f>
        <v>0.66579937644523057</v>
      </c>
      <c r="Y36" s="253">
        <f t="shared" si="6"/>
        <v>15.651128940955843</v>
      </c>
      <c r="Z36" s="200" t="str">
        <f t="shared" si="7"/>
        <v/>
      </c>
      <c r="AA36" s="254">
        <v>160.34243699999999</v>
      </c>
      <c r="AB36" s="254">
        <v>62.267960240370883</v>
      </c>
      <c r="AC36" s="251">
        <f t="shared" si="14"/>
        <v>1.6059623538971474E-2</v>
      </c>
      <c r="AE36" s="251">
        <f t="shared" si="8"/>
        <v>1398.9114938325067</v>
      </c>
    </row>
    <row r="37" spans="1:31" x14ac:dyDescent="0.2">
      <c r="A37" s="244">
        <v>2.8498999999999998E-3</v>
      </c>
      <c r="B37" s="244">
        <v>0.148345</v>
      </c>
      <c r="C37" s="245">
        <v>0.15488099999999999</v>
      </c>
      <c r="D37" s="246">
        <f>IF(CouplingMode="AC",B37-(A$11-A$10)*SUM(B$9:B37)/0.21,B37)</f>
        <v>0.148345</v>
      </c>
      <c r="E37" s="247">
        <f t="shared" si="9"/>
        <v>14.716956735230335</v>
      </c>
      <c r="F37" s="247">
        <f t="shared" si="0"/>
        <v>14.716956735230335</v>
      </c>
      <c r="G37" s="248">
        <f t="shared" si="1"/>
        <v>2.4436395078472346E+18</v>
      </c>
      <c r="H37" s="249">
        <f t="shared" si="10"/>
        <v>4.593165115244574E-3</v>
      </c>
      <c r="I37" s="248">
        <f>IF(MobilityModel=DK,CalcDeltaN(H37,SampleDoping,Thickness,AreaFrac),CalcDeltaNDL(H37,AreaFrac,Thickness,SampleType,SampleDoping,Temperature))</f>
        <v>1136395005684116.5</v>
      </c>
      <c r="J37" s="248" t="str">
        <f t="shared" si="2"/>
        <v/>
      </c>
      <c r="K37" s="248">
        <f t="shared" si="11"/>
        <v>1136395005684116.5</v>
      </c>
      <c r="L37" s="250">
        <f t="shared" si="15"/>
        <v>-7.3343591347146086E+17</v>
      </c>
      <c r="M37" s="196" t="str">
        <f t="shared" si="3"/>
        <v/>
      </c>
      <c r="N37" s="196" t="str">
        <f t="shared" si="4"/>
        <v/>
      </c>
      <c r="O37" s="250">
        <f t="shared" si="5"/>
        <v>1136395005684116.5</v>
      </c>
      <c r="P37" s="248">
        <f t="shared" si="16"/>
        <v>8.3257757227990492E-6</v>
      </c>
      <c r="Q37" s="250" t="str">
        <f t="shared" si="17"/>
        <v/>
      </c>
      <c r="R37" s="251" t="str">
        <f t="shared" si="18"/>
        <v/>
      </c>
      <c r="S37" s="252">
        <f>IF(AND(E37&gt;0.95*BiasLight,E37&lt;1.05*BiasLight),"",IF(AugerModel="Sinton",calclifetimeauger(Auger_Coefficient,I37,P37),calclifetimerichter(SampleType,I37,SampleDoping,P37)))</f>
        <v>120106.78466689576</v>
      </c>
      <c r="T37" s="201" t="str">
        <f t="shared" si="19"/>
        <v/>
      </c>
      <c r="U37" s="252">
        <f t="shared" si="12"/>
        <v>108994.85755594994</v>
      </c>
      <c r="V37" s="251" t="str">
        <f>IF(AugerModel="Sinton","",IF(SampleType="n-type",n_intr_boltzmann(SampleDoping,0,K37,Temperature+273.15),n_intr_boltzmann(0,SampleDoping,K37,Temperature+273.15)))</f>
        <v/>
      </c>
      <c r="W37" s="251" t="str">
        <f t="shared" si="13"/>
        <v/>
      </c>
      <c r="X37" s="246">
        <f>IF(AND(A37&gt;TimeofMaxCD,I37&gt;Traps),IF(AugerModel="Sinton",CalcImpliedV(SampleDoping,O37),CalcImpliedVRichter(O37,SampleDoping,V37)),"")</f>
        <v>0.66397320276715488</v>
      </c>
      <c r="Y37" s="253">
        <f t="shared" si="6"/>
        <v>14.796465599895237</v>
      </c>
      <c r="Z37" s="200" t="str">
        <f t="shared" si="7"/>
        <v/>
      </c>
      <c r="AA37" s="254">
        <v>165.35217</v>
      </c>
      <c r="AB37" s="254">
        <v>60.81068744931104</v>
      </c>
      <c r="AC37" s="251">
        <f t="shared" si="14"/>
        <v>1.6444477803898426E-2</v>
      </c>
      <c r="AE37" s="251">
        <f t="shared" si="8"/>
        <v>1401.6762815518307</v>
      </c>
    </row>
    <row r="38" spans="1:31" x14ac:dyDescent="0.2">
      <c r="A38" s="244">
        <v>2.9499000000000001E-3</v>
      </c>
      <c r="B38" s="244">
        <v>0.13930000000000001</v>
      </c>
      <c r="C38" s="245">
        <v>0.14660699999999999</v>
      </c>
      <c r="D38" s="246">
        <f>IF(CouplingMode="AC",B38-(A$11-A$10)*SUM(B$9:B38)/0.21,B38)</f>
        <v>0.13930000000000001</v>
      </c>
      <c r="E38" s="247">
        <f t="shared" si="9"/>
        <v>13.930752487922428</v>
      </c>
      <c r="F38" s="247">
        <f t="shared" si="0"/>
        <v>13.930752487922428</v>
      </c>
      <c r="G38" s="248">
        <f t="shared" si="1"/>
        <v>2.3130962308285676E+18</v>
      </c>
      <c r="H38" s="249">
        <f t="shared" si="10"/>
        <v>4.3125484260313693E-3</v>
      </c>
      <c r="I38" s="248">
        <f>IF(MobilityModel=DK,CalcDeltaN(H38,SampleDoping,Thickness,AreaFrac),CalcDeltaNDL(H38,AreaFrac,Thickness,SampleType,SampleDoping,Temperature))</f>
        <v>1064904616541912.4</v>
      </c>
      <c r="J38" s="248" t="str">
        <f t="shared" si="2"/>
        <v/>
      </c>
      <c r="K38" s="248">
        <f t="shared" si="11"/>
        <v>1064904616541912.4</v>
      </c>
      <c r="L38" s="250">
        <f t="shared" si="15"/>
        <v>-6.876552483714519E+17</v>
      </c>
      <c r="M38" s="196" t="str">
        <f t="shared" si="3"/>
        <v/>
      </c>
      <c r="N38" s="196" t="str">
        <f t="shared" si="4"/>
        <v/>
      </c>
      <c r="O38" s="250">
        <f t="shared" si="5"/>
        <v>1064904616541912.4</v>
      </c>
      <c r="P38" s="248">
        <f t="shared" si="16"/>
        <v>8.2427422922033069E-6</v>
      </c>
      <c r="Q38" s="250" t="str">
        <f t="shared" si="17"/>
        <v/>
      </c>
      <c r="R38" s="251" t="str">
        <f t="shared" si="18"/>
        <v/>
      </c>
      <c r="S38" s="252">
        <f>IF(AND(E38&gt;0.95*BiasLight,E38&lt;1.05*BiasLight),"",IF(AugerModel="Sinton",calclifetimeauger(Auger_Coefficient,I38,P38),calclifetimerichter(SampleType,I38,SampleDoping,P38)))</f>
        <v>121316.96561461143</v>
      </c>
      <c r="T38" s="201" t="str">
        <f t="shared" si="19"/>
        <v/>
      </c>
      <c r="U38" s="252">
        <f t="shared" si="12"/>
        <v>108967.76971520143</v>
      </c>
      <c r="V38" s="251" t="str">
        <f>IF(AugerModel="Sinton","",IF(SampleType="n-type",n_intr_boltzmann(SampleDoping,0,K38,Temperature+273.15),n_intr_boltzmann(0,SampleDoping,K38,Temperature+273.15)))</f>
        <v/>
      </c>
      <c r="W38" s="251" t="str">
        <f t="shared" si="13"/>
        <v/>
      </c>
      <c r="X38" s="246">
        <f>IF(AND(A38&gt;TimeofMaxCD,I38&gt;Traps),IF(AugerModel="Sinton",CalcImpliedV(SampleDoping,O38),CalcImpliedVRichter(O38,SampleDoping,V38)),"")</f>
        <v>0.66213526719892324</v>
      </c>
      <c r="Y38" s="253">
        <f t="shared" si="6"/>
        <v>14.005298453118062</v>
      </c>
      <c r="Z38" s="200" t="str">
        <f t="shared" si="7"/>
        <v/>
      </c>
      <c r="AA38" s="254">
        <v>170.34768399999999</v>
      </c>
      <c r="AB38" s="254">
        <v>59.644777195860506</v>
      </c>
      <c r="AC38" s="251">
        <f t="shared" si="14"/>
        <v>1.6765927328661435E-2</v>
      </c>
      <c r="AE38" s="251">
        <f t="shared" si="8"/>
        <v>1404.3917132789213</v>
      </c>
    </row>
    <row r="39" spans="1:31" x14ac:dyDescent="0.2">
      <c r="A39" s="244">
        <v>3.0498999999999999E-3</v>
      </c>
      <c r="B39" s="244">
        <v>0.131046</v>
      </c>
      <c r="C39" s="245">
        <v>0.13889399999999999</v>
      </c>
      <c r="D39" s="246">
        <f>IF(CouplingMode="AC",B39-(A$11-A$10)*SUM(B$9:B39)/0.21,B39)</f>
        <v>0.131046</v>
      </c>
      <c r="E39" s="247">
        <f t="shared" si="9"/>
        <v>13.197855055062158</v>
      </c>
      <c r="F39" s="247">
        <f t="shared" si="0"/>
        <v>13.197855055062158</v>
      </c>
      <c r="G39" s="248">
        <f t="shared" si="1"/>
        <v>2.1914041477194342E+18</v>
      </c>
      <c r="H39" s="249">
        <f t="shared" si="10"/>
        <v>4.0565354568761688E-3</v>
      </c>
      <c r="I39" s="248">
        <f>IF(MobilityModel=DK,CalcDeltaN(H39,SampleDoping,Thickness,AreaFrac),CalcDeltaNDL(H39,AreaFrac,Thickness,SampleType,SampleDoping,Temperature))</f>
        <v>999866240541793.5</v>
      </c>
      <c r="J39" s="248" t="str">
        <f t="shared" si="2"/>
        <v/>
      </c>
      <c r="K39" s="248">
        <f t="shared" si="11"/>
        <v>999866240541793.5</v>
      </c>
      <c r="L39" s="250">
        <f t="shared" si="15"/>
        <v>-6.4665030085790566E+17</v>
      </c>
      <c r="M39" s="196" t="str">
        <f t="shared" si="3"/>
        <v/>
      </c>
      <c r="N39" s="196" t="str">
        <f t="shared" si="4"/>
        <v/>
      </c>
      <c r="O39" s="250">
        <f t="shared" si="5"/>
        <v>999866240541793.5</v>
      </c>
      <c r="P39" s="248">
        <f t="shared" si="16"/>
        <v>8.1694208238942482E-6</v>
      </c>
      <c r="Q39" s="250" t="str">
        <f t="shared" si="17"/>
        <v/>
      </c>
      <c r="R39" s="251" t="str">
        <f t="shared" si="18"/>
        <v/>
      </c>
      <c r="S39" s="252">
        <f>IF(AND(E39&gt;0.95*BiasLight,E39&lt;1.05*BiasLight),"",IF(AugerModel="Sinton",calclifetimeauger(Auger_Coefficient,I39,P39),calclifetimerichter(SampleType,I39,SampleDoping,P39)))</f>
        <v>122406.03880562466</v>
      </c>
      <c r="T39" s="201" t="str">
        <f t="shared" si="19"/>
        <v/>
      </c>
      <c r="U39" s="252">
        <f t="shared" si="12"/>
        <v>108943.12655417278</v>
      </c>
      <c r="V39" s="251" t="str">
        <f>IF(AugerModel="Sinton","",IF(SampleType="n-type",n_intr_boltzmann(SampleDoping,0,K39,Temperature+273.15),n_intr_boltzmann(0,SampleDoping,K39,Temperature+273.15)))</f>
        <v/>
      </c>
      <c r="W39" s="251" t="str">
        <f t="shared" si="13"/>
        <v/>
      </c>
      <c r="X39" s="246">
        <f>IF(AND(A39&gt;TimeofMaxCD,I39&gt;Traps),IF(AugerModel="Sinton",CalcImpliedV(SampleDoping,O39),CalcImpliedVRichter(O39,SampleDoping,V39)),"")</f>
        <v>0.66036185785750923</v>
      </c>
      <c r="Y39" s="253">
        <f t="shared" si="6"/>
        <v>13.267955837301024</v>
      </c>
      <c r="Z39" s="200" t="str">
        <f t="shared" si="7"/>
        <v/>
      </c>
      <c r="AA39" s="254">
        <v>175.25808599999999</v>
      </c>
      <c r="AB39" s="254">
        <v>58.524343925683908</v>
      </c>
      <c r="AC39" s="251">
        <f t="shared" si="14"/>
        <v>1.7086906625896261E-2</v>
      </c>
      <c r="AE39" s="251">
        <f t="shared" si="8"/>
        <v>1406.9489975893557</v>
      </c>
    </row>
    <row r="40" spans="1:31" x14ac:dyDescent="0.2">
      <c r="A40" s="244">
        <v>3.1499000000000002E-3</v>
      </c>
      <c r="B40" s="244">
        <v>0.12294099999999999</v>
      </c>
      <c r="C40" s="245">
        <v>0.131629</v>
      </c>
      <c r="D40" s="246">
        <f>IF(CouplingMode="AC",B40-(A$11-A$10)*SUM(B$9:B40)/0.21,B40)</f>
        <v>0.12294099999999999</v>
      </c>
      <c r="E40" s="247">
        <f t="shared" si="9"/>
        <v>12.507527056912298</v>
      </c>
      <c r="F40" s="247">
        <f t="shared" si="0"/>
        <v>12.507527056912298</v>
      </c>
      <c r="G40" s="248">
        <f t="shared" si="1"/>
        <v>2.0767803977145265E+18</v>
      </c>
      <c r="H40" s="249">
        <f t="shared" si="10"/>
        <v>3.8052028067803167E-3</v>
      </c>
      <c r="I40" s="248">
        <f>IF(MobilityModel=DK,CalcDeltaN(H40,SampleDoping,Thickness,AreaFrac),CalcDeltaNDL(H40,AreaFrac,Thickness,SampleType,SampleDoping,Temperature))</f>
        <v>936191837522815.87</v>
      </c>
      <c r="J40" s="248" t="str">
        <f t="shared" si="2"/>
        <v/>
      </c>
      <c r="K40" s="248">
        <f t="shared" si="11"/>
        <v>936191837522815.87</v>
      </c>
      <c r="L40" s="250">
        <f t="shared" si="15"/>
        <v>-6.0246807954308454E+17</v>
      </c>
      <c r="M40" s="196" t="str">
        <f t="shared" si="3"/>
        <v/>
      </c>
      <c r="N40" s="196" t="str">
        <f t="shared" si="4"/>
        <v/>
      </c>
      <c r="O40" s="250">
        <f t="shared" si="5"/>
        <v>936191837522815.87</v>
      </c>
      <c r="P40" s="248">
        <f t="shared" si="16"/>
        <v>8.0720696978557259E-6</v>
      </c>
      <c r="Q40" s="250" t="str">
        <f t="shared" si="17"/>
        <v/>
      </c>
      <c r="R40" s="251" t="str">
        <f t="shared" si="18"/>
        <v/>
      </c>
      <c r="S40" s="252">
        <f>IF(AND(E40&gt;0.95*BiasLight,E40&lt;1.05*BiasLight),"",IF(AugerModel="Sinton",calclifetimeauger(Auger_Coefficient,I40,P40),calclifetimerichter(SampleType,I40,SampleDoping,P40)))</f>
        <v>123882.51009351827</v>
      </c>
      <c r="T40" s="201" t="str">
        <f t="shared" si="19"/>
        <v/>
      </c>
      <c r="U40" s="252">
        <f t="shared" si="12"/>
        <v>108919.00020503088</v>
      </c>
      <c r="V40" s="251" t="str">
        <f>IF(AugerModel="Sinton","",IF(SampleType="n-type",n_intr_boltzmann(SampleDoping,0,K40,Temperature+273.15),n_intr_boltzmann(0,SampleDoping,K40,Temperature+273.15)))</f>
        <v/>
      </c>
      <c r="W40" s="251" t="str">
        <f t="shared" si="13"/>
        <v/>
      </c>
      <c r="X40" s="246">
        <f>IF(AND(A40&gt;TimeofMaxCD,I40&gt;Traps),IF(AugerModel="Sinton",CalcImpliedV(SampleDoping,O40),CalcImpliedVRichter(O40,SampleDoping,V40)),"")</f>
        <v>0.65851931058019519</v>
      </c>
      <c r="Y40" s="253">
        <f t="shared" si="6"/>
        <v>12.572838220602916</v>
      </c>
      <c r="Z40" s="200" t="str">
        <f t="shared" si="7"/>
        <v/>
      </c>
      <c r="AA40" s="254">
        <v>180.42495400000001</v>
      </c>
      <c r="AB40" s="254">
        <v>57.237296527056941</v>
      </c>
      <c r="AC40" s="251">
        <f t="shared" si="14"/>
        <v>1.7471125658901181E-2</v>
      </c>
      <c r="AE40" s="251">
        <f t="shared" si="8"/>
        <v>1409.5417411748367</v>
      </c>
    </row>
    <row r="41" spans="1:31" x14ac:dyDescent="0.2">
      <c r="A41" s="244">
        <v>3.2499E-3</v>
      </c>
      <c r="B41" s="244">
        <v>0.115439</v>
      </c>
      <c r="C41" s="245">
        <v>0.124806</v>
      </c>
      <c r="D41" s="246">
        <f>IF(CouplingMode="AC",B41-(A$11-A$10)*SUM(B$9:B41)/0.21,B41)</f>
        <v>0.115439</v>
      </c>
      <c r="E41" s="247">
        <f t="shared" ref="E41:E72" si="20">IF(C41&gt;0,C41/RefCellCal,0.00001)</f>
        <v>11.859198367115123</v>
      </c>
      <c r="F41" s="247">
        <f t="shared" ref="F41:F72" si="21">E41-BiasLight</f>
        <v>11.859198367115123</v>
      </c>
      <c r="G41" s="248">
        <f t="shared" ref="G41:G72" si="22">F41*0.038*OptConst/1.602E-19</f>
        <v>1.9691303156383409E+18</v>
      </c>
      <c r="H41" s="249">
        <f t="shared" ref="H41:H72" si="23">CalcConductance(B41,Dark_Voltage,A_cal,B_cal,C_cal)</f>
        <v>3.5726208664381143E-3</v>
      </c>
      <c r="I41" s="248">
        <f>IF(MobilityModel=DK,CalcDeltaN(H41,SampleDoping,Thickness,AreaFrac),CalcDeltaNDL(H41,AreaFrac,Thickness,SampleType,SampleDoping,Temperature))</f>
        <v>877426244764711.75</v>
      </c>
      <c r="J41" s="248" t="str">
        <f t="shared" ref="J41:J72" si="24">IF(AND(AND(I41&gt;=FitRangeMin,I41&lt;=FitRangeMax),A41&gt;TimeofMaxCD),I41,"")</f>
        <v/>
      </c>
      <c r="K41" s="248">
        <f t="shared" ref="K41:K72" si="25">IF(I41-BiasPtCD=0,0.00001,I41-BiasPtCD)</f>
        <v>877426244764711.75</v>
      </c>
      <c r="L41" s="250">
        <f t="shared" si="15"/>
        <v>-5.6123741308842931E+17</v>
      </c>
      <c r="M41" s="196" t="str">
        <f t="shared" ref="M41:M72" si="26">IF(E41&gt;0.85*BiasLight,IF( E41&lt;1.15*BiasLight,E41,""),"")</f>
        <v/>
      </c>
      <c r="N41" s="196" t="str">
        <f t="shared" ref="N41:N72" si="27">IF(E41&gt;0.85*BiasLight,IF(E41&lt;1.15*BiasLight,I41,""),"")</f>
        <v/>
      </c>
      <c r="O41" s="250">
        <f t="shared" ref="O41:O72" si="28">I41-Traps</f>
        <v>877426244764711.75</v>
      </c>
      <c r="P41" s="248">
        <f t="shared" si="16"/>
        <v>7.9796950055044035E-6</v>
      </c>
      <c r="Q41" s="250" t="str">
        <f t="shared" si="17"/>
        <v/>
      </c>
      <c r="R41" s="251" t="str">
        <f t="shared" si="18"/>
        <v/>
      </c>
      <c r="S41" s="252">
        <f>IF(AND(E41&gt;0.95*BiasLight,E41&lt;1.05*BiasLight),"",IF(AugerModel="Sinton",calclifetimeauger(Auger_Coefficient,I41,P41),calclifetimerichter(SampleType,I41,SampleDoping,P41)))</f>
        <v>125316.79485190779</v>
      </c>
      <c r="T41" s="201" t="str">
        <f t="shared" si="19"/>
        <v/>
      </c>
      <c r="U41" s="252">
        <f t="shared" ref="U41:U72" si="29">FitInterceptAuger+FitSlopeAuger*(I41+Traps)</f>
        <v>108896.73381318124</v>
      </c>
      <c r="V41" s="251" t="str">
        <f>IF(AugerModel="Sinton","",IF(SampleType="n-type",n_intr_boltzmann(SampleDoping,0,K41,Temperature+273.15),n_intr_boltzmann(0,SampleDoping,K41,Temperature+273.15)))</f>
        <v/>
      </c>
      <c r="W41" s="251" t="str">
        <f t="shared" si="13"/>
        <v/>
      </c>
      <c r="X41" s="246">
        <f>IF(AND(A41&gt;TimeofMaxCD,I41&gt;Traps),IF(AugerModel="Sinton",CalcImpliedV(SampleDoping,O41),CalcImpliedVRichter(O41,SampleDoping,V41)),"")</f>
        <v>0.65671269814781497</v>
      </c>
      <c r="Y41" s="253">
        <f t="shared" ref="Y41:Y72" si="30">IF(OR(P41="",P41&lt;0,A41&lt;=TimeofMaxCD),"",(O41*Thickness*1.602E-19/(0.038*OptConst*P41)))</f>
        <v>11.920039878558047</v>
      </c>
      <c r="Z41" s="200" t="str">
        <f t="shared" ref="Z41:Z72" si="31">IF(C41&gt;0.6,O41,"")</f>
        <v/>
      </c>
      <c r="AA41" s="254">
        <v>185.40361999999999</v>
      </c>
      <c r="AB41" s="254">
        <v>56.123379453491729</v>
      </c>
      <c r="AC41" s="251">
        <f t="shared" si="14"/>
        <v>1.7817886409151093E-2</v>
      </c>
      <c r="AE41" s="251">
        <f t="shared" ref="AE41:AE72" si="32">H41/(K41*AreaFrac*Thickness*1.602E-19)</f>
        <v>1412.0214467597878</v>
      </c>
    </row>
    <row r="42" spans="1:31" x14ac:dyDescent="0.2">
      <c r="A42" s="244">
        <v>3.3498999999999998E-3</v>
      </c>
      <c r="B42" s="244">
        <v>0.10871400000000001</v>
      </c>
      <c r="C42" s="245">
        <v>0.118393</v>
      </c>
      <c r="D42" s="246">
        <f>IF(CouplingMode="AC",B42-(A$11-A$10)*SUM(B$9:B42)/0.21,B42)</f>
        <v>0.10871400000000001</v>
      </c>
      <c r="E42" s="247">
        <f t="shared" si="20"/>
        <v>11.249828311762741</v>
      </c>
      <c r="F42" s="247">
        <f t="shared" si="21"/>
        <v>11.249828311762741</v>
      </c>
      <c r="G42" s="248">
        <f t="shared" si="22"/>
        <v>1.8679490205548618E+18</v>
      </c>
      <c r="H42" s="249">
        <f t="shared" si="23"/>
        <v>3.3641704288893473E-3</v>
      </c>
      <c r="I42" s="248">
        <f>IF(MobilityModel=DK,CalcDeltaN(H42,SampleDoping,Thickness,AreaFrac),CalcDeltaNDL(H42,AreaFrac,Thickness,SampleType,SampleDoping,Temperature))</f>
        <v>824890574658911.12</v>
      </c>
      <c r="J42" s="248" t="str">
        <f t="shared" si="24"/>
        <v/>
      </c>
      <c r="K42" s="248">
        <f t="shared" si="25"/>
        <v>824890574658911.12</v>
      </c>
      <c r="L42" s="250">
        <f t="shared" si="15"/>
        <v>-5.2444258190732678E+17</v>
      </c>
      <c r="M42" s="196" t="str">
        <f t="shared" si="26"/>
        <v/>
      </c>
      <c r="N42" s="196" t="str">
        <f t="shared" si="27"/>
        <v/>
      </c>
      <c r="O42" s="250">
        <f t="shared" si="28"/>
        <v>824890574658911.12</v>
      </c>
      <c r="P42" s="248">
        <f t="shared" si="16"/>
        <v>7.9088726132116755E-6</v>
      </c>
      <c r="Q42" s="250" t="str">
        <f t="shared" si="17"/>
        <v/>
      </c>
      <c r="R42" s="251" t="str">
        <f t="shared" si="18"/>
        <v/>
      </c>
      <c r="S42" s="252">
        <f>IF(AND(E42&gt;0.95*BiasLight,E42&lt;1.05*BiasLight),"",IF(AugerModel="Sinton",calclifetimeauger(Auger_Coefficient,I42,P42),calclifetimerichter(SampleType,I42,SampleDoping,P42)))</f>
        <v>126439.14190233947</v>
      </c>
      <c r="T42" s="201" t="str">
        <f t="shared" si="19"/>
        <v/>
      </c>
      <c r="U42" s="252">
        <f t="shared" si="29"/>
        <v>108876.82795055387</v>
      </c>
      <c r="V42" s="251" t="str">
        <f>IF(AugerModel="Sinton","",IF(SampleType="n-type",n_intr_boltzmann(SampleDoping,0,K42,Temperature+273.15),n_intr_boltzmann(0,SampleDoping,K42,Temperature+273.15)))</f>
        <v/>
      </c>
      <c r="W42" s="251" t="str">
        <f t="shared" si="13"/>
        <v/>
      </c>
      <c r="X42" s="246">
        <f>IF(AND(A42&gt;TimeofMaxCD,I42&gt;Traps),IF(AugerModel="Sinton",CalcImpliedV(SampleDoping,O42),CalcImpliedVRichter(O42,SampleDoping,V42)),"")</f>
        <v>0.65499965640518598</v>
      </c>
      <c r="Y42" s="253">
        <f t="shared" si="30"/>
        <v>11.306681042183339</v>
      </c>
      <c r="Z42" s="200" t="str">
        <f t="shared" si="31"/>
        <v/>
      </c>
      <c r="AA42" s="254">
        <v>190.424297</v>
      </c>
      <c r="AB42" s="254">
        <v>55.128683927355013</v>
      </c>
      <c r="AC42" s="251">
        <f t="shared" si="14"/>
        <v>1.8139377339711844E-2</v>
      </c>
      <c r="AE42" s="251">
        <f t="shared" si="32"/>
        <v>1414.3165743177271</v>
      </c>
    </row>
    <row r="43" spans="1:31" x14ac:dyDescent="0.2">
      <c r="A43" s="244">
        <v>3.4499000000000001E-3</v>
      </c>
      <c r="B43" s="244">
        <v>0.102298</v>
      </c>
      <c r="C43" s="245">
        <v>0.112312</v>
      </c>
      <c r="D43" s="246">
        <f>IF(CouplingMode="AC",B43-(A$11-A$10)*SUM(B$9:B43)/0.21,B43)</f>
        <v>0.102298</v>
      </c>
      <c r="E43" s="247">
        <f t="shared" si="20"/>
        <v>10.672005248204682</v>
      </c>
      <c r="F43" s="247">
        <f t="shared" si="21"/>
        <v>10.672005248204682</v>
      </c>
      <c r="G43" s="248">
        <f t="shared" si="22"/>
        <v>1.7720058651825503E+18</v>
      </c>
      <c r="H43" s="249">
        <f t="shared" si="23"/>
        <v>3.1653352597832626E-3</v>
      </c>
      <c r="I43" s="248">
        <f>IF(MobilityModel=DK,CalcDeltaN(H43,SampleDoping,Thickness,AreaFrac),CalcDeltaNDL(H43,AreaFrac,Thickness,SampleType,SampleDoping,Temperature))</f>
        <v>774898165429531.25</v>
      </c>
      <c r="J43" s="248" t="str">
        <f t="shared" si="24"/>
        <v/>
      </c>
      <c r="K43" s="248">
        <f t="shared" si="25"/>
        <v>774898165429531.25</v>
      </c>
      <c r="L43" s="250">
        <f t="shared" ref="L43:L74" si="33">IF(ABS(SLOPE(K41:K45,A41:A45))&lt;1000000000000,-1000000000000,(SLOPE(K41:K45,A41:A45)))</f>
        <v>-4.9285780660523206E+17</v>
      </c>
      <c r="M43" s="196" t="str">
        <f t="shared" si="26"/>
        <v/>
      </c>
      <c r="N43" s="196" t="str">
        <f t="shared" si="27"/>
        <v/>
      </c>
      <c r="O43" s="250">
        <f t="shared" si="28"/>
        <v>774898165429531.25</v>
      </c>
      <c r="P43" s="248">
        <f t="shared" ref="P43:P74" si="34">calclifetime(AnalysisMode,K43,Thickness,G43,L43)</f>
        <v>7.8321886258400694E-6</v>
      </c>
      <c r="Q43" s="250" t="str">
        <f t="shared" si="17"/>
        <v/>
      </c>
      <c r="R43" s="251" t="str">
        <f t="shared" si="18"/>
        <v/>
      </c>
      <c r="S43" s="252">
        <f>IF(AND(E43&gt;0.95*BiasLight,E43&lt;1.05*BiasLight),"",IF(AugerModel="Sinton",calclifetimeauger(Auger_Coefficient,I43,P43),calclifetimerichter(SampleType,I43,SampleDoping,P43)))</f>
        <v>127677.23567932242</v>
      </c>
      <c r="T43" s="201" t="str">
        <f t="shared" si="19"/>
        <v/>
      </c>
      <c r="U43" s="252">
        <f t="shared" si="29"/>
        <v>108857.88573417922</v>
      </c>
      <c r="V43" s="251" t="str">
        <f>IF(AugerModel="Sinton","",IF(SampleType="n-type",n_intr_boltzmann(SampleDoping,0,K43,Temperature+273.15),n_intr_boltzmann(0,SampleDoping,K43,Temperature+273.15)))</f>
        <v/>
      </c>
      <c r="W43" s="251" t="str">
        <f t="shared" si="13"/>
        <v/>
      </c>
      <c r="X43" s="246">
        <f>IF(AND(A43&gt;TimeofMaxCD,I43&gt;Traps),IF(AugerModel="Sinton",CalcImpliedV(SampleDoping,O43),CalcImpliedVRichter(O43,SampleDoping,V43)),"")</f>
        <v>0.65327221239338462</v>
      </c>
      <c r="Y43" s="253">
        <f t="shared" si="30"/>
        <v>10.725433998998925</v>
      </c>
      <c r="Z43" s="200" t="str">
        <f t="shared" si="31"/>
        <v/>
      </c>
      <c r="AA43" s="254">
        <v>195.404594</v>
      </c>
      <c r="AB43" s="254">
        <v>54.035804574498634</v>
      </c>
      <c r="AC43" s="251">
        <f t="shared" si="14"/>
        <v>1.850624799379659E-2</v>
      </c>
      <c r="AE43" s="251">
        <f t="shared" si="32"/>
        <v>1416.5766079771861</v>
      </c>
    </row>
    <row r="44" spans="1:31" x14ac:dyDescent="0.2">
      <c r="A44" s="244">
        <v>3.5498999999999999E-3</v>
      </c>
      <c r="B44" s="244">
        <v>9.5907699999999999E-2</v>
      </c>
      <c r="C44" s="245">
        <v>0.106595</v>
      </c>
      <c r="D44" s="246">
        <f>IF(CouplingMode="AC",B44-(A$11-A$10)*SUM(B$9:B44)/0.21,B44)</f>
        <v>9.5907699999999999E-2</v>
      </c>
      <c r="E44" s="247">
        <f t="shared" si="20"/>
        <v>10.128769850348833</v>
      </c>
      <c r="F44" s="247">
        <f t="shared" si="21"/>
        <v>10.128769850348833</v>
      </c>
      <c r="G44" s="248">
        <f t="shared" si="22"/>
        <v>1.6818057304574218E+18</v>
      </c>
      <c r="H44" s="249">
        <f t="shared" si="23"/>
        <v>2.9673328455677925E-3</v>
      </c>
      <c r="I44" s="248">
        <f>IF(MobilityModel=DK,CalcDeltaN(H44,SampleDoping,Thickness,AreaFrac),CalcDeltaNDL(H44,AreaFrac,Thickness,SampleType,SampleDoping,Temperature))</f>
        <v>725234586236742.87</v>
      </c>
      <c r="J44" s="248" t="str">
        <f t="shared" si="24"/>
        <v/>
      </c>
      <c r="K44" s="248">
        <f t="shared" si="25"/>
        <v>725234586236742.87</v>
      </c>
      <c r="L44" s="250">
        <f t="shared" si="33"/>
        <v>-4.6162961786232346E+17</v>
      </c>
      <c r="M44" s="196" t="str">
        <f t="shared" si="26"/>
        <v/>
      </c>
      <c r="N44" s="196" t="str">
        <f t="shared" si="27"/>
        <v/>
      </c>
      <c r="O44" s="250">
        <f t="shared" si="28"/>
        <v>725234586236742.87</v>
      </c>
      <c r="P44" s="248">
        <f t="shared" si="34"/>
        <v>7.7238661636552063E-6</v>
      </c>
      <c r="Q44" s="250" t="str">
        <f t="shared" ref="Q44:Q75" si="35">IF($J44="","",P44)</f>
        <v/>
      </c>
      <c r="R44" s="251" t="str">
        <f t="shared" ref="R44:R75" si="36">IF(Q44="","",1/Q44)</f>
        <v/>
      </c>
      <c r="S44" s="252">
        <f>IF(AND(E44&gt;0.95*BiasLight,E44&lt;1.05*BiasLight),"",IF(AugerModel="Sinton",calclifetimeauger(Auger_Coefficient,I44,P44),calclifetimerichter(SampleType,I44,SampleDoping,P44)))</f>
        <v>129467.96786570881</v>
      </c>
      <c r="T44" s="201" t="str">
        <f t="shared" ref="T44:T75" si="37">IF($J44="","",S44)</f>
        <v/>
      </c>
      <c r="U44" s="252">
        <f t="shared" si="29"/>
        <v>108839.06811211396</v>
      </c>
      <c r="V44" s="251" t="str">
        <f>IF(AugerModel="Sinton","",IF(SampleType="n-type",n_intr_boltzmann(SampleDoping,0,K44,Temperature+273.15),n_intr_boltzmann(0,SampleDoping,K44,Temperature+273.15)))</f>
        <v/>
      </c>
      <c r="W44" s="251" t="str">
        <f t="shared" si="13"/>
        <v/>
      </c>
      <c r="X44" s="246">
        <f>IF(AND(A44&gt;TimeofMaxCD,I44&gt;Traps),IF(AugerModel="Sinton",CalcImpliedV(SampleDoping,O44),CalcImpliedVRichter(O44,SampleDoping,V44)),"")</f>
        <v>0.65144949812400288</v>
      </c>
      <c r="Y44" s="253">
        <f t="shared" si="30"/>
        <v>10.178813277644618</v>
      </c>
      <c r="Z44" s="200" t="str">
        <f t="shared" si="31"/>
        <v/>
      </c>
      <c r="AA44" s="200">
        <v>200.29631699999999</v>
      </c>
      <c r="AB44" s="200">
        <v>52.927235684808402</v>
      </c>
      <c r="AC44" s="251">
        <f t="shared" si="14"/>
        <v>1.8893864133679439E-2</v>
      </c>
      <c r="AE44" s="251">
        <f t="shared" si="32"/>
        <v>1418.9031069810246</v>
      </c>
    </row>
    <row r="45" spans="1:31" x14ac:dyDescent="0.2">
      <c r="A45" s="244">
        <v>3.6499000000000002E-3</v>
      </c>
      <c r="B45" s="244">
        <v>9.0179099999999998E-2</v>
      </c>
      <c r="C45" s="245">
        <v>0.101171</v>
      </c>
      <c r="D45" s="246">
        <f>IF(CouplingMode="AC",B45-(A$11-A$10)*SUM(B$9:B45)/0.21,B45)</f>
        <v>9.0179099999999998E-2</v>
      </c>
      <c r="E45" s="247">
        <f t="shared" si="20"/>
        <v>9.613375622962069</v>
      </c>
      <c r="F45" s="247">
        <f t="shared" si="21"/>
        <v>9.613375622962069</v>
      </c>
      <c r="G45" s="248">
        <f t="shared" si="22"/>
        <v>1.5962284118026908E+18</v>
      </c>
      <c r="H45" s="249">
        <f t="shared" si="23"/>
        <v>2.7898638923576566E-3</v>
      </c>
      <c r="I45" s="248">
        <f>IF(MobilityModel=DK,CalcDeltaN(H45,SampleDoping,Thickness,AreaFrac),CalcDeltaNDL(H45,AreaFrac,Thickness,SampleType,SampleDoping,Temperature))</f>
        <v>680825335673179.75</v>
      </c>
      <c r="J45" s="248" t="str">
        <f t="shared" si="24"/>
        <v/>
      </c>
      <c r="K45" s="248">
        <f t="shared" si="25"/>
        <v>680825335673179.75</v>
      </c>
      <c r="L45" s="250">
        <f t="shared" si="33"/>
        <v>-4.4259484331388877E+17</v>
      </c>
      <c r="M45" s="196" t="str">
        <f t="shared" si="26"/>
        <v/>
      </c>
      <c r="N45" s="196" t="str">
        <f t="shared" si="27"/>
        <v/>
      </c>
      <c r="O45" s="250">
        <f t="shared" si="28"/>
        <v>680825335673179.75</v>
      </c>
      <c r="P45" s="248">
        <f t="shared" si="34"/>
        <v>7.6392552857855555E-6</v>
      </c>
      <c r="Q45" s="250" t="str">
        <f t="shared" si="35"/>
        <v/>
      </c>
      <c r="R45" s="251" t="str">
        <f t="shared" si="36"/>
        <v/>
      </c>
      <c r="S45" s="252">
        <f>IF(AND(E45&gt;0.95*BiasLight,E45&lt;1.05*BiasLight),"",IF(AugerModel="Sinton",calclifetimeauger(Auger_Coefficient,I45,P45),calclifetimerichter(SampleType,I45,SampleDoping,P45)))</f>
        <v>130902.04274857492</v>
      </c>
      <c r="T45" s="201" t="str">
        <f t="shared" si="37"/>
        <v/>
      </c>
      <c r="U45" s="252">
        <f t="shared" si="29"/>
        <v>108822.24136489017</v>
      </c>
      <c r="V45" s="251" t="str">
        <f>IF(AugerModel="Sinton","",IF(SampleType="n-type",n_intr_boltzmann(SampleDoping,0,K45,Temperature+273.15),n_intr_boltzmann(0,SampleDoping,K45,Temperature+273.15)))</f>
        <v/>
      </c>
      <c r="W45" s="251" t="str">
        <f t="shared" si="13"/>
        <v/>
      </c>
      <c r="X45" s="246">
        <f>IF(AND(A45&gt;TimeofMaxCD,I45&gt;Traps),IF(AugerModel="Sinton",CalcImpliedV(SampleDoping,O45),CalcImpliedVRichter(O45,SampleDoping,V45)),"")</f>
        <v>0.64971738974795257</v>
      </c>
      <c r="Y45" s="253">
        <f t="shared" si="30"/>
        <v>9.6613555662019159</v>
      </c>
      <c r="Z45" s="200" t="str">
        <f t="shared" si="31"/>
        <v/>
      </c>
      <c r="AE45" s="251">
        <f t="shared" si="32"/>
        <v>1421.0595919263635</v>
      </c>
    </row>
    <row r="46" spans="1:31" x14ac:dyDescent="0.2">
      <c r="A46" s="244">
        <v>3.7499E-3</v>
      </c>
      <c r="B46" s="244">
        <v>8.5044400000000006E-2</v>
      </c>
      <c r="C46" s="245">
        <v>9.6101699999999998E-2</v>
      </c>
      <c r="D46" s="246">
        <f>IF(CouplingMode="AC",B46-(A$11-A$10)*SUM(B$9:B46)/0.21,B46)</f>
        <v>8.5044400000000006E-2</v>
      </c>
      <c r="E46" s="247">
        <f t="shared" si="20"/>
        <v>9.131685365423035</v>
      </c>
      <c r="F46" s="247">
        <f t="shared" si="21"/>
        <v>9.131685365423035</v>
      </c>
      <c r="G46" s="248">
        <f t="shared" si="22"/>
        <v>1.5162473827731131E+18</v>
      </c>
      <c r="H46" s="249">
        <f t="shared" si="23"/>
        <v>2.6308183836046342E-3</v>
      </c>
      <c r="I46" s="248">
        <f>IF(MobilityModel=DK,CalcDeltaN(H46,SampleDoping,Thickness,AreaFrac),CalcDeltaNDL(H46,AreaFrac,Thickness,SampleType,SampleDoping,Temperature))</f>
        <v>641112180605925</v>
      </c>
      <c r="J46" s="248" t="str">
        <f t="shared" si="24"/>
        <v/>
      </c>
      <c r="K46" s="248">
        <f t="shared" si="25"/>
        <v>641112180605925</v>
      </c>
      <c r="L46" s="250">
        <f t="shared" si="33"/>
        <v>-4.1980200652418918E+17</v>
      </c>
      <c r="M46" s="196" t="str">
        <f t="shared" si="26"/>
        <v/>
      </c>
      <c r="N46" s="196" t="str">
        <f t="shared" si="27"/>
        <v/>
      </c>
      <c r="O46" s="250">
        <f t="shared" si="28"/>
        <v>641112180605925</v>
      </c>
      <c r="P46" s="248">
        <f t="shared" si="34"/>
        <v>7.5731659862282727E-6</v>
      </c>
      <c r="Q46" s="250" t="str">
        <f t="shared" si="35"/>
        <v/>
      </c>
      <c r="R46" s="251" t="str">
        <f t="shared" si="36"/>
        <v/>
      </c>
      <c r="S46" s="252">
        <f>IF(AND(E46&gt;0.95*BiasLight,E46&lt;1.05*BiasLight),"",IF(AugerModel="Sinton",calclifetimeauger(Auger_Coefficient,I46,P46),calclifetimerichter(SampleType,I46,SampleDoping,P46)))</f>
        <v>132044.48900738862</v>
      </c>
      <c r="T46" s="201" t="str">
        <f t="shared" si="37"/>
        <v/>
      </c>
      <c r="U46" s="252">
        <f t="shared" si="29"/>
        <v>108807.19397694067</v>
      </c>
      <c r="V46" s="251" t="str">
        <f>IF(AugerModel="Sinton","",IF(SampleType="n-type",n_intr_boltzmann(SampleDoping,0,K46,Temperature+273.15),n_intr_boltzmann(0,SampleDoping,K46,Temperature+273.15)))</f>
        <v/>
      </c>
      <c r="W46" s="251" t="str">
        <f t="shared" si="13"/>
        <v/>
      </c>
      <c r="X46" s="246">
        <f>IF(AND(A46&gt;TimeofMaxCD,I46&gt;Traps),IF(AugerModel="Sinton",CalcImpliedV(SampleDoping,O46),CalcImpliedVRichter(O46,SampleDoping,V46)),"")</f>
        <v>0.64807572376876388</v>
      </c>
      <c r="Y46" s="253">
        <f t="shared" si="30"/>
        <v>9.1771944280551079</v>
      </c>
      <c r="Z46" s="200" t="str">
        <f t="shared" si="31"/>
        <v/>
      </c>
      <c r="AE46" s="251">
        <f t="shared" si="32"/>
        <v>1423.0554500269338</v>
      </c>
    </row>
    <row r="47" spans="1:31" x14ac:dyDescent="0.2">
      <c r="A47" s="244">
        <v>3.8498999999999999E-3</v>
      </c>
      <c r="B47" s="244">
        <v>7.9153699999999994E-2</v>
      </c>
      <c r="C47" s="245">
        <v>9.1275499999999996E-2</v>
      </c>
      <c r="D47" s="246">
        <f>IF(CouplingMode="AC",B47-(A$11-A$10)*SUM(B$9:B47)/0.21,B47)</f>
        <v>7.9153699999999994E-2</v>
      </c>
      <c r="E47" s="247">
        <f t="shared" si="20"/>
        <v>8.6730947274779755</v>
      </c>
      <c r="F47" s="247">
        <f t="shared" si="21"/>
        <v>8.6730947274779755</v>
      </c>
      <c r="G47" s="248">
        <f t="shared" si="22"/>
        <v>1.4401018711043328E+18</v>
      </c>
      <c r="H47" s="249">
        <f t="shared" si="23"/>
        <v>2.4483848508758746E-3</v>
      </c>
      <c r="I47" s="248">
        <f>IF(MobilityModel=DK,CalcDeltaN(H47,SampleDoping,Thickness,AreaFrac),CalcDeltaNDL(H47,AreaFrac,Thickness,SampleType,SampleDoping,Temperature))</f>
        <v>595661946587995.87</v>
      </c>
      <c r="J47" s="248" t="str">
        <f t="shared" si="24"/>
        <v/>
      </c>
      <c r="K47" s="248">
        <f t="shared" si="25"/>
        <v>595661946587995.87</v>
      </c>
      <c r="L47" s="250">
        <f t="shared" si="33"/>
        <v>-3.9175323021261978E+17</v>
      </c>
      <c r="M47" s="196" t="str">
        <f t="shared" si="26"/>
        <v/>
      </c>
      <c r="N47" s="196" t="str">
        <f t="shared" si="27"/>
        <v/>
      </c>
      <c r="O47" s="250">
        <f t="shared" si="28"/>
        <v>595661946587995.87</v>
      </c>
      <c r="P47" s="248">
        <f t="shared" si="34"/>
        <v>7.4089690988427436E-6</v>
      </c>
      <c r="Q47" s="250" t="str">
        <f t="shared" si="35"/>
        <v/>
      </c>
      <c r="R47" s="251" t="str">
        <f t="shared" si="36"/>
        <v/>
      </c>
      <c r="S47" s="252">
        <f>IF(AND(E47&gt;0.95*BiasLight,E47&lt;1.05*BiasLight),"",IF(AugerModel="Sinton",calclifetimeauger(Auger_Coefficient,I47,P47),calclifetimerichter(SampleType,I47,SampleDoping,P47)))</f>
        <v>134970.95518304923</v>
      </c>
      <c r="T47" s="201" t="str">
        <f t="shared" si="37"/>
        <v/>
      </c>
      <c r="U47" s="252">
        <f t="shared" si="29"/>
        <v>108789.97279915954</v>
      </c>
      <c r="V47" s="251" t="str">
        <f>IF(AugerModel="Sinton","",IF(SampleType="n-type",n_intr_boltzmann(SampleDoping,0,K47,Temperature+273.15),n_intr_boltzmann(0,SampleDoping,K47,Temperature+273.15)))</f>
        <v/>
      </c>
      <c r="W47" s="251" t="str">
        <f t="shared" si="13"/>
        <v/>
      </c>
      <c r="X47" s="246">
        <f>IF(AND(A47&gt;TimeofMaxCD,I47&gt;Traps),IF(AugerModel="Sinton",CalcImpliedV(SampleDoping,O47),CalcImpliedVRichter(O47,SampleDoping,V47)),"")</f>
        <v>0.64607447992169464</v>
      </c>
      <c r="Y47" s="253">
        <f t="shared" si="30"/>
        <v>8.7155631340434301</v>
      </c>
      <c r="Z47" s="200" t="str">
        <f t="shared" si="31"/>
        <v/>
      </c>
      <c r="AE47" s="251">
        <f t="shared" si="32"/>
        <v>1425.4264407511448</v>
      </c>
    </row>
    <row r="48" spans="1:31" x14ac:dyDescent="0.2">
      <c r="A48" s="244">
        <v>3.9499000000000001E-3</v>
      </c>
      <c r="B48" s="244">
        <v>7.4249499999999996E-2</v>
      </c>
      <c r="C48" s="245">
        <v>8.6663199999999996E-2</v>
      </c>
      <c r="D48" s="246">
        <f>IF(CouplingMode="AC",B48-(A$11-A$10)*SUM(B$9:B48)/0.21,B48)</f>
        <v>7.4249499999999996E-2</v>
      </c>
      <c r="E48" s="247">
        <f t="shared" si="20"/>
        <v>8.2348290941859457</v>
      </c>
      <c r="F48" s="247">
        <f t="shared" si="21"/>
        <v>8.2348290941859457</v>
      </c>
      <c r="G48" s="248">
        <f t="shared" si="22"/>
        <v>1.3673311729422356E+18</v>
      </c>
      <c r="H48" s="249">
        <f t="shared" si="23"/>
        <v>2.2965264627350379E-3</v>
      </c>
      <c r="I48" s="248">
        <f>IF(MobilityModel=DK,CalcDeltaN(H48,SampleDoping,Thickness,AreaFrac),CalcDeltaNDL(H48,AreaFrac,Thickness,SampleType,SampleDoping,Temperature))</f>
        <v>557915277517240.19</v>
      </c>
      <c r="J48" s="248" t="str">
        <f t="shared" si="24"/>
        <v/>
      </c>
      <c r="K48" s="248">
        <f t="shared" si="25"/>
        <v>557915277517240.19</v>
      </c>
      <c r="L48" s="250">
        <f t="shared" si="33"/>
        <v>-3.6525554973383488E+17</v>
      </c>
      <c r="M48" s="196" t="str">
        <f t="shared" si="26"/>
        <v/>
      </c>
      <c r="N48" s="196" t="str">
        <f t="shared" si="27"/>
        <v/>
      </c>
      <c r="O48" s="250">
        <f t="shared" si="28"/>
        <v>557915277517240.19</v>
      </c>
      <c r="P48" s="248">
        <f t="shared" si="34"/>
        <v>7.3094350383070343E-6</v>
      </c>
      <c r="Q48" s="250" t="str">
        <f t="shared" si="35"/>
        <v/>
      </c>
      <c r="R48" s="251" t="str">
        <f t="shared" si="36"/>
        <v/>
      </c>
      <c r="S48" s="252">
        <f>IF(AND(E48&gt;0.95*BiasLight,E48&lt;1.05*BiasLight),"",IF(AugerModel="Sinton",calclifetimeauger(Auger_Coefficient,I48,P48),calclifetimerichter(SampleType,I48,SampleDoping,P48)))</f>
        <v>136808.96237818964</v>
      </c>
      <c r="T48" s="201" t="str">
        <f t="shared" si="37"/>
        <v/>
      </c>
      <c r="U48" s="252">
        <f t="shared" si="29"/>
        <v>108775.67051639338</v>
      </c>
      <c r="V48" s="251" t="str">
        <f>IF(AugerModel="Sinton","",IF(SampleType="n-type",n_intr_boltzmann(SampleDoping,0,K48,Temperature+273.15),n_intr_boltzmann(0,SampleDoping,K48,Temperature+273.15)))</f>
        <v/>
      </c>
      <c r="W48" s="251" t="str">
        <f t="shared" si="13"/>
        <v/>
      </c>
      <c r="X48" s="246">
        <f>IF(AND(A48&gt;TimeofMaxCD,I48&gt;Traps),IF(AugerModel="Sinton",CalcImpliedV(SampleDoping,O48),CalcImpliedVRichter(O48,SampleDoping,V48)),"")</f>
        <v>0.64429907301656308</v>
      </c>
      <c r="Y48" s="253">
        <f t="shared" si="30"/>
        <v>8.2744249928029561</v>
      </c>
      <c r="Z48" s="200" t="str">
        <f t="shared" si="31"/>
        <v/>
      </c>
      <c r="AE48" s="251">
        <f t="shared" si="32"/>
        <v>1427.4739229936572</v>
      </c>
    </row>
    <row r="49" spans="1:31" x14ac:dyDescent="0.2">
      <c r="A49" s="244">
        <v>4.0499000000000004E-3</v>
      </c>
      <c r="B49" s="244">
        <v>7.0165500000000006E-2</v>
      </c>
      <c r="C49" s="245">
        <v>8.2339899999999994E-2</v>
      </c>
      <c r="D49" s="246">
        <f>IF(CouplingMode="AC",B49-(A$11-A$10)*SUM(B$9:B49)/0.21,B49)</f>
        <v>7.0165500000000006E-2</v>
      </c>
      <c r="E49" s="247">
        <f t="shared" si="20"/>
        <v>7.824024547124516</v>
      </c>
      <c r="F49" s="247">
        <f t="shared" si="21"/>
        <v>7.824024547124516</v>
      </c>
      <c r="G49" s="248">
        <f t="shared" si="22"/>
        <v>1.299120180733534E+18</v>
      </c>
      <c r="H49" s="249">
        <f t="shared" si="23"/>
        <v>2.1700818218400308E-3</v>
      </c>
      <c r="I49" s="248">
        <f>IF(MobilityModel=DK,CalcDeltaN(H49,SampleDoping,Thickness,AreaFrac),CalcDeltaNDL(H49,AreaFrac,Thickness,SampleType,SampleDoping,Temperature))</f>
        <v>526547172111212.12</v>
      </c>
      <c r="J49" s="248" t="str">
        <f t="shared" si="24"/>
        <v/>
      </c>
      <c r="K49" s="248">
        <f t="shared" si="25"/>
        <v>526547172111212.12</v>
      </c>
      <c r="L49" s="250">
        <f t="shared" si="33"/>
        <v>-3.321451389794793E+17</v>
      </c>
      <c r="M49" s="196" t="str">
        <f t="shared" si="26"/>
        <v/>
      </c>
      <c r="N49" s="196" t="str">
        <f t="shared" si="27"/>
        <v/>
      </c>
      <c r="O49" s="250">
        <f t="shared" si="28"/>
        <v>526547172111212.12</v>
      </c>
      <c r="P49" s="248">
        <f t="shared" si="34"/>
        <v>7.2621698427193412E-6</v>
      </c>
      <c r="Q49" s="250" t="str">
        <f t="shared" si="35"/>
        <v/>
      </c>
      <c r="R49" s="251" t="str">
        <f t="shared" si="36"/>
        <v/>
      </c>
      <c r="S49" s="252">
        <f>IF(AND(E49&gt;0.95*BiasLight,E49&lt;1.05*BiasLight),"",IF(AugerModel="Sinton",calclifetimeauger(Auger_Coefficient,I49,P49),calclifetimerichter(SampleType,I49,SampleDoping,P49)))</f>
        <v>137699.43134483494</v>
      </c>
      <c r="T49" s="201" t="str">
        <f t="shared" si="37"/>
        <v/>
      </c>
      <c r="U49" s="252">
        <f t="shared" si="29"/>
        <v>108763.78508320416</v>
      </c>
      <c r="V49" s="251" t="str">
        <f>IF(AugerModel="Sinton","",IF(SampleType="n-type",n_intr_boltzmann(SampleDoping,0,K49,Temperature+273.15),n_intr_boltzmann(0,SampleDoping,K49,Temperature+273.15)))</f>
        <v/>
      </c>
      <c r="W49" s="251" t="str">
        <f t="shared" si="13"/>
        <v/>
      </c>
      <c r="X49" s="246">
        <f>IF(AND(A49&gt;TimeofMaxCD,I49&gt;Traps),IF(AugerModel="Sinton",CalcImpliedV(SampleDoping,O49),CalcImpliedVRichter(O49,SampleDoping,V49)),"")</f>
        <v>0.6427344632174774</v>
      </c>
      <c r="Y49" s="253">
        <f t="shared" si="30"/>
        <v>7.8600310780553908</v>
      </c>
      <c r="Z49" s="200" t="str">
        <f t="shared" si="31"/>
        <v/>
      </c>
      <c r="AE49" s="251">
        <f t="shared" si="32"/>
        <v>1429.2355415187023</v>
      </c>
    </row>
    <row r="50" spans="1:31" x14ac:dyDescent="0.2">
      <c r="A50" s="244">
        <v>4.1498999999999998E-3</v>
      </c>
      <c r="B50" s="244">
        <v>6.5794400000000003E-2</v>
      </c>
      <c r="C50" s="245">
        <v>7.8252000000000002E-2</v>
      </c>
      <c r="D50" s="246">
        <f>IF(CouplingMode="AC",B50-(A$11-A$10)*SUM(B$9:B50)/0.21,B50)</f>
        <v>6.5794400000000003E-2</v>
      </c>
      <c r="E50" s="247">
        <f t="shared" si="20"/>
        <v>7.4355879574979777</v>
      </c>
      <c r="F50" s="247">
        <f t="shared" si="21"/>
        <v>7.4355879574979777</v>
      </c>
      <c r="G50" s="248">
        <f t="shared" si="22"/>
        <v>1.2346232189104008E+18</v>
      </c>
      <c r="H50" s="249">
        <f t="shared" si="23"/>
        <v>2.0347646765164484E-3</v>
      </c>
      <c r="I50" s="248">
        <f>IF(MobilityModel=DK,CalcDeltaN(H50,SampleDoping,Thickness,AreaFrac),CalcDeltaNDL(H50,AreaFrac,Thickness,SampleType,SampleDoping,Temperature))</f>
        <v>493041792977399.44</v>
      </c>
      <c r="J50" s="248" t="str">
        <f t="shared" si="24"/>
        <v/>
      </c>
      <c r="K50" s="248">
        <f t="shared" si="25"/>
        <v>493041792977399.44</v>
      </c>
      <c r="L50" s="250">
        <f t="shared" si="33"/>
        <v>-3.1269232084772198E+17</v>
      </c>
      <c r="M50" s="196" t="str">
        <f t="shared" si="26"/>
        <v/>
      </c>
      <c r="N50" s="196" t="str">
        <f t="shared" si="27"/>
        <v/>
      </c>
      <c r="O50" s="250">
        <f t="shared" si="28"/>
        <v>493041792977399.44</v>
      </c>
      <c r="P50" s="248">
        <f t="shared" si="34"/>
        <v>7.1556059240225171E-6</v>
      </c>
      <c r="Q50" s="250" t="str">
        <f t="shared" si="35"/>
        <v/>
      </c>
      <c r="R50" s="251" t="str">
        <f t="shared" si="36"/>
        <v/>
      </c>
      <c r="S50" s="252">
        <f>IF(AND(E50&gt;0.95*BiasLight,E50&lt;1.05*BiasLight),"",IF(AugerModel="Sinton",calclifetimeauger(Auger_Coefficient,I50,P50),calclifetimerichter(SampleType,I50,SampleDoping,P50)))</f>
        <v>139750.16555103939</v>
      </c>
      <c r="T50" s="201" t="str">
        <f t="shared" si="37"/>
        <v/>
      </c>
      <c r="U50" s="252">
        <f t="shared" si="29"/>
        <v>108751.08983304417</v>
      </c>
      <c r="V50" s="251" t="str">
        <f>IF(AugerModel="Sinton","",IF(SampleType="n-type",n_intr_boltzmann(SampleDoping,0,K50,Temperature+273.15),n_intr_boltzmann(0,SampleDoping,K50,Temperature+273.15)))</f>
        <v/>
      </c>
      <c r="W50" s="251" t="str">
        <f t="shared" si="13"/>
        <v/>
      </c>
      <c r="X50" s="246">
        <f>IF(AND(A50&gt;TimeofMaxCD,I50&gt;Traps),IF(AugerModel="Sinton",CalcImpliedV(SampleDoping,O50),CalcImpliedVRichter(O50,SampleDoping,V50)),"")</f>
        <v>0.64096181705797217</v>
      </c>
      <c r="Y50" s="253">
        <f t="shared" si="30"/>
        <v>7.469485685933936</v>
      </c>
      <c r="Z50" s="200" t="str">
        <f t="shared" si="31"/>
        <v/>
      </c>
      <c r="AE50" s="251">
        <f t="shared" si="32"/>
        <v>1431.1838892592964</v>
      </c>
    </row>
    <row r="51" spans="1:31" x14ac:dyDescent="0.2">
      <c r="A51" s="244">
        <v>4.2499E-3</v>
      </c>
      <c r="B51" s="244">
        <v>6.1739700000000002E-2</v>
      </c>
      <c r="C51" s="245">
        <v>7.4370199999999997E-2</v>
      </c>
      <c r="D51" s="246">
        <f>IF(CouplingMode="AC",B51-(A$11-A$10)*SUM(B$9:B51)/0.21,B51)</f>
        <v>6.1739700000000002E-2</v>
      </c>
      <c r="E51" s="247">
        <f t="shared" si="20"/>
        <v>7.066735208259419</v>
      </c>
      <c r="F51" s="247">
        <f t="shared" si="21"/>
        <v>7.066735208259419</v>
      </c>
      <c r="G51" s="248">
        <f t="shared" si="22"/>
        <v>1.1733780058657961E+18</v>
      </c>
      <c r="H51" s="249">
        <f t="shared" si="23"/>
        <v>1.9092575521142061E-3</v>
      </c>
      <c r="I51" s="248">
        <f>IF(MobilityModel=DK,CalcDeltaN(H51,SampleDoping,Thickness,AreaFrac),CalcDeltaNDL(H51,AreaFrac,Thickness,SampleType,SampleDoping,Temperature))</f>
        <v>462026119368176.62</v>
      </c>
      <c r="J51" s="248" t="str">
        <f t="shared" si="24"/>
        <v/>
      </c>
      <c r="K51" s="248">
        <f t="shared" si="25"/>
        <v>462026119368176.62</v>
      </c>
      <c r="L51" s="250">
        <f t="shared" si="33"/>
        <v>-2.9872979106493997E+17</v>
      </c>
      <c r="M51" s="196" t="str">
        <f t="shared" si="26"/>
        <v/>
      </c>
      <c r="N51" s="196" t="str">
        <f t="shared" si="27"/>
        <v/>
      </c>
      <c r="O51" s="250">
        <f t="shared" si="28"/>
        <v>462026119368176.62</v>
      </c>
      <c r="P51" s="248">
        <f t="shared" si="34"/>
        <v>7.0552991470103114E-6</v>
      </c>
      <c r="Q51" s="250" t="str">
        <f t="shared" si="35"/>
        <v/>
      </c>
      <c r="R51" s="251" t="str">
        <f t="shared" si="36"/>
        <v/>
      </c>
      <c r="S51" s="252">
        <f>IF(AND(E51&gt;0.95*BiasLight,E51&lt;1.05*BiasLight),"",IF(AugerModel="Sinton",calclifetimeauger(Auger_Coefficient,I51,P51),calclifetimerichter(SampleType,I51,SampleDoping,P51)))</f>
        <v>141737.08003981315</v>
      </c>
      <c r="T51" s="201" t="str">
        <f t="shared" si="37"/>
        <v/>
      </c>
      <c r="U51" s="252">
        <f t="shared" si="29"/>
        <v>108739.33793691498</v>
      </c>
      <c r="V51" s="251" t="str">
        <f>IF(AugerModel="Sinton","",IF(SampleType="n-type",n_intr_boltzmann(SampleDoping,0,K51,Temperature+273.15),n_intr_boltzmann(0,SampleDoping,K51,Temperature+273.15)))</f>
        <v/>
      </c>
      <c r="W51" s="251" t="str">
        <f t="shared" si="13"/>
        <v/>
      </c>
      <c r="X51" s="246">
        <f>IF(AND(A51&gt;TimeofMaxCD,I51&gt;Traps),IF(AugerModel="Sinton",CalcImpliedV(SampleDoping,O51),CalcImpliedVRichter(O51,SampleDoping,V51)),"")</f>
        <v>0.6392150361346316</v>
      </c>
      <c r="Y51" s="253">
        <f t="shared" si="30"/>
        <v>7.0991193144817828</v>
      </c>
      <c r="Z51" s="200" t="str">
        <f t="shared" si="31"/>
        <v/>
      </c>
      <c r="AE51" s="251">
        <f t="shared" si="32"/>
        <v>1433.0553750464958</v>
      </c>
    </row>
    <row r="52" spans="1:31" x14ac:dyDescent="0.2">
      <c r="A52" s="244">
        <v>4.3499000000000003E-3</v>
      </c>
      <c r="B52" s="244">
        <v>5.8046300000000002E-2</v>
      </c>
      <c r="C52" s="245">
        <v>7.0730600000000005E-2</v>
      </c>
      <c r="D52" s="246">
        <f>IF(CouplingMode="AC",B52-(A$11-A$10)*SUM(B$9:B52)/0.21,B52)</f>
        <v>5.8046300000000002E-2</v>
      </c>
      <c r="E52" s="247">
        <f t="shared" si="20"/>
        <v>6.7208965596611776</v>
      </c>
      <c r="F52" s="247">
        <f t="shared" si="21"/>
        <v>6.7208965596611776</v>
      </c>
      <c r="G52" s="248">
        <f t="shared" si="22"/>
        <v>1.1159541104056637E+18</v>
      </c>
      <c r="H52" s="249">
        <f t="shared" si="23"/>
        <v>1.7949466174561821E-3</v>
      </c>
      <c r="I52" s="248">
        <f>IF(MobilityModel=DK,CalcDeltaN(H52,SampleDoping,Thickness,AreaFrac),CalcDeltaNDL(H52,AreaFrac,Thickness,SampleType,SampleDoping,Temperature))</f>
        <v>433829643464896.94</v>
      </c>
      <c r="J52" s="248" t="str">
        <f t="shared" si="24"/>
        <v/>
      </c>
      <c r="K52" s="248">
        <f t="shared" si="25"/>
        <v>433829643464896.94</v>
      </c>
      <c r="L52" s="250">
        <f t="shared" si="33"/>
        <v>-2.7804315928198637E+17</v>
      </c>
      <c r="M52" s="196" t="str">
        <f t="shared" si="26"/>
        <v/>
      </c>
      <c r="N52" s="196" t="str">
        <f t="shared" si="27"/>
        <v/>
      </c>
      <c r="O52" s="250">
        <f t="shared" si="28"/>
        <v>433829643464896.94</v>
      </c>
      <c r="P52" s="248">
        <f t="shared" si="34"/>
        <v>6.9662979356602939E-6</v>
      </c>
      <c r="Q52" s="250" t="str">
        <f t="shared" si="35"/>
        <v/>
      </c>
      <c r="R52" s="251" t="str">
        <f t="shared" si="36"/>
        <v/>
      </c>
      <c r="S52" s="252">
        <f>IF(AND(E52&gt;0.95*BiasLight,E52&lt;1.05*BiasLight),"",IF(AugerModel="Sinton",calclifetimeauger(Auger_Coefficient,I52,P52),calclifetimerichter(SampleType,I52,SampleDoping,P52)))</f>
        <v>143547.95513864106</v>
      </c>
      <c r="T52" s="201" t="str">
        <f t="shared" si="37"/>
        <v/>
      </c>
      <c r="U52" s="252">
        <f t="shared" si="29"/>
        <v>108728.65424001387</v>
      </c>
      <c r="V52" s="251" t="str">
        <f>IF(AugerModel="Sinton","",IF(SampleType="n-type",n_intr_boltzmann(SampleDoping,0,K52,Temperature+273.15),n_intr_boltzmann(0,SampleDoping,K52,Temperature+273.15)))</f>
        <v/>
      </c>
      <c r="W52" s="251" t="str">
        <f t="shared" si="13"/>
        <v/>
      </c>
      <c r="X52" s="246">
        <f>IF(AND(A52&gt;TimeofMaxCD,I52&gt;Traps),IF(AugerModel="Sinton",CalcImpliedV(SampleDoping,O52),CalcImpliedVRichter(O52,SampleDoping,V52)),"")</f>
        <v>0.63752656558951126</v>
      </c>
      <c r="Y52" s="253">
        <f t="shared" si="30"/>
        <v>6.7510381105674009</v>
      </c>
      <c r="Z52" s="200" t="str">
        <f t="shared" si="31"/>
        <v/>
      </c>
      <c r="AE52" s="251">
        <f t="shared" si="32"/>
        <v>1434.8195854607779</v>
      </c>
    </row>
    <row r="53" spans="1:31" x14ac:dyDescent="0.2">
      <c r="A53" s="244">
        <v>4.4498999999999997E-3</v>
      </c>
      <c r="B53" s="244">
        <v>5.4497499999999997E-2</v>
      </c>
      <c r="C53" s="245">
        <v>6.72677E-2</v>
      </c>
      <c r="D53" s="246">
        <f>IF(CouplingMode="AC",B53-(A$11-A$10)*SUM(B$9:B53)/0.21,B53)</f>
        <v>5.4497499999999997E-2</v>
      </c>
      <c r="E53" s="247">
        <f t="shared" si="20"/>
        <v>6.3918481322980458</v>
      </c>
      <c r="F53" s="247">
        <f t="shared" si="21"/>
        <v>6.3918481322980458</v>
      </c>
      <c r="G53" s="248">
        <f t="shared" si="22"/>
        <v>1.061318104364095E+18</v>
      </c>
      <c r="H53" s="249">
        <f t="shared" si="23"/>
        <v>1.6851224605905143E-3</v>
      </c>
      <c r="I53" s="248">
        <f>IF(MobilityModel=DK,CalcDeltaN(H53,SampleDoping,Thickness,AreaFrac),CalcDeltaNDL(H53,AreaFrac,Thickness,SampleType,SampleDoping,Temperature))</f>
        <v>406788351334993.5</v>
      </c>
      <c r="J53" s="248" t="str">
        <f t="shared" si="24"/>
        <v/>
      </c>
      <c r="K53" s="248">
        <f t="shared" si="25"/>
        <v>406788351334993.5</v>
      </c>
      <c r="L53" s="250">
        <f t="shared" si="33"/>
        <v>-2.6474218197580749E+17</v>
      </c>
      <c r="M53" s="196" t="str">
        <f t="shared" si="26"/>
        <v/>
      </c>
      <c r="N53" s="196" t="str">
        <f t="shared" si="27"/>
        <v/>
      </c>
      <c r="O53" s="250">
        <f t="shared" si="28"/>
        <v>406788351334993.5</v>
      </c>
      <c r="P53" s="248">
        <f t="shared" si="34"/>
        <v>6.8683086960485978E-6</v>
      </c>
      <c r="Q53" s="250" t="str">
        <f t="shared" si="35"/>
        <v/>
      </c>
      <c r="R53" s="251" t="str">
        <f t="shared" si="36"/>
        <v/>
      </c>
      <c r="S53" s="252">
        <f>IF(AND(E53&gt;0.95*BiasLight,E53&lt;1.05*BiasLight),"",IF(AugerModel="Sinton",calclifetimeauger(Auger_Coefficient,I53,P53),calclifetimerichter(SampleType,I53,SampleDoping,P53)))</f>
        <v>145595.97676641948</v>
      </c>
      <c r="T53" s="201" t="str">
        <f t="shared" si="37"/>
        <v/>
      </c>
      <c r="U53" s="252">
        <f t="shared" si="29"/>
        <v>108718.40824438233</v>
      </c>
      <c r="V53" s="251" t="str">
        <f>IF(AugerModel="Sinton","",IF(SampleType="n-type",n_intr_boltzmann(SampleDoping,0,K53,Temperature+273.15),n_intr_boltzmann(0,SampleDoping,K53,Temperature+273.15)))</f>
        <v/>
      </c>
      <c r="W53" s="251" t="str">
        <f t="shared" si="13"/>
        <v/>
      </c>
      <c r="X53" s="246">
        <f>IF(AND(A53&gt;TimeofMaxCD,I53&gt;Traps),IF(AugerModel="Sinton",CalcImpliedV(SampleDoping,O53),CalcImpliedVRichter(O53,SampleDoping,V53)),"")</f>
        <v>0.63580511743664225</v>
      </c>
      <c r="Y53" s="253">
        <f t="shared" si="30"/>
        <v>6.4205477772583999</v>
      </c>
      <c r="Z53" s="200" t="str">
        <f t="shared" si="31"/>
        <v/>
      </c>
      <c r="AE53" s="251">
        <f t="shared" si="32"/>
        <v>1436.573802332892</v>
      </c>
    </row>
    <row r="54" spans="1:31" x14ac:dyDescent="0.2">
      <c r="A54" s="244">
        <v>4.5499E-3</v>
      </c>
      <c r="B54" s="244">
        <v>5.1190899999999998E-2</v>
      </c>
      <c r="C54" s="245">
        <v>6.3999100000000003E-2</v>
      </c>
      <c r="D54" s="246">
        <f>IF(CouplingMode="AC",B54-(A$11-A$10)*SUM(B$9:B54)/0.21,B54)</f>
        <v>5.1190899999999998E-2</v>
      </c>
      <c r="E54" s="247">
        <f t="shared" si="20"/>
        <v>6.0812622968193635</v>
      </c>
      <c r="F54" s="247">
        <f t="shared" si="21"/>
        <v>6.0812622968193635</v>
      </c>
      <c r="G54" s="248">
        <f t="shared" si="22"/>
        <v>1.0097476722558991E+18</v>
      </c>
      <c r="H54" s="249">
        <f t="shared" si="23"/>
        <v>1.5828036835917533E-3</v>
      </c>
      <c r="I54" s="248">
        <f>IF(MobilityModel=DK,CalcDeltaN(H54,SampleDoping,Thickness,AreaFrac),CalcDeltaNDL(H54,AreaFrac,Thickness,SampleType,SampleDoping,Temperature))</f>
        <v>381639097352997.81</v>
      </c>
      <c r="J54" s="248" t="str">
        <f t="shared" si="24"/>
        <v/>
      </c>
      <c r="K54" s="248">
        <f t="shared" si="25"/>
        <v>381639097352997.81</v>
      </c>
      <c r="L54" s="250">
        <f t="shared" si="33"/>
        <v>-2.4834357073080218E+17</v>
      </c>
      <c r="M54" s="196" t="str">
        <f t="shared" si="26"/>
        <v/>
      </c>
      <c r="N54" s="196" t="str">
        <f t="shared" si="27"/>
        <v/>
      </c>
      <c r="O54" s="250">
        <f t="shared" si="28"/>
        <v>381639097352997.81</v>
      </c>
      <c r="P54" s="248">
        <f t="shared" si="34"/>
        <v>6.7732033193177903E-6</v>
      </c>
      <c r="Q54" s="250" t="str">
        <f t="shared" si="35"/>
        <v/>
      </c>
      <c r="R54" s="251" t="str">
        <f t="shared" si="36"/>
        <v/>
      </c>
      <c r="S54" s="252">
        <f>IF(AND(E54&gt;0.95*BiasLight,E54&lt;1.05*BiasLight),"",IF(AugerModel="Sinton",calclifetimeauger(Auger_Coefficient,I54,P54),calclifetimerichter(SampleType,I54,SampleDoping,P54)))</f>
        <v>147640.38745855616</v>
      </c>
      <c r="T54" s="201" t="str">
        <f t="shared" si="37"/>
        <v/>
      </c>
      <c r="U54" s="252">
        <f t="shared" si="29"/>
        <v>108708.87914550648</v>
      </c>
      <c r="V54" s="251" t="str">
        <f>IF(AugerModel="Sinton","",IF(SampleType="n-type",n_intr_boltzmann(SampleDoping,0,K54,Temperature+273.15),n_intr_boltzmann(0,SampleDoping,K54,Temperature+273.15)))</f>
        <v/>
      </c>
      <c r="W54" s="251" t="str">
        <f t="shared" si="13"/>
        <v/>
      </c>
      <c r="X54" s="246">
        <f>IF(AND(A54&gt;TimeofMaxCD,I54&gt;Traps),IF(AugerModel="Sinton",CalcImpliedV(SampleDoping,O54),CalcImpliedVRichter(O54,SampleDoping,V54)),"")</f>
        <v>0.6341021746772697</v>
      </c>
      <c r="Y54" s="253">
        <f t="shared" si="30"/>
        <v>6.1081842336824961</v>
      </c>
      <c r="Z54" s="200" t="str">
        <f t="shared" si="31"/>
        <v/>
      </c>
      <c r="AE54" s="251">
        <f t="shared" si="32"/>
        <v>1438.2658722698545</v>
      </c>
    </row>
    <row r="55" spans="1:31" x14ac:dyDescent="0.2">
      <c r="A55" s="244">
        <v>4.6499000000000002E-3</v>
      </c>
      <c r="B55" s="244">
        <v>4.7780700000000002E-2</v>
      </c>
      <c r="C55" s="245">
        <v>6.0908299999999999E-2</v>
      </c>
      <c r="D55" s="246">
        <f>IF(CouplingMode="AC",B55-(A$11-A$10)*SUM(B$9:B55)/0.21,B55)</f>
        <v>4.7780700000000002E-2</v>
      </c>
      <c r="E55" s="247">
        <f t="shared" si="20"/>
        <v>5.7875712057413748</v>
      </c>
      <c r="F55" s="247">
        <f t="shared" si="21"/>
        <v>5.7875712057413748</v>
      </c>
      <c r="G55" s="248">
        <f t="shared" si="22"/>
        <v>9.6098248484844288E+17</v>
      </c>
      <c r="H55" s="249">
        <f t="shared" si="23"/>
        <v>1.477289288500723E-3</v>
      </c>
      <c r="I55" s="248">
        <f>IF(MobilityModel=DK,CalcDeltaN(H55,SampleDoping,Thickness,AreaFrac),CalcDeltaNDL(H55,AreaFrac,Thickness,SampleType,SampleDoping,Temperature))</f>
        <v>355750301436222.44</v>
      </c>
      <c r="J55" s="248" t="str">
        <f t="shared" si="24"/>
        <v/>
      </c>
      <c r="K55" s="248">
        <f t="shared" si="25"/>
        <v>355750301436222.44</v>
      </c>
      <c r="L55" s="250">
        <f t="shared" si="33"/>
        <v>-2.2763741788740634E+17</v>
      </c>
      <c r="M55" s="196" t="str">
        <f t="shared" si="26"/>
        <v/>
      </c>
      <c r="N55" s="196" t="str">
        <f t="shared" si="27"/>
        <v/>
      </c>
      <c r="O55" s="250">
        <f t="shared" si="28"/>
        <v>355750301436222.44</v>
      </c>
      <c r="P55" s="248">
        <f t="shared" si="34"/>
        <v>6.6352071352353318E-6</v>
      </c>
      <c r="Q55" s="250" t="str">
        <f t="shared" si="35"/>
        <v/>
      </c>
      <c r="R55" s="251" t="str">
        <f t="shared" si="36"/>
        <v/>
      </c>
      <c r="S55" s="252">
        <f>IF(AND(E55&gt;0.95*BiasLight,E55&lt;1.05*BiasLight),"",IF(AugerModel="Sinton",calclifetimeauger(Auger_Coefficient,I55,P55),calclifetimerichter(SampleType,I55,SampleDoping,P55)))</f>
        <v>150710.98545222706</v>
      </c>
      <c r="T55" s="201" t="str">
        <f t="shared" si="37"/>
        <v/>
      </c>
      <c r="U55" s="252">
        <f t="shared" si="29"/>
        <v>108699.06983282293</v>
      </c>
      <c r="V55" s="251" t="str">
        <f>IF(AugerModel="Sinton","",IF(SampleType="n-type",n_intr_boltzmann(SampleDoping,0,K55,Temperature+273.15),n_intr_boltzmann(0,SampleDoping,K55,Temperature+273.15)))</f>
        <v/>
      </c>
      <c r="W55" s="251" t="str">
        <f t="shared" si="13"/>
        <v/>
      </c>
      <c r="X55" s="246">
        <f>IF(AND(A55&gt;TimeofMaxCD,I55&gt;Traps),IF(AugerModel="Sinton",CalcImpliedV(SampleDoping,O55),CalcImpliedVRichter(O55,SampleDoping,V55)),"")</f>
        <v>0.63223204889904228</v>
      </c>
      <c r="Y55" s="253">
        <f t="shared" si="30"/>
        <v>5.8122484710879947</v>
      </c>
      <c r="Z55" s="200" t="str">
        <f t="shared" si="31"/>
        <v/>
      </c>
      <c r="AE55" s="251">
        <f t="shared" si="32"/>
        <v>1440.0754783429522</v>
      </c>
    </row>
    <row r="56" spans="1:31" x14ac:dyDescent="0.2">
      <c r="A56" s="244">
        <v>4.7498999999999996E-3</v>
      </c>
      <c r="B56" s="244">
        <v>4.5065899999999999E-2</v>
      </c>
      <c r="C56" s="245">
        <v>5.7949300000000002E-2</v>
      </c>
      <c r="D56" s="246">
        <f>IF(CouplingMode="AC",B56-(A$11-A$10)*SUM(B$9:B56)/0.21,B56)</f>
        <v>4.5065899999999999E-2</v>
      </c>
      <c r="E56" s="247">
        <f t="shared" si="20"/>
        <v>5.5064038903214945</v>
      </c>
      <c r="F56" s="247">
        <f t="shared" si="21"/>
        <v>5.5064038903214945</v>
      </c>
      <c r="G56" s="248">
        <f t="shared" si="22"/>
        <v>9.1429677579620326E+17</v>
      </c>
      <c r="H56" s="249">
        <f t="shared" si="23"/>
        <v>1.3932985172723233E-3</v>
      </c>
      <c r="I56" s="248">
        <f>IF(MobilityModel=DK,CalcDeltaN(H56,SampleDoping,Thickness,AreaFrac),CalcDeltaNDL(H56,AreaFrac,Thickness,SampleType,SampleDoping,Temperature))</f>
        <v>335176883048881.5</v>
      </c>
      <c r="J56" s="248" t="str">
        <f t="shared" si="24"/>
        <v/>
      </c>
      <c r="K56" s="248">
        <f t="shared" si="25"/>
        <v>335176883048881.5</v>
      </c>
      <c r="L56" s="250">
        <f t="shared" si="33"/>
        <v>-2.0861346328298829E+17</v>
      </c>
      <c r="M56" s="196" t="str">
        <f t="shared" si="26"/>
        <v/>
      </c>
      <c r="N56" s="196" t="str">
        <f t="shared" si="27"/>
        <v/>
      </c>
      <c r="O56" s="250">
        <f t="shared" si="28"/>
        <v>335176883048881.5</v>
      </c>
      <c r="P56" s="248">
        <f t="shared" si="34"/>
        <v>6.5717247934154533E-6</v>
      </c>
      <c r="Q56" s="250" t="str">
        <f t="shared" si="35"/>
        <v/>
      </c>
      <c r="R56" s="251" t="str">
        <f t="shared" si="36"/>
        <v/>
      </c>
      <c r="S56" s="252">
        <f>IF(AND(E56&gt;0.95*BiasLight,E56&lt;1.05*BiasLight),"",IF(AugerModel="Sinton",calclifetimeauger(Auger_Coefficient,I56,P56),calclifetimerichter(SampleType,I56,SampleDoping,P56)))</f>
        <v>152166.86727952224</v>
      </c>
      <c r="T56" s="201" t="str">
        <f t="shared" si="37"/>
        <v/>
      </c>
      <c r="U56" s="252">
        <f t="shared" si="29"/>
        <v>108691.27452652212</v>
      </c>
      <c r="V56" s="251" t="str">
        <f>IF(AugerModel="Sinton","",IF(SampleType="n-type",n_intr_boltzmann(SampleDoping,0,K56,Temperature+273.15),n_intr_boltzmann(0,SampleDoping,K56,Temperature+273.15)))</f>
        <v/>
      </c>
      <c r="W56" s="251" t="str">
        <f t="shared" si="13"/>
        <v/>
      </c>
      <c r="X56" s="246">
        <f>IF(AND(A56&gt;TimeofMaxCD,I56&gt;Traps),IF(AugerModel="Sinton",CalcImpliedV(SampleDoping,O56),CalcImpliedVRichter(O56,SampleDoping,V56)),"")</f>
        <v>0.63064950835367295</v>
      </c>
      <c r="Y56" s="253">
        <f t="shared" si="30"/>
        <v>5.5290188445591957</v>
      </c>
      <c r="Z56" s="200" t="str">
        <f t="shared" si="31"/>
        <v/>
      </c>
      <c r="AE56" s="251">
        <f t="shared" si="32"/>
        <v>1441.5678900672794</v>
      </c>
    </row>
    <row r="57" spans="1:31" x14ac:dyDescent="0.2">
      <c r="A57" s="244">
        <v>4.8498999999999999E-3</v>
      </c>
      <c r="B57" s="244">
        <v>4.2557999999999999E-2</v>
      </c>
      <c r="C57" s="245">
        <v>5.5169000000000003E-2</v>
      </c>
      <c r="D57" s="246">
        <f>IF(CouplingMode="AC",B57-(A$11-A$10)*SUM(B$9:B57)/0.21,B57)</f>
        <v>4.2557999999999999E-2</v>
      </c>
      <c r="E57" s="247">
        <f t="shared" si="20"/>
        <v>5.2422168382559668</v>
      </c>
      <c r="F57" s="247">
        <f t="shared" si="21"/>
        <v>5.2422168382559668</v>
      </c>
      <c r="G57" s="248">
        <f t="shared" si="22"/>
        <v>8.7043051122102822E+17</v>
      </c>
      <c r="H57" s="249">
        <f t="shared" si="23"/>
        <v>1.3157146499027522E-3</v>
      </c>
      <c r="I57" s="248">
        <f>IF(MobilityModel=DK,CalcDeltaN(H57,SampleDoping,Thickness,AreaFrac),CalcDeltaNDL(H57,AreaFrac,Thickness,SampleType,SampleDoping,Temperature))</f>
        <v>316200749543348.5</v>
      </c>
      <c r="J57" s="248" t="str">
        <f t="shared" si="24"/>
        <v/>
      </c>
      <c r="K57" s="248">
        <f t="shared" si="25"/>
        <v>316200749543348.5</v>
      </c>
      <c r="L57" s="250">
        <f t="shared" si="33"/>
        <v>-1.950141125717415E+17</v>
      </c>
      <c r="M57" s="196" t="str">
        <f t="shared" si="26"/>
        <v/>
      </c>
      <c r="N57" s="196" t="str">
        <f t="shared" si="27"/>
        <v/>
      </c>
      <c r="O57" s="250">
        <f t="shared" si="28"/>
        <v>316200749543348.5</v>
      </c>
      <c r="P57" s="248">
        <f t="shared" si="34"/>
        <v>6.5125849692680064E-6</v>
      </c>
      <c r="Q57" s="250" t="str">
        <f t="shared" si="35"/>
        <v/>
      </c>
      <c r="R57" s="251" t="str">
        <f t="shared" si="36"/>
        <v/>
      </c>
      <c r="S57" s="252">
        <f>IF(AND(E57&gt;0.95*BiasLight,E57&lt;1.05*BiasLight),"",IF(AugerModel="Sinton",calclifetimeauger(Auger_Coefficient,I57,P57),calclifetimerichter(SampleType,I57,SampleDoping,P57)))</f>
        <v>153548.69438394543</v>
      </c>
      <c r="T57" s="201" t="str">
        <f t="shared" si="37"/>
        <v/>
      </c>
      <c r="U57" s="252">
        <f t="shared" si="29"/>
        <v>108684.08443441898</v>
      </c>
      <c r="V57" s="251" t="str">
        <f>IF(AugerModel="Sinton","",IF(SampleType="n-type",n_intr_boltzmann(SampleDoping,0,K57,Temperature+273.15),n_intr_boltzmann(0,SampleDoping,K57,Temperature+273.15)))</f>
        <v/>
      </c>
      <c r="W57" s="251" t="str">
        <f t="shared" si="13"/>
        <v/>
      </c>
      <c r="X57" s="246">
        <f>IF(AND(A57&gt;TimeofMaxCD,I57&gt;Traps),IF(AugerModel="Sinton",CalcImpliedV(SampleDoping,O57),CalcImpliedVRichter(O57,SampleDoping,V57)),"")</f>
        <v>0.62910405328625418</v>
      </c>
      <c r="Y57" s="253">
        <f t="shared" si="30"/>
        <v>5.2633575410759619</v>
      </c>
      <c r="Z57" s="200" t="str">
        <f t="shared" si="31"/>
        <v/>
      </c>
      <c r="AE57" s="251">
        <f t="shared" si="32"/>
        <v>1442.991585037493</v>
      </c>
    </row>
    <row r="58" spans="1:31" x14ac:dyDescent="0.2">
      <c r="A58" s="244">
        <v>4.9499000000000001E-3</v>
      </c>
      <c r="B58" s="244">
        <v>4.0030700000000002E-2</v>
      </c>
      <c r="C58" s="245">
        <v>5.2491299999999998E-2</v>
      </c>
      <c r="D58" s="246">
        <f>IF(CouplingMode="AC",B58-(A$11-A$10)*SUM(B$9:B58)/0.21,B58)</f>
        <v>4.0030700000000002E-2</v>
      </c>
      <c r="E58" s="247">
        <f t="shared" si="20"/>
        <v>4.9877789469076008</v>
      </c>
      <c r="F58" s="247">
        <f t="shared" si="21"/>
        <v>4.9877789469076008</v>
      </c>
      <c r="G58" s="248">
        <f t="shared" si="22"/>
        <v>8.2818302114695488E+17</v>
      </c>
      <c r="H58" s="249">
        <f t="shared" si="23"/>
        <v>1.2375362726121733E-3</v>
      </c>
      <c r="I58" s="248">
        <f>IF(MobilityModel=DK,CalcDeltaN(H58,SampleDoping,Thickness,AreaFrac),CalcDeltaNDL(H58,AreaFrac,Thickness,SampleType,SampleDoping,Temperature))</f>
        <v>297107141657940.62</v>
      </c>
      <c r="J58" s="248" t="str">
        <f t="shared" si="24"/>
        <v/>
      </c>
      <c r="K58" s="248">
        <f t="shared" si="25"/>
        <v>297107141657940.62</v>
      </c>
      <c r="L58" s="250">
        <f t="shared" si="33"/>
        <v>-1.883437525763831E+17</v>
      </c>
      <c r="M58" s="196" t="str">
        <f t="shared" si="26"/>
        <v/>
      </c>
      <c r="N58" s="196" t="str">
        <f t="shared" si="27"/>
        <v/>
      </c>
      <c r="O58" s="250">
        <f t="shared" si="28"/>
        <v>297107141657940.62</v>
      </c>
      <c r="P58" s="248">
        <f t="shared" si="34"/>
        <v>6.4310977000404508E-6</v>
      </c>
      <c r="Q58" s="250" t="str">
        <f t="shared" si="35"/>
        <v/>
      </c>
      <c r="R58" s="251" t="str">
        <f t="shared" si="36"/>
        <v/>
      </c>
      <c r="S58" s="252">
        <f>IF(AND(E58&gt;0.95*BiasLight,E58&lt;1.05*BiasLight),"",IF(AugerModel="Sinton",calclifetimeauger(Auger_Coefficient,I58,P58),calclifetimerichter(SampleType,I58,SampleDoping,P58)))</f>
        <v>155494.30350408313</v>
      </c>
      <c r="T58" s="201" t="str">
        <f t="shared" si="37"/>
        <v/>
      </c>
      <c r="U58" s="252">
        <f t="shared" si="29"/>
        <v>108676.84983105594</v>
      </c>
      <c r="V58" s="251" t="str">
        <f>IF(AugerModel="Sinton","",IF(SampleType="n-type",n_intr_boltzmann(SampleDoping,0,K58,Temperature+273.15),n_intr_boltzmann(0,SampleDoping,K58,Temperature+273.15)))</f>
        <v/>
      </c>
      <c r="W58" s="251" t="str">
        <f t="shared" si="13"/>
        <v/>
      </c>
      <c r="X58" s="246">
        <f>IF(AND(A58&gt;TimeofMaxCD,I58&gt;Traps),IF(AugerModel="Sinton",CalcImpliedV(SampleDoping,O58),CalcImpliedVRichter(O58,SampleDoping,V58)),"")</f>
        <v>0.62745536170284488</v>
      </c>
      <c r="Y58" s="253">
        <f t="shared" si="30"/>
        <v>5.0081965425816328</v>
      </c>
      <c r="Z58" s="200" t="str">
        <f t="shared" si="31"/>
        <v/>
      </c>
      <c r="AE58" s="251">
        <f t="shared" si="32"/>
        <v>1444.4743324311169</v>
      </c>
    </row>
    <row r="59" spans="1:31" x14ac:dyDescent="0.2">
      <c r="A59" s="244">
        <v>5.0499000000000004E-3</v>
      </c>
      <c r="B59" s="244">
        <v>3.7401799999999999E-2</v>
      </c>
      <c r="C59" s="245">
        <v>5.0004E-2</v>
      </c>
      <c r="D59" s="246">
        <f>IF(CouplingMode="AC",B59-(A$11-A$10)*SUM(B$9:B59)/0.21,B59)</f>
        <v>3.7401799999999999E-2</v>
      </c>
      <c r="E59" s="247">
        <f t="shared" si="20"/>
        <v>4.7514330653111596</v>
      </c>
      <c r="F59" s="247">
        <f t="shared" si="21"/>
        <v>4.7514330653111596</v>
      </c>
      <c r="G59" s="248">
        <f t="shared" si="22"/>
        <v>7.8893957264217741E+17</v>
      </c>
      <c r="H59" s="249">
        <f t="shared" si="23"/>
        <v>1.1562210583885429E-3</v>
      </c>
      <c r="I59" s="248">
        <f>IF(MobilityModel=DK,CalcDeltaN(H59,SampleDoping,Thickness,AreaFrac),CalcDeltaNDL(H59,AreaFrac,Thickness,SampleType,SampleDoping,Temperature))</f>
        <v>277278115845822.03</v>
      </c>
      <c r="J59" s="248" t="str">
        <f t="shared" si="24"/>
        <v/>
      </c>
      <c r="K59" s="248">
        <f t="shared" si="25"/>
        <v>277278115845822.03</v>
      </c>
      <c r="L59" s="250">
        <f t="shared" si="33"/>
        <v>-1.8121405883301293E+17</v>
      </c>
      <c r="M59" s="196" t="str">
        <f t="shared" si="26"/>
        <v/>
      </c>
      <c r="N59" s="196" t="str">
        <f t="shared" si="27"/>
        <v/>
      </c>
      <c r="O59" s="250">
        <f t="shared" si="28"/>
        <v>277278115845822.03</v>
      </c>
      <c r="P59" s="248">
        <f t="shared" si="34"/>
        <v>6.3001730662215023E-6</v>
      </c>
      <c r="Q59" s="250" t="str">
        <f t="shared" si="35"/>
        <v/>
      </c>
      <c r="R59" s="251" t="str">
        <f t="shared" si="36"/>
        <v/>
      </c>
      <c r="S59" s="252">
        <f>IF(AND(E59&gt;0.95*BiasLight,E59&lt;1.05*BiasLight),"",IF(AugerModel="Sinton",calclifetimeauger(Auger_Coefficient,I59,P59),calclifetimerichter(SampleType,I59,SampleDoping,P59)))</f>
        <v>158725.67077488828</v>
      </c>
      <c r="T59" s="201" t="str">
        <f t="shared" si="37"/>
        <v/>
      </c>
      <c r="U59" s="252">
        <f t="shared" si="29"/>
        <v>108669.33657647946</v>
      </c>
      <c r="V59" s="251" t="str">
        <f>IF(AugerModel="Sinton","",IF(SampleType="n-type",n_intr_boltzmann(SampleDoping,0,K59,Temperature+273.15),n_intr_boltzmann(0,SampleDoping,K59,Temperature+273.15)))</f>
        <v/>
      </c>
      <c r="W59" s="251" t="str">
        <f t="shared" si="13"/>
        <v/>
      </c>
      <c r="X59" s="246">
        <f>IF(AND(A59&gt;TimeofMaxCD,I59&gt;Traps),IF(AugerModel="Sinton",CalcImpliedV(SampleDoping,O59),CalcImpliedVRichter(O59,SampleDoping,V59)),"")</f>
        <v>0.62563033446580141</v>
      </c>
      <c r="Y59" s="253">
        <f t="shared" si="30"/>
        <v>4.7710777592980333</v>
      </c>
      <c r="Z59" s="200" t="str">
        <f t="shared" si="31"/>
        <v/>
      </c>
      <c r="AE59" s="251">
        <f t="shared" si="32"/>
        <v>1446.0731547494254</v>
      </c>
    </row>
    <row r="60" spans="1:31" x14ac:dyDescent="0.2">
      <c r="A60" s="244">
        <v>5.1498999999999998E-3</v>
      </c>
      <c r="B60" s="244">
        <v>3.5169400000000003E-2</v>
      </c>
      <c r="C60" s="245">
        <v>4.7623100000000002E-2</v>
      </c>
      <c r="D60" s="246">
        <f>IF(CouplingMode="AC",B60-(A$11-A$10)*SUM(B$9:B60)/0.21,B60)</f>
        <v>3.5169400000000003E-2</v>
      </c>
      <c r="E60" s="247">
        <f t="shared" si="20"/>
        <v>4.5251974244584412</v>
      </c>
      <c r="F60" s="247">
        <f t="shared" si="21"/>
        <v>4.5251974244584412</v>
      </c>
      <c r="G60" s="248">
        <f t="shared" si="22"/>
        <v>7.5137485324965376E+17</v>
      </c>
      <c r="H60" s="249">
        <f t="shared" si="23"/>
        <v>1.0871749060841762E-3</v>
      </c>
      <c r="I60" s="248">
        <f>IF(MobilityModel=DK,CalcDeltaN(H60,SampleDoping,Thickness,AreaFrac),CalcDeltaNDL(H60,AreaFrac,Thickness,SampleType,SampleDoping,Temperature))</f>
        <v>260466323609453.09</v>
      </c>
      <c r="J60" s="248" t="str">
        <f t="shared" si="24"/>
        <v/>
      </c>
      <c r="K60" s="248">
        <f t="shared" si="25"/>
        <v>260466323609453.09</v>
      </c>
      <c r="L60" s="250">
        <f t="shared" si="33"/>
        <v>-1.7227572928226448E+17</v>
      </c>
      <c r="M60" s="196" t="str">
        <f t="shared" si="26"/>
        <v/>
      </c>
      <c r="N60" s="196" t="str">
        <f t="shared" si="27"/>
        <v/>
      </c>
      <c r="O60" s="250">
        <f t="shared" si="28"/>
        <v>260466323609453.09</v>
      </c>
      <c r="P60" s="248">
        <f t="shared" si="34"/>
        <v>6.2141074945059427E-6</v>
      </c>
      <c r="Q60" s="250" t="str">
        <f t="shared" si="35"/>
        <v/>
      </c>
      <c r="R60" s="251" t="str">
        <f t="shared" si="36"/>
        <v/>
      </c>
      <c r="S60" s="252">
        <f>IF(AND(E60&gt;0.95*BiasLight,E60&lt;1.05*BiasLight),"",IF(AugerModel="Sinton",calclifetimeauger(Auger_Coefficient,I60,P60),calclifetimerichter(SampleType,I60,SampleDoping,P60)))</f>
        <v>160924.04276209063</v>
      </c>
      <c r="T60" s="201" t="str">
        <f t="shared" si="37"/>
        <v/>
      </c>
      <c r="U60" s="252">
        <f t="shared" si="29"/>
        <v>108662.96655728863</v>
      </c>
      <c r="V60" s="251" t="str">
        <f>IF(AugerModel="Sinton","",IF(SampleType="n-type",n_intr_boltzmann(SampleDoping,0,K60,Temperature+273.15),n_intr_boltzmann(0,SampleDoping,K60,Temperature+273.15)))</f>
        <v/>
      </c>
      <c r="W60" s="251" t="str">
        <f t="shared" si="13"/>
        <v/>
      </c>
      <c r="X60" s="246">
        <f>IF(AND(A60&gt;TimeofMaxCD,I60&gt;Traps),IF(AugerModel="Sinton",CalcImpliedV(SampleDoping,O60),CalcImpliedVRichter(O60,SampleDoping,V60)),"")</f>
        <v>0.6239805345865217</v>
      </c>
      <c r="Y60" s="253">
        <f t="shared" si="30"/>
        <v>4.5438731497576272</v>
      </c>
      <c r="Z60" s="200" t="str">
        <f t="shared" si="31"/>
        <v/>
      </c>
      <c r="AE60" s="251">
        <f t="shared" si="32"/>
        <v>1447.4808358923112</v>
      </c>
    </row>
    <row r="61" spans="1:31" x14ac:dyDescent="0.2">
      <c r="A61" s="244">
        <v>5.2499000000000001E-3</v>
      </c>
      <c r="B61" s="244">
        <v>3.2968200000000003E-2</v>
      </c>
      <c r="C61" s="245">
        <v>4.5375100000000002E-2</v>
      </c>
      <c r="D61" s="246">
        <f>IF(CouplingMode="AC",B61-(A$11-A$10)*SUM(B$9:B61)/0.21,B61)</f>
        <v>3.2968200000000003E-2</v>
      </c>
      <c r="E61" s="247">
        <f t="shared" si="20"/>
        <v>4.3115900824294133</v>
      </c>
      <c r="F61" s="247">
        <f t="shared" si="21"/>
        <v>4.3115900824294133</v>
      </c>
      <c r="G61" s="248">
        <f t="shared" si="22"/>
        <v>7.1590696749452173E+17</v>
      </c>
      <c r="H61" s="249">
        <f t="shared" si="23"/>
        <v>1.0190980708410027E-3</v>
      </c>
      <c r="I61" s="248">
        <f>IF(MobilityModel=DK,CalcDeltaN(H61,SampleDoping,Thickness,AreaFrac),CalcDeltaNDL(H61,AreaFrac,Thickness,SampleType,SampleDoping,Temperature))</f>
        <v>243914129151085.81</v>
      </c>
      <c r="J61" s="248" t="str">
        <f t="shared" si="24"/>
        <v/>
      </c>
      <c r="K61" s="248">
        <f t="shared" si="25"/>
        <v>243914129151085.81</v>
      </c>
      <c r="L61" s="250">
        <f t="shared" si="33"/>
        <v>-1.5500311386331453E+17</v>
      </c>
      <c r="M61" s="196" t="str">
        <f t="shared" si="26"/>
        <v/>
      </c>
      <c r="N61" s="196" t="str">
        <f t="shared" si="27"/>
        <v/>
      </c>
      <c r="O61" s="250">
        <f t="shared" si="28"/>
        <v>243914129151085.81</v>
      </c>
      <c r="P61" s="248">
        <f t="shared" si="34"/>
        <v>6.10890845640239E-6</v>
      </c>
      <c r="Q61" s="250" t="str">
        <f t="shared" si="35"/>
        <v/>
      </c>
      <c r="R61" s="251" t="str">
        <f t="shared" si="36"/>
        <v/>
      </c>
      <c r="S61" s="252">
        <f>IF(AND(E61&gt;0.95*BiasLight,E61&lt;1.05*BiasLight),"",IF(AugerModel="Sinton",calclifetimeauger(Auger_Coefficient,I61,P61),calclifetimerichter(SampleType,I61,SampleDoping,P61)))</f>
        <v>163695.26631797489</v>
      </c>
      <c r="T61" s="201" t="str">
        <f t="shared" si="37"/>
        <v/>
      </c>
      <c r="U61" s="252">
        <f t="shared" si="29"/>
        <v>108656.6949001763</v>
      </c>
      <c r="V61" s="251" t="str">
        <f>IF(AugerModel="Sinton","",IF(SampleType="n-type",n_intr_boltzmann(SampleDoping,0,K61,Temperature+273.15),n_intr_boltzmann(0,SampleDoping,K61,Temperature+273.15)))</f>
        <v/>
      </c>
      <c r="W61" s="251" t="str">
        <f t="shared" si="13"/>
        <v/>
      </c>
      <c r="X61" s="246">
        <f>IF(AND(A61&gt;TimeofMaxCD,I61&gt;Traps),IF(AugerModel="Sinton",CalcImpliedV(SampleDoping,O61),CalcImpliedVRichter(O61,SampleDoping,V61)),"")</f>
        <v>0.6222514346628254</v>
      </c>
      <c r="Y61" s="253">
        <f t="shared" si="30"/>
        <v>4.3283933523217542</v>
      </c>
      <c r="Z61" s="200" t="str">
        <f t="shared" si="31"/>
        <v/>
      </c>
      <c r="AE61" s="251">
        <f t="shared" si="32"/>
        <v>1448.9186558589574</v>
      </c>
    </row>
    <row r="62" spans="1:31" x14ac:dyDescent="0.2">
      <c r="A62" s="244">
        <v>5.3499000000000003E-3</v>
      </c>
      <c r="B62" s="244">
        <v>3.0802199999999998E-2</v>
      </c>
      <c r="C62" s="245">
        <v>4.3196400000000003E-2</v>
      </c>
      <c r="D62" s="246">
        <f>IF(CouplingMode="AC",B62-(A$11-A$10)*SUM(B$9:B62)/0.21,B62)</f>
        <v>3.0802199999999998E-2</v>
      </c>
      <c r="E62" s="247">
        <f t="shared" si="20"/>
        <v>4.1045676998321534</v>
      </c>
      <c r="F62" s="247">
        <f t="shared" si="21"/>
        <v>4.1045676998321534</v>
      </c>
      <c r="G62" s="248">
        <f t="shared" si="22"/>
        <v>6.8153246451644979E+17</v>
      </c>
      <c r="H62" s="249">
        <f t="shared" si="23"/>
        <v>9.5211406687528699E-4</v>
      </c>
      <c r="I62" s="248">
        <f>IF(MobilityModel=DK,CalcDeltaN(H62,SampleDoping,Thickness,AreaFrac),CalcDeltaNDL(H62,AreaFrac,Thickness,SampleType,SampleDoping,Temperature))</f>
        <v>227651270364176.5</v>
      </c>
      <c r="J62" s="248" t="str">
        <f t="shared" si="24"/>
        <v/>
      </c>
      <c r="K62" s="248">
        <f t="shared" si="25"/>
        <v>227651270364176.5</v>
      </c>
      <c r="L62" s="250">
        <f t="shared" si="33"/>
        <v>-1.4089920017381771E+17</v>
      </c>
      <c r="M62" s="196" t="str">
        <f t="shared" si="26"/>
        <v/>
      </c>
      <c r="N62" s="196" t="str">
        <f t="shared" si="27"/>
        <v/>
      </c>
      <c r="O62" s="250">
        <f t="shared" si="28"/>
        <v>227651270364176.5</v>
      </c>
      <c r="P62" s="248">
        <f t="shared" si="34"/>
        <v>5.9902216916955266E-6</v>
      </c>
      <c r="Q62" s="250" t="str">
        <f t="shared" si="35"/>
        <v/>
      </c>
      <c r="R62" s="251" t="str">
        <f t="shared" si="36"/>
        <v/>
      </c>
      <c r="S62" s="252">
        <f>IF(AND(E62&gt;0.95*BiasLight,E62&lt;1.05*BiasLight),"",IF(AugerModel="Sinton",calclifetimeauger(Auger_Coefficient,I62,P62),calclifetimerichter(SampleType,I62,SampleDoping,P62)))</f>
        <v>166938.64369820521</v>
      </c>
      <c r="T62" s="201" t="str">
        <f t="shared" si="37"/>
        <v/>
      </c>
      <c r="U62" s="252">
        <f t="shared" si="29"/>
        <v>108650.53287288533</v>
      </c>
      <c r="V62" s="251" t="str">
        <f>IF(AugerModel="Sinton","",IF(SampleType="n-type",n_intr_boltzmann(SampleDoping,0,K62,Temperature+273.15),n_intr_boltzmann(0,SampleDoping,K62,Temperature+273.15)))</f>
        <v/>
      </c>
      <c r="W62" s="251" t="str">
        <f t="shared" si="13"/>
        <v/>
      </c>
      <c r="X62" s="246">
        <f>IF(AND(A62&gt;TimeofMaxCD,I62&gt;Traps),IF(AugerModel="Sinton",CalcImpliedV(SampleDoping,O62),CalcImpliedVRichter(O62,SampleDoping,V62)),"")</f>
        <v>0.62043710107043226</v>
      </c>
      <c r="Y62" s="253">
        <f t="shared" si="30"/>
        <v>4.1198420206449802</v>
      </c>
      <c r="Z62" s="200" t="str">
        <f t="shared" si="31"/>
        <v/>
      </c>
      <c r="AE62" s="251">
        <f t="shared" si="32"/>
        <v>1450.3869604535666</v>
      </c>
    </row>
    <row r="63" spans="1:31" x14ac:dyDescent="0.2">
      <c r="A63" s="244">
        <v>5.4498999999999997E-3</v>
      </c>
      <c r="B63" s="244">
        <v>2.9272900000000001E-2</v>
      </c>
      <c r="C63" s="245">
        <v>4.1140700000000002E-2</v>
      </c>
      <c r="D63" s="246">
        <f>IF(CouplingMode="AC",B63-(A$11-A$10)*SUM(B$9:B63)/0.21,B63)</f>
        <v>2.9272900000000001E-2</v>
      </c>
      <c r="E63" s="247">
        <f t="shared" si="20"/>
        <v>3.9092329075683314</v>
      </c>
      <c r="F63" s="247">
        <f t="shared" si="21"/>
        <v>3.9092329075683314</v>
      </c>
      <c r="G63" s="248">
        <f t="shared" si="22"/>
        <v>6.4909859763618982E+17</v>
      </c>
      <c r="H63" s="249">
        <f t="shared" si="23"/>
        <v>9.0482265046396698E-4</v>
      </c>
      <c r="I63" s="248">
        <f>IF(MobilityModel=DK,CalcDeltaN(H63,SampleDoping,Thickness,AreaFrac),CalcDeltaNDL(H63,AreaFrac,Thickness,SampleType,SampleDoping,Temperature))</f>
        <v>216184085536803.12</v>
      </c>
      <c r="J63" s="248" t="str">
        <f t="shared" si="24"/>
        <v/>
      </c>
      <c r="K63" s="248">
        <f t="shared" si="25"/>
        <v>216184085536803.12</v>
      </c>
      <c r="L63" s="250">
        <f t="shared" si="33"/>
        <v>-1.3024715403675403E+17</v>
      </c>
      <c r="M63" s="196" t="str">
        <f t="shared" si="26"/>
        <v/>
      </c>
      <c r="N63" s="196" t="str">
        <f t="shared" si="27"/>
        <v/>
      </c>
      <c r="O63" s="250">
        <f t="shared" si="28"/>
        <v>216184085536803.12</v>
      </c>
      <c r="P63" s="248">
        <f t="shared" si="34"/>
        <v>5.9733748961075459E-6</v>
      </c>
      <c r="Q63" s="250" t="str">
        <f t="shared" si="35"/>
        <v/>
      </c>
      <c r="R63" s="251" t="str">
        <f t="shared" si="36"/>
        <v/>
      </c>
      <c r="S63" s="252">
        <f>IF(AND(E63&gt;0.95*BiasLight,E63&lt;1.05*BiasLight),"",IF(AugerModel="Sinton",calclifetimeauger(Auger_Coefficient,I63,P63),calclifetimerichter(SampleType,I63,SampleDoping,P63)))</f>
        <v>167409.47186004859</v>
      </c>
      <c r="T63" s="201" t="str">
        <f t="shared" si="37"/>
        <v/>
      </c>
      <c r="U63" s="252">
        <f t="shared" si="29"/>
        <v>108646.18793533269</v>
      </c>
      <c r="V63" s="251" t="str">
        <f>IF(AugerModel="Sinton","",IF(SampleType="n-type",n_intr_boltzmann(SampleDoping,0,K63,Temperature+273.15),n_intr_boltzmann(0,SampleDoping,K63,Temperature+273.15)))</f>
        <v/>
      </c>
      <c r="W63" s="251" t="str">
        <f t="shared" si="13"/>
        <v/>
      </c>
      <c r="X63" s="246">
        <f>IF(AND(A63&gt;TimeofMaxCD,I63&gt;Traps),IF(AugerModel="Sinton",CalcImpliedV(SampleDoping,O63),CalcImpliedVRichter(O63,SampleDoping,V63)),"")</f>
        <v>0.61907988516623602</v>
      </c>
      <c r="Y63" s="253">
        <f t="shared" si="30"/>
        <v>3.9233524825074437</v>
      </c>
      <c r="Z63" s="200" t="str">
        <f t="shared" si="31"/>
        <v/>
      </c>
      <c r="AE63" s="251">
        <f t="shared" si="32"/>
        <v>1451.4588469939283</v>
      </c>
    </row>
    <row r="64" spans="1:31" x14ac:dyDescent="0.2">
      <c r="A64" s="244">
        <v>5.5499E-3</v>
      </c>
      <c r="B64" s="244">
        <v>2.76303E-2</v>
      </c>
      <c r="C64" s="245">
        <v>3.9209099999999997E-2</v>
      </c>
      <c r="D64" s="246">
        <f>IF(CouplingMode="AC",B64-(A$11-A$10)*SUM(B$9:B64)/0.21,B64)</f>
        <v>2.76303E-2</v>
      </c>
      <c r="E64" s="247">
        <f t="shared" si="20"/>
        <v>3.725690228803531</v>
      </c>
      <c r="F64" s="247">
        <f t="shared" si="21"/>
        <v>3.725690228803531</v>
      </c>
      <c r="G64" s="248">
        <f t="shared" si="22"/>
        <v>6.1862272213591706E+17</v>
      </c>
      <c r="H64" s="249">
        <f t="shared" si="23"/>
        <v>8.5402990448918414E-4</v>
      </c>
      <c r="I64" s="248">
        <f>IF(MobilityModel=DK,CalcDeltaN(H64,SampleDoping,Thickness,AreaFrac),CalcDeltaNDL(H64,AreaFrac,Thickness,SampleType,SampleDoping,Temperature))</f>
        <v>203881745329685.59</v>
      </c>
      <c r="J64" s="248" t="str">
        <f t="shared" si="24"/>
        <v/>
      </c>
      <c r="K64" s="248">
        <f t="shared" si="25"/>
        <v>203881745329685.59</v>
      </c>
      <c r="L64" s="250">
        <f t="shared" si="33"/>
        <v>-1.2178489553957333E+17</v>
      </c>
      <c r="M64" s="196" t="str">
        <f t="shared" si="26"/>
        <v/>
      </c>
      <c r="N64" s="196" t="str">
        <f t="shared" si="27"/>
        <v/>
      </c>
      <c r="O64" s="250">
        <f t="shared" si="28"/>
        <v>203881745329685.59</v>
      </c>
      <c r="P64" s="248">
        <f t="shared" si="34"/>
        <v>5.9113782707085998E-6</v>
      </c>
      <c r="Q64" s="250" t="str">
        <f t="shared" si="35"/>
        <v/>
      </c>
      <c r="R64" s="251" t="str">
        <f t="shared" si="36"/>
        <v/>
      </c>
      <c r="S64" s="252">
        <f>IF(AND(E64&gt;0.95*BiasLight,E64&lt;1.05*BiasLight),"",IF(AugerModel="Sinton",calclifetimeauger(Auger_Coefficient,I64,P64),calclifetimerichter(SampleType,I64,SampleDoping,P64)))</f>
        <v>169165.21770485508</v>
      </c>
      <c r="T64" s="201" t="str">
        <f t="shared" si="37"/>
        <v/>
      </c>
      <c r="U64" s="252">
        <f t="shared" si="29"/>
        <v>108641.52655586108</v>
      </c>
      <c r="V64" s="251" t="str">
        <f>IF(AugerModel="Sinton","",IF(SampleType="n-type",n_intr_boltzmann(SampleDoping,0,K64,Temperature+273.15),n_intr_boltzmann(0,SampleDoping,K64,Temperature+273.15)))</f>
        <v/>
      </c>
      <c r="W64" s="251" t="str">
        <f t="shared" si="13"/>
        <v/>
      </c>
      <c r="X64" s="246">
        <f>IF(AND(A64&gt;TimeofMaxCD,I64&gt;Traps),IF(AugerModel="Sinton",CalcImpliedV(SampleDoping,O64),CalcImpliedVRichter(O64,SampleDoping,V64)),"")</f>
        <v>0.61754308557581894</v>
      </c>
      <c r="Y64" s="253">
        <f t="shared" si="30"/>
        <v>3.7388924440207449</v>
      </c>
      <c r="Z64" s="200" t="str">
        <f t="shared" si="31"/>
        <v/>
      </c>
      <c r="AE64" s="251">
        <f t="shared" si="32"/>
        <v>1452.6457523839281</v>
      </c>
    </row>
    <row r="65" spans="1:31" x14ac:dyDescent="0.2">
      <c r="A65" s="244">
        <v>5.6499000000000002E-3</v>
      </c>
      <c r="B65" s="244">
        <v>2.5864700000000001E-2</v>
      </c>
      <c r="C65" s="245">
        <v>3.7366299999999998E-2</v>
      </c>
      <c r="D65" s="246">
        <f>IF(CouplingMode="AC",B65-(A$11-A$10)*SUM(B$9:B65)/0.21,B65)</f>
        <v>2.5864700000000001E-2</v>
      </c>
      <c r="E65" s="247">
        <f t="shared" si="20"/>
        <v>3.5505854201331166</v>
      </c>
      <c r="F65" s="247">
        <f t="shared" si="21"/>
        <v>3.5505854201331166</v>
      </c>
      <c r="G65" s="248">
        <f t="shared" si="22"/>
        <v>5.8954789123308928E+17</v>
      </c>
      <c r="H65" s="249">
        <f t="shared" si="23"/>
        <v>7.9943640146957345E-4</v>
      </c>
      <c r="I65" s="248">
        <f>IF(MobilityModel=DK,CalcDeltaN(H65,SampleDoping,Thickness,AreaFrac),CalcDeltaNDL(H65,AreaFrac,Thickness,SampleType,SampleDoping,Temperature))</f>
        <v>190675314649954.25</v>
      </c>
      <c r="J65" s="248" t="str">
        <f t="shared" si="24"/>
        <v/>
      </c>
      <c r="K65" s="248">
        <f t="shared" si="25"/>
        <v>190675314649954.25</v>
      </c>
      <c r="L65" s="250">
        <f t="shared" si="33"/>
        <v>-1.2181186786195526E+17</v>
      </c>
      <c r="M65" s="196" t="str">
        <f t="shared" si="26"/>
        <v/>
      </c>
      <c r="N65" s="196" t="str">
        <f t="shared" si="27"/>
        <v/>
      </c>
      <c r="O65" s="250">
        <f t="shared" si="28"/>
        <v>190675314649954.25</v>
      </c>
      <c r="P65" s="248">
        <f t="shared" si="34"/>
        <v>5.8001026388120676E-6</v>
      </c>
      <c r="Q65" s="250" t="str">
        <f t="shared" si="35"/>
        <v/>
      </c>
      <c r="R65" s="251" t="str">
        <f t="shared" si="36"/>
        <v/>
      </c>
      <c r="S65" s="252">
        <f>IF(AND(E65&gt;0.95*BiasLight,E65&lt;1.05*BiasLight),"",IF(AugerModel="Sinton",calclifetimeauger(Auger_Coefficient,I65,P65),calclifetimerichter(SampleType,I65,SampleDoping,P65)))</f>
        <v>172410.6817104005</v>
      </c>
      <c r="T65" s="201" t="str">
        <f t="shared" si="37"/>
        <v/>
      </c>
      <c r="U65" s="252">
        <f t="shared" si="29"/>
        <v>108636.52261483627</v>
      </c>
      <c r="V65" s="251" t="str">
        <f>IF(AugerModel="Sinton","",IF(SampleType="n-type",n_intr_boltzmann(SampleDoping,0,K65,Temperature+273.15),n_intr_boltzmann(0,SampleDoping,K65,Temperature+273.15)))</f>
        <v/>
      </c>
      <c r="W65" s="251" t="str">
        <f t="shared" si="13"/>
        <v/>
      </c>
      <c r="X65" s="246">
        <f>IF(AND(A65&gt;TimeofMaxCD,I65&gt;Traps),IF(AugerModel="Sinton",CalcImpliedV(SampleDoping,O65),CalcImpliedVRichter(O65,SampleDoping,V65)),"")</f>
        <v>0.61578868967127665</v>
      </c>
      <c r="Y65" s="253">
        <f t="shared" si="30"/>
        <v>3.5637905593123165</v>
      </c>
      <c r="Z65" s="200" t="str">
        <f t="shared" si="31"/>
        <v/>
      </c>
      <c r="AE65" s="251">
        <f t="shared" si="32"/>
        <v>1453.9666024848711</v>
      </c>
    </row>
    <row r="66" spans="1:31" x14ac:dyDescent="0.2">
      <c r="A66" s="244">
        <v>5.7498999999999996E-3</v>
      </c>
      <c r="B66" s="244">
        <v>2.43705E-2</v>
      </c>
      <c r="C66" s="245">
        <v>3.5632900000000002E-2</v>
      </c>
      <c r="D66" s="246">
        <f>IF(CouplingMode="AC",B66-(A$11-A$10)*SUM(B$9:B66)/0.21,B66)</f>
        <v>2.43705E-2</v>
      </c>
      <c r="E66" s="247">
        <f t="shared" si="20"/>
        <v>3.3858759153852898</v>
      </c>
      <c r="F66" s="247">
        <f t="shared" si="21"/>
        <v>3.3858759153852898</v>
      </c>
      <c r="G66" s="248">
        <f t="shared" si="22"/>
        <v>5.6219912203026656E+17</v>
      </c>
      <c r="H66" s="249">
        <f t="shared" si="23"/>
        <v>7.5323692382893437E-4</v>
      </c>
      <c r="I66" s="248">
        <f>IF(MobilityModel=DK,CalcDeltaN(H66,SampleDoping,Thickness,AreaFrac),CalcDeltaNDL(H66,AreaFrac,Thickness,SampleType,SampleDoping,Temperature))</f>
        <v>179513208037814.31</v>
      </c>
      <c r="J66" s="248" t="str">
        <f t="shared" si="24"/>
        <v/>
      </c>
      <c r="K66" s="248">
        <f t="shared" si="25"/>
        <v>179513208037814.31</v>
      </c>
      <c r="L66" s="250">
        <f t="shared" si="33"/>
        <v>-1.1409886852788336E+17</v>
      </c>
      <c r="M66" s="196" t="str">
        <f t="shared" si="26"/>
        <v/>
      </c>
      <c r="N66" s="196" t="str">
        <f t="shared" si="27"/>
        <v/>
      </c>
      <c r="O66" s="250">
        <f t="shared" si="28"/>
        <v>179513208037814.31</v>
      </c>
      <c r="P66" s="248">
        <f t="shared" si="34"/>
        <v>5.7265770989443902E-6</v>
      </c>
      <c r="Q66" s="250" t="str">
        <f t="shared" si="35"/>
        <v/>
      </c>
      <c r="R66" s="251" t="str">
        <f t="shared" si="36"/>
        <v/>
      </c>
      <c r="S66" s="252">
        <f>IF(AND(E66&gt;0.95*BiasLight,E66&lt;1.05*BiasLight),"",IF(AugerModel="Sinton",calclifetimeauger(Auger_Coefficient,I66,P66),calclifetimerichter(SampleType,I66,SampleDoping,P66)))</f>
        <v>174624.33079784442</v>
      </c>
      <c r="T66" s="201" t="str">
        <f t="shared" si="37"/>
        <v/>
      </c>
      <c r="U66" s="252">
        <f t="shared" si="29"/>
        <v>108632.29327198396</v>
      </c>
      <c r="V66" s="251" t="str">
        <f>IF(AugerModel="Sinton","",IF(SampleType="n-type",n_intr_boltzmann(SampleDoping,0,K66,Temperature+273.15),n_intr_boltzmann(0,SampleDoping,K66,Temperature+273.15)))</f>
        <v/>
      </c>
      <c r="W66" s="251" t="str">
        <f t="shared" si="13"/>
        <v/>
      </c>
      <c r="X66" s="246">
        <f>IF(AND(A66&gt;TimeofMaxCD,I66&gt;Traps),IF(AugerModel="Sinton",CalcImpliedV(SampleDoping,O66),CalcImpliedVRichter(O66,SampleDoping,V66)),"")</f>
        <v>0.6142102249281064</v>
      </c>
      <c r="Y66" s="253">
        <f t="shared" si="30"/>
        <v>3.3982449190426953</v>
      </c>
      <c r="Z66" s="200" t="str">
        <f t="shared" si="31"/>
        <v/>
      </c>
      <c r="AE66" s="251">
        <f t="shared" si="32"/>
        <v>1455.1245772149571</v>
      </c>
    </row>
    <row r="67" spans="1:31" x14ac:dyDescent="0.2">
      <c r="A67" s="244">
        <v>5.8498999999999999E-3</v>
      </c>
      <c r="B67" s="244">
        <v>2.2755299999999999E-2</v>
      </c>
      <c r="C67" s="245">
        <v>3.3938599999999999E-2</v>
      </c>
      <c r="D67" s="246">
        <f>IF(CouplingMode="AC",B67-(A$11-A$10)*SUM(B$9:B67)/0.21,B67)</f>
        <v>2.2755299999999999E-2</v>
      </c>
      <c r="E67" s="247">
        <f t="shared" si="20"/>
        <v>3.2248817340686609</v>
      </c>
      <c r="F67" s="247">
        <f t="shared" si="21"/>
        <v>3.2248817340686609</v>
      </c>
      <c r="G67" s="248">
        <f t="shared" si="22"/>
        <v>5.3546725422113837E+17</v>
      </c>
      <c r="H67" s="249">
        <f t="shared" si="23"/>
        <v>7.0329844991130069E-4</v>
      </c>
      <c r="I67" s="248">
        <f>IF(MobilityModel=DK,CalcDeltaN(H67,SampleDoping,Thickness,AreaFrac),CalcDeltaNDL(H67,AreaFrac,Thickness,SampleType,SampleDoping,Temperature))</f>
        <v>167462420251761.12</v>
      </c>
      <c r="J67" s="248" t="str">
        <f t="shared" si="24"/>
        <v/>
      </c>
      <c r="K67" s="248">
        <f t="shared" si="25"/>
        <v>167462420251761.12</v>
      </c>
      <c r="L67" s="250">
        <f t="shared" si="33"/>
        <v>-1.0683150902687637E+17</v>
      </c>
      <c r="M67" s="196" t="str">
        <f t="shared" si="26"/>
        <v/>
      </c>
      <c r="N67" s="196" t="str">
        <f t="shared" si="27"/>
        <v/>
      </c>
      <c r="O67" s="250">
        <f t="shared" si="28"/>
        <v>167462420251761.12</v>
      </c>
      <c r="P67" s="248">
        <f t="shared" si="34"/>
        <v>5.609189457840713E-6</v>
      </c>
      <c r="Q67" s="250" t="str">
        <f t="shared" si="35"/>
        <v/>
      </c>
      <c r="R67" s="251" t="str">
        <f t="shared" si="36"/>
        <v/>
      </c>
      <c r="S67" s="252">
        <f>IF(AND(E67&gt;0.95*BiasLight,E67&lt;1.05*BiasLight),"",IF(AugerModel="Sinton",calclifetimeauger(Auger_Coefficient,I67,P67),calclifetimerichter(SampleType,I67,SampleDoping,P67)))</f>
        <v>178278.83090675267</v>
      </c>
      <c r="T67" s="201" t="str">
        <f t="shared" si="37"/>
        <v/>
      </c>
      <c r="U67" s="252">
        <f t="shared" si="29"/>
        <v>108627.72720619022</v>
      </c>
      <c r="V67" s="251" t="str">
        <f>IF(AugerModel="Sinton","",IF(SampleType="n-type",n_intr_boltzmann(SampleDoping,0,K67,Temperature+273.15),n_intr_boltzmann(0,SampleDoping,K67,Temperature+273.15)))</f>
        <v/>
      </c>
      <c r="W67" s="251" t="str">
        <f t="shared" si="13"/>
        <v/>
      </c>
      <c r="X67" s="246">
        <f>IF(AND(A67&gt;TimeofMaxCD,I67&gt;Traps),IF(AugerModel="Sinton",CalcImpliedV(SampleDoping,O67),CalcImpliedVRichter(O67,SampleDoping,V67)),"")</f>
        <v>0.61239394564408889</v>
      </c>
      <c r="Y67" s="253">
        <f t="shared" si="30"/>
        <v>3.2364629122427169</v>
      </c>
      <c r="Z67" s="200" t="str">
        <f t="shared" si="31"/>
        <v/>
      </c>
      <c r="AE67" s="251">
        <f t="shared" si="32"/>
        <v>1456.4221651706446</v>
      </c>
    </row>
    <row r="68" spans="1:31" x14ac:dyDescent="0.2">
      <c r="A68" s="244">
        <v>5.9499000000000002E-3</v>
      </c>
      <c r="B68" s="244">
        <v>2.1544399999999998E-2</v>
      </c>
      <c r="C68" s="245">
        <v>3.2316499999999998E-2</v>
      </c>
      <c r="D68" s="246">
        <f>IF(CouplingMode="AC",B68-(A$11-A$10)*SUM(B$9:B68)/0.21,B68)</f>
        <v>2.1544399999999998E-2</v>
      </c>
      <c r="E68" s="247">
        <f t="shared" si="20"/>
        <v>3.0707480732567012</v>
      </c>
      <c r="F68" s="247">
        <f t="shared" si="21"/>
        <v>3.0707480732567012</v>
      </c>
      <c r="G68" s="248">
        <f t="shared" si="22"/>
        <v>5.0987452402389664E+17</v>
      </c>
      <c r="H68" s="249">
        <f t="shared" si="23"/>
        <v>6.6586157127626611E-4</v>
      </c>
      <c r="I68" s="248">
        <f>IF(MobilityModel=DK,CalcDeltaN(H68,SampleDoping,Thickness,AreaFrac),CalcDeltaNDL(H68,AreaFrac,Thickness,SampleType,SampleDoping,Temperature))</f>
        <v>158438758264840.47</v>
      </c>
      <c r="J68" s="248" t="str">
        <f t="shared" si="24"/>
        <v/>
      </c>
      <c r="K68" s="248">
        <f t="shared" si="25"/>
        <v>158438758264840.47</v>
      </c>
      <c r="L68" s="250">
        <f t="shared" si="33"/>
        <v>-1.0319466278306613E+17</v>
      </c>
      <c r="M68" s="196" t="str">
        <f t="shared" si="26"/>
        <v/>
      </c>
      <c r="N68" s="196" t="str">
        <f t="shared" si="27"/>
        <v/>
      </c>
      <c r="O68" s="250">
        <f t="shared" si="28"/>
        <v>158438758264840.47</v>
      </c>
      <c r="P68" s="248">
        <f t="shared" si="34"/>
        <v>5.5730294235629385E-6</v>
      </c>
      <c r="Q68" s="250" t="str">
        <f t="shared" si="35"/>
        <v/>
      </c>
      <c r="R68" s="251" t="str">
        <f t="shared" si="36"/>
        <v/>
      </c>
      <c r="S68" s="252">
        <f>IF(AND(E68&gt;0.95*BiasLight,E68&lt;1.05*BiasLight),"",IF(AugerModel="Sinton",calclifetimeauger(Auger_Coefficient,I68,P68),calclifetimerichter(SampleType,I68,SampleDoping,P68)))</f>
        <v>179435.580142436</v>
      </c>
      <c r="T68" s="201" t="str">
        <f t="shared" si="37"/>
        <v/>
      </c>
      <c r="U68" s="252">
        <f t="shared" si="29"/>
        <v>108624.30812396389</v>
      </c>
      <c r="V68" s="251" t="str">
        <f>IF(AugerModel="Sinton","",IF(SampleType="n-type",n_intr_boltzmann(SampleDoping,0,K68,Temperature+273.15),n_intr_boltzmann(0,SampleDoping,K68,Temperature+273.15)))</f>
        <v/>
      </c>
      <c r="W68" s="251" t="str">
        <f t="shared" si="13"/>
        <v/>
      </c>
      <c r="X68" s="246">
        <f>IF(AND(A68&gt;TimeofMaxCD,I68&gt;Traps),IF(AugerModel="Sinton",CalcImpliedV(SampleDoping,O68),CalcImpliedVRichter(O68,SampleDoping,V68)),"")</f>
        <v>0.6109476532969097</v>
      </c>
      <c r="Y68" s="253">
        <f t="shared" si="30"/>
        <v>3.0819349954221611</v>
      </c>
      <c r="Z68" s="200" t="str">
        <f t="shared" si="31"/>
        <v/>
      </c>
      <c r="AE68" s="251">
        <f t="shared" si="32"/>
        <v>1457.4293271654585</v>
      </c>
    </row>
    <row r="69" spans="1:31" x14ac:dyDescent="0.2">
      <c r="A69" s="244">
        <v>6.0499000000000004E-3</v>
      </c>
      <c r="B69" s="244">
        <v>2.0114699999999999E-2</v>
      </c>
      <c r="C69" s="245">
        <v>3.0805800000000001E-2</v>
      </c>
      <c r="D69" s="246">
        <f>IF(CouplingMode="AC",B69-(A$11-A$10)*SUM(B$9:B69)/0.21,B69)</f>
        <v>2.0114699999999999E-2</v>
      </c>
      <c r="E69" s="247">
        <f t="shared" si="20"/>
        <v>2.9271997584865717</v>
      </c>
      <c r="F69" s="247">
        <f t="shared" si="21"/>
        <v>2.9271997584865717</v>
      </c>
      <c r="G69" s="248">
        <f t="shared" si="22"/>
        <v>4.8603941058516102E+17</v>
      </c>
      <c r="H69" s="249">
        <f t="shared" si="23"/>
        <v>6.2166182092471267E-4</v>
      </c>
      <c r="I69" s="248">
        <f>IF(MobilityModel=DK,CalcDeltaN(H69,SampleDoping,Thickness,AreaFrac),CalcDeltaNDL(H69,AreaFrac,Thickness,SampleType,SampleDoping,Temperature))</f>
        <v>147796785023002.94</v>
      </c>
      <c r="J69" s="248" t="str">
        <f t="shared" si="24"/>
        <v/>
      </c>
      <c r="K69" s="248">
        <f t="shared" si="25"/>
        <v>147796785023002.94</v>
      </c>
      <c r="L69" s="250">
        <f t="shared" si="33"/>
        <v>-9.3750894971718416E+16</v>
      </c>
      <c r="M69" s="196" t="str">
        <f t="shared" si="26"/>
        <v/>
      </c>
      <c r="N69" s="196" t="str">
        <f t="shared" si="27"/>
        <v/>
      </c>
      <c r="O69" s="250">
        <f t="shared" si="28"/>
        <v>147796785023002.94</v>
      </c>
      <c r="P69" s="248">
        <f t="shared" si="34"/>
        <v>5.4545730096210082E-6</v>
      </c>
      <c r="Q69" s="250" t="str">
        <f t="shared" si="35"/>
        <v/>
      </c>
      <c r="R69" s="251" t="str">
        <f t="shared" si="36"/>
        <v/>
      </c>
      <c r="S69" s="252">
        <f>IF(AND(E69&gt;0.95*BiasLight,E69&lt;1.05*BiasLight),"",IF(AugerModel="Sinton",calclifetimeauger(Auger_Coefficient,I69,P69),calclifetimerichter(SampleType,I69,SampleDoping,P69)))</f>
        <v>183332.37092044909</v>
      </c>
      <c r="T69" s="201" t="str">
        <f t="shared" si="37"/>
        <v/>
      </c>
      <c r="U69" s="252">
        <f t="shared" si="29"/>
        <v>108620.27586060816</v>
      </c>
      <c r="V69" s="251" t="str">
        <f>IF(AugerModel="Sinton","",IF(SampleType="n-type",n_intr_boltzmann(SampleDoping,0,K69,Temperature+273.15),n_intr_boltzmann(0,SampleDoping,K69,Temperature+273.15)))</f>
        <v/>
      </c>
      <c r="W69" s="251" t="str">
        <f t="shared" si="13"/>
        <v/>
      </c>
      <c r="X69" s="246">
        <f>IF(AND(A69&gt;TimeofMaxCD,I69&gt;Traps),IF(AugerModel="Sinton",CalcImpliedV(SampleDoping,O69),CalcImpliedVRichter(O69,SampleDoping,V69)),"")</f>
        <v>0.60913392271353917</v>
      </c>
      <c r="Y69" s="253">
        <f t="shared" si="30"/>
        <v>2.9373629194166635</v>
      </c>
      <c r="Z69" s="200" t="str">
        <f t="shared" si="31"/>
        <v/>
      </c>
      <c r="AE69" s="251">
        <f t="shared" si="32"/>
        <v>1458.6603981408084</v>
      </c>
    </row>
    <row r="70" spans="1:31" x14ac:dyDescent="0.2">
      <c r="A70" s="244">
        <v>6.1498999999999998E-3</v>
      </c>
      <c r="B70" s="244">
        <v>1.8763100000000001E-2</v>
      </c>
      <c r="C70" s="245">
        <v>2.93712E-2</v>
      </c>
      <c r="D70" s="246">
        <f>IF(CouplingMode="AC",B70-(A$11-A$10)*SUM(B$9:B70)/0.21,B70)</f>
        <v>1.8763100000000001E-2</v>
      </c>
      <c r="E70" s="247">
        <f t="shared" si="20"/>
        <v>2.7908825463536342</v>
      </c>
      <c r="F70" s="247">
        <f t="shared" si="21"/>
        <v>2.7908825463536342</v>
      </c>
      <c r="G70" s="248">
        <f t="shared" si="22"/>
        <v>4.6340496712238867E+17</v>
      </c>
      <c r="H70" s="249">
        <f t="shared" si="23"/>
        <v>5.7987823087797541E-4</v>
      </c>
      <c r="I70" s="248">
        <f>IF(MobilityModel=DK,CalcDeltaN(H70,SampleDoping,Thickness,AreaFrac),CalcDeltaNDL(H70,AreaFrac,Thickness,SampleType,SampleDoping,Temperature))</f>
        <v>137748694260660.3</v>
      </c>
      <c r="J70" s="248" t="str">
        <f t="shared" si="24"/>
        <v/>
      </c>
      <c r="K70" s="248">
        <f t="shared" si="25"/>
        <v>137748694260660.3</v>
      </c>
      <c r="L70" s="250">
        <f t="shared" si="33"/>
        <v>-8.732702883709176E+16</v>
      </c>
      <c r="M70" s="196" t="str">
        <f t="shared" si="26"/>
        <v/>
      </c>
      <c r="N70" s="196" t="str">
        <f t="shared" si="27"/>
        <v/>
      </c>
      <c r="O70" s="250">
        <f t="shared" si="28"/>
        <v>137748694260660.3</v>
      </c>
      <c r="P70" s="248">
        <f t="shared" si="34"/>
        <v>5.3324729548877923E-6</v>
      </c>
      <c r="Q70" s="250" t="str">
        <f t="shared" si="35"/>
        <v/>
      </c>
      <c r="R70" s="251" t="str">
        <f t="shared" si="36"/>
        <v/>
      </c>
      <c r="S70" s="252">
        <f>IF(AND(E70&gt;0.95*BiasLight,E70&lt;1.05*BiasLight),"",IF(AugerModel="Sinton",calclifetimeauger(Auger_Coefficient,I70,P70),calclifetimerichter(SampleType,I70,SampleDoping,P70)))</f>
        <v>187530.22106209144</v>
      </c>
      <c r="T70" s="201" t="str">
        <f t="shared" si="37"/>
        <v/>
      </c>
      <c r="U70" s="252">
        <f t="shared" si="29"/>
        <v>108616.46862042297</v>
      </c>
      <c r="V70" s="251" t="str">
        <f>IF(AugerModel="Sinton","",IF(SampleType="n-type",n_intr_boltzmann(SampleDoping,0,K70,Temperature+273.15),n_intr_boltzmann(0,SampleDoping,K70,Temperature+273.15)))</f>
        <v/>
      </c>
      <c r="W70" s="251" t="str">
        <f t="shared" si="13"/>
        <v/>
      </c>
      <c r="X70" s="246">
        <f>IF(AND(A70&gt;TimeofMaxCD,I70&gt;Traps),IF(AugerModel="Sinton",CalcImpliedV(SampleDoping,O70),CalcImpliedVRichter(O70,SampleDoping,V70)),"")</f>
        <v>0.60729915956426939</v>
      </c>
      <c r="Y70" s="253">
        <f t="shared" si="30"/>
        <v>2.8003493215549362</v>
      </c>
      <c r="Z70" s="200" t="str">
        <f t="shared" si="31"/>
        <v/>
      </c>
      <c r="AE70" s="251">
        <f t="shared" si="32"/>
        <v>1459.8703818897357</v>
      </c>
    </row>
    <row r="71" spans="1:31" x14ac:dyDescent="0.2">
      <c r="A71" s="244">
        <v>6.2499000000000001E-3</v>
      </c>
      <c r="B71" s="244">
        <v>1.7845199999999999E-2</v>
      </c>
      <c r="C71" s="245">
        <v>2.792E-2</v>
      </c>
      <c r="D71" s="246">
        <f>IF(CouplingMode="AC",B71-(A$11-A$10)*SUM(B$9:B71)/0.21,B71)</f>
        <v>1.7845199999999999E-2</v>
      </c>
      <c r="E71" s="247">
        <f t="shared" si="20"/>
        <v>2.6529879846309812</v>
      </c>
      <c r="F71" s="247">
        <f t="shared" si="21"/>
        <v>2.6529879846309812</v>
      </c>
      <c r="G71" s="248">
        <f t="shared" si="22"/>
        <v>4.4050861667405798E+17</v>
      </c>
      <c r="H71" s="249">
        <f t="shared" si="23"/>
        <v>5.5150303967404363E-4</v>
      </c>
      <c r="I71" s="248">
        <f>IF(MobilityModel=DK,CalcDeltaN(H71,SampleDoping,Thickness,AreaFrac),CalcDeltaNDL(H71,AreaFrac,Thickness,SampleType,SampleDoping,Temperature))</f>
        <v>130932004767992</v>
      </c>
      <c r="J71" s="248" t="str">
        <f t="shared" si="24"/>
        <v/>
      </c>
      <c r="K71" s="248">
        <f t="shared" si="25"/>
        <v>130932004767992</v>
      </c>
      <c r="L71" s="250">
        <f t="shared" si="33"/>
        <v>-7.6864480085721216E+16</v>
      </c>
      <c r="M71" s="196" t="str">
        <f t="shared" si="26"/>
        <v/>
      </c>
      <c r="N71" s="196" t="str">
        <f t="shared" si="27"/>
        <v/>
      </c>
      <c r="O71" s="250">
        <f t="shared" si="28"/>
        <v>130932004767992</v>
      </c>
      <c r="P71" s="248">
        <f t="shared" si="34"/>
        <v>5.3333736300578099E-6</v>
      </c>
      <c r="Q71" s="250" t="str">
        <f t="shared" si="35"/>
        <v/>
      </c>
      <c r="R71" s="251" t="str">
        <f t="shared" si="36"/>
        <v/>
      </c>
      <c r="S71" s="252">
        <f>IF(AND(E71&gt;0.95*BiasLight,E71&lt;1.05*BiasLight),"",IF(AugerModel="Sinton",calclifetimeauger(Auger_Coefficient,I71,P71),calclifetimerichter(SampleType,I71,SampleDoping,P71)))</f>
        <v>187498.5548712888</v>
      </c>
      <c r="T71" s="201" t="str">
        <f t="shared" si="37"/>
        <v/>
      </c>
      <c r="U71" s="252">
        <f t="shared" si="29"/>
        <v>108613.885764159</v>
      </c>
      <c r="V71" s="251" t="str">
        <f>IF(AugerModel="Sinton","",IF(SampleType="n-type",n_intr_boltzmann(SampleDoping,0,K71,Temperature+273.15),n_intr_boltzmann(0,SampleDoping,K71,Temperature+273.15)))</f>
        <v/>
      </c>
      <c r="W71" s="251" t="str">
        <f t="shared" si="13"/>
        <v/>
      </c>
      <c r="X71" s="246">
        <f>IF(AND(A71&gt;TimeofMaxCD,I71&gt;Traps),IF(AugerModel="Sinton",CalcImpliedV(SampleDoping,O71),CalcImpliedVRichter(O71,SampleDoping,V71)),"")</f>
        <v>0.60597766588983881</v>
      </c>
      <c r="Y71" s="253">
        <f t="shared" si="30"/>
        <v>2.66132055661501</v>
      </c>
      <c r="Z71" s="200" t="str">
        <f t="shared" si="31"/>
        <v/>
      </c>
      <c r="AE71" s="251">
        <f t="shared" si="32"/>
        <v>1460.7203375071408</v>
      </c>
    </row>
    <row r="72" spans="1:31" x14ac:dyDescent="0.2">
      <c r="A72" s="244">
        <v>6.3499000000000003E-3</v>
      </c>
      <c r="B72" s="244">
        <v>1.6804099999999999E-2</v>
      </c>
      <c r="C72" s="245">
        <v>2.6604599999999999E-2</v>
      </c>
      <c r="D72" s="246">
        <f>IF(CouplingMode="AC",B72-(A$11-A$10)*SUM(B$9:B72)/0.21,B72)</f>
        <v>1.6804099999999999E-2</v>
      </c>
      <c r="E72" s="247">
        <f t="shared" si="20"/>
        <v>2.5279972828049209</v>
      </c>
      <c r="F72" s="247">
        <f t="shared" si="21"/>
        <v>2.5279972828049209</v>
      </c>
      <c r="G72" s="248">
        <f t="shared" si="22"/>
        <v>4.1975485469794566E+17</v>
      </c>
      <c r="H72" s="249">
        <f t="shared" si="23"/>
        <v>5.1932025156868622E-4</v>
      </c>
      <c r="I72" s="248">
        <f>IF(MobilityModel=DK,CalcDeltaN(H72,SampleDoping,Thickness,AreaFrac),CalcDeltaNDL(H72,AreaFrac,Thickness,SampleType,SampleDoping,Temperature))</f>
        <v>123207633973800.05</v>
      </c>
      <c r="J72" s="248" t="str">
        <f t="shared" si="24"/>
        <v/>
      </c>
      <c r="K72" s="248">
        <f t="shared" si="25"/>
        <v>123207633973800.05</v>
      </c>
      <c r="L72" s="250">
        <f t="shared" si="33"/>
        <v>-7.697047852020672E+16</v>
      </c>
      <c r="M72" s="196" t="str">
        <f t="shared" si="26"/>
        <v/>
      </c>
      <c r="N72" s="196" t="str">
        <f t="shared" si="27"/>
        <v/>
      </c>
      <c r="O72" s="250">
        <f t="shared" si="28"/>
        <v>123207633973800.05</v>
      </c>
      <c r="P72" s="248">
        <f t="shared" si="34"/>
        <v>5.2660296076399135E-6</v>
      </c>
      <c r="Q72" s="250" t="str">
        <f t="shared" si="35"/>
        <v/>
      </c>
      <c r="R72" s="251" t="str">
        <f t="shared" si="36"/>
        <v/>
      </c>
      <c r="S72" s="252">
        <f>IF(AND(E72&gt;0.95*BiasLight,E72&lt;1.05*BiasLight),"",IF(AugerModel="Sinton",calclifetimeauger(Auger_Coefficient,I72,P72),calclifetimerichter(SampleType,I72,SampleDoping,P72)))</f>
        <v>189896.36249870737</v>
      </c>
      <c r="T72" s="201" t="str">
        <f t="shared" si="37"/>
        <v/>
      </c>
      <c r="U72" s="252">
        <f t="shared" si="29"/>
        <v>108610.95898577011</v>
      </c>
      <c r="V72" s="251" t="str">
        <f>IF(AugerModel="Sinton","",IF(SampleType="n-type",n_intr_boltzmann(SampleDoping,0,K72,Temperature+273.15),n_intr_boltzmann(0,SampleDoping,K72,Temperature+273.15)))</f>
        <v/>
      </c>
      <c r="W72" s="251" t="str">
        <f t="shared" si="13"/>
        <v/>
      </c>
      <c r="X72" s="246">
        <f>IF(AND(A72&gt;TimeofMaxCD,I72&gt;Traps),IF(AugerModel="Sinton",CalcImpliedV(SampleDoping,O72),CalcImpliedVRichter(O72,SampleDoping,V72)),"")</f>
        <v>0.60439551191940322</v>
      </c>
      <c r="Y72" s="253">
        <f t="shared" si="30"/>
        <v>2.5363413456568336</v>
      </c>
      <c r="Z72" s="200" t="str">
        <f t="shared" si="31"/>
        <v/>
      </c>
      <c r="AE72" s="251">
        <f t="shared" si="32"/>
        <v>1461.7147328367473</v>
      </c>
    </row>
    <row r="73" spans="1:31" x14ac:dyDescent="0.2">
      <c r="A73" s="244">
        <v>6.4498999999999997E-3</v>
      </c>
      <c r="B73" s="244">
        <v>1.5917400000000002E-2</v>
      </c>
      <c r="C73" s="245">
        <v>2.53858E-2</v>
      </c>
      <c r="D73" s="246">
        <f>IF(CouplingMode="AC",B73-(A$11-A$10)*SUM(B$9:B73)/0.21,B73)</f>
        <v>1.5917400000000002E-2</v>
      </c>
      <c r="E73" s="247">
        <f t="shared" ref="E73:E104" si="38">IF(C73&gt;0,C73/RefCellCal,0.00001)</f>
        <v>2.4121856153382937</v>
      </c>
      <c r="F73" s="247">
        <f t="shared" ref="F73:F104" si="39">E73-BiasLight</f>
        <v>2.4121856153382937</v>
      </c>
      <c r="G73" s="248">
        <f t="shared" ref="G73:G104" si="40">F73*0.038*OptConst/1.602E-19</f>
        <v>4.0052520204743206E+17</v>
      </c>
      <c r="H73" s="249">
        <f t="shared" ref="H73:H104" si="41">CalcConductance(B73,Dark_Voltage,A_cal,B_cal,C_cal)</f>
        <v>4.9191107968104414E-4</v>
      </c>
      <c r="I73" s="248">
        <f>IF(MobilityModel=DK,CalcDeltaN(H73,SampleDoping,Thickness,AreaFrac),CalcDeltaNDL(H73,AreaFrac,Thickness,SampleType,SampleDoping,Temperature))</f>
        <v>116635075123572.48</v>
      </c>
      <c r="J73" s="248" t="str">
        <f t="shared" ref="J73:J104" si="42">IF(AND(AND(I73&gt;=FitRangeMin,I73&lt;=FitRangeMax),A73&gt;TimeofMaxCD),I73,"")</f>
        <v/>
      </c>
      <c r="K73" s="248">
        <f t="shared" ref="K73:K104" si="43">IF(I73-BiasPtCD=0,0.00001,I73-BiasPtCD)</f>
        <v>116635075123572.48</v>
      </c>
      <c r="L73" s="250">
        <f t="shared" si="33"/>
        <v>-7.7334138292388432E+16</v>
      </c>
      <c r="M73" s="196" t="str">
        <f t="shared" ref="M73:M104" si="44">IF(E73&gt;0.85*BiasLight,IF( E73&lt;1.15*BiasLight,E73,""),"")</f>
        <v/>
      </c>
      <c r="N73" s="196" t="str">
        <f t="shared" ref="N73:N104" si="45">IF(E73&gt;0.85*BiasLight,IF(E73&lt;1.15*BiasLight,I73,""),"")</f>
        <v/>
      </c>
      <c r="O73" s="250">
        <f t="shared" ref="O73:O104" si="46">I73-Traps</f>
        <v>116635075123572.48</v>
      </c>
      <c r="P73" s="248">
        <f t="shared" si="34"/>
        <v>5.2235417291028799E-6</v>
      </c>
      <c r="Q73" s="250" t="str">
        <f t="shared" si="35"/>
        <v/>
      </c>
      <c r="R73" s="251" t="str">
        <f t="shared" si="36"/>
        <v/>
      </c>
      <c r="S73" s="252">
        <f>IF(AND(E73&gt;0.95*BiasLight,E73&lt;1.05*BiasLight),"",IF(AugerModel="Sinton",calclifetimeauger(Auger_Coefficient,I73,P73),calclifetimerichter(SampleType,I73,SampleDoping,P73)))</f>
        <v>191440.96743200158</v>
      </c>
      <c r="T73" s="201" t="str">
        <f t="shared" si="37"/>
        <v/>
      </c>
      <c r="U73" s="252">
        <f t="shared" ref="U73:U104" si="47">FitInterceptAuger+FitSlopeAuger*(I73+Traps)</f>
        <v>108608.46863105835</v>
      </c>
      <c r="V73" s="251" t="str">
        <f>IF(AugerModel="Sinton","",IF(SampleType="n-type",n_intr_boltzmann(SampleDoping,0,K73,Temperature+273.15),n_intr_boltzmann(0,SampleDoping,K73,Temperature+273.15)))</f>
        <v/>
      </c>
      <c r="W73" s="251" t="str">
        <f t="shared" si="13"/>
        <v/>
      </c>
      <c r="X73" s="246">
        <f>IF(AND(A73&gt;TimeofMaxCD,I73&gt;Traps),IF(AugerModel="Sinton",CalcImpliedV(SampleDoping,O73),CalcImpliedVRichter(O73,SampleDoping,V73)),"")</f>
        <v>0.6029701151704977</v>
      </c>
      <c r="Y73" s="253">
        <f t="shared" ref="Y73:Y104" si="48">IF(OR(P73="",P73&lt;0,A73&lt;=TimeofMaxCD),"",(O73*Thickness*1.602E-19/(0.038*OptConst*P73)))</f>
        <v>2.4205691010969379</v>
      </c>
      <c r="Z73" s="200" t="str">
        <f t="shared" ref="Z73:Z104" si="49">IF(C73&gt;0.6,O73,"")</f>
        <v/>
      </c>
      <c r="AE73" s="251">
        <f t="shared" ref="AE73:AE104" si="50">H73/(K73*AreaFrac*Thickness*1.602E-19)</f>
        <v>1462.5893755778839</v>
      </c>
    </row>
    <row r="74" spans="1:31" x14ac:dyDescent="0.2">
      <c r="A74" s="244">
        <v>6.5499E-3</v>
      </c>
      <c r="B74" s="244">
        <v>1.45366E-2</v>
      </c>
      <c r="C74" s="245">
        <v>2.4188600000000001E-2</v>
      </c>
      <c r="D74" s="246">
        <f>IF(CouplingMode="AC",B74-(A$11-A$10)*SUM(B$9:B74)/0.21,B74)</f>
        <v>1.45366E-2</v>
      </c>
      <c r="E74" s="247">
        <f t="shared" si="38"/>
        <v>2.2984264027594898</v>
      </c>
      <c r="F74" s="247">
        <f t="shared" si="39"/>
        <v>2.2984264027594898</v>
      </c>
      <c r="G74" s="248">
        <f t="shared" si="40"/>
        <v>3.8163634402872928E+17</v>
      </c>
      <c r="H74" s="249">
        <f t="shared" si="41"/>
        <v>4.4922995512673702E-4</v>
      </c>
      <c r="I74" s="248">
        <f>IF(MobilityModel=DK,CalcDeltaN(H74,SampleDoping,Thickness,AreaFrac),CalcDeltaNDL(H74,AreaFrac,Thickness,SampleType,SampleDoping,Temperature))</f>
        <v>106411919822766.7</v>
      </c>
      <c r="J74" s="248" t="str">
        <f t="shared" si="42"/>
        <v/>
      </c>
      <c r="K74" s="248">
        <f t="shared" si="43"/>
        <v>106411919822766.7</v>
      </c>
      <c r="L74" s="250">
        <f t="shared" si="33"/>
        <v>-6.8192054645077648E+16</v>
      </c>
      <c r="M74" s="196" t="str">
        <f t="shared" si="44"/>
        <v/>
      </c>
      <c r="N74" s="196" t="str">
        <f t="shared" si="45"/>
        <v/>
      </c>
      <c r="O74" s="250">
        <f t="shared" si="46"/>
        <v>106411919822766.7</v>
      </c>
      <c r="P74" s="248">
        <f t="shared" si="34"/>
        <v>5.0028614659970478E-6</v>
      </c>
      <c r="Q74" s="250" t="str">
        <f t="shared" si="35"/>
        <v/>
      </c>
      <c r="R74" s="251" t="str">
        <f t="shared" si="36"/>
        <v/>
      </c>
      <c r="S74" s="252">
        <f>IF(AND(E74&gt;0.95*BiasLight,E74&lt;1.05*BiasLight),"",IF(AugerModel="Sinton",calclifetimeauger(Auger_Coefficient,I74,P74),calclifetimerichter(SampleType,I74,SampleDoping,P74)))</f>
        <v>199885.58802954882</v>
      </c>
      <c r="T74" s="201" t="str">
        <f t="shared" si="37"/>
        <v/>
      </c>
      <c r="U74" s="252">
        <f t="shared" si="47"/>
        <v>108604.59505859556</v>
      </c>
      <c r="V74" s="251" t="str">
        <f>IF(AugerModel="Sinton","",IF(SampleType="n-type",n_intr_boltzmann(SampleDoping,0,K74,Temperature+273.15),n_intr_boltzmann(0,SampleDoping,K74,Temperature+273.15)))</f>
        <v/>
      </c>
      <c r="W74" s="251" t="str">
        <f t="shared" ref="W74:W134" si="51">IF(V74="","",IF(T74="","",(V74^2)*T74))</f>
        <v/>
      </c>
      <c r="X74" s="246">
        <f>IF(AND(A74&gt;TimeofMaxCD,I74&gt;Traps),IF(AugerModel="Sinton",CalcImpliedV(SampleDoping,O74),CalcImpliedVRichter(O74,SampleDoping,V74)),"")</f>
        <v>0.60058697219233526</v>
      </c>
      <c r="Y74" s="253">
        <f t="shared" si="48"/>
        <v>2.3058188316607886</v>
      </c>
      <c r="Z74" s="200" t="str">
        <f t="shared" si="49"/>
        <v/>
      </c>
      <c r="AE74" s="251">
        <f t="shared" si="50"/>
        <v>1464.0078734300309</v>
      </c>
    </row>
    <row r="75" spans="1:31" x14ac:dyDescent="0.2">
      <c r="A75" s="244">
        <v>6.6499000000000003E-3</v>
      </c>
      <c r="B75" s="244">
        <v>1.3759199999999999E-2</v>
      </c>
      <c r="C75" s="245">
        <v>2.3082100000000001E-2</v>
      </c>
      <c r="D75" s="246">
        <f>IF(CouplingMode="AC",B75-(A$11-A$10)*SUM(B$9:B75)/0.21,B75)</f>
        <v>1.3759199999999999E-2</v>
      </c>
      <c r="E75" s="247">
        <f t="shared" si="38"/>
        <v>2.1932856002883514</v>
      </c>
      <c r="F75" s="247">
        <f t="shared" si="39"/>
        <v>2.1932856002883514</v>
      </c>
      <c r="G75" s="248">
        <f t="shared" si="40"/>
        <v>3.641785079130471E+17</v>
      </c>
      <c r="H75" s="249">
        <f t="shared" si="41"/>
        <v>4.252009294470685E-4</v>
      </c>
      <c r="I75" s="248">
        <f>IF(MobilityModel=DK,CalcDeltaN(H75,SampleDoping,Thickness,AreaFrac),CalcDeltaNDL(H75,AreaFrac,Thickness,SampleType,SampleDoping,Temperature))</f>
        <v>100662792697314.45</v>
      </c>
      <c r="J75" s="248" t="str">
        <f t="shared" si="42"/>
        <v/>
      </c>
      <c r="K75" s="248">
        <f t="shared" si="43"/>
        <v>100662792697314.45</v>
      </c>
      <c r="L75" s="250">
        <f t="shared" ref="L75:L106" si="52">IF(ABS(SLOPE(K73:K77,A73:A77))&lt;1000000000000,-1000000000000,(SLOPE(K73:K77,A73:A77)))</f>
        <v>-6.10239758535746E+16</v>
      </c>
      <c r="M75" s="196" t="str">
        <f t="shared" si="44"/>
        <v/>
      </c>
      <c r="N75" s="196" t="str">
        <f t="shared" si="45"/>
        <v/>
      </c>
      <c r="O75" s="250">
        <f t="shared" si="46"/>
        <v>100662792697314.45</v>
      </c>
      <c r="P75" s="248">
        <f t="shared" ref="P75:P106" si="53">calclifetime(AnalysisMode,K75,Thickness,G75,L75)</f>
        <v>4.9604288492423386E-6</v>
      </c>
      <c r="Q75" s="250" t="str">
        <f t="shared" si="35"/>
        <v/>
      </c>
      <c r="R75" s="251" t="str">
        <f t="shared" si="36"/>
        <v/>
      </c>
      <c r="S75" s="252">
        <f>IF(AND(E75&gt;0.95*BiasLight,E75&lt;1.05*BiasLight),"",IF(AugerModel="Sinton",calclifetimeauger(Auger_Coefficient,I75,P75),calclifetimerichter(SampleType,I75,SampleDoping,P75)))</f>
        <v>201595.45614981992</v>
      </c>
      <c r="T75" s="201" t="str">
        <f t="shared" si="37"/>
        <v/>
      </c>
      <c r="U75" s="252">
        <f t="shared" si="47"/>
        <v>108602.4167036882</v>
      </c>
      <c r="V75" s="251" t="str">
        <f>IF(AugerModel="Sinton","",IF(SampleType="n-type",n_intr_boltzmann(SampleDoping,0,K75,Temperature+273.15),n_intr_boltzmann(0,SampleDoping,K75,Temperature+273.15)))</f>
        <v/>
      </c>
      <c r="W75" s="251" t="str">
        <f t="shared" si="51"/>
        <v/>
      </c>
      <c r="X75" s="246">
        <f>IF(AND(A75&gt;TimeofMaxCD,I75&gt;Traps),IF(AugerModel="Sinton",CalcImpliedV(SampleDoping,O75),CalcImpliedVRichter(O75,SampleDoping,V75)),"")</f>
        <v>0.59914517962437108</v>
      </c>
      <c r="Y75" s="253">
        <f t="shared" si="48"/>
        <v>2.1999009663323879</v>
      </c>
      <c r="Z75" s="200" t="str">
        <f t="shared" si="49"/>
        <v/>
      </c>
      <c r="AE75" s="251">
        <f t="shared" si="50"/>
        <v>1464.8400769160532</v>
      </c>
    </row>
    <row r="76" spans="1:31" x14ac:dyDescent="0.2">
      <c r="A76" s="244">
        <v>6.7498999999999997E-3</v>
      </c>
      <c r="B76" s="244">
        <v>1.32768E-2</v>
      </c>
      <c r="C76" s="245">
        <v>2.2008900000000001E-2</v>
      </c>
      <c r="D76" s="246">
        <f>IF(CouplingMode="AC",B76-(A$11-A$10)*SUM(B$9:B76)/0.21,B76)</f>
        <v>1.32768E-2</v>
      </c>
      <c r="E76" s="247">
        <f t="shared" si="38"/>
        <v>2.0913089991026075</v>
      </c>
      <c r="F76" s="247">
        <f t="shared" si="39"/>
        <v>2.0913089991026075</v>
      </c>
      <c r="G76" s="248">
        <f t="shared" si="40"/>
        <v>3.4724606352140672E+17</v>
      </c>
      <c r="H76" s="249">
        <f t="shared" si="41"/>
        <v>4.1029046838075844E-4</v>
      </c>
      <c r="I76" s="248">
        <f>IF(MobilityModel=DK,CalcDeltaN(H76,SampleDoping,Thickness,AreaFrac),CalcDeltaNDL(H76,AreaFrac,Thickness,SampleType,SampleDoping,Temperature))</f>
        <v>97097747864390.266</v>
      </c>
      <c r="J76" s="248" t="str">
        <f t="shared" si="42"/>
        <v/>
      </c>
      <c r="K76" s="248">
        <f t="shared" si="43"/>
        <v>97097747864390.266</v>
      </c>
      <c r="L76" s="250">
        <f t="shared" si="52"/>
        <v>-5.1233414000180272E+16</v>
      </c>
      <c r="M76" s="196" t="str">
        <f t="shared" si="44"/>
        <v/>
      </c>
      <c r="N76" s="196" t="str">
        <f t="shared" si="45"/>
        <v/>
      </c>
      <c r="O76" s="250">
        <f t="shared" si="46"/>
        <v>97097747864390.266</v>
      </c>
      <c r="P76" s="248">
        <f t="shared" si="53"/>
        <v>5.0198700955484933E-6</v>
      </c>
      <c r="Q76" s="250" t="str">
        <f t="shared" ref="Q76:Q107" si="54">IF($J76="","",P76)</f>
        <v/>
      </c>
      <c r="R76" s="251" t="str">
        <f t="shared" ref="R76" si="55">IF(Q76="","",1/Q76)</f>
        <v/>
      </c>
      <c r="S76" s="252">
        <f>IF(AND(E76&gt;0.95*BiasLight,E76&lt;1.05*BiasLight),"",IF(AugerModel="Sinton",calclifetimeauger(Auger_Coefficient,I76,P76),calclifetimerichter(SampleType,I76,SampleDoping,P76)))</f>
        <v>199208.32659068779</v>
      </c>
      <c r="T76" s="201" t="str">
        <f t="shared" ref="T76:T107" si="56">IF($J76="","",S76)</f>
        <v/>
      </c>
      <c r="U76" s="252">
        <f t="shared" si="47"/>
        <v>108601.0659016034</v>
      </c>
      <c r="V76" s="251" t="str">
        <f>IF(AugerModel="Sinton","",IF(SampleType="n-type",n_intr_boltzmann(SampleDoping,0,K76,Temperature+273.15),n_intr_boltzmann(0,SampleDoping,K76,Temperature+273.15)))</f>
        <v/>
      </c>
      <c r="W76" s="251" t="str">
        <f t="shared" si="51"/>
        <v/>
      </c>
      <c r="X76" s="246">
        <f>IF(AND(A76&gt;TimeofMaxCD,I76&gt;Traps),IF(AugerModel="Sinton",CalcImpliedV(SampleDoping,O76),CalcImpliedVRichter(O76,SampleDoping,V76)),"")</f>
        <v>0.5982095822696718</v>
      </c>
      <c r="Y76" s="253">
        <f t="shared" si="48"/>
        <v>2.0968630093511385</v>
      </c>
      <c r="Z76" s="200" t="str">
        <f t="shared" si="49"/>
        <v/>
      </c>
      <c r="AE76" s="251">
        <f t="shared" si="50"/>
        <v>1465.3698584767765</v>
      </c>
    </row>
    <row r="77" spans="1:31" x14ac:dyDescent="0.2">
      <c r="A77" s="244">
        <v>6.8498999999999999E-3</v>
      </c>
      <c r="B77" s="244">
        <v>1.24213E-2</v>
      </c>
      <c r="C77" s="245">
        <v>2.09669E-2</v>
      </c>
      <c r="D77" s="246">
        <f>IF(CouplingMode="AC",B77-(A$11-A$10)*SUM(B$9:B77)/0.21,B77)</f>
        <v>1.24213E-2</v>
      </c>
      <c r="E77" s="247">
        <f t="shared" si="38"/>
        <v>1.9922970549770529</v>
      </c>
      <c r="F77" s="247">
        <f t="shared" si="39"/>
        <v>1.9922970549770529</v>
      </c>
      <c r="G77" s="248">
        <f t="shared" si="40"/>
        <v>3.3080587804238208E+17</v>
      </c>
      <c r="H77" s="249">
        <f t="shared" si="41"/>
        <v>3.838483984419036E-4</v>
      </c>
      <c r="I77" s="248">
        <f>IF(MobilityModel=DK,CalcDeltaN(H77,SampleDoping,Thickness,AreaFrac),CalcDeltaNDL(H77,AreaFrac,Thickness,SampleType,SampleDoping,Temperature))</f>
        <v>90780173175973.406</v>
      </c>
      <c r="J77" s="248" t="str">
        <f t="shared" si="42"/>
        <v/>
      </c>
      <c r="K77" s="248">
        <f t="shared" si="43"/>
        <v>90780173175973.406</v>
      </c>
      <c r="L77" s="250">
        <f t="shared" si="52"/>
        <v>-5.0371653842404712E+16</v>
      </c>
      <c r="M77" s="196" t="str">
        <f t="shared" si="44"/>
        <v/>
      </c>
      <c r="N77" s="196" t="str">
        <f t="shared" si="45"/>
        <v/>
      </c>
      <c r="O77" s="250">
        <f t="shared" si="46"/>
        <v>90780173175973.406</v>
      </c>
      <c r="P77" s="248">
        <f t="shared" si="53"/>
        <v>4.9260814202730606E-6</v>
      </c>
      <c r="Q77" s="250" t="str">
        <f t="shared" si="54"/>
        <v/>
      </c>
      <c r="R77" s="251" t="str">
        <f t="shared" ref="R77:R108" si="57">IF(Q77="","",1/Q77)</f>
        <v/>
      </c>
      <c r="S77" s="252">
        <f>IF(AND(E77&gt;0.95*BiasLight,E77&lt;1.05*BiasLight),"",IF(AugerModel="Sinton",calclifetimeauger(Auger_Coefficient,I77,P77),calclifetimerichter(SampleType,I77,SampleDoping,P77)))</f>
        <v>203001.09707791902</v>
      </c>
      <c r="T77" s="201" t="str">
        <f t="shared" si="56"/>
        <v/>
      </c>
      <c r="U77" s="252">
        <f t="shared" si="47"/>
        <v>108598.67216086245</v>
      </c>
      <c r="V77" s="251" t="str">
        <f>IF(AugerModel="Sinton","",IF(SampleType="n-type",n_intr_boltzmann(SampleDoping,0,K77,Temperature+273.15),n_intr_boltzmann(0,SampleDoping,K77,Temperature+273.15)))</f>
        <v/>
      </c>
      <c r="W77" s="251" t="str">
        <f t="shared" si="51"/>
        <v/>
      </c>
      <c r="X77" s="246">
        <f>IF(AND(A77&gt;TimeofMaxCD,I77&gt;Traps),IF(AugerModel="Sinton",CalcImpliedV(SampleDoping,O77),CalcImpliedVRichter(O77,SampleDoping,V77)),"")</f>
        <v>0.59646480119379852</v>
      </c>
      <c r="Y77" s="253">
        <f t="shared" si="48"/>
        <v>1.9977576452409611</v>
      </c>
      <c r="Z77" s="200" t="str">
        <f t="shared" si="49"/>
        <v/>
      </c>
      <c r="AE77" s="251">
        <f t="shared" si="50"/>
        <v>1466.3367161584783</v>
      </c>
    </row>
    <row r="78" spans="1:31" x14ac:dyDescent="0.2">
      <c r="A78" s="244">
        <v>6.9499000000000002E-3</v>
      </c>
      <c r="B78" s="244">
        <v>1.17377E-2</v>
      </c>
      <c r="C78" s="245">
        <v>1.99679E-2</v>
      </c>
      <c r="D78" s="246">
        <f>IF(CouplingMode="AC",B78-(A$11-A$10)*SUM(B$9:B78)/0.21,B78)</f>
        <v>1.17377E-2</v>
      </c>
      <c r="E78" s="247">
        <f t="shared" si="38"/>
        <v>1.8973710164152209</v>
      </c>
      <c r="F78" s="247">
        <f t="shared" si="39"/>
        <v>1.8973710164152209</v>
      </c>
      <c r="G78" s="248">
        <f t="shared" si="40"/>
        <v>3.1504412632112902E+17</v>
      </c>
      <c r="H78" s="249">
        <f t="shared" si="41"/>
        <v>3.6271993582254192E-4</v>
      </c>
      <c r="I78" s="248">
        <f>IF(MobilityModel=DK,CalcDeltaN(H78,SampleDoping,Thickness,AreaFrac),CalcDeltaNDL(H78,AreaFrac,Thickness,SampleType,SampleDoping,Temperature))</f>
        <v>85736522583347.094</v>
      </c>
      <c r="J78" s="248" t="str">
        <f t="shared" si="42"/>
        <v/>
      </c>
      <c r="K78" s="248">
        <f t="shared" si="43"/>
        <v>85736522583347.094</v>
      </c>
      <c r="L78" s="250">
        <f t="shared" si="52"/>
        <v>-5.258001206546036E+16</v>
      </c>
      <c r="M78" s="196" t="str">
        <f t="shared" si="44"/>
        <v/>
      </c>
      <c r="N78" s="196" t="str">
        <f t="shared" si="45"/>
        <v/>
      </c>
      <c r="O78" s="250">
        <f t="shared" si="46"/>
        <v>85736522583347.094</v>
      </c>
      <c r="P78" s="248">
        <f t="shared" si="53"/>
        <v>4.8838717668274422E-6</v>
      </c>
      <c r="Q78" s="250" t="str">
        <f t="shared" si="54"/>
        <v/>
      </c>
      <c r="R78" s="251" t="str">
        <f t="shared" si="57"/>
        <v/>
      </c>
      <c r="S78" s="252">
        <f>IF(AND(E78&gt;0.95*BiasLight,E78&lt;1.05*BiasLight),"",IF(AugerModel="Sinton",calclifetimeauger(Auger_Coefficient,I78,P78),calclifetimerichter(SampleType,I78,SampleDoping,P78)))</f>
        <v>204755.56856305187</v>
      </c>
      <c r="T78" s="201" t="str">
        <f t="shared" si="56"/>
        <v/>
      </c>
      <c r="U78" s="252">
        <f t="shared" si="47"/>
        <v>108596.76111231896</v>
      </c>
      <c r="V78" s="251" t="str">
        <f>IF(AugerModel="Sinton","",IF(SampleType="n-type",n_intr_boltzmann(SampleDoping,0,K78,Temperature+273.15),n_intr_boltzmann(0,SampleDoping,K78,Temperature+273.15)))</f>
        <v/>
      </c>
      <c r="W78" s="251" t="str">
        <f t="shared" si="51"/>
        <v/>
      </c>
      <c r="X78" s="246">
        <f>IF(AND(A78&gt;TimeofMaxCD,I78&gt;Traps),IF(AugerModel="Sinton",CalcImpliedV(SampleDoping,O78),CalcImpliedVRichter(O78,SampleDoping,V78)),"")</f>
        <v>0.59498318660739458</v>
      </c>
      <c r="Y78" s="253">
        <f t="shared" si="48"/>
        <v>1.903071005993866</v>
      </c>
      <c r="Z78" s="200" t="str">
        <f t="shared" si="49"/>
        <v/>
      </c>
      <c r="AE78" s="251">
        <f t="shared" si="50"/>
        <v>1467.1365759335999</v>
      </c>
    </row>
    <row r="79" spans="1:31" x14ac:dyDescent="0.2">
      <c r="A79" s="244">
        <v>7.0498999999999996E-3</v>
      </c>
      <c r="B79" s="244">
        <v>1.1116600000000001E-2</v>
      </c>
      <c r="C79" s="245">
        <v>1.9039199999999999E-2</v>
      </c>
      <c r="D79" s="246">
        <f>IF(CouplingMode="AC",B79-(A$11-A$10)*SUM(B$9:B79)/0.21,B79)</f>
        <v>1.1116600000000001E-2</v>
      </c>
      <c r="E79" s="247">
        <f t="shared" si="38"/>
        <v>1.8091249583447768</v>
      </c>
      <c r="F79" s="247">
        <f t="shared" si="39"/>
        <v>1.8091249583447768</v>
      </c>
      <c r="G79" s="248">
        <f t="shared" si="40"/>
        <v>3.0039153490618637E+17</v>
      </c>
      <c r="H79" s="249">
        <f t="shared" si="41"/>
        <v>3.4352356012734564E-4</v>
      </c>
      <c r="I79" s="248">
        <f>IF(MobilityModel=DK,CalcDeltaN(H79,SampleDoping,Thickness,AreaFrac),CalcDeltaNDL(H79,AreaFrac,Thickness,SampleType,SampleDoping,Temperature))</f>
        <v>81157578416633.703</v>
      </c>
      <c r="J79" s="248" t="str">
        <f t="shared" si="42"/>
        <v/>
      </c>
      <c r="K79" s="248">
        <f t="shared" si="43"/>
        <v>81157578416633.703</v>
      </c>
      <c r="L79" s="250">
        <f t="shared" si="52"/>
        <v>-5.4006536766201424E+16</v>
      </c>
      <c r="M79" s="196" t="str">
        <f t="shared" si="44"/>
        <v/>
      </c>
      <c r="N79" s="196" t="str">
        <f t="shared" si="45"/>
        <v/>
      </c>
      <c r="O79" s="250">
        <f t="shared" si="46"/>
        <v>81157578416633.703</v>
      </c>
      <c r="P79" s="248">
        <f t="shared" si="53"/>
        <v>4.8474207126550827E-6</v>
      </c>
      <c r="Q79" s="250" t="str">
        <f t="shared" si="54"/>
        <v/>
      </c>
      <c r="R79" s="251" t="str">
        <f t="shared" si="57"/>
        <v/>
      </c>
      <c r="S79" s="252">
        <f>IF(AND(E79&gt;0.95*BiasLight,E79&lt;1.05*BiasLight),"",IF(AugerModel="Sinton",calclifetimeauger(Auger_Coefficient,I79,P79),calclifetimerichter(SampleType,I79,SampleDoping,P79)))</f>
        <v>206295.26634426077</v>
      </c>
      <c r="T79" s="201" t="str">
        <f t="shared" si="56"/>
        <v/>
      </c>
      <c r="U79" s="252">
        <f t="shared" si="47"/>
        <v>108595.02614190023</v>
      </c>
      <c r="V79" s="251" t="str">
        <f>IF(AugerModel="Sinton","",IF(SampleType="n-type",n_intr_boltzmann(SampleDoping,0,K79,Temperature+273.15),n_intr_boltzmann(0,SampleDoping,K79,Temperature+273.15)))</f>
        <v/>
      </c>
      <c r="W79" s="251" t="str">
        <f t="shared" si="51"/>
        <v/>
      </c>
      <c r="X79" s="246">
        <f>IF(AND(A79&gt;TimeofMaxCD,I79&gt;Traps),IF(AugerModel="Sinton",CalcImpliedV(SampleDoping,O79),CalcImpliedVRichter(O79,SampleDoping,V79)),"")</f>
        <v>0.5935612400071052</v>
      </c>
      <c r="Y79" s="253">
        <f t="shared" si="48"/>
        <v>1.8149795917815816</v>
      </c>
      <c r="Z79" s="200" t="str">
        <f t="shared" si="49"/>
        <v/>
      </c>
      <c r="AE79" s="251">
        <f t="shared" si="50"/>
        <v>1467.8863469151595</v>
      </c>
    </row>
    <row r="80" spans="1:31" x14ac:dyDescent="0.2">
      <c r="A80" s="244">
        <v>7.1498999999999998E-3</v>
      </c>
      <c r="B80" s="244">
        <v>1.0364699999999999E-2</v>
      </c>
      <c r="C80" s="245">
        <v>1.8166100000000001E-2</v>
      </c>
      <c r="D80" s="246">
        <f>IF(CouplingMode="AC",B80-(A$11-A$10)*SUM(B$9:B80)/0.21,B80)</f>
        <v>1.0364699999999999E-2</v>
      </c>
      <c r="E80" s="247">
        <f t="shared" si="38"/>
        <v>1.726162071189286</v>
      </c>
      <c r="F80" s="247">
        <f t="shared" si="39"/>
        <v>1.726162071189286</v>
      </c>
      <c r="G80" s="248">
        <f t="shared" si="40"/>
        <v>2.8661617411757178E+17</v>
      </c>
      <c r="H80" s="249">
        <f t="shared" si="41"/>
        <v>3.2028499873522354E-4</v>
      </c>
      <c r="I80" s="248">
        <f>IF(MobilityModel=DK,CalcDeltaN(H80,SampleDoping,Thickness,AreaFrac),CalcDeltaNDL(H80,AreaFrac,Thickness,SampleType,SampleDoping,Temperature))</f>
        <v>75619039211329.937</v>
      </c>
      <c r="J80" s="248" t="str">
        <f t="shared" si="42"/>
        <v/>
      </c>
      <c r="K80" s="248">
        <f t="shared" si="43"/>
        <v>75619039211329.937</v>
      </c>
      <c r="L80" s="250">
        <f t="shared" si="52"/>
        <v>-5.2068208713784696E+16</v>
      </c>
      <c r="M80" s="196" t="str">
        <f t="shared" si="44"/>
        <v/>
      </c>
      <c r="N80" s="196" t="str">
        <f t="shared" si="45"/>
        <v/>
      </c>
      <c r="O80" s="250">
        <f t="shared" si="46"/>
        <v>75619039211329.937</v>
      </c>
      <c r="P80" s="248">
        <f t="shared" si="53"/>
        <v>4.7335301788513559E-6</v>
      </c>
      <c r="Q80" s="250" t="str">
        <f t="shared" si="54"/>
        <v/>
      </c>
      <c r="R80" s="251" t="str">
        <f t="shared" si="57"/>
        <v/>
      </c>
      <c r="S80" s="252">
        <f>IF(AND(E80&gt;0.95*BiasLight,E80&lt;1.05*BiasLight),"",IF(AugerModel="Sinton",calclifetimeauger(Auger_Coefficient,I80,P80),calclifetimerichter(SampleType,I80,SampleDoping,P80)))</f>
        <v>211258.81050380922</v>
      </c>
      <c r="T80" s="201" t="str">
        <f t="shared" si="56"/>
        <v/>
      </c>
      <c r="U80" s="252">
        <f t="shared" si="47"/>
        <v>108592.92757914554</v>
      </c>
      <c r="V80" s="251" t="str">
        <f>IF(AugerModel="Sinton","",IF(SampleType="n-type",n_intr_boltzmann(SampleDoping,0,K80,Temperature+273.15),n_intr_boltzmann(0,SampleDoping,K80,Temperature+273.15)))</f>
        <v/>
      </c>
      <c r="W80" s="251" t="str">
        <f t="shared" si="51"/>
        <v/>
      </c>
      <c r="X80" s="246">
        <f>IF(AND(A80&gt;TimeofMaxCD,I80&gt;Traps),IF(AugerModel="Sinton",CalcImpliedV(SampleDoping,O80),CalcImpliedVRichter(O80,SampleDoping,V80)),"")</f>
        <v>0.59173092823906892</v>
      </c>
      <c r="Y80" s="253">
        <f t="shared" si="48"/>
        <v>1.7318065782060927</v>
      </c>
      <c r="Z80" s="200" t="str">
        <f t="shared" si="49"/>
        <v/>
      </c>
      <c r="AE80" s="251">
        <f t="shared" si="50"/>
        <v>1468.8262523068988</v>
      </c>
    </row>
    <row r="81" spans="1:31" x14ac:dyDescent="0.2">
      <c r="A81" s="244">
        <v>7.2499000000000001E-3</v>
      </c>
      <c r="B81" s="244">
        <v>9.4428099999999994E-3</v>
      </c>
      <c r="C81" s="245">
        <v>1.7326299999999999E-2</v>
      </c>
      <c r="D81" s="246">
        <f>IF(CouplingMode="AC",B81-(A$11-A$10)*SUM(B$9:B81)/0.21,B81)</f>
        <v>9.4428099999999994E-3</v>
      </c>
      <c r="E81" s="247">
        <f t="shared" si="38"/>
        <v>1.6463633853191892</v>
      </c>
      <c r="F81" s="247">
        <f t="shared" si="39"/>
        <v>1.6463633853191892</v>
      </c>
      <c r="G81" s="248">
        <f t="shared" si="40"/>
        <v>2.7336620505299894E+17</v>
      </c>
      <c r="H81" s="249">
        <f t="shared" si="41"/>
        <v>2.917933339603232E-4</v>
      </c>
      <c r="I81" s="248">
        <f>IF(MobilityModel=DK,CalcDeltaN(H81,SampleDoping,Thickness,AreaFrac),CalcDeltaNDL(H81,AreaFrac,Thickness,SampleType,SampleDoping,Temperature))</f>
        <v>68835646478881.273</v>
      </c>
      <c r="J81" s="248" t="str">
        <f t="shared" si="42"/>
        <v/>
      </c>
      <c r="K81" s="248">
        <f t="shared" si="43"/>
        <v>68835646478881.273</v>
      </c>
      <c r="L81" s="250">
        <f t="shared" si="52"/>
        <v>-4.6112926099601752E+16</v>
      </c>
      <c r="M81" s="196" t="str">
        <f t="shared" si="44"/>
        <v/>
      </c>
      <c r="N81" s="196" t="str">
        <f t="shared" si="45"/>
        <v/>
      </c>
      <c r="O81" s="250">
        <f t="shared" si="46"/>
        <v>68835646478881.273</v>
      </c>
      <c r="P81" s="248">
        <f t="shared" si="53"/>
        <v>4.5188134122850916E-6</v>
      </c>
      <c r="Q81" s="250" t="str">
        <f t="shared" si="54"/>
        <v/>
      </c>
      <c r="R81" s="251" t="str">
        <f t="shared" si="57"/>
        <v/>
      </c>
      <c r="S81" s="252">
        <f>IF(AND(E81&gt;0.95*BiasLight,E81&lt;1.05*BiasLight),"",IF(AugerModel="Sinton",calclifetimeauger(Auger_Coefficient,I81,P81),calclifetimerichter(SampleType,I81,SampleDoping,P81)))</f>
        <v>221297.02495303738</v>
      </c>
      <c r="T81" s="201" t="str">
        <f t="shared" si="56"/>
        <v/>
      </c>
      <c r="U81" s="252">
        <f t="shared" si="47"/>
        <v>108590.35733908563</v>
      </c>
      <c r="V81" s="251" t="str">
        <f>IF(AugerModel="Sinton","",IF(SampleType="n-type",n_intr_boltzmann(SampleDoping,0,K81,Temperature+273.15),n_intr_boltzmann(0,SampleDoping,K81,Temperature+273.15)))</f>
        <v/>
      </c>
      <c r="W81" s="251" t="str">
        <f t="shared" si="51"/>
        <v/>
      </c>
      <c r="X81" s="246">
        <f>IF(AND(A81&gt;TimeofMaxCD,I81&gt;Traps),IF(AugerModel="Sinton",CalcImpliedV(SampleDoping,O81),CalcImpliedVRichter(O81,SampleDoping,V81)),"")</f>
        <v>0.58929874054823572</v>
      </c>
      <c r="Y81" s="253">
        <f t="shared" si="48"/>
        <v>1.6513623038793699</v>
      </c>
      <c r="Z81" s="200" t="str">
        <f t="shared" si="49"/>
        <v/>
      </c>
      <c r="AE81" s="251">
        <f t="shared" si="50"/>
        <v>1470.032559023731</v>
      </c>
    </row>
    <row r="82" spans="1:31" x14ac:dyDescent="0.2">
      <c r="A82" s="244">
        <v>7.3499000000000004E-3</v>
      </c>
      <c r="B82" s="244">
        <v>9.0385099999999996E-3</v>
      </c>
      <c r="C82" s="245">
        <v>1.6513799999999999E-2</v>
      </c>
      <c r="D82" s="246">
        <f>IF(CouplingMode="AC",B82-(A$11-A$10)*SUM(B$9:B82)/0.21,B82)</f>
        <v>9.0385099999999996E-3</v>
      </c>
      <c r="E82" s="247">
        <f t="shared" si="38"/>
        <v>1.5691587743767583</v>
      </c>
      <c r="F82" s="247">
        <f t="shared" si="39"/>
        <v>1.5691587743767583</v>
      </c>
      <c r="G82" s="248">
        <f t="shared" si="40"/>
        <v>2.6054696253696483E+17</v>
      </c>
      <c r="H82" s="249">
        <f t="shared" si="41"/>
        <v>2.792983933255222E-4</v>
      </c>
      <c r="I82" s="248">
        <f>IF(MobilityModel=DK,CalcDeltaN(H82,SampleDoping,Thickness,AreaFrac),CalcDeltaNDL(H82,AreaFrac,Thickness,SampleType,SampleDoping,Temperature))</f>
        <v>65863384195330.937</v>
      </c>
      <c r="J82" s="248" t="str">
        <f t="shared" si="42"/>
        <v/>
      </c>
      <c r="K82" s="248">
        <f t="shared" si="43"/>
        <v>65863384195330.937</v>
      </c>
      <c r="L82" s="250">
        <f t="shared" si="52"/>
        <v>-3.8909966669670576E+16</v>
      </c>
      <c r="M82" s="196" t="str">
        <f t="shared" si="44"/>
        <v/>
      </c>
      <c r="N82" s="196" t="str">
        <f t="shared" si="45"/>
        <v/>
      </c>
      <c r="O82" s="250">
        <f t="shared" si="46"/>
        <v>65863384195330.937</v>
      </c>
      <c r="P82" s="248">
        <f t="shared" si="53"/>
        <v>4.5380018289401971E-6</v>
      </c>
      <c r="Q82" s="250" t="str">
        <f t="shared" si="54"/>
        <v/>
      </c>
      <c r="R82" s="251" t="str">
        <f t="shared" si="57"/>
        <v/>
      </c>
      <c r="S82" s="252">
        <f>IF(AND(E82&gt;0.95*BiasLight,E82&lt;1.05*BiasLight),"",IF(AugerModel="Sinton",calclifetimeauger(Auger_Coefficient,I82,P82),calclifetimerichter(SampleType,I82,SampleDoping,P82)))</f>
        <v>220361.29667121253</v>
      </c>
      <c r="T82" s="201" t="str">
        <f t="shared" si="56"/>
        <v/>
      </c>
      <c r="U82" s="252">
        <f t="shared" si="47"/>
        <v>108589.23114340584</v>
      </c>
      <c r="V82" s="251" t="str">
        <f>IF(AugerModel="Sinton","",IF(SampleType="n-type",n_intr_boltzmann(SampleDoping,0,K82,Temperature+273.15),n_intr_boltzmann(0,SampleDoping,K82,Temperature+273.15)))</f>
        <v/>
      </c>
      <c r="W82" s="251" t="str">
        <f t="shared" si="51"/>
        <v/>
      </c>
      <c r="X82" s="246">
        <f>IF(AND(A82&gt;TimeofMaxCD,I82&gt;Traps),IF(AugerModel="Sinton",CalcImpliedV(SampleDoping,O82),CalcImpliedVRichter(O82,SampleDoping,V82)),"")</f>
        <v>0.58815705814296182</v>
      </c>
      <c r="Y82" s="253">
        <f t="shared" si="48"/>
        <v>1.5733768488086626</v>
      </c>
      <c r="Z82" s="200" t="str">
        <f t="shared" si="49"/>
        <v/>
      </c>
      <c r="AE82" s="251">
        <f t="shared" si="50"/>
        <v>1470.5824496543216</v>
      </c>
    </row>
    <row r="83" spans="1:31" x14ac:dyDescent="0.2">
      <c r="A83" s="244">
        <v>7.4498999999999998E-3</v>
      </c>
      <c r="B83" s="244">
        <v>8.6459399999999995E-3</v>
      </c>
      <c r="C83" s="245">
        <v>1.5756900000000001E-2</v>
      </c>
      <c r="D83" s="246">
        <f>IF(CouplingMode="AC",B83-(A$11-A$10)*SUM(B$9:B83)/0.21,B83)</f>
        <v>8.6459399999999995E-3</v>
      </c>
      <c r="E83" s="247">
        <f t="shared" si="38"/>
        <v>1.4972373343492804</v>
      </c>
      <c r="F83" s="247">
        <f t="shared" si="39"/>
        <v>1.4972373343492804</v>
      </c>
      <c r="G83" s="248">
        <f t="shared" si="40"/>
        <v>2.4860495064725878E+17</v>
      </c>
      <c r="H83" s="249">
        <f t="shared" si="41"/>
        <v>2.671661085213925E-4</v>
      </c>
      <c r="I83" s="248">
        <f>IF(MobilityModel=DK,CalcDeltaN(H83,SampleDoping,Thickness,AreaFrac),CalcDeltaNDL(H83,AreaFrac,Thickness,SampleType,SampleDoping,Temperature))</f>
        <v>62978942874832.312</v>
      </c>
      <c r="J83" s="248" t="str">
        <f t="shared" si="42"/>
        <v/>
      </c>
      <c r="K83" s="248">
        <f t="shared" si="43"/>
        <v>62978942874832.312</v>
      </c>
      <c r="L83" s="250">
        <f t="shared" si="52"/>
        <v>-3.4683385594445336E+16</v>
      </c>
      <c r="M83" s="196" t="str">
        <f t="shared" si="44"/>
        <v/>
      </c>
      <c r="N83" s="196" t="str">
        <f t="shared" si="45"/>
        <v/>
      </c>
      <c r="O83" s="250">
        <f t="shared" si="46"/>
        <v>62978942874832.312</v>
      </c>
      <c r="P83" s="248">
        <f t="shared" si="53"/>
        <v>4.5485069048843179E-6</v>
      </c>
      <c r="Q83" s="250" t="str">
        <f t="shared" si="54"/>
        <v/>
      </c>
      <c r="R83" s="251" t="str">
        <f t="shared" si="57"/>
        <v/>
      </c>
      <c r="S83" s="252">
        <f>IF(AND(E83&gt;0.95*BiasLight,E83&lt;1.05*BiasLight),"",IF(AugerModel="Sinton",calclifetimeauger(Auger_Coefficient,I83,P83),calclifetimerichter(SampleType,I83,SampleDoping,P83)))</f>
        <v>219852.35835921919</v>
      </c>
      <c r="T83" s="201" t="str">
        <f t="shared" si="56"/>
        <v/>
      </c>
      <c r="U83" s="252">
        <f t="shared" si="47"/>
        <v>108588.13822325144</v>
      </c>
      <c r="V83" s="251" t="str">
        <f>IF(AugerModel="Sinton","",IF(SampleType="n-type",n_intr_boltzmann(SampleDoping,0,K83,Temperature+273.15),n_intr_boltzmann(0,SampleDoping,K83,Temperature+273.15)))</f>
        <v/>
      </c>
      <c r="W83" s="251" t="str">
        <f t="shared" si="51"/>
        <v/>
      </c>
      <c r="X83" s="246">
        <f>IF(AND(A83&gt;TimeofMaxCD,I83&gt;Traps),IF(AugerModel="Sinton",CalcImpliedV(SampleDoping,O83),CalcImpliedVRichter(O83,SampleDoping,V83)),"")</f>
        <v>0.58699907965074549</v>
      </c>
      <c r="Y83" s="253">
        <f t="shared" si="48"/>
        <v>1.5009972219695864</v>
      </c>
      <c r="Z83" s="200" t="str">
        <f t="shared" si="49"/>
        <v/>
      </c>
      <c r="AE83" s="251">
        <f t="shared" si="50"/>
        <v>1471.1297606400474</v>
      </c>
    </row>
    <row r="84" spans="1:31" x14ac:dyDescent="0.2">
      <c r="A84" s="244">
        <v>7.5499E-3</v>
      </c>
      <c r="B84" s="244">
        <v>8.1166399999999996E-3</v>
      </c>
      <c r="C84" s="245">
        <v>1.50323E-2</v>
      </c>
      <c r="D84" s="246">
        <f>IF(CouplingMode="AC",B84-(A$11-A$10)*SUM(B$9:B84)/0.21,B84)</f>
        <v>8.1166399999999996E-3</v>
      </c>
      <c r="E84" s="247">
        <f t="shared" si="38"/>
        <v>1.428385074547575</v>
      </c>
      <c r="F84" s="247">
        <f t="shared" si="39"/>
        <v>1.428385074547575</v>
      </c>
      <c r="G84" s="248">
        <f t="shared" si="40"/>
        <v>2.371725529523439E+17</v>
      </c>
      <c r="H84" s="249">
        <f t="shared" si="41"/>
        <v>2.5080843120732499E-4</v>
      </c>
      <c r="I84" s="248">
        <f>IF(MobilityModel=DK,CalcDeltaN(H84,SampleDoping,Thickness,AreaFrac),CalcDeltaNDL(H84,AreaFrac,Thickness,SampleType,SampleDoping,Temperature))</f>
        <v>59092407678519.133</v>
      </c>
      <c r="J84" s="248" t="str">
        <f t="shared" si="42"/>
        <v/>
      </c>
      <c r="K84" s="248">
        <f t="shared" si="43"/>
        <v>59092407678519.133</v>
      </c>
      <c r="L84" s="250">
        <f t="shared" si="52"/>
        <v>-3.3017566179983556E+16</v>
      </c>
      <c r="M84" s="196" t="str">
        <f t="shared" si="44"/>
        <v/>
      </c>
      <c r="N84" s="196" t="str">
        <f t="shared" si="45"/>
        <v/>
      </c>
      <c r="O84" s="250">
        <f t="shared" si="46"/>
        <v>59092407678519.133</v>
      </c>
      <c r="P84" s="248">
        <f t="shared" si="53"/>
        <v>4.4735557230684439E-6</v>
      </c>
      <c r="Q84" s="250" t="str">
        <f t="shared" si="54"/>
        <v/>
      </c>
      <c r="R84" s="251" t="str">
        <f t="shared" si="57"/>
        <v/>
      </c>
      <c r="S84" s="252">
        <f>IF(AND(E84&gt;0.95*BiasLight,E84&lt;1.05*BiasLight),"",IF(AugerModel="Sinton",calclifetimeauger(Auger_Coefficient,I84,P84),calclifetimerichter(SampleType,I84,SampleDoping,P84)))</f>
        <v>223535.82607948195</v>
      </c>
      <c r="T84" s="201" t="str">
        <f t="shared" si="56"/>
        <v/>
      </c>
      <c r="U84" s="252">
        <f t="shared" si="47"/>
        <v>108586.66560787302</v>
      </c>
      <c r="V84" s="251" t="str">
        <f>IF(AugerModel="Sinton","",IF(SampleType="n-type",n_intr_boltzmann(SampleDoping,0,K84,Temperature+273.15),n_intr_boltzmann(0,SampleDoping,K84,Temperature+273.15)))</f>
        <v/>
      </c>
      <c r="W84" s="251" t="str">
        <f t="shared" si="51"/>
        <v/>
      </c>
      <c r="X84" s="246">
        <f>IF(AND(A84&gt;TimeofMaxCD,I84&gt;Traps),IF(AugerModel="Sinton",CalcImpliedV(SampleDoping,O84),CalcImpliedVRichter(O84,SampleDoping,V84)),"")</f>
        <v>0.58535253845949786</v>
      </c>
      <c r="Y84" s="253">
        <f t="shared" si="48"/>
        <v>1.4319643773233872</v>
      </c>
      <c r="Z84" s="200" t="str">
        <f t="shared" si="49"/>
        <v/>
      </c>
      <c r="AE84" s="251">
        <f t="shared" si="50"/>
        <v>1471.8902534048195</v>
      </c>
    </row>
    <row r="85" spans="1:31" x14ac:dyDescent="0.2">
      <c r="A85" s="244">
        <v>7.6499000000000003E-3</v>
      </c>
      <c r="B85" s="244">
        <v>7.5424200000000002E-3</v>
      </c>
      <c r="C85" s="245">
        <v>1.4334100000000001E-2</v>
      </c>
      <c r="D85" s="246">
        <f>IF(CouplingMode="AC",B85-(A$11-A$10)*SUM(B$9:B85)/0.21,B85)</f>
        <v>7.5424200000000002E-3</v>
      </c>
      <c r="E85" s="247">
        <f t="shared" si="38"/>
        <v>1.3620413707198764</v>
      </c>
      <c r="F85" s="247">
        <f t="shared" si="39"/>
        <v>1.3620413707198764</v>
      </c>
      <c r="G85" s="248">
        <f t="shared" si="40"/>
        <v>2.261566820296424E+17</v>
      </c>
      <c r="H85" s="249">
        <f t="shared" si="41"/>
        <v>2.330628111414032E-4</v>
      </c>
      <c r="I85" s="248">
        <f>IF(MobilityModel=DK,CalcDeltaN(H85,SampleDoping,Thickness,AreaFrac),CalcDeltaNDL(H85,AreaFrac,Thickness,SampleType,SampleDoping,Temperature))</f>
        <v>54879441940064.508</v>
      </c>
      <c r="J85" s="248" t="str">
        <f t="shared" si="42"/>
        <v/>
      </c>
      <c r="K85" s="248">
        <f t="shared" si="43"/>
        <v>54879441940064.508</v>
      </c>
      <c r="L85" s="250">
        <f t="shared" si="52"/>
        <v>-2.9675905840849644E+16</v>
      </c>
      <c r="M85" s="196" t="str">
        <f t="shared" si="44"/>
        <v/>
      </c>
      <c r="N85" s="196" t="str">
        <f t="shared" si="45"/>
        <v/>
      </c>
      <c r="O85" s="250">
        <f t="shared" si="46"/>
        <v>54879441940064.508</v>
      </c>
      <c r="P85" s="248">
        <f t="shared" si="53"/>
        <v>4.3576084441764972E-6</v>
      </c>
      <c r="Q85" s="250" t="str">
        <f t="shared" si="54"/>
        <v/>
      </c>
      <c r="R85" s="251" t="str">
        <f t="shared" si="57"/>
        <v/>
      </c>
      <c r="S85" s="252">
        <f>IF(AND(E85&gt;0.95*BiasLight,E85&lt;1.05*BiasLight),"",IF(AugerModel="Sinton",calclifetimeauger(Auger_Coefficient,I85,P85),calclifetimerichter(SampleType,I85,SampleDoping,P85)))</f>
        <v>229483.67000492915</v>
      </c>
      <c r="T85" s="201" t="str">
        <f t="shared" si="56"/>
        <v/>
      </c>
      <c r="U85" s="252">
        <f t="shared" si="47"/>
        <v>108585.06930735806</v>
      </c>
      <c r="V85" s="251" t="str">
        <f>IF(AugerModel="Sinton","",IF(SampleType="n-type",n_intr_boltzmann(SampleDoping,0,K85,Temperature+273.15),n_intr_boltzmann(0,SampleDoping,K85,Temperature+273.15)))</f>
        <v/>
      </c>
      <c r="W85" s="251" t="str">
        <f t="shared" si="51"/>
        <v/>
      </c>
      <c r="X85" s="246">
        <f>IF(AND(A85&gt;TimeofMaxCD,I85&gt;Traps),IF(AugerModel="Sinton",CalcImpliedV(SampleDoping,O85),CalcImpliedVRichter(O85,SampleDoping,V85)),"")</f>
        <v>0.58344141637873481</v>
      </c>
      <c r="Y85" s="253">
        <f t="shared" si="48"/>
        <v>1.365258417414714</v>
      </c>
      <c r="Z85" s="200" t="str">
        <f t="shared" si="49"/>
        <v/>
      </c>
      <c r="AE85" s="251">
        <f t="shared" si="50"/>
        <v>1472.7474423474023</v>
      </c>
    </row>
    <row r="86" spans="1:31" x14ac:dyDescent="0.2">
      <c r="A86" s="244">
        <v>7.7498999999999997E-3</v>
      </c>
      <c r="B86" s="244">
        <v>7.3412499999999997E-3</v>
      </c>
      <c r="C86" s="245">
        <v>1.36661E-2</v>
      </c>
      <c r="D86" s="246">
        <f>IF(CouplingMode="AC",B86-(A$11-A$10)*SUM(B$9:B86)/0.21,B86)</f>
        <v>7.3412499999999997E-3</v>
      </c>
      <c r="E86" s="247">
        <f t="shared" si="38"/>
        <v>1.2985673028927454</v>
      </c>
      <c r="F86" s="247">
        <f t="shared" si="39"/>
        <v>1.2985673028927454</v>
      </c>
      <c r="G86" s="248">
        <f t="shared" si="40"/>
        <v>2.1561729249030602E+17</v>
      </c>
      <c r="H86" s="249">
        <f t="shared" si="41"/>
        <v>2.2684594885900855E-4</v>
      </c>
      <c r="I86" s="248">
        <f>IF(MobilityModel=DK,CalcDeltaN(H86,SampleDoping,Thickness,AreaFrac),CalcDeltaNDL(H86,AreaFrac,Thickness,SampleType,SampleDoping,Temperature))</f>
        <v>53404351572723.078</v>
      </c>
      <c r="J86" s="248" t="str">
        <f t="shared" si="42"/>
        <v/>
      </c>
      <c r="K86" s="248">
        <f t="shared" si="43"/>
        <v>53404351572723.078</v>
      </c>
      <c r="L86" s="250">
        <f t="shared" si="52"/>
        <v>-3.0350680724372036E+16</v>
      </c>
      <c r="M86" s="196" t="str">
        <f t="shared" si="44"/>
        <v/>
      </c>
      <c r="N86" s="196" t="str">
        <f t="shared" si="45"/>
        <v/>
      </c>
      <c r="O86" s="250">
        <f t="shared" si="46"/>
        <v>53404351572723.078</v>
      </c>
      <c r="P86" s="248">
        <f t="shared" si="53"/>
        <v>4.4469943469455001E-6</v>
      </c>
      <c r="Q86" s="250" t="str">
        <f t="shared" si="54"/>
        <v/>
      </c>
      <c r="R86" s="251" t="str">
        <f t="shared" si="57"/>
        <v/>
      </c>
      <c r="S86" s="252">
        <f>IF(AND(E86&gt;0.95*BiasLight,E86&lt;1.05*BiasLight),"",IF(AugerModel="Sinton",calclifetimeauger(Auger_Coefficient,I86,P86),calclifetimerichter(SampleType,I86,SampleDoping,P86)))</f>
        <v>224870.98047093119</v>
      </c>
      <c r="T86" s="201" t="str">
        <f t="shared" si="56"/>
        <v/>
      </c>
      <c r="U86" s="252">
        <f t="shared" si="47"/>
        <v>108584.51039288801</v>
      </c>
      <c r="V86" s="251" t="str">
        <f>IF(AugerModel="Sinton","",IF(SampleType="n-type",n_intr_boltzmann(SampleDoping,0,K86,Temperature+273.15),n_intr_boltzmann(0,SampleDoping,K86,Temperature+273.15)))</f>
        <v/>
      </c>
      <c r="W86" s="251" t="str">
        <f t="shared" si="51"/>
        <v/>
      </c>
      <c r="X86" s="246">
        <f>IF(AND(A86&gt;TimeofMaxCD,I86&gt;Traps),IF(AugerModel="Sinton",CalcImpliedV(SampleDoping,O86),CalcImpliedVRichter(O86,SampleDoping,V86)),"")</f>
        <v>0.58273760043962886</v>
      </c>
      <c r="Y86" s="253">
        <f t="shared" si="48"/>
        <v>1.3018574992437528</v>
      </c>
      <c r="Z86" s="200" t="str">
        <f t="shared" si="49"/>
        <v/>
      </c>
      <c r="AE86" s="251">
        <f t="shared" si="50"/>
        <v>1473.0563638223998</v>
      </c>
    </row>
    <row r="87" spans="1:31" x14ac:dyDescent="0.2">
      <c r="A87" s="244">
        <v>7.8498999999999999E-3</v>
      </c>
      <c r="B87" s="244">
        <v>7.0111699999999997E-3</v>
      </c>
      <c r="C87" s="245">
        <v>1.3003000000000001E-2</v>
      </c>
      <c r="D87" s="246">
        <f>IF(CouplingMode="AC",B87-(A$11-A$10)*SUM(B$9:B87)/0.21,B87)</f>
        <v>7.0111699999999997E-3</v>
      </c>
      <c r="E87" s="247">
        <f t="shared" si="38"/>
        <v>1.2355588382577596</v>
      </c>
      <c r="F87" s="247">
        <f t="shared" si="39"/>
        <v>1.2355588382577596</v>
      </c>
      <c r="G87" s="248">
        <f t="shared" si="40"/>
        <v>2.0515521284429712E+17</v>
      </c>
      <c r="H87" s="249">
        <f t="shared" si="41"/>
        <v>2.1664539084656487E-4</v>
      </c>
      <c r="I87" s="248">
        <f>IF(MobilityModel=DK,CalcDeltaN(H87,SampleDoping,Thickness,AreaFrac),CalcDeltaNDL(H87,AreaFrac,Thickness,SampleType,SampleDoping,Temperature))</f>
        <v>50985018007305.523</v>
      </c>
      <c r="J87" s="248" t="str">
        <f t="shared" si="42"/>
        <v/>
      </c>
      <c r="K87" s="248">
        <f t="shared" si="43"/>
        <v>50985018007305.523</v>
      </c>
      <c r="L87" s="250">
        <f t="shared" si="52"/>
        <v>-2.8457522710597264E+16</v>
      </c>
      <c r="M87" s="196" t="str">
        <f t="shared" si="44"/>
        <v/>
      </c>
      <c r="N87" s="196" t="str">
        <f t="shared" si="45"/>
        <v/>
      </c>
      <c r="O87" s="250">
        <f t="shared" si="46"/>
        <v>50985018007305.523</v>
      </c>
      <c r="P87" s="248">
        <f t="shared" si="53"/>
        <v>4.4622050398669285E-6</v>
      </c>
      <c r="Q87" s="250" t="str">
        <f t="shared" si="54"/>
        <v/>
      </c>
      <c r="R87" s="251" t="str">
        <f t="shared" si="57"/>
        <v/>
      </c>
      <c r="S87" s="252">
        <f>IF(AND(E87&gt;0.95*BiasLight,E87&lt;1.05*BiasLight),"",IF(AugerModel="Sinton",calclifetimeauger(Auger_Coefficient,I87,P87),calclifetimerichter(SampleType,I87,SampleDoping,P87)))</f>
        <v>224104.44428498414</v>
      </c>
      <c r="T87" s="201" t="str">
        <f t="shared" si="56"/>
        <v/>
      </c>
      <c r="U87" s="252">
        <f t="shared" si="47"/>
        <v>108583.59370292278</v>
      </c>
      <c r="V87" s="251" t="str">
        <f>IF(AugerModel="Sinton","",IF(SampleType="n-type",n_intr_boltzmann(SampleDoping,0,K87,Temperature+273.15),n_intr_boltzmann(0,SampleDoping,K87,Temperature+273.15)))</f>
        <v/>
      </c>
      <c r="W87" s="251" t="str">
        <f t="shared" si="51"/>
        <v/>
      </c>
      <c r="X87" s="246">
        <f>IF(AND(A87&gt;TimeofMaxCD,I87&gt;Traps),IF(AugerModel="Sinton",CalcImpliedV(SampleDoping,O87),CalcImpliedVRichter(O87,SampleDoping,V87)),"")</f>
        <v>0.5815402837781577</v>
      </c>
      <c r="Y87" s="253">
        <f t="shared" si="48"/>
        <v>1.2386438048926571</v>
      </c>
      <c r="Z87" s="200" t="str">
        <f t="shared" si="49"/>
        <v/>
      </c>
      <c r="AE87" s="251">
        <f t="shared" si="50"/>
        <v>1473.5736938748219</v>
      </c>
    </row>
    <row r="88" spans="1:31" x14ac:dyDescent="0.2">
      <c r="A88" s="244">
        <v>7.9498999999999993E-3</v>
      </c>
      <c r="B88" s="244">
        <v>6.3119500000000002E-3</v>
      </c>
      <c r="C88" s="245">
        <v>1.2381E-2</v>
      </c>
      <c r="D88" s="246">
        <f>IF(CouplingMode="AC",B88-(A$11-A$10)*SUM(B$9:B88)/0.21,B88)</f>
        <v>6.3119500000000002E-3</v>
      </c>
      <c r="E88" s="247">
        <f t="shared" si="38"/>
        <v>1.1764557391732153</v>
      </c>
      <c r="F88" s="247">
        <f t="shared" si="39"/>
        <v>1.1764557391732153</v>
      </c>
      <c r="G88" s="248">
        <f t="shared" si="40"/>
        <v>1.9534158965048394E+17</v>
      </c>
      <c r="H88" s="249">
        <f t="shared" si="41"/>
        <v>1.9503751153590598E-4</v>
      </c>
      <c r="I88" s="248">
        <f>IF(MobilityModel=DK,CalcDeltaN(H88,SampleDoping,Thickness,AreaFrac),CalcDeltaNDL(H88,AreaFrac,Thickness,SampleType,SampleDoping,Temperature))</f>
        <v>45864279282712.633</v>
      </c>
      <c r="J88" s="248" t="str">
        <f t="shared" si="42"/>
        <v/>
      </c>
      <c r="K88" s="248">
        <f t="shared" si="43"/>
        <v>45864279282712.633</v>
      </c>
      <c r="L88" s="250">
        <f t="shared" si="52"/>
        <v>-2.770356400978952E+16</v>
      </c>
      <c r="M88" s="196" t="str">
        <f t="shared" si="44"/>
        <v/>
      </c>
      <c r="N88" s="196" t="str">
        <f t="shared" si="45"/>
        <v/>
      </c>
      <c r="O88" s="250">
        <f t="shared" si="46"/>
        <v>45864279282712.633</v>
      </c>
      <c r="P88" s="248">
        <f t="shared" si="53"/>
        <v>4.2154613827283217E-6</v>
      </c>
      <c r="Q88" s="250" t="str">
        <f t="shared" si="54"/>
        <v/>
      </c>
      <c r="R88" s="251" t="str">
        <f t="shared" si="57"/>
        <v/>
      </c>
      <c r="S88" s="252">
        <f>IF(AND(E88&gt;0.95*BiasLight,E88&lt;1.05*BiasLight),"",IF(AugerModel="Sinton",calclifetimeauger(Auger_Coefficient,I88,P88),calclifetimerichter(SampleType,I88,SampleDoping,P88)))</f>
        <v>237221.95377649675</v>
      </c>
      <c r="T88" s="201" t="str">
        <f t="shared" si="56"/>
        <v/>
      </c>
      <c r="U88" s="252">
        <f t="shared" si="47"/>
        <v>108581.65344554342</v>
      </c>
      <c r="V88" s="251" t="str">
        <f>IF(AugerModel="Sinton","",IF(SampleType="n-type",n_intr_boltzmann(SampleDoping,0,K88,Temperature+273.15),n_intr_boltzmann(0,SampleDoping,K88,Temperature+273.15)))</f>
        <v/>
      </c>
      <c r="W88" s="251" t="str">
        <f t="shared" si="51"/>
        <v/>
      </c>
      <c r="X88" s="246">
        <f>IF(AND(A88&gt;TimeofMaxCD,I88&gt;Traps),IF(AugerModel="Sinton",CalcImpliedV(SampleDoping,O88),CalcImpliedVRichter(O88,SampleDoping,V88)),"")</f>
        <v>0.57880774226814835</v>
      </c>
      <c r="Y88" s="253">
        <f t="shared" si="48"/>
        <v>1.1794589721498556</v>
      </c>
      <c r="Z88" s="200" t="str">
        <f t="shared" si="49"/>
        <v/>
      </c>
      <c r="AE88" s="251">
        <f t="shared" si="50"/>
        <v>1474.7165597015567</v>
      </c>
    </row>
    <row r="89" spans="1:31" x14ac:dyDescent="0.2">
      <c r="A89" s="244">
        <v>8.0499000000000005E-3</v>
      </c>
      <c r="B89" s="244">
        <v>6.1146899999999999E-3</v>
      </c>
      <c r="C89" s="245">
        <v>1.18204E-2</v>
      </c>
      <c r="D89" s="246">
        <f>IF(CouplingMode="AC",B89-(A$11-A$10)*SUM(B$9:B89)/0.21,B89)</f>
        <v>6.1146899999999999E-3</v>
      </c>
      <c r="E89" s="247">
        <f t="shared" si="38"/>
        <v>1.1231869331494286</v>
      </c>
      <c r="F89" s="247">
        <f t="shared" si="39"/>
        <v>1.1231869331494286</v>
      </c>
      <c r="G89" s="248">
        <f t="shared" si="40"/>
        <v>1.8649670675265168E+17</v>
      </c>
      <c r="H89" s="249">
        <f t="shared" si="41"/>
        <v>1.889416970172822E-4</v>
      </c>
      <c r="I89" s="248">
        <f>IF(MobilityModel=DK,CalcDeltaN(H89,SampleDoping,Thickness,AreaFrac),CalcDeltaNDL(H89,AreaFrac,Thickness,SampleType,SampleDoping,Temperature))</f>
        <v>44420716729771.094</v>
      </c>
      <c r="J89" s="248" t="str">
        <f t="shared" si="42"/>
        <v/>
      </c>
      <c r="K89" s="248">
        <f t="shared" si="43"/>
        <v>44420716729771.094</v>
      </c>
      <c r="L89" s="250">
        <f t="shared" si="52"/>
        <v>-2.315777307701646E+16</v>
      </c>
      <c r="M89" s="196" t="str">
        <f t="shared" si="44"/>
        <v/>
      </c>
      <c r="N89" s="196" t="str">
        <f t="shared" si="45"/>
        <v/>
      </c>
      <c r="O89" s="250">
        <f t="shared" si="46"/>
        <v>44420716729771.094</v>
      </c>
      <c r="P89" s="248">
        <f t="shared" si="53"/>
        <v>4.2777686015232291E-6</v>
      </c>
      <c r="Q89" s="250" t="str">
        <f t="shared" si="54"/>
        <v/>
      </c>
      <c r="R89" s="251" t="str">
        <f t="shared" si="57"/>
        <v/>
      </c>
      <c r="S89" s="252">
        <f>IF(AND(E89&gt;0.95*BiasLight,E89&lt;1.05*BiasLight),"",IF(AugerModel="Sinton",calclifetimeauger(Auger_Coefficient,I89,P89),calclifetimerichter(SampleType,I89,SampleDoping,P89)))</f>
        <v>233766.73194338672</v>
      </c>
      <c r="T89" s="201" t="str">
        <f t="shared" si="56"/>
        <v/>
      </c>
      <c r="U89" s="252">
        <f t="shared" si="47"/>
        <v>108581.1064770206</v>
      </c>
      <c r="V89" s="251" t="str">
        <f>IF(AugerModel="Sinton","",IF(SampleType="n-type",n_intr_boltzmann(SampleDoping,0,K89,Temperature+273.15),n_intr_boltzmann(0,SampleDoping,K89,Temperature+273.15)))</f>
        <v/>
      </c>
      <c r="W89" s="251" t="str">
        <f t="shared" si="51"/>
        <v/>
      </c>
      <c r="X89" s="246">
        <f>IF(AND(A89&gt;TimeofMaxCD,I89&gt;Traps),IF(AugerModel="Sinton",CalcImpliedV(SampleDoping,O89),CalcImpliedVRichter(O89,SampleDoping,V89)),"")</f>
        <v>0.57798238746280539</v>
      </c>
      <c r="Y89" s="253">
        <f t="shared" si="48"/>
        <v>1.125697375045853</v>
      </c>
      <c r="Z89" s="200" t="str">
        <f t="shared" si="49"/>
        <v/>
      </c>
      <c r="AE89" s="251">
        <f t="shared" si="50"/>
        <v>1475.0516688407113</v>
      </c>
    </row>
    <row r="90" spans="1:31" x14ac:dyDescent="0.2">
      <c r="A90" s="244">
        <v>8.1498999999999999E-3</v>
      </c>
      <c r="B90" s="244">
        <v>5.8978900000000003E-3</v>
      </c>
      <c r="C90" s="245">
        <v>1.1244199999999999E-2</v>
      </c>
      <c r="D90" s="246">
        <f>IF(CouplingMode="AC",B90-(A$11-A$10)*SUM(B$9:B90)/0.21,B90)</f>
        <v>5.8978900000000003E-3</v>
      </c>
      <c r="E90" s="247">
        <f t="shared" si="38"/>
        <v>1.068435798595547</v>
      </c>
      <c r="F90" s="247">
        <f t="shared" si="39"/>
        <v>1.068435798595547</v>
      </c>
      <c r="G90" s="248">
        <f t="shared" si="40"/>
        <v>1.7740569439851155E+17</v>
      </c>
      <c r="H90" s="249">
        <f t="shared" si="41"/>
        <v>1.8224208871674141E-4</v>
      </c>
      <c r="I90" s="248">
        <f>IF(MobilityModel=DK,CalcDeltaN(H90,SampleDoping,Thickness,AreaFrac),CalcDeltaNDL(H90,AreaFrac,Thickness,SampleType,SampleDoping,Temperature))</f>
        <v>42834720206595.516</v>
      </c>
      <c r="J90" s="248" t="str">
        <f t="shared" si="42"/>
        <v/>
      </c>
      <c r="K90" s="248">
        <f t="shared" si="43"/>
        <v>42834720206595.516</v>
      </c>
      <c r="L90" s="250">
        <f t="shared" si="52"/>
        <v>-2.1749617389903376E+16</v>
      </c>
      <c r="M90" s="196" t="str">
        <f t="shared" si="44"/>
        <v/>
      </c>
      <c r="N90" s="196" t="str">
        <f t="shared" si="45"/>
        <v/>
      </c>
      <c r="O90" s="250">
        <f t="shared" si="46"/>
        <v>42834720206595.516</v>
      </c>
      <c r="P90" s="248">
        <f t="shared" si="53"/>
        <v>4.3365419583407061E-6</v>
      </c>
      <c r="Q90" s="250" t="str">
        <f t="shared" si="54"/>
        <v/>
      </c>
      <c r="R90" s="251" t="str">
        <f t="shared" si="57"/>
        <v/>
      </c>
      <c r="S90" s="252">
        <f>IF(AND(E90&gt;0.95*BiasLight,E90&lt;1.05*BiasLight),"",IF(AugerModel="Sinton",calclifetimeauger(Auger_Coefficient,I90,P90),calclifetimerichter(SampleType,I90,SampleDoping,P90)))</f>
        <v>230598.48063235031</v>
      </c>
      <c r="T90" s="201" t="str">
        <f t="shared" si="56"/>
        <v/>
      </c>
      <c r="U90" s="252">
        <f t="shared" si="47"/>
        <v>108580.50554000288</v>
      </c>
      <c r="V90" s="251" t="str">
        <f>IF(AugerModel="Sinton","",IF(SampleType="n-type",n_intr_boltzmann(SampleDoping,0,K90,Temperature+273.15),n_intr_boltzmann(0,SampleDoping,K90,Temperature+273.15)))</f>
        <v/>
      </c>
      <c r="W90" s="251" t="str">
        <f t="shared" si="51"/>
        <v/>
      </c>
      <c r="X90" s="246">
        <f>IF(AND(A90&gt;TimeofMaxCD,I90&gt;Traps),IF(AugerModel="Sinton",CalcImpliedV(SampleDoping,O90),CalcImpliedVRichter(O90,SampleDoping,V90)),"")</f>
        <v>0.57704423191661947</v>
      </c>
      <c r="Y90" s="253">
        <f t="shared" si="48"/>
        <v>1.0707935879453789</v>
      </c>
      <c r="Z90" s="200" t="str">
        <f t="shared" si="49"/>
        <v/>
      </c>
      <c r="AE90" s="251">
        <f t="shared" si="50"/>
        <v>1475.4270214039186</v>
      </c>
    </row>
    <row r="91" spans="1:31" x14ac:dyDescent="0.2">
      <c r="A91" s="244">
        <v>8.2498999999999992E-3</v>
      </c>
      <c r="B91" s="244">
        <v>5.6361700000000002E-3</v>
      </c>
      <c r="C91" s="245">
        <v>1.0717900000000001E-2</v>
      </c>
      <c r="D91" s="246">
        <f>IF(CouplingMode="AC",B91-(A$11-A$10)*SUM(B$9:B91)/0.21,B91)</f>
        <v>5.6361700000000002E-3</v>
      </c>
      <c r="E91" s="247">
        <f t="shared" si="38"/>
        <v>1.0184262149167762</v>
      </c>
      <c r="F91" s="247">
        <f t="shared" si="39"/>
        <v>1.0184262149167762</v>
      </c>
      <c r="G91" s="248">
        <f t="shared" si="40"/>
        <v>1.6910198075397155E+17</v>
      </c>
      <c r="H91" s="249">
        <f t="shared" si="41"/>
        <v>1.7415440679216521E-4</v>
      </c>
      <c r="I91" s="248">
        <f>IF(MobilityModel=DK,CalcDeltaN(H91,SampleDoping,Thickness,AreaFrac),CalcDeltaNDL(H91,AreaFrac,Thickness,SampleType,SampleDoping,Temperature))</f>
        <v>40920911006855.859</v>
      </c>
      <c r="J91" s="248" t="str">
        <f t="shared" si="42"/>
        <v/>
      </c>
      <c r="K91" s="248">
        <f t="shared" si="43"/>
        <v>40920911006855.859</v>
      </c>
      <c r="L91" s="250">
        <f t="shared" si="52"/>
        <v>-2.2713033606998728E+16</v>
      </c>
      <c r="M91" s="196" t="str">
        <f t="shared" si="44"/>
        <v/>
      </c>
      <c r="N91" s="196" t="str">
        <f t="shared" si="45"/>
        <v/>
      </c>
      <c r="O91" s="250">
        <f t="shared" si="46"/>
        <v>40920911006855.859</v>
      </c>
      <c r="P91" s="248">
        <f t="shared" si="53"/>
        <v>4.3453062069454721E-6</v>
      </c>
      <c r="Q91" s="250" t="str">
        <f t="shared" si="54"/>
        <v/>
      </c>
      <c r="R91" s="251" t="str">
        <f t="shared" si="57"/>
        <v/>
      </c>
      <c r="S91" s="252">
        <f>IF(AND(E91&gt;0.95*BiasLight,E91&lt;1.05*BiasLight),"",IF(AugerModel="Sinton",calclifetimeauger(Auger_Coefficient,I91,P91),calclifetimerichter(SampleType,I91,SampleDoping,P91)))</f>
        <v>230133.37617564134</v>
      </c>
      <c r="T91" s="201" t="str">
        <f t="shared" si="56"/>
        <v/>
      </c>
      <c r="U91" s="252">
        <f t="shared" si="47"/>
        <v>108579.78039415533</v>
      </c>
      <c r="V91" s="251" t="str">
        <f>IF(AugerModel="Sinton","",IF(SampleType="n-type",n_intr_boltzmann(SampleDoping,0,K91,Temperature+273.15),n_intr_boltzmann(0,SampleDoping,K91,Temperature+273.15)))</f>
        <v/>
      </c>
      <c r="W91" s="251" t="str">
        <f t="shared" si="51"/>
        <v/>
      </c>
      <c r="X91" s="246">
        <f>IF(AND(A91&gt;TimeofMaxCD,I91&gt;Traps),IF(AugerModel="Sinton",CalcImpliedV(SampleDoping,O91),CalcImpliedVRichter(O91,SampleDoping,V91)),"")</f>
        <v>0.57586499588396178</v>
      </c>
      <c r="Y91" s="253">
        <f t="shared" si="48"/>
        <v>1.0208884443795259</v>
      </c>
      <c r="Z91" s="200" t="str">
        <f t="shared" si="49"/>
        <v/>
      </c>
      <c r="AE91" s="251">
        <f t="shared" si="50"/>
        <v>1475.8905695607295</v>
      </c>
    </row>
    <row r="92" spans="1:31" x14ac:dyDescent="0.2">
      <c r="A92" s="244">
        <v>8.3499000000000004E-3</v>
      </c>
      <c r="B92" s="244">
        <v>5.0638999999999997E-3</v>
      </c>
      <c r="C92" s="245">
        <v>1.02159E-2</v>
      </c>
      <c r="D92" s="246">
        <f>IF(CouplingMode="AC",B92-(A$11-A$10)*SUM(B$9:B92)/0.21,B92)</f>
        <v>5.0638999999999997E-3</v>
      </c>
      <c r="E92" s="247">
        <f t="shared" si="38"/>
        <v>0.97072564298680653</v>
      </c>
      <c r="F92" s="247">
        <f t="shared" si="39"/>
        <v>0.97072564298680653</v>
      </c>
      <c r="G92" s="248">
        <f t="shared" si="40"/>
        <v>1.6118166107021882E+17</v>
      </c>
      <c r="H92" s="249">
        <f t="shared" si="41"/>
        <v>1.5647030801972661E-4</v>
      </c>
      <c r="I92" s="248">
        <f>IF(MobilityModel=DK,CalcDeltaN(H92,SampleDoping,Thickness,AreaFrac),CalcDeltaNDL(H92,AreaFrac,Thickness,SampleType,SampleDoping,Temperature))</f>
        <v>36739373449218.555</v>
      </c>
      <c r="J92" s="248" t="str">
        <f t="shared" si="42"/>
        <v/>
      </c>
      <c r="K92" s="248">
        <f t="shared" si="43"/>
        <v>36739373449218.555</v>
      </c>
      <c r="L92" s="250">
        <f t="shared" si="52"/>
        <v>-2.4270664794842752E+16</v>
      </c>
      <c r="M92" s="196" t="str">
        <f t="shared" si="44"/>
        <v/>
      </c>
      <c r="N92" s="196" t="str">
        <f t="shared" si="45"/>
        <v/>
      </c>
      <c r="O92" s="250">
        <f t="shared" si="46"/>
        <v>36739373449218.555</v>
      </c>
      <c r="P92" s="248">
        <f t="shared" si="53"/>
        <v>4.091787678437085E-6</v>
      </c>
      <c r="Q92" s="250" t="str">
        <f t="shared" si="54"/>
        <v/>
      </c>
      <c r="R92" s="251" t="str">
        <f t="shared" si="57"/>
        <v/>
      </c>
      <c r="S92" s="252">
        <f>IF(AND(E92&gt;0.95*BiasLight,E92&lt;1.05*BiasLight),"",IF(AugerModel="Sinton",calclifetimeauger(Auger_Coefficient,I92,P92),calclifetimerichter(SampleType,I92,SampleDoping,P92)))</f>
        <v>244391.95515974361</v>
      </c>
      <c r="T92" s="201" t="str">
        <f t="shared" si="56"/>
        <v/>
      </c>
      <c r="U92" s="252">
        <f t="shared" si="47"/>
        <v>108578.19600183624</v>
      </c>
      <c r="V92" s="251" t="str">
        <f>IF(AugerModel="Sinton","",IF(SampleType="n-type",n_intr_boltzmann(SampleDoping,0,K92,Temperature+273.15),n_intr_boltzmann(0,SampleDoping,K92,Temperature+273.15)))</f>
        <v/>
      </c>
      <c r="W92" s="251" t="str">
        <f t="shared" si="51"/>
        <v/>
      </c>
      <c r="X92" s="246">
        <f>IF(AND(A92&gt;TimeofMaxCD,I92&gt;Traps),IF(AugerModel="Sinton",CalcImpliedV(SampleDoping,O92),CalcImpliedVRichter(O92,SampleDoping,V92)),"")</f>
        <v>0.57308488041734906</v>
      </c>
      <c r="Y92" s="253">
        <f t="shared" si="48"/>
        <v>0.97335672903952875</v>
      </c>
      <c r="Z92" s="200" t="str">
        <f t="shared" si="49"/>
        <v/>
      </c>
      <c r="AE92" s="251">
        <f t="shared" si="50"/>
        <v>1476.9478979254498</v>
      </c>
    </row>
    <row r="93" spans="1:31" x14ac:dyDescent="0.2">
      <c r="A93" s="244">
        <v>8.4498999999999998E-3</v>
      </c>
      <c r="B93" s="244">
        <v>4.97797E-3</v>
      </c>
      <c r="C93" s="245">
        <v>9.7413099999999996E-3</v>
      </c>
      <c r="D93" s="246">
        <f>IF(CouplingMode="AC",B93-(A$11-A$10)*SUM(B$9:B93)/0.21,B93)</f>
        <v>4.97797E-3</v>
      </c>
      <c r="E93" s="247">
        <f t="shared" si="38"/>
        <v>0.92562959830106095</v>
      </c>
      <c r="F93" s="247">
        <f t="shared" si="39"/>
        <v>0.92562959830106095</v>
      </c>
      <c r="G93" s="248">
        <f t="shared" si="40"/>
        <v>1.5369380346322237E+17</v>
      </c>
      <c r="H93" s="249">
        <f t="shared" si="41"/>
        <v>1.5381495259129269E-4</v>
      </c>
      <c r="I93" s="248">
        <f>IF(MobilityModel=DK,CalcDeltaN(H93,SampleDoping,Thickness,AreaFrac),CalcDeltaNDL(H93,AreaFrac,Thickness,SampleType,SampleDoping,Temperature))</f>
        <v>36111873304960.227</v>
      </c>
      <c r="J93" s="248" t="str">
        <f t="shared" si="42"/>
        <v/>
      </c>
      <c r="K93" s="248">
        <f t="shared" si="43"/>
        <v>36111873304960.227</v>
      </c>
      <c r="L93" s="250">
        <f t="shared" si="52"/>
        <v>-2.3657105508793248E+16</v>
      </c>
      <c r="M93" s="196" t="str">
        <f t="shared" si="44"/>
        <v/>
      </c>
      <c r="N93" s="196" t="str">
        <f t="shared" si="45"/>
        <v/>
      </c>
      <c r="O93" s="250">
        <f t="shared" si="46"/>
        <v>36111873304960.227</v>
      </c>
      <c r="P93" s="248">
        <f t="shared" si="53"/>
        <v>4.2175919689355493E-6</v>
      </c>
      <c r="Q93" s="250" t="str">
        <f t="shared" si="54"/>
        <v/>
      </c>
      <c r="R93" s="251" t="str">
        <f t="shared" si="57"/>
        <v/>
      </c>
      <c r="S93" s="252">
        <f>IF(AND(E93&gt;0.95*BiasLight,E93&lt;1.05*BiasLight),"",IF(AugerModel="Sinton",calclifetimeauger(Auger_Coefficient,I93,P93),calclifetimerichter(SampleType,I93,SampleDoping,P93)))</f>
        <v>237102.11851582775</v>
      </c>
      <c r="T93" s="201" t="str">
        <f t="shared" si="56"/>
        <v/>
      </c>
      <c r="U93" s="252">
        <f t="shared" si="47"/>
        <v>108577.95824087031</v>
      </c>
      <c r="V93" s="251" t="str">
        <f>IF(AugerModel="Sinton","",IF(SampleType="n-type",n_intr_boltzmann(SampleDoping,0,K93,Temperature+273.15),n_intr_boltzmann(0,SampleDoping,K93,Temperature+273.15)))</f>
        <v/>
      </c>
      <c r="W93" s="251" t="str">
        <f t="shared" si="51"/>
        <v/>
      </c>
      <c r="X93" s="246">
        <f>IF(AND(A93&gt;TimeofMaxCD,I93&gt;Traps),IF(AugerModel="Sinton",CalcImpliedV(SampleDoping,O93),CalcImpliedVRichter(O93,SampleDoping,V93)),"")</f>
        <v>0.57264066944372372</v>
      </c>
      <c r="Y93" s="253">
        <f t="shared" si="48"/>
        <v>0.92819417083659328</v>
      </c>
      <c r="Z93" s="200" t="str">
        <f t="shared" si="49"/>
        <v/>
      </c>
      <c r="AE93" s="251">
        <f t="shared" si="50"/>
        <v>1477.1123221163873</v>
      </c>
    </row>
    <row r="94" spans="1:31" x14ac:dyDescent="0.2">
      <c r="A94" s="244">
        <v>8.5498999999999992E-3</v>
      </c>
      <c r="B94" s="244">
        <v>4.5658599999999997E-3</v>
      </c>
      <c r="C94" s="245">
        <v>9.2823200000000002E-3</v>
      </c>
      <c r="D94" s="246">
        <f>IF(CouplingMode="AC",B94-(A$11-A$10)*SUM(B$9:B94)/0.21,B94)</f>
        <v>4.5658599999999997E-3</v>
      </c>
      <c r="E94" s="247">
        <f t="shared" si="38"/>
        <v>0.88201588214541005</v>
      </c>
      <c r="F94" s="247">
        <f t="shared" si="39"/>
        <v>0.88201588214541005</v>
      </c>
      <c r="G94" s="248">
        <f t="shared" si="40"/>
        <v>1.4645207531253373E+17</v>
      </c>
      <c r="H94" s="249">
        <f t="shared" si="41"/>
        <v>1.4108027666048101E-4</v>
      </c>
      <c r="I94" s="248">
        <f>IF(MobilityModel=DK,CalcDeltaN(H94,SampleDoping,Thickness,AreaFrac),CalcDeltaNDL(H94,AreaFrac,Thickness,SampleType,SampleDoping,Temperature))</f>
        <v>33103906660121.973</v>
      </c>
      <c r="J94" s="248" t="str">
        <f t="shared" si="42"/>
        <v/>
      </c>
      <c r="K94" s="248">
        <f t="shared" si="43"/>
        <v>33103906660121.973</v>
      </c>
      <c r="L94" s="250">
        <f t="shared" si="52"/>
        <v>-1.8626123458417264E+16</v>
      </c>
      <c r="M94" s="196" t="str">
        <f t="shared" si="44"/>
        <v/>
      </c>
      <c r="N94" s="196" t="str">
        <f t="shared" si="45"/>
        <v/>
      </c>
      <c r="O94" s="250">
        <f t="shared" si="46"/>
        <v>33103906660121.973</v>
      </c>
      <c r="P94" s="248">
        <f t="shared" si="53"/>
        <v>4.0594120542971997E-6</v>
      </c>
      <c r="Q94" s="250" t="str">
        <f t="shared" si="54"/>
        <v/>
      </c>
      <c r="R94" s="251" t="str">
        <f t="shared" si="57"/>
        <v/>
      </c>
      <c r="S94" s="252">
        <f>IF(AND(E94&gt;0.95*BiasLight,E94&lt;1.05*BiasLight),"",IF(AugerModel="Sinton",calclifetimeauger(Auger_Coefficient,I94,P94),calclifetimerichter(SampleType,I94,SampleDoping,P94)))</f>
        <v>246341.09059137676</v>
      </c>
      <c r="T94" s="201" t="str">
        <f t="shared" si="56"/>
        <v/>
      </c>
      <c r="U94" s="252">
        <f t="shared" si="47"/>
        <v>108576.81851674194</v>
      </c>
      <c r="V94" s="251" t="str">
        <f>IF(AugerModel="Sinton","",IF(SampleType="n-type",n_intr_boltzmann(SampleDoping,0,K94,Temperature+273.15),n_intr_boltzmann(0,SampleDoping,K94,Temperature+273.15)))</f>
        <v/>
      </c>
      <c r="W94" s="251" t="str">
        <f t="shared" si="51"/>
        <v/>
      </c>
      <c r="X94" s="246">
        <f>IF(AND(A94&gt;TimeofMaxCD,I94&gt;Traps),IF(AugerModel="Sinton",CalcImpliedV(SampleDoping,O94),CalcImpliedVRichter(O94,SampleDoping,V94)),"")</f>
        <v>0.57039853060914825</v>
      </c>
      <c r="Y94" s="253">
        <f t="shared" si="48"/>
        <v>0.88403506596513515</v>
      </c>
      <c r="Z94" s="200" t="str">
        <f t="shared" si="49"/>
        <v/>
      </c>
      <c r="AE94" s="251">
        <f t="shared" si="50"/>
        <v>1477.9237798884797</v>
      </c>
    </row>
    <row r="95" spans="1:31" x14ac:dyDescent="0.2">
      <c r="A95" s="244">
        <v>8.6499000000000003E-3</v>
      </c>
      <c r="B95" s="244">
        <v>4.2650800000000001E-3</v>
      </c>
      <c r="C95" s="245">
        <v>8.8428699999999992E-3</v>
      </c>
      <c r="D95" s="246">
        <f>IF(CouplingMode="AC",B95-(A$11-A$10)*SUM(B$9:B95)/0.21,B95)</f>
        <v>4.2650800000000001E-3</v>
      </c>
      <c r="E95" s="247">
        <f t="shared" si="38"/>
        <v>0.84025887749476225</v>
      </c>
      <c r="F95" s="247">
        <f t="shared" si="39"/>
        <v>0.84025887749476225</v>
      </c>
      <c r="G95" s="248">
        <f t="shared" si="40"/>
        <v>1.3951864008339994E+17</v>
      </c>
      <c r="H95" s="249">
        <f t="shared" si="41"/>
        <v>1.3178592167853442E-4</v>
      </c>
      <c r="I95" s="248">
        <f>IF(MobilityModel=DK,CalcDeltaN(H95,SampleDoping,Thickness,AreaFrac),CalcDeltaNDL(H95,AreaFrac,Thickness,SampleType,SampleDoping,Temperature))</f>
        <v>30910091647007.52</v>
      </c>
      <c r="J95" s="248" t="str">
        <f t="shared" si="42"/>
        <v/>
      </c>
      <c r="K95" s="248">
        <f t="shared" si="43"/>
        <v>30910091647007.52</v>
      </c>
      <c r="L95" s="250">
        <f t="shared" si="52"/>
        <v>-1.9259858072858592E+16</v>
      </c>
      <c r="M95" s="196" t="str">
        <f t="shared" si="44"/>
        <v/>
      </c>
      <c r="N95" s="196" t="str">
        <f t="shared" si="45"/>
        <v/>
      </c>
      <c r="O95" s="250">
        <f t="shared" si="46"/>
        <v>30910091647007.52</v>
      </c>
      <c r="P95" s="248">
        <f t="shared" si="53"/>
        <v>3.9779815287797986E-6</v>
      </c>
      <c r="Q95" s="250" t="str">
        <f t="shared" si="54"/>
        <v/>
      </c>
      <c r="R95" s="251" t="str">
        <f t="shared" si="57"/>
        <v/>
      </c>
      <c r="S95" s="252">
        <f>IF(AND(E95&gt;0.95*BiasLight,E95&lt;1.05*BiasLight),"",IF(AugerModel="Sinton",calclifetimeauger(Auger_Coefficient,I95,P95),calclifetimerichter(SampleType,I95,SampleDoping,P95)))</f>
        <v>251383.76999894727</v>
      </c>
      <c r="T95" s="201" t="str">
        <f t="shared" si="56"/>
        <v/>
      </c>
      <c r="U95" s="252">
        <f t="shared" si="47"/>
        <v>108575.98727617353</v>
      </c>
      <c r="V95" s="251" t="str">
        <f>IF(AugerModel="Sinton","",IF(SampleType="n-type",n_intr_boltzmann(SampleDoping,0,K95,Temperature+273.15),n_intr_boltzmann(0,SampleDoping,K95,Temperature+273.15)))</f>
        <v/>
      </c>
      <c r="W95" s="251" t="str">
        <f t="shared" si="51"/>
        <v/>
      </c>
      <c r="X95" s="246">
        <f>IF(AND(A95&gt;TimeofMaxCD,I95&gt;Traps),IF(AugerModel="Sinton",CalcImpliedV(SampleDoping,O95),CalcImpliedVRichter(O95,SampleDoping,V95)),"")</f>
        <v>0.56863126312847234</v>
      </c>
      <c r="Y95" s="253">
        <f t="shared" si="48"/>
        <v>0.84234676195863012</v>
      </c>
      <c r="Z95" s="200" t="str">
        <f t="shared" si="49"/>
        <v/>
      </c>
      <c r="AE95" s="251">
        <f t="shared" si="50"/>
        <v>1478.5421461439562</v>
      </c>
    </row>
    <row r="96" spans="1:31" x14ac:dyDescent="0.2">
      <c r="A96" s="244">
        <v>8.7498999999999997E-3</v>
      </c>
      <c r="B96" s="244">
        <v>4.1439800000000002E-3</v>
      </c>
      <c r="C96" s="245">
        <v>8.4122099999999998E-3</v>
      </c>
      <c r="D96" s="246">
        <f>IF(CouplingMode="AC",B96-(A$11-A$10)*SUM(B$9:B96)/0.21,B96)</f>
        <v>4.1439800000000002E-3</v>
      </c>
      <c r="E96" s="247">
        <f t="shared" si="38"/>
        <v>0.79933710795818713</v>
      </c>
      <c r="F96" s="247">
        <f t="shared" si="39"/>
        <v>0.79933710795818713</v>
      </c>
      <c r="G96" s="248">
        <f t="shared" si="40"/>
        <v>1.3272388933637811E+17</v>
      </c>
      <c r="H96" s="249">
        <f t="shared" si="41"/>
        <v>1.2804385248389727E-4</v>
      </c>
      <c r="I96" s="248">
        <f>IF(MobilityModel=DK,CalcDeltaN(H96,SampleDoping,Thickness,AreaFrac),CalcDeltaNDL(H96,AreaFrac,Thickness,SampleType,SampleDoping,Temperature))</f>
        <v>30027202548986.285</v>
      </c>
      <c r="J96" s="248" t="str">
        <f t="shared" si="42"/>
        <v/>
      </c>
      <c r="K96" s="248">
        <f t="shared" si="43"/>
        <v>30027202548986.285</v>
      </c>
      <c r="L96" s="250">
        <f t="shared" si="52"/>
        <v>-1.0466725064459624E+16</v>
      </c>
      <c r="M96" s="196" t="str">
        <f t="shared" si="44"/>
        <v/>
      </c>
      <c r="N96" s="196" t="str">
        <f t="shared" si="45"/>
        <v/>
      </c>
      <c r="O96" s="250">
        <f t="shared" si="46"/>
        <v>30027202548986.285</v>
      </c>
      <c r="P96" s="248">
        <f t="shared" si="53"/>
        <v>4.0665136708262491E-6</v>
      </c>
      <c r="Q96" s="250" t="str">
        <f t="shared" si="54"/>
        <v/>
      </c>
      <c r="R96" s="251" t="str">
        <f t="shared" si="57"/>
        <v/>
      </c>
      <c r="S96" s="252">
        <f>IF(AND(E96&gt;0.95*BiasLight,E96&lt;1.05*BiasLight),"",IF(AugerModel="Sinton",calclifetimeauger(Auger_Coefficient,I96,P96),calclifetimerichter(SampleType,I96,SampleDoping,P96)))</f>
        <v>245910.88948937977</v>
      </c>
      <c r="T96" s="201" t="str">
        <f t="shared" si="56"/>
        <v/>
      </c>
      <c r="U96" s="252">
        <f t="shared" si="47"/>
        <v>108575.65274786038</v>
      </c>
      <c r="V96" s="251" t="str">
        <f>IF(AugerModel="Sinton","",IF(SampleType="n-type",n_intr_boltzmann(SampleDoping,0,K96,Temperature+273.15),n_intr_boltzmann(0,SampleDoping,K96,Temperature+273.15)))</f>
        <v/>
      </c>
      <c r="W96" s="251" t="str">
        <f t="shared" si="51"/>
        <v/>
      </c>
      <c r="X96" s="246">
        <f>IF(AND(A96&gt;TimeofMaxCD,I96&gt;Traps),IF(AugerModel="Sinton",CalcImpliedV(SampleDoping,O96),CalcImpliedVRichter(O96,SampleDoping,V96)),"")</f>
        <v>0.56788448199594033</v>
      </c>
      <c r="Y96" s="253">
        <f t="shared" si="48"/>
        <v>0.80047176391291919</v>
      </c>
      <c r="Z96" s="200" t="str">
        <f t="shared" si="49"/>
        <v/>
      </c>
      <c r="AE96" s="251">
        <f t="shared" si="50"/>
        <v>1478.7979573411731</v>
      </c>
    </row>
    <row r="97" spans="1:31" x14ac:dyDescent="0.2">
      <c r="A97" s="244">
        <v>8.8499000000000008E-3</v>
      </c>
      <c r="B97" s="244">
        <v>3.8685899999999999E-3</v>
      </c>
      <c r="C97" s="245">
        <v>8.0098600000000006E-3</v>
      </c>
      <c r="D97" s="246">
        <f>IF(CouplingMode="AC",B97-(A$11-A$10)*SUM(B$9:B97)/0.21,B97)</f>
        <v>3.8685899999999999E-3</v>
      </c>
      <c r="E97" s="247">
        <f t="shared" si="38"/>
        <v>0.7611053846194954</v>
      </c>
      <c r="F97" s="247">
        <f t="shared" si="39"/>
        <v>0.7611053846194954</v>
      </c>
      <c r="G97" s="248">
        <f t="shared" si="40"/>
        <v>1.2637580044243805E+17</v>
      </c>
      <c r="H97" s="249">
        <f t="shared" si="41"/>
        <v>1.1953416982081466E-4</v>
      </c>
      <c r="I97" s="248">
        <f>IF(MobilityModel=DK,CalcDeltaN(H97,SampleDoping,Thickness,AreaFrac),CalcDeltaNDL(H97,AreaFrac,Thickness,SampleType,SampleDoping,Temperature))</f>
        <v>28020296324098.75</v>
      </c>
      <c r="J97" s="248" t="str">
        <f t="shared" si="42"/>
        <v/>
      </c>
      <c r="K97" s="248">
        <f t="shared" si="43"/>
        <v>28020296324098.75</v>
      </c>
      <c r="L97" s="250">
        <f t="shared" si="52"/>
        <v>-1.6358744050264516E+16</v>
      </c>
      <c r="M97" s="196" t="str">
        <f t="shared" si="44"/>
        <v/>
      </c>
      <c r="N97" s="196" t="str">
        <f t="shared" si="45"/>
        <v/>
      </c>
      <c r="O97" s="250">
        <f t="shared" si="46"/>
        <v>28020296324098.75</v>
      </c>
      <c r="P97" s="248">
        <f t="shared" si="53"/>
        <v>3.9817186958709439E-6</v>
      </c>
      <c r="Q97" s="250" t="str">
        <f t="shared" si="54"/>
        <v/>
      </c>
      <c r="R97" s="251" t="str">
        <f t="shared" si="57"/>
        <v/>
      </c>
      <c r="S97" s="252">
        <f>IF(AND(E97&gt;0.95*BiasLight,E97&lt;1.05*BiasLight),"",IF(AugerModel="Sinton",calclifetimeauger(Auger_Coefficient,I97,P97),calclifetimerichter(SampleType,I97,SampleDoping,P97)))</f>
        <v>251147.82615043101</v>
      </c>
      <c r="T97" s="201" t="str">
        <f t="shared" si="56"/>
        <v/>
      </c>
      <c r="U97" s="252">
        <f t="shared" si="47"/>
        <v>108574.89232737772</v>
      </c>
      <c r="V97" s="251" t="str">
        <f>IF(AugerModel="Sinton","",IF(SampleType="n-type",n_intr_boltzmann(SampleDoping,0,K97,Temperature+273.15),n_intr_boltzmann(0,SampleDoping,K97,Temperature+273.15)))</f>
        <v/>
      </c>
      <c r="W97" s="251" t="str">
        <f t="shared" si="51"/>
        <v/>
      </c>
      <c r="X97" s="246">
        <f>IF(AND(A97&gt;TimeofMaxCD,I97&gt;Traps),IF(AugerModel="Sinton",CalcImpliedV(SampleDoping,O97),CalcImpliedVRichter(O97,SampleDoping,V97)),"")</f>
        <v>0.56610213320765124</v>
      </c>
      <c r="Y97" s="253">
        <f t="shared" si="48"/>
        <v>0.76287877087300449</v>
      </c>
      <c r="Z97" s="200" t="str">
        <f t="shared" si="49"/>
        <v/>
      </c>
      <c r="AE97" s="251">
        <f t="shared" si="50"/>
        <v>1479.3956215730261</v>
      </c>
    </row>
    <row r="98" spans="1:31" x14ac:dyDescent="0.2">
      <c r="A98" s="244">
        <v>8.9499000000000002E-3</v>
      </c>
      <c r="B98" s="244">
        <v>4.0463299999999999E-3</v>
      </c>
      <c r="C98" s="245">
        <v>7.6348600000000003E-3</v>
      </c>
      <c r="D98" s="246">
        <f>IF(CouplingMode="AC",B98-(A$11-A$10)*SUM(B$9:B98)/0.21,B98)</f>
        <v>4.0463299999999999E-3</v>
      </c>
      <c r="E98" s="247">
        <f t="shared" si="38"/>
        <v>0.72547248726145031</v>
      </c>
      <c r="F98" s="247">
        <f t="shared" si="39"/>
        <v>0.72547248726145031</v>
      </c>
      <c r="G98" s="248">
        <f t="shared" si="40"/>
        <v>1.2045922697349923E+17</v>
      </c>
      <c r="H98" s="249">
        <f t="shared" si="41"/>
        <v>1.2502641309931201E-4</v>
      </c>
      <c r="I98" s="248">
        <f>IF(MobilityModel=DK,CalcDeltaN(H98,SampleDoping,Thickness,AreaFrac),CalcDeltaNDL(H98,AreaFrac,Thickness,SampleType,SampleDoping,Temperature))</f>
        <v>29315441789346.539</v>
      </c>
      <c r="J98" s="248" t="str">
        <f t="shared" si="42"/>
        <v/>
      </c>
      <c r="K98" s="248">
        <f t="shared" si="43"/>
        <v>29315441789346.539</v>
      </c>
      <c r="L98" s="250">
        <f t="shared" si="52"/>
        <v>-2.0888776154463024E+16</v>
      </c>
      <c r="M98" s="196" t="str">
        <f t="shared" si="44"/>
        <v/>
      </c>
      <c r="N98" s="196" t="str">
        <f t="shared" si="45"/>
        <v/>
      </c>
      <c r="O98" s="250">
        <f t="shared" si="46"/>
        <v>29315441789346.539</v>
      </c>
      <c r="P98" s="248">
        <f t="shared" si="53"/>
        <v>4.3669215864129394E-6</v>
      </c>
      <c r="Q98" s="250" t="str">
        <f t="shared" si="54"/>
        <v/>
      </c>
      <c r="R98" s="251" t="str">
        <f t="shared" si="57"/>
        <v/>
      </c>
      <c r="S98" s="252">
        <f>IF(AND(E98&gt;0.95*BiasLight,E98&lt;1.05*BiasLight),"",IF(AugerModel="Sinton",calclifetimeauger(Auger_Coefficient,I98,P98),calclifetimerichter(SampleType,I98,SampleDoping,P98)))</f>
        <v>228994.26380394062</v>
      </c>
      <c r="T98" s="201" t="str">
        <f t="shared" si="56"/>
        <v/>
      </c>
      <c r="U98" s="252">
        <f t="shared" si="47"/>
        <v>108575.38306039135</v>
      </c>
      <c r="V98" s="251" t="str">
        <f>IF(AugerModel="Sinton","",IF(SampleType="n-type",n_intr_boltzmann(SampleDoping,0,K98,Temperature+273.15),n_intr_boltzmann(0,SampleDoping,K98,Temperature+273.15)))</f>
        <v/>
      </c>
      <c r="W98" s="251" t="str">
        <f t="shared" si="51"/>
        <v/>
      </c>
      <c r="X98" s="246">
        <f>IF(AND(A98&gt;TimeofMaxCD,I98&gt;Traps),IF(AugerModel="Sinton",CalcImpliedV(SampleDoping,O98),CalcImpliedVRichter(O98,SampleDoping,V98)),"")</f>
        <v>0.56726633338185262</v>
      </c>
      <c r="Y98" s="253">
        <f t="shared" si="48"/>
        <v>0.72773695624336787</v>
      </c>
      <c r="Z98" s="200" t="str">
        <f t="shared" si="49"/>
        <v/>
      </c>
      <c r="AE98" s="251">
        <f t="shared" si="50"/>
        <v>1479.0072793246934</v>
      </c>
    </row>
    <row r="99" spans="1:31" x14ac:dyDescent="0.2">
      <c r="A99" s="244">
        <v>9.0498999999999996E-3</v>
      </c>
      <c r="B99" s="244">
        <v>3.1908599999999998E-3</v>
      </c>
      <c r="C99" s="245">
        <v>7.2579100000000002E-3</v>
      </c>
      <c r="D99" s="246">
        <f>IF(CouplingMode="AC",B99-(A$11-A$10)*SUM(B$9:B99)/0.21,B99)</f>
        <v>3.1908599999999998E-3</v>
      </c>
      <c r="E99" s="247">
        <f t="shared" si="38"/>
        <v>0.68965429883714346</v>
      </c>
      <c r="F99" s="247">
        <f t="shared" si="39"/>
        <v>0.68965429883714346</v>
      </c>
      <c r="G99" s="248">
        <f t="shared" si="40"/>
        <v>1.1451188732252194E+17</v>
      </c>
      <c r="H99" s="249">
        <f t="shared" si="41"/>
        <v>9.8592275316167211E-5</v>
      </c>
      <c r="I99" s="248">
        <f>IF(MobilityModel=DK,CalcDeltaN(H99,SampleDoping,Thickness,AreaFrac),CalcDeltaNDL(H99,AreaFrac,Thickness,SampleType,SampleDoping,Temperature))</f>
        <v>23086600001695.137</v>
      </c>
      <c r="J99" s="248" t="str">
        <f t="shared" si="42"/>
        <v/>
      </c>
      <c r="K99" s="248">
        <f t="shared" si="43"/>
        <v>23086600001695.137</v>
      </c>
      <c r="L99" s="250">
        <f t="shared" si="52"/>
        <v>-2.4260744437097936E+16</v>
      </c>
      <c r="M99" s="196" t="str">
        <f t="shared" si="44"/>
        <v/>
      </c>
      <c r="N99" s="196" t="str">
        <f t="shared" si="45"/>
        <v/>
      </c>
      <c r="O99" s="250">
        <f t="shared" si="46"/>
        <v>23086600001695.137</v>
      </c>
      <c r="P99" s="248">
        <f t="shared" si="53"/>
        <v>3.6151712132411729E-6</v>
      </c>
      <c r="Q99" s="250" t="str">
        <f t="shared" si="54"/>
        <v/>
      </c>
      <c r="R99" s="251" t="str">
        <f t="shared" si="57"/>
        <v/>
      </c>
      <c r="S99" s="252">
        <f>IF(AND(E99&gt;0.95*BiasLight,E99&lt;1.05*BiasLight),"",IF(AugerModel="Sinton",calclifetimeauger(Auger_Coefficient,I99,P99),calclifetimerichter(SampleType,I99,SampleDoping,P99)))</f>
        <v>276612.07113476505</v>
      </c>
      <c r="T99" s="201" t="str">
        <f t="shared" si="56"/>
        <v/>
      </c>
      <c r="U99" s="252">
        <f t="shared" si="47"/>
        <v>108573.0229407107</v>
      </c>
      <c r="V99" s="251" t="str">
        <f>IF(AugerModel="Sinton","",IF(SampleType="n-type",n_intr_boltzmann(SampleDoping,0,K99,Temperature+273.15),n_intr_boltzmann(0,SampleDoping,K99,Temperature+273.15)))</f>
        <v/>
      </c>
      <c r="W99" s="251" t="str">
        <f t="shared" si="51"/>
        <v/>
      </c>
      <c r="X99" s="246">
        <f>IF(AND(A99&gt;TimeofMaxCD,I99&gt;Traps),IF(AugerModel="Sinton",CalcImpliedV(SampleDoping,O99),CalcImpliedVRichter(O99,SampleDoping,V99)),"")</f>
        <v>0.56111365869414431</v>
      </c>
      <c r="Y99" s="253">
        <f t="shared" si="48"/>
        <v>0.69228430946341457</v>
      </c>
      <c r="Z99" s="200" t="str">
        <f t="shared" si="49"/>
        <v/>
      </c>
      <c r="AE99" s="251">
        <f t="shared" si="50"/>
        <v>1480.9755686634996</v>
      </c>
    </row>
    <row r="100" spans="1:31" x14ac:dyDescent="0.2">
      <c r="A100" s="244">
        <v>9.1499000000000007E-3</v>
      </c>
      <c r="B100" s="244">
        <v>3.04828E-3</v>
      </c>
      <c r="C100" s="245">
        <v>6.9102499999999997E-3</v>
      </c>
      <c r="D100" s="246">
        <f>IF(CouplingMode="AC",B100-(A$11-A$10)*SUM(B$9:B100)/0.21,B100)</f>
        <v>3.04828E-3</v>
      </c>
      <c r="E100" s="247">
        <f t="shared" si="38"/>
        <v>0.65661927724914881</v>
      </c>
      <c r="F100" s="247">
        <f t="shared" si="39"/>
        <v>0.65661927724914881</v>
      </c>
      <c r="G100" s="248">
        <f t="shared" si="40"/>
        <v>1.0902667150329187E+17</v>
      </c>
      <c r="H100" s="249">
        <f t="shared" si="41"/>
        <v>9.4186597303723418E-5</v>
      </c>
      <c r="I100" s="248">
        <f>IF(MobilityModel=DK,CalcDeltaN(H100,SampleDoping,Thickness,AreaFrac),CalcDeltaNDL(H100,AreaFrac,Thickness,SampleType,SampleDoping,Temperature))</f>
        <v>22049662632956.566</v>
      </c>
      <c r="J100" s="248" t="str">
        <f t="shared" si="42"/>
        <v/>
      </c>
      <c r="K100" s="248">
        <f t="shared" si="43"/>
        <v>22049662632956.566</v>
      </c>
      <c r="L100" s="250">
        <f t="shared" si="52"/>
        <v>-2.0452391533234428E+16</v>
      </c>
      <c r="M100" s="196" t="str">
        <f t="shared" si="44"/>
        <v/>
      </c>
      <c r="N100" s="196" t="str">
        <f t="shared" si="45"/>
        <v/>
      </c>
      <c r="O100" s="250">
        <f t="shared" si="46"/>
        <v>22049662632956.566</v>
      </c>
      <c r="P100" s="248">
        <f t="shared" si="53"/>
        <v>3.6280872089104776E-6</v>
      </c>
      <c r="Q100" s="250" t="str">
        <f t="shared" si="54"/>
        <v/>
      </c>
      <c r="R100" s="251" t="str">
        <f t="shared" si="57"/>
        <v/>
      </c>
      <c r="S100" s="252">
        <f>IF(AND(E100&gt;0.95*BiasLight,E100&lt;1.05*BiasLight),"",IF(AugerModel="Sinton",calclifetimeauger(Auger_Coefficient,I100,P100),calclifetimerichter(SampleType,I100,SampleDoping,P100)))</f>
        <v>275627.33183918602</v>
      </c>
      <c r="T100" s="201" t="str">
        <f t="shared" si="56"/>
        <v/>
      </c>
      <c r="U100" s="252">
        <f t="shared" si="47"/>
        <v>108572.6300432227</v>
      </c>
      <c r="V100" s="251" t="str">
        <f>IF(AugerModel="Sinton","",IF(SampleType="n-type",n_intr_boltzmann(SampleDoping,0,K100,Temperature+273.15),n_intr_boltzmann(0,SampleDoping,K100,Temperature+273.15)))</f>
        <v/>
      </c>
      <c r="W100" s="251" t="str">
        <f t="shared" si="51"/>
        <v/>
      </c>
      <c r="X100" s="246">
        <f>IF(AND(A100&gt;TimeofMaxCD,I100&gt;Traps),IF(AugerModel="Sinton",CalcImpliedV(SampleDoping,O100),CalcImpliedVRichter(O100,SampleDoping,V100)),"")</f>
        <v>0.55993035716537487</v>
      </c>
      <c r="Y100" s="253">
        <f t="shared" si="48"/>
        <v>0.65883643951325532</v>
      </c>
      <c r="Z100" s="200" t="str">
        <f t="shared" si="49"/>
        <v/>
      </c>
      <c r="AE100" s="251">
        <f t="shared" si="50"/>
        <v>1481.3311023956176</v>
      </c>
    </row>
    <row r="101" spans="1:31" x14ac:dyDescent="0.2">
      <c r="A101" s="244">
        <v>9.2499000000000001E-3</v>
      </c>
      <c r="B101" s="244">
        <v>2.7006199999999999E-3</v>
      </c>
      <c r="C101" s="245">
        <v>6.5674799999999997E-3</v>
      </c>
      <c r="D101" s="246">
        <f>IF(CouplingMode="AC",B101-(A$11-A$10)*SUM(B$9:B101)/0.21,B101)</f>
        <v>2.7006199999999999E-3</v>
      </c>
      <c r="E101" s="247">
        <f t="shared" si="38"/>
        <v>0.62404890864270324</v>
      </c>
      <c r="F101" s="247">
        <f t="shared" si="39"/>
        <v>0.62404890864270324</v>
      </c>
      <c r="G101" s="248">
        <f t="shared" si="40"/>
        <v>1.0361860780209678E+17</v>
      </c>
      <c r="H101" s="249">
        <f t="shared" si="41"/>
        <v>8.3444086158381003E-5</v>
      </c>
      <c r="I101" s="248">
        <f>IF(MobilityModel=DK,CalcDeltaN(H101,SampleDoping,Thickness,AreaFrac),CalcDeltaNDL(H101,AreaFrac,Thickness,SampleType,SampleDoping,Temperature))</f>
        <v>19522813683744.777</v>
      </c>
      <c r="J101" s="248" t="str">
        <f t="shared" si="42"/>
        <v/>
      </c>
      <c r="K101" s="248">
        <f t="shared" si="43"/>
        <v>19522813683744.777</v>
      </c>
      <c r="L101" s="250">
        <f t="shared" si="52"/>
        <v>-1.3099908237428666E+16</v>
      </c>
      <c r="M101" s="196" t="str">
        <f t="shared" si="44"/>
        <v/>
      </c>
      <c r="N101" s="196" t="str">
        <f t="shared" si="45"/>
        <v/>
      </c>
      <c r="O101" s="250">
        <f t="shared" si="46"/>
        <v>19522813683744.777</v>
      </c>
      <c r="P101" s="248">
        <f t="shared" si="53"/>
        <v>3.3836854817560604E-6</v>
      </c>
      <c r="Q101" s="250" t="str">
        <f t="shared" si="54"/>
        <v/>
      </c>
      <c r="R101" s="251" t="str">
        <f t="shared" si="57"/>
        <v/>
      </c>
      <c r="S101" s="252">
        <f>IF(AND(E101&gt;0.95*BiasLight,E101&lt;1.05*BiasLight),"",IF(AugerModel="Sinton",calclifetimeauger(Auger_Coefficient,I101,P101),calclifetimerichter(SampleType,I101,SampleDoping,P101)))</f>
        <v>295535.7415016563</v>
      </c>
      <c r="T101" s="201" t="str">
        <f t="shared" si="56"/>
        <v/>
      </c>
      <c r="U101" s="252">
        <f t="shared" si="47"/>
        <v>108571.67261547956</v>
      </c>
      <c r="V101" s="251" t="str">
        <f>IF(AugerModel="Sinton","",IF(SampleType="n-type",n_intr_boltzmann(SampleDoping,0,K101,Temperature+273.15),n_intr_boltzmann(0,SampleDoping,K101,Temperature+273.15)))</f>
        <v/>
      </c>
      <c r="W101" s="251" t="str">
        <f t="shared" si="51"/>
        <v/>
      </c>
      <c r="X101" s="246">
        <f>IF(AND(A101&gt;TimeofMaxCD,I101&gt;Traps),IF(AugerModel="Sinton",CalcImpliedV(SampleDoping,O101),CalcImpliedVRichter(O101,SampleDoping,V101)),"")</f>
        <v>0.55679691542054988</v>
      </c>
      <c r="Y101" s="253">
        <f t="shared" si="48"/>
        <v>0.62546901749208095</v>
      </c>
      <c r="Z101" s="200" t="str">
        <f t="shared" si="49"/>
        <v/>
      </c>
      <c r="AE101" s="251">
        <f t="shared" si="50"/>
        <v>1482.2386598311564</v>
      </c>
    </row>
    <row r="102" spans="1:31" x14ac:dyDescent="0.2">
      <c r="A102" s="244">
        <v>9.3498999999999995E-3</v>
      </c>
      <c r="B102" s="244">
        <v>2.88617E-3</v>
      </c>
      <c r="C102" s="245">
        <v>6.254E-3</v>
      </c>
      <c r="D102" s="246">
        <f>IF(CouplingMode="AC",B102-(A$11-A$10)*SUM(B$9:B102)/0.21,B102)</f>
        <v>2.88617E-3</v>
      </c>
      <c r="E102" s="247">
        <f t="shared" si="38"/>
        <v>0.59426170687257007</v>
      </c>
      <c r="F102" s="247">
        <f t="shared" si="39"/>
        <v>0.59426170687257007</v>
      </c>
      <c r="G102" s="248">
        <f t="shared" si="40"/>
        <v>9.867266793264896E+16</v>
      </c>
      <c r="H102" s="249">
        <f t="shared" si="41"/>
        <v>8.9177470224993671E-5</v>
      </c>
      <c r="I102" s="248">
        <f>IF(MobilityModel=DK,CalcDeltaN(H102,SampleDoping,Thickness,AreaFrac),CalcDeltaNDL(H102,AreaFrac,Thickness,SampleType,SampleDoping,Temperature))</f>
        <v>20871139181704.516</v>
      </c>
      <c r="J102" s="248" t="str">
        <f t="shared" si="42"/>
        <v/>
      </c>
      <c r="K102" s="248">
        <f t="shared" si="43"/>
        <v>20871139181704.516</v>
      </c>
      <c r="L102" s="250">
        <f t="shared" si="52"/>
        <v>-1.312316721000223E+16</v>
      </c>
      <c r="M102" s="196" t="str">
        <f t="shared" si="44"/>
        <v/>
      </c>
      <c r="N102" s="196" t="str">
        <f t="shared" si="45"/>
        <v/>
      </c>
      <c r="O102" s="250">
        <f t="shared" si="46"/>
        <v>20871139181704.516</v>
      </c>
      <c r="P102" s="248">
        <f t="shared" si="53"/>
        <v>3.7982483119625724E-6</v>
      </c>
      <c r="Q102" s="250" t="str">
        <f t="shared" si="54"/>
        <v/>
      </c>
      <c r="R102" s="251" t="str">
        <f t="shared" si="57"/>
        <v/>
      </c>
      <c r="S102" s="252">
        <f>IF(AND(E102&gt;0.95*BiasLight,E102&lt;1.05*BiasLight),"",IF(AugerModel="Sinton",calclifetimeauger(Auger_Coefficient,I102,P102),calclifetimerichter(SampleType,I102,SampleDoping,P102)))</f>
        <v>263279.25799479103</v>
      </c>
      <c r="T102" s="201" t="str">
        <f t="shared" si="56"/>
        <v/>
      </c>
      <c r="U102" s="252">
        <f t="shared" si="47"/>
        <v>108572.183498506</v>
      </c>
      <c r="V102" s="251" t="str">
        <f>IF(AugerModel="Sinton","",IF(SampleType="n-type",n_intr_boltzmann(SampleDoping,0,K102,Temperature+273.15),n_intr_boltzmann(0,SampleDoping,K102,Temperature+273.15)))</f>
        <v/>
      </c>
      <c r="W102" s="251" t="str">
        <f t="shared" si="51"/>
        <v/>
      </c>
      <c r="X102" s="246">
        <f>IF(AND(A102&gt;TimeofMaxCD,I102&gt;Traps),IF(AugerModel="Sinton",CalcImpliedV(SampleDoping,O102),CalcImpliedVRichter(O102,SampleDoping,V102)),"")</f>
        <v>0.55851611832049886</v>
      </c>
      <c r="Y102" s="253">
        <f t="shared" si="48"/>
        <v>0.59568433713447855</v>
      </c>
      <c r="Z102" s="200" t="str">
        <f t="shared" si="49"/>
        <v/>
      </c>
      <c r="AE102" s="251">
        <f t="shared" si="50"/>
        <v>1481.7467286610895</v>
      </c>
    </row>
    <row r="103" spans="1:31" x14ac:dyDescent="0.2">
      <c r="A103" s="244">
        <v>9.4499000000000007E-3</v>
      </c>
      <c r="B103" s="244">
        <v>2.37054E-3</v>
      </c>
      <c r="C103" s="245">
        <v>5.9366200000000001E-3</v>
      </c>
      <c r="D103" s="246">
        <f>IF(CouplingMode="AC",B103-(A$11-A$10)*SUM(B$9:B103)/0.21,B103)</f>
        <v>2.37054E-3</v>
      </c>
      <c r="E103" s="247">
        <f t="shared" si="38"/>
        <v>0.56410392296991319</v>
      </c>
      <c r="F103" s="247">
        <f t="shared" si="39"/>
        <v>0.56410392296991319</v>
      </c>
      <c r="G103" s="248">
        <f t="shared" si="40"/>
        <v>9.366519569912416E+16</v>
      </c>
      <c r="H103" s="249">
        <f t="shared" si="41"/>
        <v>7.3244886992986091E-5</v>
      </c>
      <c r="I103" s="248">
        <f>IF(MobilityModel=DK,CalcDeltaN(H103,SampleDoping,Thickness,AreaFrac),CalcDeltaNDL(H103,AreaFrac,Thickness,SampleType,SampleDoping,Temperature))</f>
        <v>17125907608606.83</v>
      </c>
      <c r="J103" s="248" t="str">
        <f t="shared" si="42"/>
        <v/>
      </c>
      <c r="K103" s="248">
        <f t="shared" si="43"/>
        <v>17125907608606.83</v>
      </c>
      <c r="L103" s="250">
        <f t="shared" si="52"/>
        <v>-9942221336240170</v>
      </c>
      <c r="M103" s="196" t="str">
        <f t="shared" si="44"/>
        <v/>
      </c>
      <c r="N103" s="196" t="str">
        <f t="shared" si="45"/>
        <v/>
      </c>
      <c r="O103" s="250">
        <f t="shared" si="46"/>
        <v>17125907608606.83</v>
      </c>
      <c r="P103" s="248">
        <f t="shared" si="53"/>
        <v>3.2848751710830947E-6</v>
      </c>
      <c r="Q103" s="250" t="str">
        <f t="shared" si="54"/>
        <v/>
      </c>
      <c r="R103" s="251" t="str">
        <f t="shared" si="57"/>
        <v/>
      </c>
      <c r="S103" s="252">
        <f>IF(AND(E103&gt;0.95*BiasLight,E103&lt;1.05*BiasLight),"",IF(AugerModel="Sinton",calclifetimeauger(Auger_Coefficient,I103,P103),calclifetimerichter(SampleType,I103,SampleDoping,P103)))</f>
        <v>304425.57062859792</v>
      </c>
      <c r="T103" s="201" t="str">
        <f t="shared" si="56"/>
        <v/>
      </c>
      <c r="U103" s="252">
        <f t="shared" si="47"/>
        <v>108570.7644233319</v>
      </c>
      <c r="V103" s="251" t="str">
        <f>IF(AugerModel="Sinton","",IF(SampleType="n-type",n_intr_boltzmann(SampleDoping,0,K103,Temperature+273.15),n_intr_boltzmann(0,SampleDoping,K103,Temperature+273.15)))</f>
        <v/>
      </c>
      <c r="W103" s="251" t="str">
        <f t="shared" si="51"/>
        <v/>
      </c>
      <c r="X103" s="246">
        <f>IF(AND(A103&gt;TimeofMaxCD,I103&gt;Traps),IF(AugerModel="Sinton",CalcImpliedV(SampleDoping,O103),CalcImpliedVRichter(O103,SampleDoping,V103)),"")</f>
        <v>0.55342546724637076</v>
      </c>
      <c r="Y103" s="253">
        <f t="shared" si="48"/>
        <v>0.56518171956559671</v>
      </c>
      <c r="Z103" s="200" t="str">
        <f t="shared" si="49"/>
        <v/>
      </c>
      <c r="AE103" s="251">
        <f t="shared" si="50"/>
        <v>1483.1623748865586</v>
      </c>
    </row>
    <row r="104" spans="1:31" x14ac:dyDescent="0.2">
      <c r="A104" s="244">
        <v>9.5499000000000001E-3</v>
      </c>
      <c r="B104" s="244">
        <v>2.31E-3</v>
      </c>
      <c r="C104" s="245">
        <v>5.6368099999999999E-3</v>
      </c>
      <c r="D104" s="246">
        <f>IF(CouplingMode="AC",B104-(A$11-A$10)*SUM(B$9:B104)/0.21,B104)</f>
        <v>2.31E-3</v>
      </c>
      <c r="E104" s="247">
        <f t="shared" si="38"/>
        <v>0.53561565908480513</v>
      </c>
      <c r="F104" s="247">
        <f t="shared" si="39"/>
        <v>0.53561565908480513</v>
      </c>
      <c r="G104" s="248">
        <f t="shared" si="40"/>
        <v>8.8934934654530672E+16</v>
      </c>
      <c r="H104" s="249">
        <f t="shared" si="41"/>
        <v>7.1374261522767768E-5</v>
      </c>
      <c r="I104" s="248">
        <f>IF(MobilityModel=DK,CalcDeltaN(H104,SampleDoping,Thickness,AreaFrac),CalcDeltaNDL(H104,AreaFrac,Thickness,SampleType,SampleDoping,Temperature))</f>
        <v>16686532065524.437</v>
      </c>
      <c r="J104" s="248" t="str">
        <f t="shared" si="42"/>
        <v/>
      </c>
      <c r="K104" s="248">
        <f t="shared" si="43"/>
        <v>16686532065524.437</v>
      </c>
      <c r="L104" s="250">
        <f t="shared" si="52"/>
        <v>-7518703923586916</v>
      </c>
      <c r="M104" s="196" t="str">
        <f t="shared" si="44"/>
        <v/>
      </c>
      <c r="N104" s="196" t="str">
        <f t="shared" si="45"/>
        <v/>
      </c>
      <c r="O104" s="250">
        <f t="shared" si="46"/>
        <v>16686532065524.437</v>
      </c>
      <c r="P104" s="248">
        <f t="shared" si="53"/>
        <v>3.3721417113794382E-6</v>
      </c>
      <c r="Q104" s="250" t="str">
        <f t="shared" si="54"/>
        <v/>
      </c>
      <c r="R104" s="251" t="str">
        <f t="shared" si="57"/>
        <v/>
      </c>
      <c r="S104" s="252">
        <f>IF(AND(E104&gt;0.95*BiasLight,E104&lt;1.05*BiasLight),"",IF(AugerModel="Sinton",calclifetimeauger(Auger_Coefficient,I104,P104),calclifetimerichter(SampleType,I104,SampleDoping,P104)))</f>
        <v>296547.44196153316</v>
      </c>
      <c r="T104" s="201" t="str">
        <f t="shared" si="56"/>
        <v/>
      </c>
      <c r="U104" s="252">
        <f t="shared" si="47"/>
        <v>108570.5979431255</v>
      </c>
      <c r="V104" s="251" t="str">
        <f>IF(AugerModel="Sinton","",IF(SampleType="n-type",n_intr_boltzmann(SampleDoping,0,K104,Temperature+273.15),n_intr_boltzmann(0,SampleDoping,K104,Temperature+273.15)))</f>
        <v/>
      </c>
      <c r="W104" s="251" t="str">
        <f t="shared" si="51"/>
        <v/>
      </c>
      <c r="X104" s="246">
        <f>IF(AND(A104&gt;TimeofMaxCD,I104&gt;Traps),IF(AugerModel="Sinton",CalcImpliedV(SampleDoping,O104),CalcImpliedVRichter(O104,SampleDoping,V104)),"")</f>
        <v>0.55275662105887435</v>
      </c>
      <c r="Y104" s="253">
        <f t="shared" si="48"/>
        <v>0.53643073181540857</v>
      </c>
      <c r="Z104" s="200" t="str">
        <f t="shared" si="49"/>
        <v/>
      </c>
      <c r="AE104" s="251">
        <f t="shared" si="50"/>
        <v>1483.3393697841498</v>
      </c>
    </row>
    <row r="105" spans="1:31" x14ac:dyDescent="0.2">
      <c r="A105" s="244">
        <v>9.6498999999999995E-3</v>
      </c>
      <c r="B105" s="244">
        <v>2.3041400000000001E-3</v>
      </c>
      <c r="C105" s="245">
        <v>5.3555599999999997E-3</v>
      </c>
      <c r="D105" s="246">
        <f>IF(CouplingMode="AC",B105-(A$11-A$10)*SUM(B$9:B105)/0.21,B105)</f>
        <v>2.3041400000000001E-3</v>
      </c>
      <c r="E105" s="247">
        <f t="shared" ref="E105:E133" si="58">IF(C105&gt;0,C105/RefCellCal,0.00001)</f>
        <v>0.50889098606627137</v>
      </c>
      <c r="F105" s="247">
        <f t="shared" ref="F105:F133" si="59">E105-BiasLight</f>
        <v>0.50889098606627137</v>
      </c>
      <c r="G105" s="248">
        <f t="shared" ref="G105:G133" si="60">F105*0.038*OptConst/1.602E-19</f>
        <v>8.4497504552826576E+16</v>
      </c>
      <c r="H105" s="249">
        <f t="shared" ref="H105:H133" si="61">CalcConductance(B105,Dark_Voltage,A_cal,B_cal,C_cal)</f>
        <v>7.1193193554371093E-5</v>
      </c>
      <c r="I105" s="248">
        <f>IF(MobilityModel=DK,CalcDeltaN(H105,SampleDoping,Thickness,AreaFrac),CalcDeltaNDL(H105,AreaFrac,Thickness,SampleType,SampleDoping,Temperature))</f>
        <v>16644006573714.744</v>
      </c>
      <c r="J105" s="248" t="str">
        <f t="shared" ref="J105:J133" si="62">IF(AND(AND(I105&gt;=FitRangeMin,I105&lt;=FitRangeMax),A105&gt;TimeofMaxCD),I105,"")</f>
        <v/>
      </c>
      <c r="K105" s="248">
        <f t="shared" ref="K105:K133" si="63">IF(I105-BiasPtCD=0,0.00001,I105-BiasPtCD)</f>
        <v>16644006573714.744</v>
      </c>
      <c r="L105" s="250">
        <f t="shared" si="52"/>
        <v>-5822121142825675</v>
      </c>
      <c r="M105" s="196" t="str">
        <f t="shared" ref="M105:M133" si="64">IF(E105&gt;0.85*BiasLight,IF( E105&lt;1.15*BiasLight,E105,""),"")</f>
        <v/>
      </c>
      <c r="N105" s="196" t="str">
        <f t="shared" ref="N105:N133" si="65">IF(E105&gt;0.85*BiasLight,IF(E105&lt;1.15*BiasLight,I105,""),"")</f>
        <v/>
      </c>
      <c r="O105" s="250">
        <f t="shared" ref="O105:O133" si="66">I105-Traps</f>
        <v>16644006573714.744</v>
      </c>
      <c r="P105" s="248">
        <f t="shared" si="53"/>
        <v>3.5411816067341976E-6</v>
      </c>
      <c r="Q105" s="250" t="str">
        <f t="shared" si="54"/>
        <v/>
      </c>
      <c r="R105" s="251" t="str">
        <f t="shared" si="57"/>
        <v/>
      </c>
      <c r="S105" s="252">
        <f>IF(AND(E105&gt;0.95*BiasLight,E105&lt;1.05*BiasLight),"",IF(AugerModel="Sinton",calclifetimeauger(Auger_Coefficient,I105,P105),calclifetimerichter(SampleType,I105,SampleDoping,P105)))</f>
        <v>282391.61653553095</v>
      </c>
      <c r="T105" s="201" t="str">
        <f t="shared" si="56"/>
        <v/>
      </c>
      <c r="U105" s="252">
        <f t="shared" ref="U105:U133" si="67">FitInterceptAuger+FitSlopeAuger*(I105+Traps)</f>
        <v>108570.58183013796</v>
      </c>
      <c r="V105" s="251" t="str">
        <f>IF(AugerModel="Sinton","",IF(SampleType="n-type",n_intr_boltzmann(SampleDoping,0,K105,Temperature+273.15),n_intr_boltzmann(0,SampleDoping,K105,Temperature+273.15)))</f>
        <v/>
      </c>
      <c r="W105" s="251" t="str">
        <f t="shared" si="51"/>
        <v/>
      </c>
      <c r="X105" s="246">
        <f>IF(AND(A105&gt;TimeofMaxCD,I105&gt;Traps),IF(AugerModel="Sinton",CalcImpliedV(SampleDoping,O105),CalcImpliedVRichter(O105,SampleDoping,V105)),"")</f>
        <v>0.55269095528160328</v>
      </c>
      <c r="Y105" s="253">
        <f t="shared" ref="Y105:Y133" si="68">IF(OR(P105="",P105&lt;0,A105&lt;=TimeofMaxCD),"",(O105*Thickness*1.602E-19/(0.038*OptConst*P105)))</f>
        <v>0.50952213901843124</v>
      </c>
      <c r="Z105" s="200" t="str">
        <f t="shared" ref="Z105:Z133" si="69">IF(C105&gt;0.6,O105,"")</f>
        <v/>
      </c>
      <c r="AE105" s="251">
        <f t="shared" ref="AE105:AE133" si="70">H105/(K105*AreaFrac*Thickness*1.602E-19)</f>
        <v>1483.356637518001</v>
      </c>
    </row>
    <row r="106" spans="1:31" x14ac:dyDescent="0.2">
      <c r="A106" s="244">
        <v>9.7499000000000006E-3</v>
      </c>
      <c r="B106" s="244">
        <v>2.40179E-3</v>
      </c>
      <c r="C106" s="245">
        <v>5.0997100000000004E-3</v>
      </c>
      <c r="D106" s="246">
        <f>IF(CouplingMode="AC",B106-(A$11-A$10)*SUM(B$9:B106)/0.21,B106)</f>
        <v>2.40179E-3</v>
      </c>
      <c r="E106" s="247">
        <f t="shared" si="58"/>
        <v>0.48457984796212256</v>
      </c>
      <c r="F106" s="247">
        <f t="shared" si="59"/>
        <v>0.48457984796212256</v>
      </c>
      <c r="G106" s="248">
        <f t="shared" si="60"/>
        <v>8.0460823694085264E+16</v>
      </c>
      <c r="H106" s="249">
        <f t="shared" si="61"/>
        <v>7.4210482020546642E-5</v>
      </c>
      <c r="I106" s="248">
        <f>IF(MobilityModel=DK,CalcDeltaN(H106,SampleDoping,Thickness,AreaFrac),CalcDeltaNDL(H106,AreaFrac,Thickness,SampleType,SampleDoping,Temperature))</f>
        <v>17352737737357.102</v>
      </c>
      <c r="J106" s="248" t="str">
        <f t="shared" si="62"/>
        <v/>
      </c>
      <c r="K106" s="248">
        <f t="shared" si="63"/>
        <v>17352737737357.102</v>
      </c>
      <c r="L106" s="250">
        <f t="shared" si="52"/>
        <v>-1.0777947958775602E+16</v>
      </c>
      <c r="M106" s="196" t="str">
        <f t="shared" si="64"/>
        <v/>
      </c>
      <c r="N106" s="196" t="str">
        <f t="shared" si="65"/>
        <v/>
      </c>
      <c r="O106" s="250">
        <f t="shared" si="66"/>
        <v>17352737737357.102</v>
      </c>
      <c r="P106" s="248">
        <f t="shared" si="53"/>
        <v>3.8726669169119488E-6</v>
      </c>
      <c r="Q106" s="250" t="str">
        <f t="shared" si="54"/>
        <v/>
      </c>
      <c r="R106" s="251" t="str">
        <f t="shared" si="57"/>
        <v/>
      </c>
      <c r="S106" s="252">
        <f>IF(AND(E106&gt;0.95*BiasLight,E106&lt;1.05*BiasLight),"",IF(AugerModel="Sinton",calclifetimeauger(Auger_Coefficient,I106,P106),calclifetimerichter(SampleType,I106,SampleDoping,P106)))</f>
        <v>258219.98625733203</v>
      </c>
      <c r="T106" s="201" t="str">
        <f t="shared" si="56"/>
        <v/>
      </c>
      <c r="U106" s="252">
        <f t="shared" si="67"/>
        <v>108570.85036968747</v>
      </c>
      <c r="V106" s="251" t="str">
        <f>IF(AugerModel="Sinton","",IF(SampleType="n-type",n_intr_boltzmann(SampleDoping,0,K106,Temperature+273.15),n_intr_boltzmann(0,SampleDoping,K106,Temperature+273.15)))</f>
        <v/>
      </c>
      <c r="W106" s="251" t="str">
        <f t="shared" si="51"/>
        <v/>
      </c>
      <c r="X106" s="246">
        <f>IF(AND(A106&gt;TimeofMaxCD,I106&gt;Traps),IF(AugerModel="Sinton",CalcImpliedV(SampleDoping,O106),CalcImpliedVRichter(O106,SampleDoping,V106)),"")</f>
        <v>0.5537640883231375</v>
      </c>
      <c r="Y106" s="253">
        <f t="shared" si="68"/>
        <v>0.48574824235061609</v>
      </c>
      <c r="Z106" s="200" t="str">
        <f t="shared" si="69"/>
        <v/>
      </c>
      <c r="AE106" s="251">
        <f t="shared" si="70"/>
        <v>1483.0719895485358</v>
      </c>
    </row>
    <row r="107" spans="1:31" x14ac:dyDescent="0.2">
      <c r="A107" s="244">
        <v>9.8499E-3</v>
      </c>
      <c r="B107" s="244">
        <v>1.9232800000000001E-3</v>
      </c>
      <c r="C107" s="245">
        <v>4.8204099999999998E-3</v>
      </c>
      <c r="D107" s="246">
        <f>IF(CouplingMode="AC",B107-(A$11-A$10)*SUM(B$9:B107)/0.21,B107)</f>
        <v>1.9232800000000001E-3</v>
      </c>
      <c r="E107" s="247">
        <f t="shared" si="58"/>
        <v>0.45804046600985054</v>
      </c>
      <c r="F107" s="247">
        <f t="shared" si="59"/>
        <v>0.45804046600985054</v>
      </c>
      <c r="G107" s="248">
        <f t="shared" si="60"/>
        <v>7.6054159774419616E+16</v>
      </c>
      <c r="H107" s="249">
        <f t="shared" si="61"/>
        <v>5.9425076896241213E-5</v>
      </c>
      <c r="I107" s="248">
        <f>IF(MobilityModel=DK,CalcDeltaN(H107,SampleDoping,Thickness,AreaFrac),CalcDeltaNDL(H107,AreaFrac,Thickness,SampleType,SampleDoping,Temperature))</f>
        <v>13881744201277.66</v>
      </c>
      <c r="J107" s="248" t="str">
        <f t="shared" si="62"/>
        <v/>
      </c>
      <c r="K107" s="248">
        <f t="shared" si="63"/>
        <v>13881744201277.66</v>
      </c>
      <c r="L107" s="250">
        <f t="shared" ref="L107:L131" si="71">IF(ABS(SLOPE(K105:K109,A105:A109))&lt;1000000000000,-1000000000000,(SLOPE(K105:K109,A105:A109)))</f>
        <v>-1.5886002300983428E+16</v>
      </c>
      <c r="M107" s="196" t="str">
        <f t="shared" si="64"/>
        <v/>
      </c>
      <c r="N107" s="196" t="str">
        <f t="shared" si="65"/>
        <v/>
      </c>
      <c r="O107" s="250">
        <f t="shared" si="66"/>
        <v>13881744201277.66</v>
      </c>
      <c r="P107" s="248">
        <f t="shared" ref="P107:P131" si="72">calclifetime(AnalysisMode,K107,Thickness,G107,L107)</f>
        <v>3.2731339104967865E-6</v>
      </c>
      <c r="Q107" s="250" t="str">
        <f t="shared" si="54"/>
        <v/>
      </c>
      <c r="R107" s="251" t="str">
        <f t="shared" si="57"/>
        <v/>
      </c>
      <c r="S107" s="252">
        <f>IF(AND(E107&gt;0.95*BiasLight,E107&lt;1.05*BiasLight),"",IF(AugerModel="Sinton",calclifetimeauger(Auger_Coefficient,I107,P107),calclifetimerichter(SampleType,I107,SampleDoping,P107)))</f>
        <v>305517.59454326483</v>
      </c>
      <c r="T107" s="201" t="str">
        <f t="shared" si="56"/>
        <v/>
      </c>
      <c r="U107" s="252">
        <f t="shared" si="67"/>
        <v>108569.53520381311</v>
      </c>
      <c r="V107" s="251" t="str">
        <f>IF(AugerModel="Sinton","",IF(SampleType="n-type",n_intr_boltzmann(SampleDoping,0,K107,Temperature+273.15),n_intr_boltzmann(0,SampleDoping,K107,Temperature+273.15)))</f>
        <v/>
      </c>
      <c r="W107" s="251" t="str">
        <f t="shared" si="51"/>
        <v/>
      </c>
      <c r="X107" s="246">
        <f>IF(AND(A107&gt;TimeofMaxCD,I107&gt;Traps),IF(AugerModel="Sinton",CalcImpliedV(SampleDoping,O107),CalcImpliedVRichter(O107,SampleDoping,V107)),"")</f>
        <v>0.54802160725170579</v>
      </c>
      <c r="Y107" s="253">
        <f t="shared" si="68"/>
        <v>0.45976260421417814</v>
      </c>
      <c r="Z107" s="200" t="str">
        <f t="shared" si="69"/>
        <v/>
      </c>
      <c r="AE107" s="251">
        <f t="shared" si="70"/>
        <v>1484.5358783942092</v>
      </c>
    </row>
    <row r="108" spans="1:31" x14ac:dyDescent="0.2">
      <c r="A108" s="244">
        <v>9.9498999999999994E-3</v>
      </c>
      <c r="B108" s="244">
        <v>1.7572600000000001E-3</v>
      </c>
      <c r="C108" s="245">
        <v>4.5948200000000003E-3</v>
      </c>
      <c r="D108" s="246">
        <f>IF(CouplingMode="AC",B108-(A$11-A$10)*SUM(B$9:B108)/0.21,B108)</f>
        <v>1.7572600000000001E-3</v>
      </c>
      <c r="E108" s="247">
        <f t="shared" si="58"/>
        <v>0.43660466516984686</v>
      </c>
      <c r="F108" s="247">
        <f t="shared" si="59"/>
        <v>0.43660466516984686</v>
      </c>
      <c r="G108" s="248">
        <f t="shared" si="60"/>
        <v>7.2494906950798528E+16</v>
      </c>
      <c r="H108" s="249">
        <f t="shared" si="61"/>
        <v>5.4295298526733926E-5</v>
      </c>
      <c r="I108" s="248">
        <f>IF(MobilityModel=DK,CalcDeltaN(H108,SampleDoping,Thickness,AreaFrac),CalcDeltaNDL(H108,AreaFrac,Thickness,SampleType,SampleDoping,Temperature))</f>
        <v>12678689272355.176</v>
      </c>
      <c r="J108" s="248" t="str">
        <f t="shared" si="62"/>
        <v/>
      </c>
      <c r="K108" s="248">
        <f t="shared" si="63"/>
        <v>12678689272355.176</v>
      </c>
      <c r="L108" s="250">
        <f t="shared" si="71"/>
        <v>-1.3521539523750106E+16</v>
      </c>
      <c r="M108" s="196" t="str">
        <f t="shared" si="64"/>
        <v/>
      </c>
      <c r="N108" s="196" t="str">
        <f t="shared" si="65"/>
        <v/>
      </c>
      <c r="O108" s="250">
        <f t="shared" si="66"/>
        <v>12678689272355.176</v>
      </c>
      <c r="P108" s="248">
        <f t="shared" si="72"/>
        <v>3.1375001017298937E-6</v>
      </c>
      <c r="Q108" s="250" t="str">
        <f t="shared" ref="Q108:Q133" si="73">IF($J108="","",P108)</f>
        <v/>
      </c>
      <c r="R108" s="251" t="str">
        <f t="shared" si="57"/>
        <v/>
      </c>
      <c r="S108" s="252">
        <f>IF(AND(E108&gt;0.95*BiasLight,E108&lt;1.05*BiasLight),"",IF(AugerModel="Sinton",calclifetimeauger(Auger_Coefficient,I108,P108),calclifetimerichter(SampleType,I108,SampleDoping,P108)))</f>
        <v>318725.08900044899</v>
      </c>
      <c r="T108" s="201" t="str">
        <f t="shared" ref="T108:T133" si="74">IF($J108="","",S108)</f>
        <v/>
      </c>
      <c r="U108" s="252">
        <f t="shared" si="67"/>
        <v>108569.07936407412</v>
      </c>
      <c r="V108" s="251" t="str">
        <f>IF(AugerModel="Sinton","",IF(SampleType="n-type",n_intr_boltzmann(SampleDoping,0,K108,Temperature+273.15),n_intr_boltzmann(0,SampleDoping,K108,Temperature+273.15)))</f>
        <v/>
      </c>
      <c r="W108" s="251" t="str">
        <f t="shared" si="51"/>
        <v/>
      </c>
      <c r="X108" s="246">
        <f>IF(AND(A108&gt;TimeofMaxCD,I108&gt;Traps),IF(AugerModel="Sinton",CalcImpliedV(SampleDoping,O108),CalcImpliedVRichter(O108,SampleDoping,V108)),"")</f>
        <v>0.54568960234032737</v>
      </c>
      <c r="Y108" s="253">
        <f t="shared" si="68"/>
        <v>0.43807048138678989</v>
      </c>
      <c r="Z108" s="200" t="str">
        <f t="shared" si="69"/>
        <v/>
      </c>
      <c r="AE108" s="251">
        <f t="shared" si="70"/>
        <v>1485.0902612048817</v>
      </c>
    </row>
    <row r="109" spans="1:31" x14ac:dyDescent="0.2">
      <c r="A109" s="244">
        <v>1.00499E-2</v>
      </c>
      <c r="B109" s="244">
        <v>1.5307000000000001E-3</v>
      </c>
      <c r="C109" s="245">
        <v>4.3565399999999999E-3</v>
      </c>
      <c r="D109" s="246">
        <f>IF(CouplingMode="AC",B109-(A$11-A$10)*SUM(B$9:B109)/0.21,B109)</f>
        <v>1.5307000000000001E-3</v>
      </c>
      <c r="E109" s="247">
        <f t="shared" si="58"/>
        <v>0.41396304708324694</v>
      </c>
      <c r="F109" s="247">
        <f t="shared" si="59"/>
        <v>0.41396304708324694</v>
      </c>
      <c r="G109" s="248">
        <f t="shared" si="60"/>
        <v>6.8735437280988568E+16</v>
      </c>
      <c r="H109" s="249">
        <f t="shared" si="61"/>
        <v>4.7294960990436341E-5</v>
      </c>
      <c r="I109" s="248">
        <f>IF(MobilityModel=DK,CalcDeltaN(H109,SampleDoping,Thickness,AreaFrac),CalcDeltaNDL(H109,AreaFrac,Thickness,SampleType,SampleDoping,Temperature))</f>
        <v>11038029655723.979</v>
      </c>
      <c r="J109" s="248" t="str">
        <f t="shared" si="62"/>
        <v/>
      </c>
      <c r="K109" s="248">
        <f t="shared" si="63"/>
        <v>11038029655723.979</v>
      </c>
      <c r="L109" s="250">
        <f t="shared" si="71"/>
        <v>-4627086086772055</v>
      </c>
      <c r="M109" s="196" t="str">
        <f t="shared" si="64"/>
        <v/>
      </c>
      <c r="N109" s="196" t="str">
        <f t="shared" si="65"/>
        <v/>
      </c>
      <c r="O109" s="250">
        <f t="shared" si="66"/>
        <v>11038029655723.979</v>
      </c>
      <c r="P109" s="248">
        <f t="shared" si="72"/>
        <v>2.8870708414351529E-6</v>
      </c>
      <c r="Q109" s="250" t="str">
        <f t="shared" si="73"/>
        <v/>
      </c>
      <c r="R109" s="251" t="str">
        <f t="shared" ref="R109:R133" si="75">IF(Q109="","",1/Q109)</f>
        <v/>
      </c>
      <c r="S109" s="252">
        <f>IF(AND(E109&gt;0.95*BiasLight,E109&lt;1.05*BiasLight),"",IF(AugerModel="Sinton",calclifetimeauger(Auger_Coefficient,I109,P109),calclifetimerichter(SampleType,I109,SampleDoping,P109)))</f>
        <v>346371.82609588816</v>
      </c>
      <c r="T109" s="201" t="str">
        <f t="shared" si="74"/>
        <v/>
      </c>
      <c r="U109" s="252">
        <f t="shared" si="67"/>
        <v>108568.45771510912</v>
      </c>
      <c r="V109" s="251" t="str">
        <f>IF(AugerModel="Sinton","",IF(SampleType="n-type",n_intr_boltzmann(SampleDoping,0,K109,Temperature+273.15),n_intr_boltzmann(0,SampleDoping,K109,Temperature+273.15)))</f>
        <v/>
      </c>
      <c r="W109" s="251" t="str">
        <f t="shared" si="51"/>
        <v/>
      </c>
      <c r="X109" s="246">
        <f>IF(AND(A109&gt;TimeofMaxCD,I109&gt;Traps),IF(AugerModel="Sinton",CalcImpliedV(SampleDoping,O109),CalcImpliedVRichter(O109,SampleDoping,V109)),"")</f>
        <v>0.54212528231258073</v>
      </c>
      <c r="Y109" s="253">
        <f t="shared" si="68"/>
        <v>0.41446465104714986</v>
      </c>
      <c r="Z109" s="200" t="str">
        <f t="shared" si="69"/>
        <v/>
      </c>
      <c r="AE109" s="251">
        <f t="shared" si="70"/>
        <v>1485.8956051828723</v>
      </c>
    </row>
    <row r="110" spans="1:31" x14ac:dyDescent="0.2">
      <c r="A110" s="244">
        <v>1.01499E-2</v>
      </c>
      <c r="B110" s="244">
        <v>1.6654700000000001E-3</v>
      </c>
      <c r="C110" s="245">
        <v>4.1299800000000001E-3</v>
      </c>
      <c r="D110" s="246">
        <f>IF(CouplingMode="AC",B110-(A$11-A$10)*SUM(B$9:B110)/0.21,B110)</f>
        <v>1.6654700000000001E-3</v>
      </c>
      <c r="E110" s="247">
        <f t="shared" si="58"/>
        <v>0.39243507581541043</v>
      </c>
      <c r="F110" s="247">
        <f t="shared" si="59"/>
        <v>0.39243507581541043</v>
      </c>
      <c r="G110" s="248">
        <f t="shared" si="60"/>
        <v>6.5160880253994488E+16</v>
      </c>
      <c r="H110" s="249">
        <f t="shared" si="61"/>
        <v>5.1459130511251339E-5</v>
      </c>
      <c r="I110" s="248">
        <f>IF(MobilityModel=DK,CalcDeltaN(H110,SampleDoping,Thickness,AreaFrac),CalcDeltaNDL(H110,AreaFrac,Thickness,SampleType,SampleDoping,Temperature))</f>
        <v>12013825248258.893</v>
      </c>
      <c r="J110" s="248" t="str">
        <f t="shared" si="62"/>
        <v/>
      </c>
      <c r="K110" s="248">
        <f t="shared" si="63"/>
        <v>12013825248258.893</v>
      </c>
      <c r="L110" s="250">
        <f t="shared" si="71"/>
        <v>-3719150998894758</v>
      </c>
      <c r="M110" s="196" t="str">
        <f t="shared" si="64"/>
        <v/>
      </c>
      <c r="N110" s="196" t="str">
        <f t="shared" si="65"/>
        <v/>
      </c>
      <c r="O110" s="250">
        <f t="shared" si="66"/>
        <v>12013825248258.893</v>
      </c>
      <c r="P110" s="248">
        <f t="shared" si="72"/>
        <v>3.3152853795381385E-6</v>
      </c>
      <c r="Q110" s="250" t="str">
        <f t="shared" si="73"/>
        <v/>
      </c>
      <c r="R110" s="251" t="str">
        <f t="shared" si="75"/>
        <v/>
      </c>
      <c r="S110" s="252">
        <f>IF(AND(E110&gt;0.95*BiasLight,E110&lt;1.05*BiasLight),"",IF(AugerModel="Sinton",calclifetimeauger(Auger_Coefficient,I110,P110),calclifetimerichter(SampleType,I110,SampleDoping,P110)))</f>
        <v>301633.15815213462</v>
      </c>
      <c r="T110" s="201" t="str">
        <f t="shared" si="74"/>
        <v/>
      </c>
      <c r="U110" s="252">
        <f t="shared" si="67"/>
        <v>108568.82744586497</v>
      </c>
      <c r="V110" s="251" t="str">
        <f>IF(AugerModel="Sinton","",IF(SampleType="n-type",n_intr_boltzmann(SampleDoping,0,K110,Temperature+273.15),n_intr_boltzmann(0,SampleDoping,K110,Temperature+273.15)))</f>
        <v/>
      </c>
      <c r="W110" s="251" t="str">
        <f t="shared" si="51"/>
        <v/>
      </c>
      <c r="X110" s="246">
        <f>IF(AND(A110&gt;TimeofMaxCD,I110&gt;Traps),IF(AugerModel="Sinton",CalcImpliedV(SampleDoping,O110),CalcImpliedVRichter(O110,SampleDoping,V110)),"")</f>
        <v>0.54430408049338064</v>
      </c>
      <c r="Y110" s="253">
        <f t="shared" si="68"/>
        <v>0.39283825415452372</v>
      </c>
      <c r="Z110" s="200" t="str">
        <f t="shared" si="69"/>
        <v/>
      </c>
      <c r="AE110" s="251">
        <f t="shared" si="70"/>
        <v>1485.4092241582105</v>
      </c>
    </row>
    <row r="111" spans="1:31" x14ac:dyDescent="0.2">
      <c r="A111" s="244">
        <v>1.0249899999999999E-2</v>
      </c>
      <c r="B111" s="244">
        <v>1.6498400000000001E-3</v>
      </c>
      <c r="C111" s="245">
        <v>3.8995100000000001E-3</v>
      </c>
      <c r="D111" s="246">
        <f>IF(CouplingMode="AC",B111-(A$11-A$10)*SUM(B$9:B111)/0.21,B111)</f>
        <v>1.6498400000000001E-3</v>
      </c>
      <c r="E111" s="247">
        <f t="shared" si="58"/>
        <v>0.37053557220445404</v>
      </c>
      <c r="F111" s="247">
        <f t="shared" si="59"/>
        <v>0.37053557220445404</v>
      </c>
      <c r="G111" s="248">
        <f t="shared" si="60"/>
        <v>6.1524633087630944E+16</v>
      </c>
      <c r="H111" s="249">
        <f t="shared" si="61"/>
        <v>5.0976188603377159E-5</v>
      </c>
      <c r="I111" s="248">
        <f>IF(MobilityModel=DK,CalcDeltaN(H111,SampleDoping,Thickness,AreaFrac),CalcDeltaNDL(H111,AreaFrac,Thickness,SampleType,SampleDoping,Temperature))</f>
        <v>11900633169939.781</v>
      </c>
      <c r="J111" s="248" t="str">
        <f t="shared" si="62"/>
        <v/>
      </c>
      <c r="K111" s="248">
        <f t="shared" si="63"/>
        <v>11900633169939.781</v>
      </c>
      <c r="L111" s="250">
        <f t="shared" si="71"/>
        <v>-2558971812761880</v>
      </c>
      <c r="M111" s="196" t="str">
        <f t="shared" si="64"/>
        <v/>
      </c>
      <c r="N111" s="196" t="str">
        <f t="shared" si="65"/>
        <v/>
      </c>
      <c r="O111" s="250">
        <f t="shared" si="66"/>
        <v>11900633169939.781</v>
      </c>
      <c r="P111" s="248">
        <f t="shared" si="72"/>
        <v>3.479112888351132E-6</v>
      </c>
      <c r="Q111" s="250" t="str">
        <f t="shared" si="73"/>
        <v/>
      </c>
      <c r="R111" s="251" t="str">
        <f t="shared" si="75"/>
        <v/>
      </c>
      <c r="S111" s="252">
        <f>IF(AND(E111&gt;0.95*BiasLight,E111&lt;1.05*BiasLight),"",IF(AugerModel="Sinton",calclifetimeauger(Auger_Coefficient,I111,P111),calclifetimerichter(SampleType,I111,SampleDoping,P111)))</f>
        <v>287429.59233380965</v>
      </c>
      <c r="T111" s="201" t="str">
        <f t="shared" si="74"/>
        <v/>
      </c>
      <c r="U111" s="252">
        <f t="shared" si="67"/>
        <v>108568.78455717702</v>
      </c>
      <c r="V111" s="251" t="str">
        <f>IF(AugerModel="Sinton","",IF(SampleType="n-type",n_intr_boltzmann(SampleDoping,0,K111,Temperature+273.15),n_intr_boltzmann(0,SampleDoping,K111,Temperature+273.15)))</f>
        <v/>
      </c>
      <c r="W111" s="251" t="str">
        <f t="shared" si="51"/>
        <v/>
      </c>
      <c r="X111" s="246">
        <f>IF(AND(A111&gt;TimeofMaxCD,I111&gt;Traps),IF(AugerModel="Sinton",CalcImpliedV(SampleDoping,O111),CalcImpliedVRichter(O111,SampleDoping,V111)),"")</f>
        <v>0.54406058970862448</v>
      </c>
      <c r="Y111" s="253">
        <f t="shared" si="68"/>
        <v>0.37081298014126907</v>
      </c>
      <c r="Z111" s="200" t="str">
        <f t="shared" si="69"/>
        <v/>
      </c>
      <c r="AE111" s="251">
        <f t="shared" si="70"/>
        <v>1485.4644937634969</v>
      </c>
    </row>
    <row r="112" spans="1:31" x14ac:dyDescent="0.2">
      <c r="A112" s="244">
        <v>1.03499E-2</v>
      </c>
      <c r="B112" s="244">
        <v>1.44086E-3</v>
      </c>
      <c r="C112" s="245">
        <v>3.7139600000000001E-3</v>
      </c>
      <c r="D112" s="246">
        <f>IF(CouplingMode="AC",B112-(A$11-A$10)*SUM(B$9:B112)/0.21,B112)</f>
        <v>1.44086E-3</v>
      </c>
      <c r="E112" s="247">
        <f t="shared" si="58"/>
        <v>0.35290441459169336</v>
      </c>
      <c r="F112" s="247">
        <f t="shared" si="59"/>
        <v>0.35290441459169336</v>
      </c>
      <c r="G112" s="248">
        <f t="shared" si="60"/>
        <v>5.8597112535200016E+16</v>
      </c>
      <c r="H112" s="249">
        <f t="shared" si="61"/>
        <v>4.4519062915922281E-5</v>
      </c>
      <c r="I112" s="248">
        <f>IF(MobilityModel=DK,CalcDeltaN(H112,SampleDoping,Thickness,AreaFrac),CalcDeltaNDL(H112,AreaFrac,Thickness,SampleType,SampleDoping,Temperature))</f>
        <v>10387812015799.9</v>
      </c>
      <c r="J112" s="248" t="str">
        <f t="shared" si="62"/>
        <v/>
      </c>
      <c r="K112" s="248">
        <f t="shared" si="63"/>
        <v>10387812015799.9</v>
      </c>
      <c r="L112" s="250">
        <f t="shared" si="71"/>
        <v>-5485539351516536</v>
      </c>
      <c r="M112" s="196" t="str">
        <f t="shared" si="64"/>
        <v/>
      </c>
      <c r="N112" s="196" t="str">
        <f t="shared" si="65"/>
        <v/>
      </c>
      <c r="O112" s="250">
        <f t="shared" si="66"/>
        <v>10387812015799.9</v>
      </c>
      <c r="P112" s="248">
        <f t="shared" si="72"/>
        <v>3.1855848264817977E-6</v>
      </c>
      <c r="Q112" s="250" t="str">
        <f t="shared" si="73"/>
        <v/>
      </c>
      <c r="R112" s="251" t="str">
        <f t="shared" si="75"/>
        <v/>
      </c>
      <c r="S112" s="252">
        <f>IF(AND(E112&gt;0.95*BiasLight,E112&lt;1.05*BiasLight),"",IF(AugerModel="Sinton",calclifetimeauger(Auger_Coefficient,I112,P112),calclifetimerichter(SampleType,I112,SampleDoping,P112)))</f>
        <v>313914.10177383205</v>
      </c>
      <c r="T112" s="201" t="str">
        <f t="shared" si="74"/>
        <v/>
      </c>
      <c r="U112" s="252">
        <f t="shared" si="67"/>
        <v>108568.21134644204</v>
      </c>
      <c r="V112" s="251" t="str">
        <f>IF(AugerModel="Sinton","",IF(SampleType="n-type",n_intr_boltzmann(SampleDoping,0,K112,Temperature+273.15),n_intr_boltzmann(0,SampleDoping,K112,Temperature+273.15)))</f>
        <v/>
      </c>
      <c r="W112" s="251" t="str">
        <f t="shared" si="51"/>
        <v/>
      </c>
      <c r="X112" s="246">
        <f>IF(AND(A112&gt;TimeofMaxCD,I112&gt;Traps),IF(AugerModel="Sinton",CalcImpliedV(SampleDoping,O112),CalcImpliedVRichter(O112,SampleDoping,V112)),"")</f>
        <v>0.54056385108752603</v>
      </c>
      <c r="Y112" s="253">
        <f t="shared" si="68"/>
        <v>0.35349908005312319</v>
      </c>
      <c r="Z112" s="200" t="str">
        <f t="shared" si="69"/>
        <v/>
      </c>
      <c r="AE112" s="251">
        <f t="shared" si="70"/>
        <v>1486.2330533583668</v>
      </c>
    </row>
    <row r="113" spans="1:31" x14ac:dyDescent="0.2">
      <c r="A113" s="244">
        <v>1.04499E-2</v>
      </c>
      <c r="B113" s="244">
        <v>1.4662500000000001E-3</v>
      </c>
      <c r="C113" s="245">
        <v>3.5225600000000001E-3</v>
      </c>
      <c r="D113" s="246">
        <f>IF(CouplingMode="AC",B113-(A$11-A$10)*SUM(B$9:B113)/0.21,B113)</f>
        <v>1.4662500000000001E-3</v>
      </c>
      <c r="E113" s="247">
        <f t="shared" si="58"/>
        <v>0.33471738378014715</v>
      </c>
      <c r="F113" s="247">
        <f t="shared" si="59"/>
        <v>0.33471738378014715</v>
      </c>
      <c r="G113" s="248">
        <f t="shared" si="60"/>
        <v>5.557729343665364E+16</v>
      </c>
      <c r="H113" s="249">
        <f t="shared" si="61"/>
        <v>4.5303568558217877E-5</v>
      </c>
      <c r="I113" s="248">
        <f>IF(MobilityModel=DK,CalcDeltaN(H113,SampleDoping,Thickness,AreaFrac),CalcDeltaNDL(H113,AreaFrac,Thickness,SampleType,SampleDoping,Temperature))</f>
        <v>10571550365572.541</v>
      </c>
      <c r="J113" s="248" t="str">
        <f t="shared" si="62"/>
        <v/>
      </c>
      <c r="K113" s="248">
        <f t="shared" si="63"/>
        <v>10571550365572.541</v>
      </c>
      <c r="L113" s="250">
        <f t="shared" si="71"/>
        <v>-9211580177119586</v>
      </c>
      <c r="M113" s="196" t="str">
        <f t="shared" si="64"/>
        <v/>
      </c>
      <c r="N113" s="196" t="str">
        <f t="shared" si="65"/>
        <v/>
      </c>
      <c r="O113" s="250">
        <f t="shared" si="66"/>
        <v>10571550365572.541</v>
      </c>
      <c r="P113" s="248">
        <f t="shared" si="72"/>
        <v>3.4136583749947178E-6</v>
      </c>
      <c r="Q113" s="250" t="str">
        <f t="shared" si="73"/>
        <v/>
      </c>
      <c r="R113" s="251" t="str">
        <f t="shared" si="75"/>
        <v/>
      </c>
      <c r="S113" s="252">
        <f>IF(AND(E113&gt;0.95*BiasLight,E113&lt;1.05*BiasLight),"",IF(AugerModel="Sinton",calclifetimeauger(Auger_Coefficient,I113,P113),calclifetimerichter(SampleType,I113,SampleDoping,P113)))</f>
        <v>292940.85392134561</v>
      </c>
      <c r="T113" s="201" t="str">
        <f t="shared" si="74"/>
        <v/>
      </c>
      <c r="U113" s="252">
        <f t="shared" si="67"/>
        <v>108568.2809652428</v>
      </c>
      <c r="V113" s="251" t="str">
        <f>IF(AugerModel="Sinton","",IF(SampleType="n-type",n_intr_boltzmann(SampleDoping,0,K113,Temperature+273.15),n_intr_boltzmann(0,SampleDoping,K113,Temperature+273.15)))</f>
        <v/>
      </c>
      <c r="W113" s="251" t="str">
        <f t="shared" si="51"/>
        <v/>
      </c>
      <c r="X113" s="246">
        <f>IF(AND(A113&gt;TimeofMaxCD,I113&gt;Traps),IF(AugerModel="Sinton",CalcImpliedV(SampleDoping,O113),CalcImpliedVRichter(O113,SampleDoping,V113)),"")</f>
        <v>0.54101476259008474</v>
      </c>
      <c r="Y113" s="253">
        <f t="shared" si="68"/>
        <v>0.33571597447934792</v>
      </c>
      <c r="Z113" s="200" t="str">
        <f t="shared" si="69"/>
        <v/>
      </c>
      <c r="AE113" s="251">
        <f t="shared" si="70"/>
        <v>1486.1365407132978</v>
      </c>
    </row>
    <row r="114" spans="1:31" x14ac:dyDescent="0.2">
      <c r="A114" s="244">
        <v>1.0549899999999999E-2</v>
      </c>
      <c r="B114" s="244">
        <v>1.3783599999999999E-3</v>
      </c>
      <c r="C114" s="245">
        <v>3.3330999999999999E-3</v>
      </c>
      <c r="D114" s="246">
        <f>IF(CouplingMode="AC",B114-(A$11-A$10)*SUM(B$9:B114)/0.21,B114)</f>
        <v>1.3783599999999999E-3</v>
      </c>
      <c r="E114" s="247">
        <f t="shared" si="58"/>
        <v>0.31671469382426659</v>
      </c>
      <c r="F114" s="247">
        <f t="shared" si="59"/>
        <v>0.31671469382426659</v>
      </c>
      <c r="G114" s="248">
        <f t="shared" si="60"/>
        <v>5.2588082744853256E+16</v>
      </c>
      <c r="H114" s="249">
        <f t="shared" si="61"/>
        <v>4.2587927004879289E-5</v>
      </c>
      <c r="I114" s="248">
        <f>IF(MobilityModel=DK,CalcDeltaN(H114,SampleDoping,Thickness,AreaFrac),CalcDeltaNDL(H114,AreaFrac,Thickness,SampleType,SampleDoping,Temperature))</f>
        <v>9935596974684.25</v>
      </c>
      <c r="J114" s="248" t="str">
        <f t="shared" si="62"/>
        <v/>
      </c>
      <c r="K114" s="248">
        <f t="shared" si="63"/>
        <v>9935596974684.25</v>
      </c>
      <c r="L114" s="250">
        <f t="shared" si="71"/>
        <v>-1.1633295888539526E+16</v>
      </c>
      <c r="M114" s="196" t="str">
        <f t="shared" si="64"/>
        <v/>
      </c>
      <c r="N114" s="196" t="str">
        <f t="shared" si="65"/>
        <v/>
      </c>
      <c r="O114" s="250">
        <f t="shared" si="66"/>
        <v>9935596974684.25</v>
      </c>
      <c r="P114" s="248">
        <f t="shared" si="72"/>
        <v>3.3872968658682775E-6</v>
      </c>
      <c r="Q114" s="250" t="str">
        <f t="shared" si="73"/>
        <v/>
      </c>
      <c r="R114" s="251" t="str">
        <f t="shared" si="75"/>
        <v/>
      </c>
      <c r="S114" s="252">
        <f>IF(AND(E114&gt;0.95*BiasLight,E114&lt;1.05*BiasLight),"",IF(AugerModel="Sinton",calclifetimeauger(Auger_Coefficient,I114,P114),calclifetimerichter(SampleType,I114,SampleDoping,P114)))</f>
        <v>295220.65500704042</v>
      </c>
      <c r="T114" s="201" t="str">
        <f t="shared" si="74"/>
        <v/>
      </c>
      <c r="U114" s="252">
        <f t="shared" si="67"/>
        <v>108568.04000132608</v>
      </c>
      <c r="V114" s="251" t="str">
        <f>IF(AugerModel="Sinton","",IF(SampleType="n-type",n_intr_boltzmann(SampleDoping,0,K114,Temperature+273.15),n_intr_boltzmann(0,SampleDoping,K114,Temperature+273.15)))</f>
        <v/>
      </c>
      <c r="W114" s="251" t="str">
        <f t="shared" si="51"/>
        <v/>
      </c>
      <c r="X114" s="246">
        <f>IF(AND(A114&gt;TimeofMaxCD,I114&gt;Traps),IF(AugerModel="Sinton",CalcImpliedV(SampleDoping,O114),CalcImpliedVRichter(O114,SampleDoping,V114)),"")</f>
        <v>0.53941922286744337</v>
      </c>
      <c r="Y114" s="253">
        <f t="shared" si="68"/>
        <v>0.31797581307329637</v>
      </c>
      <c r="Z114" s="200" t="str">
        <f t="shared" si="69"/>
        <v/>
      </c>
      <c r="AE114" s="251">
        <f t="shared" si="70"/>
        <v>1486.4746854535792</v>
      </c>
    </row>
    <row r="115" spans="1:31" x14ac:dyDescent="0.2">
      <c r="A115" s="244">
        <v>1.06499E-2</v>
      </c>
      <c r="B115" s="244">
        <v>1.04437E-3</v>
      </c>
      <c r="C115" s="245">
        <v>3.1612300000000001E-3</v>
      </c>
      <c r="D115" s="246">
        <f>IF(CouplingMode="AC",B115-(A$11-A$10)*SUM(B$9:B115)/0.21,B115)</f>
        <v>1.04437E-3</v>
      </c>
      <c r="E115" s="247">
        <f t="shared" si="58"/>
        <v>0.30038342430712739</v>
      </c>
      <c r="F115" s="247">
        <f t="shared" si="59"/>
        <v>0.30038342430712739</v>
      </c>
      <c r="G115" s="248">
        <f t="shared" si="60"/>
        <v>4.9876398792569216E+16</v>
      </c>
      <c r="H115" s="249">
        <f t="shared" si="61"/>
        <v>3.2268304414814764E-5</v>
      </c>
      <c r="I115" s="248">
        <f>IF(MobilityModel=DK,CalcDeltaN(H115,SampleDoping,Thickness,AreaFrac),CalcDeltaNDL(H115,AreaFrac,Thickness,SampleType,SampleDoping,Temperature))</f>
        <v>7520950601937.8154</v>
      </c>
      <c r="J115" s="248" t="str">
        <f t="shared" si="62"/>
        <v/>
      </c>
      <c r="K115" s="248">
        <f t="shared" si="63"/>
        <v>7520950601937.8154</v>
      </c>
      <c r="L115" s="250">
        <f t="shared" si="71"/>
        <v>-5280614441489293</v>
      </c>
      <c r="M115" s="196" t="str">
        <f t="shared" si="64"/>
        <v/>
      </c>
      <c r="N115" s="196" t="str">
        <f t="shared" si="65"/>
        <v/>
      </c>
      <c r="O115" s="250">
        <f t="shared" si="66"/>
        <v>7520950601937.8154</v>
      </c>
      <c r="P115" s="248">
        <f t="shared" si="72"/>
        <v>2.709089114572979E-6</v>
      </c>
      <c r="Q115" s="250" t="str">
        <f t="shared" si="73"/>
        <v/>
      </c>
      <c r="R115" s="251" t="str">
        <f t="shared" si="75"/>
        <v/>
      </c>
      <c r="S115" s="252">
        <f>IF(AND(E115&gt;0.95*BiasLight,E115&lt;1.05*BiasLight),"",IF(AugerModel="Sinton",calclifetimeauger(Auger_Coefficient,I115,P115),calclifetimerichter(SampleType,I115,SampleDoping,P115)))</f>
        <v>369127.76119705051</v>
      </c>
      <c r="T115" s="201" t="str">
        <f t="shared" si="74"/>
        <v/>
      </c>
      <c r="U115" s="252">
        <f t="shared" si="67"/>
        <v>108567.12508734681</v>
      </c>
      <c r="V115" s="251" t="str">
        <f>IF(AugerModel="Sinton","",IF(SampleType="n-type",n_intr_boltzmann(SampleDoping,0,K115,Temperature+273.15),n_intr_boltzmann(0,SampleDoping,K115,Temperature+273.15)))</f>
        <v/>
      </c>
      <c r="W115" s="251" t="str">
        <f t="shared" si="51"/>
        <v/>
      </c>
      <c r="X115" s="246">
        <f>IF(AND(A115&gt;TimeofMaxCD,I115&gt;Traps),IF(AugerModel="Sinton",CalcImpliedV(SampleDoping,O115),CalcImpliedVRichter(O115,SampleDoping,V115)),"")</f>
        <v>0.5322599860955266</v>
      </c>
      <c r="Y115" s="253">
        <f t="shared" si="68"/>
        <v>0.30095587467567925</v>
      </c>
      <c r="Z115" s="200" t="str">
        <f t="shared" si="69"/>
        <v/>
      </c>
      <c r="AE115" s="251">
        <f t="shared" si="70"/>
        <v>1487.881665880589</v>
      </c>
    </row>
    <row r="116" spans="1:31" x14ac:dyDescent="0.2">
      <c r="A116" s="244">
        <v>1.07499E-2</v>
      </c>
      <c r="B116" s="244">
        <v>8.4710700000000005E-4</v>
      </c>
      <c r="C116" s="245">
        <v>2.9805600000000002E-3</v>
      </c>
      <c r="D116" s="246">
        <f>IF(CouplingMode="AC",B116-(A$11-A$10)*SUM(B$9:B116)/0.21,B116)</f>
        <v>8.4710700000000005E-4</v>
      </c>
      <c r="E116" s="247">
        <f t="shared" si="58"/>
        <v>0.28321596946531941</v>
      </c>
      <c r="F116" s="247">
        <f t="shared" si="59"/>
        <v>0.28321596946531941</v>
      </c>
      <c r="G116" s="248">
        <f t="shared" si="60"/>
        <v>4.7025872582880744E+16</v>
      </c>
      <c r="H116" s="249">
        <f t="shared" si="61"/>
        <v>2.6173318977446014E-5</v>
      </c>
      <c r="I116" s="248">
        <f>IF(MobilityModel=DK,CalcDeltaN(H116,SampleDoping,Thickness,AreaFrac),CalcDeltaNDL(H116,AreaFrac,Thickness,SampleType,SampleDoping,Temperature))</f>
        <v>6096463953347.5107</v>
      </c>
      <c r="J116" s="248" t="str">
        <f t="shared" si="62"/>
        <v/>
      </c>
      <c r="K116" s="248">
        <f t="shared" si="63"/>
        <v>6096463953347.5107</v>
      </c>
      <c r="L116" s="250">
        <f t="shared" si="71"/>
        <v>-2301907987381382.5</v>
      </c>
      <c r="M116" s="196" t="str">
        <f t="shared" si="64"/>
        <v/>
      </c>
      <c r="N116" s="196" t="str">
        <f t="shared" si="65"/>
        <v/>
      </c>
      <c r="O116" s="250">
        <f t="shared" si="66"/>
        <v>6096463953347.5107</v>
      </c>
      <c r="P116" s="248">
        <f t="shared" si="72"/>
        <v>2.3314771616583166E-6</v>
      </c>
      <c r="Q116" s="250" t="str">
        <f t="shared" si="73"/>
        <v/>
      </c>
      <c r="R116" s="251" t="str">
        <f t="shared" si="75"/>
        <v/>
      </c>
      <c r="S116" s="252">
        <f>IF(AND(E116&gt;0.95*BiasLight,E116&lt;1.05*BiasLight),"",IF(AugerModel="Sinton",calclifetimeauger(Auger_Coefficient,I116,P116),calclifetimerichter(SampleType,I116,SampleDoping,P116)))</f>
        <v>428912.62942712329</v>
      </c>
      <c r="T116" s="201" t="str">
        <f t="shared" si="74"/>
        <v/>
      </c>
      <c r="U116" s="252">
        <f t="shared" si="67"/>
        <v>108566.58534671945</v>
      </c>
      <c r="V116" s="251" t="str">
        <f>IF(AugerModel="Sinton","",IF(SampleType="n-type",n_intr_boltzmann(SampleDoping,0,K116,Temperature+273.15),n_intr_boltzmann(0,SampleDoping,K116,Temperature+273.15)))</f>
        <v/>
      </c>
      <c r="W116" s="251" t="str">
        <f t="shared" si="51"/>
        <v/>
      </c>
      <c r="X116" s="246">
        <f>IF(AND(A116&gt;TimeofMaxCD,I116&gt;Traps),IF(AugerModel="Sinton",CalcImpliedV(SampleDoping,O116),CalcImpliedVRichter(O116,SampleDoping,V116)),"")</f>
        <v>0.52686176987898592</v>
      </c>
      <c r="Y116" s="253">
        <f t="shared" si="68"/>
        <v>0.2834655101372146</v>
      </c>
      <c r="Z116" s="200" t="str">
        <f t="shared" si="69"/>
        <v/>
      </c>
      <c r="AE116" s="251">
        <f t="shared" si="70"/>
        <v>1488.832261204418</v>
      </c>
    </row>
    <row r="117" spans="1:31" x14ac:dyDescent="0.2">
      <c r="A117" s="244">
        <v>1.0849900000000001E-2</v>
      </c>
      <c r="B117" s="244">
        <v>1.3666399999999999E-3</v>
      </c>
      <c r="C117" s="245">
        <v>2.8438500000000002E-3</v>
      </c>
      <c r="D117" s="246">
        <f>IF(CouplingMode="AC",B117-(A$11-A$10)*SUM(B$9:B117)/0.21,B117)</f>
        <v>1.3666399999999999E-3</v>
      </c>
      <c r="E117" s="247">
        <f t="shared" si="58"/>
        <v>0.2702256404044705</v>
      </c>
      <c r="F117" s="247">
        <f t="shared" si="59"/>
        <v>0.2702256404044705</v>
      </c>
      <c r="G117" s="248">
        <f t="shared" si="60"/>
        <v>4.4868926559044408E+16</v>
      </c>
      <c r="H117" s="249">
        <f t="shared" si="61"/>
        <v>4.2225800784667644E-5</v>
      </c>
      <c r="I117" s="248">
        <f>IF(MobilityModel=DK,CalcDeltaN(H117,SampleDoping,Thickness,AreaFrac),CalcDeltaNDL(H117,AreaFrac,Thickness,SampleType,SampleDoping,Temperature))</f>
        <v>9850809655496.25</v>
      </c>
      <c r="J117" s="248" t="str">
        <f t="shared" si="62"/>
        <v/>
      </c>
      <c r="K117" s="248">
        <f t="shared" si="63"/>
        <v>9850809655496.25</v>
      </c>
      <c r="L117" s="250">
        <f t="shared" si="71"/>
        <v>2511141912539523</v>
      </c>
      <c r="M117" s="196" t="str">
        <f t="shared" si="64"/>
        <v/>
      </c>
      <c r="N117" s="196" t="str">
        <f t="shared" si="65"/>
        <v/>
      </c>
      <c r="O117" s="250">
        <f t="shared" si="66"/>
        <v>9850809655496.25</v>
      </c>
      <c r="P117" s="248">
        <f t="shared" si="72"/>
        <v>3.9558195983230351E-6</v>
      </c>
      <c r="Q117" s="250" t="str">
        <f t="shared" si="73"/>
        <v/>
      </c>
      <c r="R117" s="251" t="str">
        <f t="shared" si="75"/>
        <v/>
      </c>
      <c r="S117" s="252">
        <f>IF(AND(E117&gt;0.95*BiasLight,E117&lt;1.05*BiasLight),"",IF(AugerModel="Sinton",calclifetimeauger(Auger_Coefficient,I117,P117),calclifetimerichter(SampleType,I117,SampleDoping,P117)))</f>
        <v>252792.11412641389</v>
      </c>
      <c r="T117" s="201" t="str">
        <f t="shared" si="74"/>
        <v/>
      </c>
      <c r="U117" s="252">
        <f t="shared" si="67"/>
        <v>108568.00787525393</v>
      </c>
      <c r="V117" s="251" t="str">
        <f>IF(AugerModel="Sinton","",IF(SampleType="n-type",n_intr_boltzmann(SampleDoping,0,K117,Temperature+273.15),n_intr_boltzmann(0,SampleDoping,K117,Temperature+273.15)))</f>
        <v/>
      </c>
      <c r="W117" s="251" t="str">
        <f t="shared" si="51"/>
        <v/>
      </c>
      <c r="X117" s="246">
        <f>IF(AND(A117&gt;TimeofMaxCD,I117&gt;Traps),IF(AugerModel="Sinton",CalcImpliedV(SampleDoping,O117),CalcImpliedVRichter(O117,SampleDoping,V117)),"")</f>
        <v>0.53919882918697892</v>
      </c>
      <c r="Y117" s="253">
        <f t="shared" si="68"/>
        <v>0.26995341751653812</v>
      </c>
      <c r="Z117" s="200" t="str">
        <f t="shared" si="69"/>
        <v/>
      </c>
      <c r="AE117" s="251">
        <f t="shared" si="70"/>
        <v>1486.5206623171382</v>
      </c>
    </row>
    <row r="118" spans="1:31" x14ac:dyDescent="0.2">
      <c r="A118" s="244">
        <v>1.09499E-2</v>
      </c>
      <c r="B118" s="244">
        <v>1.0580399999999999E-3</v>
      </c>
      <c r="C118" s="245">
        <v>2.6895500000000002E-3</v>
      </c>
      <c r="D118" s="246">
        <f>IF(CouplingMode="AC",B118-(A$11-A$10)*SUM(B$9:B118)/0.21,B118)</f>
        <v>1.0580399999999999E-3</v>
      </c>
      <c r="E118" s="247">
        <f t="shared" si="58"/>
        <v>0.25556389090488019</v>
      </c>
      <c r="F118" s="247">
        <f t="shared" si="59"/>
        <v>0.25556389090488019</v>
      </c>
      <c r="G118" s="248">
        <f t="shared" si="60"/>
        <v>4.2434453795691712E+16</v>
      </c>
      <c r="H118" s="249">
        <f t="shared" si="61"/>
        <v>3.2690678114996596E-5</v>
      </c>
      <c r="I118" s="248">
        <f>IF(MobilityModel=DK,CalcDeltaN(H118,SampleDoping,Thickness,AreaFrac),CalcDeltaNDL(H118,AreaFrac,Thickness,SampleType,SampleDoping,Temperature))</f>
        <v>7619713454214.334</v>
      </c>
      <c r="J118" s="248" t="str">
        <f t="shared" si="62"/>
        <v/>
      </c>
      <c r="K118" s="248">
        <f t="shared" si="63"/>
        <v>7619713454214.334</v>
      </c>
      <c r="L118" s="250">
        <f t="shared" si="71"/>
        <v>759054704283736</v>
      </c>
      <c r="M118" s="196" t="str">
        <f t="shared" si="64"/>
        <v/>
      </c>
      <c r="N118" s="196" t="str">
        <f t="shared" si="65"/>
        <v/>
      </c>
      <c r="O118" s="250">
        <f t="shared" si="66"/>
        <v>7619713454214.334</v>
      </c>
      <c r="P118" s="248">
        <f t="shared" si="72"/>
        <v>3.2331986168500563E-6</v>
      </c>
      <c r="Q118" s="250" t="str">
        <f t="shared" si="73"/>
        <v/>
      </c>
      <c r="R118" s="251" t="str">
        <f t="shared" si="75"/>
        <v/>
      </c>
      <c r="S118" s="252">
        <f>IF(AND(E118&gt;0.95*BiasLight,E118&lt;1.05*BiasLight),"",IF(AugerModel="Sinton",calclifetimeauger(Auger_Coefficient,I118,P118),calclifetimerichter(SampleType,I118,SampleDoping,P118)))</f>
        <v>309291.23700499273</v>
      </c>
      <c r="T118" s="201" t="str">
        <f t="shared" si="74"/>
        <v/>
      </c>
      <c r="U118" s="252">
        <f t="shared" si="67"/>
        <v>108567.16250877432</v>
      </c>
      <c r="V118" s="251" t="str">
        <f>IF(AugerModel="Sinton","",IF(SampleType="n-type",n_intr_boltzmann(SampleDoping,0,K118,Temperature+273.15),n_intr_boltzmann(0,SampleDoping,K118,Temperature+273.15)))</f>
        <v/>
      </c>
      <c r="W118" s="251" t="str">
        <f t="shared" si="51"/>
        <v/>
      </c>
      <c r="X118" s="246">
        <f>IF(AND(A118&gt;TimeofMaxCD,I118&gt;Traps),IF(AugerModel="Sinton",CalcImpliedV(SampleDoping,O118),CalcImpliedVRichter(O118,SampleDoping,V118)),"")</f>
        <v>0.53259540269142369</v>
      </c>
      <c r="Y118" s="253">
        <f t="shared" si="68"/>
        <v>0.25548160480919324</v>
      </c>
      <c r="Z118" s="200" t="str">
        <f t="shared" si="69"/>
        <v/>
      </c>
      <c r="AE118" s="251">
        <f t="shared" si="70"/>
        <v>1487.8195906540134</v>
      </c>
    </row>
    <row r="119" spans="1:31" x14ac:dyDescent="0.2">
      <c r="A119" s="244">
        <v>1.10499E-2</v>
      </c>
      <c r="B119" s="244">
        <v>1.1127299999999999E-3</v>
      </c>
      <c r="C119" s="245">
        <v>2.5264599999999999E-3</v>
      </c>
      <c r="D119" s="246">
        <f>IF(CouplingMode="AC",B119-(A$11-A$10)*SUM(B$9:B119)/0.21,B119)</f>
        <v>1.1127299999999999E-3</v>
      </c>
      <c r="E119" s="247">
        <f t="shared" si="58"/>
        <v>0.24006690629121732</v>
      </c>
      <c r="F119" s="247">
        <f t="shared" si="59"/>
        <v>0.24006690629121732</v>
      </c>
      <c r="G119" s="248">
        <f t="shared" si="60"/>
        <v>3.9861296550227096E+16</v>
      </c>
      <c r="H119" s="249">
        <f t="shared" si="61"/>
        <v>3.4380483552587382E-5</v>
      </c>
      <c r="I119" s="248">
        <f>IF(MobilityModel=DK,CalcDeltaN(H119,SampleDoping,Thickness,AreaFrac),CalcDeltaNDL(H119,AreaFrac,Thickness,SampleType,SampleDoping,Temperature))</f>
        <v>8014896807774.1533</v>
      </c>
      <c r="J119" s="248" t="str">
        <f t="shared" si="62"/>
        <v/>
      </c>
      <c r="K119" s="248">
        <f t="shared" si="63"/>
        <v>8014896807774.1533</v>
      </c>
      <c r="L119" s="250">
        <f t="shared" si="71"/>
        <v>-1.0777773632520386E+16</v>
      </c>
      <c r="M119" s="196" t="str">
        <f t="shared" si="64"/>
        <v/>
      </c>
      <c r="N119" s="196" t="str">
        <f t="shared" si="65"/>
        <v/>
      </c>
      <c r="O119" s="250">
        <f t="shared" si="66"/>
        <v>8014896807774.1533</v>
      </c>
      <c r="P119" s="248">
        <f t="shared" si="72"/>
        <v>3.6017244967284649E-6</v>
      </c>
      <c r="Q119" s="250" t="str">
        <f t="shared" si="73"/>
        <v/>
      </c>
      <c r="R119" s="251" t="str">
        <f t="shared" si="75"/>
        <v/>
      </c>
      <c r="S119" s="252">
        <f>IF(AND(E119&gt;0.95*BiasLight,E119&lt;1.05*BiasLight),"",IF(AugerModel="Sinton",calclifetimeauger(Auger_Coefficient,I119,P119),calclifetimerichter(SampleType,I119,SampleDoping,P119)))</f>
        <v>277644.77836221259</v>
      </c>
      <c r="T119" s="201" t="str">
        <f t="shared" si="74"/>
        <v/>
      </c>
      <c r="U119" s="252">
        <f t="shared" si="67"/>
        <v>108567.31224447832</v>
      </c>
      <c r="V119" s="251" t="str">
        <f>IF(AugerModel="Sinton","",IF(SampleType="n-type",n_intr_boltzmann(SampleDoping,0,K119,Temperature+273.15),n_intr_boltzmann(0,SampleDoping,K119,Temperature+273.15)))</f>
        <v/>
      </c>
      <c r="W119" s="251" t="str">
        <f t="shared" si="51"/>
        <v/>
      </c>
      <c r="X119" s="246">
        <f>IF(AND(A119&gt;TimeofMaxCD,I119&gt;Traps),IF(AugerModel="Sinton",CalcImpliedV(SampleDoping,O119),CalcImpliedVRichter(O119,SampleDoping,V119)),"")</f>
        <v>0.53389540657383139</v>
      </c>
      <c r="Y119" s="253">
        <f t="shared" si="68"/>
        <v>0.24123528178169612</v>
      </c>
      <c r="Z119" s="200" t="str">
        <f t="shared" si="69"/>
        <v/>
      </c>
      <c r="AE119" s="251">
        <f t="shared" si="70"/>
        <v>1487.5755397229198</v>
      </c>
    </row>
    <row r="120" spans="1:31" x14ac:dyDescent="0.2">
      <c r="A120" s="244">
        <v>1.1149900000000001E-2</v>
      </c>
      <c r="B120" s="244">
        <v>1.0267900000000001E-3</v>
      </c>
      <c r="C120" s="245">
        <v>2.3965800000000002E-3</v>
      </c>
      <c r="D120" s="246">
        <f>IF(CouplingMode="AC",B120-(A$11-A$10)*SUM(B$9:B120)/0.21,B120)</f>
        <v>1.0267900000000001E-3</v>
      </c>
      <c r="E120" s="247">
        <f t="shared" si="58"/>
        <v>0.22772557106758298</v>
      </c>
      <c r="F120" s="247">
        <f t="shared" si="59"/>
        <v>0.22772557106758298</v>
      </c>
      <c r="G120" s="248">
        <f t="shared" si="60"/>
        <v>3.7812111051171704E+16</v>
      </c>
      <c r="H120" s="249">
        <f t="shared" si="61"/>
        <v>3.1725120338853274E-5</v>
      </c>
      <c r="I120" s="248">
        <f>IF(MobilityModel=DK,CalcDeltaN(H120,SampleDoping,Thickness,AreaFrac),CalcDeltaNDL(H120,AreaFrac,Thickness,SampleType,SampleDoping,Temperature))</f>
        <v>7393947729350.4189</v>
      </c>
      <c r="J120" s="248" t="str">
        <f t="shared" si="62"/>
        <v/>
      </c>
      <c r="K120" s="248">
        <f t="shared" si="63"/>
        <v>7393947729350.4189</v>
      </c>
      <c r="L120" s="250">
        <f t="shared" si="71"/>
        <v>-9755195576605302</v>
      </c>
      <c r="M120" s="196" t="str">
        <f t="shared" si="64"/>
        <v/>
      </c>
      <c r="N120" s="196" t="str">
        <f t="shared" si="65"/>
        <v/>
      </c>
      <c r="O120" s="250">
        <f t="shared" si="66"/>
        <v>7393947729350.4189</v>
      </c>
      <c r="P120" s="248">
        <f t="shared" si="72"/>
        <v>3.5035299086742095E-6</v>
      </c>
      <c r="Q120" s="250" t="str">
        <f t="shared" si="73"/>
        <v/>
      </c>
      <c r="R120" s="251" t="str">
        <f t="shared" si="75"/>
        <v/>
      </c>
      <c r="S120" s="252">
        <f>IF(AND(E120&gt;0.95*BiasLight,E120&lt;1.05*BiasLight),"",IF(AugerModel="Sinton",calclifetimeauger(Auger_Coefficient,I120,P120),calclifetimerichter(SampleType,I120,SampleDoping,P120)))</f>
        <v>285426.42013878509</v>
      </c>
      <c r="T120" s="201" t="str">
        <f t="shared" si="74"/>
        <v/>
      </c>
      <c r="U120" s="252">
        <f t="shared" si="67"/>
        <v>108567.07696572336</v>
      </c>
      <c r="V120" s="251" t="str">
        <f>IF(AugerModel="Sinton","",IF(SampleType="n-type",n_intr_boltzmann(SampleDoping,0,K120,Temperature+273.15),n_intr_boltzmann(0,SampleDoping,K120,Temperature+273.15)))</f>
        <v/>
      </c>
      <c r="W120" s="251" t="str">
        <f t="shared" si="51"/>
        <v/>
      </c>
      <c r="X120" s="246">
        <f>IF(AND(A120&gt;TimeofMaxCD,I120&gt;Traps),IF(AugerModel="Sinton",CalcImpliedV(SampleDoping,O120),CalcImpliedVRichter(O120,SampleDoping,V120)),"")</f>
        <v>0.53182213299560332</v>
      </c>
      <c r="Y120" s="253">
        <f t="shared" si="68"/>
        <v>0.22878309294595511</v>
      </c>
      <c r="Z120" s="200" t="str">
        <f t="shared" si="69"/>
        <v/>
      </c>
      <c r="AE120" s="251">
        <f t="shared" si="70"/>
        <v>1487.9621541903216</v>
      </c>
    </row>
    <row r="121" spans="1:31" x14ac:dyDescent="0.2">
      <c r="A121" s="244">
        <v>1.12499E-2</v>
      </c>
      <c r="B121" s="244">
        <v>6.3617000000000003E-4</v>
      </c>
      <c r="C121" s="245">
        <v>2.2647399999999999E-3</v>
      </c>
      <c r="D121" s="246">
        <f>IF(CouplingMode="AC",B121-(A$11-A$10)*SUM(B$9:B121)/0.21,B121)</f>
        <v>6.3617000000000003E-4</v>
      </c>
      <c r="E121" s="247">
        <f t="shared" si="58"/>
        <v>0.21519799456709054</v>
      </c>
      <c r="F121" s="247">
        <f t="shared" si="59"/>
        <v>0.21519799456709054</v>
      </c>
      <c r="G121" s="248">
        <f t="shared" si="60"/>
        <v>3.573200159478532E+16</v>
      </c>
      <c r="H121" s="249">
        <f t="shared" si="61"/>
        <v>1.9655875719608307E-5</v>
      </c>
      <c r="I121" s="248">
        <f>IF(MobilityModel=DK,CalcDeltaN(H121,SampleDoping,Thickness,AreaFrac),CalcDeltaNDL(H121,AreaFrac,Thickness,SampleType,SampleDoping,Temperature))</f>
        <v>4574805701668.0166</v>
      </c>
      <c r="J121" s="248" t="str">
        <f t="shared" si="62"/>
        <v/>
      </c>
      <c r="K121" s="248">
        <f t="shared" si="63"/>
        <v>4574805701668.0166</v>
      </c>
      <c r="L121" s="250">
        <f t="shared" si="71"/>
        <v>-1.4200963686436958E+16</v>
      </c>
      <c r="M121" s="196" t="str">
        <f t="shared" si="64"/>
        <v/>
      </c>
      <c r="N121" s="196" t="str">
        <f t="shared" si="65"/>
        <v/>
      </c>
      <c r="O121" s="250">
        <f t="shared" si="66"/>
        <v>4574805701668.0166</v>
      </c>
      <c r="P121" s="248">
        <f t="shared" si="72"/>
        <v>2.2881898011842472E-6</v>
      </c>
      <c r="Q121" s="250" t="str">
        <f t="shared" si="73"/>
        <v/>
      </c>
      <c r="R121" s="251" t="str">
        <f t="shared" si="75"/>
        <v/>
      </c>
      <c r="S121" s="252">
        <f>IF(AND(E121&gt;0.95*BiasLight,E121&lt;1.05*BiasLight),"",IF(AugerModel="Sinton",calclifetimeauger(Auger_Coefficient,I121,P121),calclifetimerichter(SampleType,I121,SampleDoping,P121)))</f>
        <v>437026.68345211417</v>
      </c>
      <c r="T121" s="201" t="str">
        <f t="shared" si="74"/>
        <v/>
      </c>
      <c r="U121" s="252">
        <f t="shared" si="67"/>
        <v>108566.00878759187</v>
      </c>
      <c r="V121" s="251" t="str">
        <f>IF(AugerModel="Sinton","",IF(SampleType="n-type",n_intr_boltzmann(SampleDoping,0,K121,Temperature+273.15),n_intr_boltzmann(0,SampleDoping,K121,Temperature+273.15)))</f>
        <v/>
      </c>
      <c r="W121" s="251" t="str">
        <f t="shared" si="51"/>
        <v/>
      </c>
      <c r="X121" s="246">
        <f>IF(AND(A121&gt;TimeofMaxCD,I121&gt;Traps),IF(AugerModel="Sinton",CalcImpliedV(SampleDoping,O121),CalcImpliedVRichter(O121,SampleDoping,V121)),"")</f>
        <v>0.51948103002525647</v>
      </c>
      <c r="Y121" s="253">
        <f t="shared" si="68"/>
        <v>0.21673746445003078</v>
      </c>
      <c r="Z121" s="200" t="str">
        <f t="shared" si="69"/>
        <v/>
      </c>
      <c r="AE121" s="251">
        <f t="shared" si="70"/>
        <v>1489.9947115182938</v>
      </c>
    </row>
    <row r="122" spans="1:31" x14ac:dyDescent="0.2">
      <c r="A122" s="244">
        <v>1.13499E-2</v>
      </c>
      <c r="B122" s="244">
        <v>6.2054500000000002E-4</v>
      </c>
      <c r="C122" s="245">
        <v>2.1504900000000001E-3</v>
      </c>
      <c r="D122" s="246">
        <f>IF(CouplingMode="AC",B122-(A$11-A$10)*SUM(B$9:B122)/0.21,B122)</f>
        <v>6.2054500000000002E-4</v>
      </c>
      <c r="E122" s="247">
        <f t="shared" si="58"/>
        <v>0.20434183850533949</v>
      </c>
      <c r="F122" s="247">
        <f t="shared" si="59"/>
        <v>0.20434183850533949</v>
      </c>
      <c r="G122" s="248">
        <f t="shared" si="60"/>
        <v>3.3929418877915296E+16</v>
      </c>
      <c r="H122" s="249">
        <f t="shared" si="61"/>
        <v>1.917310257078253E-5</v>
      </c>
      <c r="I122" s="248">
        <f>IF(MobilityModel=DK,CalcDeltaN(H122,SampleDoping,Thickness,AreaFrac),CalcDeltaNDL(H122,AreaFrac,Thickness,SampleType,SampleDoping,Temperature))</f>
        <v>4462161218964.7549</v>
      </c>
      <c r="J122" s="248" t="str">
        <f t="shared" si="62"/>
        <v/>
      </c>
      <c r="K122" s="248">
        <f t="shared" si="63"/>
        <v>4462161218964.7549</v>
      </c>
      <c r="L122" s="250">
        <f t="shared" si="71"/>
        <v>-7410307451734648</v>
      </c>
      <c r="M122" s="196" t="str">
        <f t="shared" si="64"/>
        <v/>
      </c>
      <c r="N122" s="196" t="str">
        <f t="shared" si="65"/>
        <v/>
      </c>
      <c r="O122" s="250">
        <f t="shared" si="66"/>
        <v>4462161218964.7549</v>
      </c>
      <c r="P122" s="248">
        <f t="shared" si="72"/>
        <v>2.3579650392191525E-6</v>
      </c>
      <c r="Q122" s="250" t="str">
        <f t="shared" si="73"/>
        <v/>
      </c>
      <c r="R122" s="251" t="str">
        <f t="shared" si="75"/>
        <v/>
      </c>
      <c r="S122" s="252">
        <f>IF(AND(E122&gt;0.95*BiasLight,E122&lt;1.05*BiasLight),"",IF(AugerModel="Sinton",calclifetimeauger(Auger_Coefficient,I122,P122),calclifetimerichter(SampleType,I122,SampleDoping,P122)))</f>
        <v>424094.49813268543</v>
      </c>
      <c r="T122" s="201" t="str">
        <f t="shared" si="74"/>
        <v/>
      </c>
      <c r="U122" s="252">
        <f t="shared" si="67"/>
        <v>108565.96610638891</v>
      </c>
      <c r="V122" s="251" t="str">
        <f>IF(AugerModel="Sinton","",IF(SampleType="n-type",n_intr_boltzmann(SampleDoping,0,K122,Temperature+273.15),n_intr_boltzmann(0,SampleDoping,K122,Temperature+273.15)))</f>
        <v/>
      </c>
      <c r="W122" s="251" t="str">
        <f t="shared" si="51"/>
        <v/>
      </c>
      <c r="X122" s="246">
        <f>IF(AND(A122&gt;TimeofMaxCD,I122&gt;Traps),IF(AugerModel="Sinton",CalcImpliedV(SampleDoping,O122),CalcImpliedVRichter(O122,SampleDoping,V122)),"")</f>
        <v>0.51884025701140835</v>
      </c>
      <c r="Y122" s="253">
        <f t="shared" si="68"/>
        <v>0.20514516040638542</v>
      </c>
      <c r="Z122" s="200" t="str">
        <f t="shared" si="69"/>
        <v/>
      </c>
      <c r="AE122" s="251">
        <f t="shared" si="70"/>
        <v>1490.0887003473026</v>
      </c>
    </row>
    <row r="123" spans="1:31" x14ac:dyDescent="0.2">
      <c r="A123" s="244">
        <v>1.1449900000000001E-2</v>
      </c>
      <c r="B123" s="244">
        <v>3.3148200000000002E-4</v>
      </c>
      <c r="C123" s="245">
        <v>2.0245100000000002E-3</v>
      </c>
      <c r="D123" s="246">
        <f>IF(CouplingMode="AC",B123-(A$11-A$10)*SUM(B$9:B123)/0.21,B123)</f>
        <v>3.3148200000000002E-4</v>
      </c>
      <c r="E123" s="247">
        <f t="shared" si="58"/>
        <v>0.19237108541422879</v>
      </c>
      <c r="F123" s="247">
        <f t="shared" si="59"/>
        <v>0.19237108541422879</v>
      </c>
      <c r="G123" s="248">
        <f t="shared" si="60"/>
        <v>3.1941765742936864E+16</v>
      </c>
      <c r="H123" s="249">
        <f t="shared" si="61"/>
        <v>1.0241822934228817E-5</v>
      </c>
      <c r="I123" s="248">
        <f>IF(MobilityModel=DK,CalcDeltaN(H123,SampleDoping,Thickness,AreaFrac),CalcDeltaNDL(H123,AreaFrac,Thickness,SampleType,SampleDoping,Temperature))</f>
        <v>2380308219748.499</v>
      </c>
      <c r="J123" s="248" t="str">
        <f t="shared" si="62"/>
        <v/>
      </c>
      <c r="K123" s="248">
        <f t="shared" si="63"/>
        <v>2380308219748.499</v>
      </c>
      <c r="L123" s="250">
        <f t="shared" si="71"/>
        <v>7316947368943576</v>
      </c>
      <c r="M123" s="196" t="str">
        <f t="shared" si="64"/>
        <v/>
      </c>
      <c r="N123" s="196" t="str">
        <f t="shared" si="65"/>
        <v/>
      </c>
      <c r="O123" s="250">
        <f t="shared" si="66"/>
        <v>2380308219748.499</v>
      </c>
      <c r="P123" s="248">
        <f t="shared" si="72"/>
        <v>1.3469181455709587E-6</v>
      </c>
      <c r="Q123" s="250" t="str">
        <f t="shared" si="73"/>
        <v/>
      </c>
      <c r="R123" s="251" t="str">
        <f t="shared" si="75"/>
        <v/>
      </c>
      <c r="S123" s="252">
        <f>IF(AND(E123&gt;0.95*BiasLight,E123&lt;1.05*BiasLight),"",IF(AugerModel="Sinton",calclifetimeauger(Auger_Coefficient,I123,P123),calclifetimerichter(SampleType,I123,SampleDoping,P123)))</f>
        <v>742435.61368269473</v>
      </c>
      <c r="T123" s="201" t="str">
        <f t="shared" si="74"/>
        <v/>
      </c>
      <c r="U123" s="252">
        <f t="shared" si="67"/>
        <v>108565.17728843476</v>
      </c>
      <c r="V123" s="251" t="str">
        <f>IF(AugerModel="Sinton","",IF(SampleType="n-type",n_intr_boltzmann(SampleDoping,0,K123,Temperature+273.15),n_intr_boltzmann(0,SampleDoping,K123,Temperature+273.15)))</f>
        <v/>
      </c>
      <c r="W123" s="251" t="str">
        <f t="shared" si="51"/>
        <v/>
      </c>
      <c r="X123" s="246">
        <f>IF(AND(A123&gt;TimeofMaxCD,I123&gt;Traps),IF(AugerModel="Sinton",CalcImpliedV(SampleDoping,O123),CalcImpliedVRichter(O123,SampleDoping,V123)),"")</f>
        <v>0.50269111410050782</v>
      </c>
      <c r="Y123" s="253">
        <f t="shared" si="68"/>
        <v>0.1915778843077218</v>
      </c>
      <c r="Z123" s="200" t="str">
        <f t="shared" si="69"/>
        <v/>
      </c>
      <c r="AE123" s="251">
        <f t="shared" si="70"/>
        <v>1492.1382043388228</v>
      </c>
    </row>
    <row r="124" spans="1:31" x14ac:dyDescent="0.2">
      <c r="A124" s="244">
        <v>1.15499E-2</v>
      </c>
      <c r="B124" s="244">
        <v>6.6546699999999999E-4</v>
      </c>
      <c r="C124" s="245">
        <v>1.92783E-3</v>
      </c>
      <c r="D124" s="246">
        <f>IF(CouplingMode="AC",B124-(A$11-A$10)*SUM(B$9:B124)/0.21,B124)</f>
        <v>6.6546699999999999E-4</v>
      </c>
      <c r="E124" s="247">
        <f t="shared" si="58"/>
        <v>0.18318444937002665</v>
      </c>
      <c r="F124" s="247">
        <f t="shared" si="59"/>
        <v>0.18318444937002665</v>
      </c>
      <c r="G124" s="248">
        <f t="shared" si="60"/>
        <v>3.041639421499818E+16</v>
      </c>
      <c r="H124" s="249">
        <f t="shared" si="61"/>
        <v>2.0561079819583772E-5</v>
      </c>
      <c r="I124" s="248">
        <f>IF(MobilityModel=DK,CalcDeltaN(H124,SampleDoping,Thickness,AreaFrac),CalcDeltaNDL(H124,AreaFrac,Thickness,SampleType,SampleDoping,Temperature))</f>
        <v>4786042744442.8574</v>
      </c>
      <c r="J124" s="248" t="str">
        <f t="shared" si="62"/>
        <v/>
      </c>
      <c r="K124" s="248">
        <f t="shared" si="63"/>
        <v>4786042744442.8574</v>
      </c>
      <c r="L124" s="250">
        <f t="shared" si="71"/>
        <v>6057126468416689</v>
      </c>
      <c r="M124" s="196" t="str">
        <f t="shared" si="64"/>
        <v/>
      </c>
      <c r="N124" s="196" t="str">
        <f t="shared" si="65"/>
        <v/>
      </c>
      <c r="O124" s="250">
        <f t="shared" si="66"/>
        <v>4786042744442.8574</v>
      </c>
      <c r="P124" s="248">
        <f t="shared" si="72"/>
        <v>2.8425026963608715E-6</v>
      </c>
      <c r="Q124" s="250" t="str">
        <f t="shared" si="73"/>
        <v/>
      </c>
      <c r="R124" s="251" t="str">
        <f t="shared" si="75"/>
        <v/>
      </c>
      <c r="S124" s="252">
        <f>IF(AND(E124&gt;0.95*BiasLight,E124&lt;1.05*BiasLight),"",IF(AugerModel="Sinton",calclifetimeauger(Auger_Coefficient,I124,P124),calclifetimerichter(SampleType,I124,SampleDoping,P124)))</f>
        <v>351802.65657167917</v>
      </c>
      <c r="T124" s="201" t="str">
        <f t="shared" si="74"/>
        <v/>
      </c>
      <c r="U124" s="252">
        <f t="shared" si="67"/>
        <v>108566.0888256983</v>
      </c>
      <c r="V124" s="251" t="str">
        <f>IF(AugerModel="Sinton","",IF(SampleType="n-type",n_intr_boltzmann(SampleDoping,0,K124,Temperature+273.15),n_intr_boltzmann(0,SampleDoping,K124,Temperature+273.15)))</f>
        <v/>
      </c>
      <c r="W124" s="251" t="str">
        <f t="shared" si="51"/>
        <v/>
      </c>
      <c r="X124" s="246">
        <f>IF(AND(A124&gt;TimeofMaxCD,I124&gt;Traps),IF(AugerModel="Sinton",CalcImpliedV(SampleDoping,O124),CalcImpliedVRichter(O124,SampleDoping,V124)),"")</f>
        <v>0.52064122301770277</v>
      </c>
      <c r="Y124" s="253">
        <f t="shared" si="68"/>
        <v>0.18252782042700683</v>
      </c>
      <c r="Z124" s="200" t="str">
        <f t="shared" si="69"/>
        <v/>
      </c>
      <c r="AE124" s="251">
        <f t="shared" si="70"/>
        <v>1489.8218148832823</v>
      </c>
    </row>
    <row r="125" spans="1:31" x14ac:dyDescent="0.2">
      <c r="A125" s="244">
        <v>1.1649899999999999E-2</v>
      </c>
      <c r="B125" s="244">
        <v>1.1205399999999999E-3</v>
      </c>
      <c r="C125" s="245">
        <v>1.8077099999999999E-3</v>
      </c>
      <c r="D125" s="246">
        <f>IF(CouplingMode="AC",B125-(A$11-A$10)*SUM(B$9:B125)/0.21,B125)</f>
        <v>1.1205399999999999E-3</v>
      </c>
      <c r="E125" s="247">
        <f t="shared" si="58"/>
        <v>0.17177051968829765</v>
      </c>
      <c r="F125" s="247">
        <f t="shared" si="59"/>
        <v>0.17177051968829765</v>
      </c>
      <c r="G125" s="248">
        <f t="shared" si="60"/>
        <v>2.8521197401427696E+16</v>
      </c>
      <c r="H125" s="249">
        <f t="shared" si="61"/>
        <v>3.4621796266218197E-5</v>
      </c>
      <c r="I125" s="248">
        <f>IF(MobilityModel=DK,CalcDeltaN(H125,SampleDoping,Thickness,AreaFrac),CalcDeltaNDL(H125,AreaFrac,Thickness,SampleType,SampleDoping,Temperature))</f>
        <v>8071338623400.7637</v>
      </c>
      <c r="J125" s="248" t="str">
        <f t="shared" si="62"/>
        <v/>
      </c>
      <c r="K125" s="248">
        <f t="shared" si="63"/>
        <v>8071338623400.7637</v>
      </c>
      <c r="L125" s="250">
        <f t="shared" si="71"/>
        <v>8532310720042896</v>
      </c>
      <c r="M125" s="196" t="str">
        <f t="shared" si="64"/>
        <v/>
      </c>
      <c r="N125" s="196" t="str">
        <f t="shared" si="65"/>
        <v/>
      </c>
      <c r="O125" s="250">
        <f t="shared" si="66"/>
        <v>8071338623400.7637</v>
      </c>
      <c r="P125" s="248">
        <f t="shared" si="72"/>
        <v>5.1214771167991701E-6</v>
      </c>
      <c r="Q125" s="250" t="str">
        <f t="shared" si="73"/>
        <v/>
      </c>
      <c r="R125" s="251" t="str">
        <f t="shared" si="75"/>
        <v/>
      </c>
      <c r="S125" s="252">
        <f>IF(AND(E125&gt;0.95*BiasLight,E125&lt;1.05*BiasLight),"",IF(AugerModel="Sinton",calclifetimeauger(Auger_Coefficient,I125,P125),calclifetimerichter(SampleType,I125,SampleDoping,P125)))</f>
        <v>195256.16860924859</v>
      </c>
      <c r="T125" s="201" t="str">
        <f t="shared" si="74"/>
        <v/>
      </c>
      <c r="U125" s="252">
        <f t="shared" si="67"/>
        <v>108567.33363038671</v>
      </c>
      <c r="V125" s="251" t="str">
        <f>IF(AugerModel="Sinton","",IF(SampleType="n-type",n_intr_boltzmann(SampleDoping,0,K125,Temperature+273.15),n_intr_boltzmann(0,SampleDoping,K125,Temperature+273.15)))</f>
        <v/>
      </c>
      <c r="W125" s="251" t="str">
        <f t="shared" si="51"/>
        <v/>
      </c>
      <c r="X125" s="246">
        <f>IF(AND(A125&gt;TimeofMaxCD,I125&gt;Traps),IF(AugerModel="Sinton",CalcImpliedV(SampleDoping,O125),CalcImpliedVRichter(O125,SampleDoping,V125)),"")</f>
        <v>0.53407583250695367</v>
      </c>
      <c r="Y125" s="253">
        <f t="shared" si="68"/>
        <v>0.17084556588407523</v>
      </c>
      <c r="Z125" s="200" t="str">
        <f t="shared" si="69"/>
        <v/>
      </c>
      <c r="AE125" s="251">
        <f t="shared" si="70"/>
        <v>1487.5412290164782</v>
      </c>
    </row>
    <row r="126" spans="1:31" x14ac:dyDescent="0.2">
      <c r="A126" s="244">
        <v>1.1749900000000001E-2</v>
      </c>
      <c r="B126" s="244">
        <v>6.4593500000000004E-4</v>
      </c>
      <c r="C126" s="245">
        <v>1.7149400000000001E-3</v>
      </c>
      <c r="D126" s="246">
        <f>IF(CouplingMode="AC",B126-(A$11-A$10)*SUM(B$9:B126)/0.21,B126)</f>
        <v>6.4593500000000004E-4</v>
      </c>
      <c r="E126" s="247">
        <f t="shared" si="58"/>
        <v>0.16295541598721544</v>
      </c>
      <c r="F126" s="247">
        <f t="shared" si="59"/>
        <v>0.16295541598721544</v>
      </c>
      <c r="G126" s="248">
        <f t="shared" si="60"/>
        <v>2.7057516012858496E+16</v>
      </c>
      <c r="H126" s="249">
        <f t="shared" si="61"/>
        <v>1.9957589736663284E-5</v>
      </c>
      <c r="I126" s="248">
        <f>IF(MobilityModel=DK,CalcDeltaN(H126,SampleDoping,Thickness,AreaFrac),CalcDeltaNDL(H126,AreaFrac,Thickness,SampleType,SampleDoping,Temperature))</f>
        <v>4645209251346.9893</v>
      </c>
      <c r="J126" s="248" t="str">
        <f t="shared" si="62"/>
        <v/>
      </c>
      <c r="K126" s="248">
        <f t="shared" si="63"/>
        <v>4645209251346.9893</v>
      </c>
      <c r="L126" s="250">
        <f t="shared" si="71"/>
        <v>-3212792309106181.5</v>
      </c>
      <c r="M126" s="196" t="str">
        <f t="shared" si="64"/>
        <v/>
      </c>
      <c r="N126" s="196" t="str">
        <f t="shared" si="65"/>
        <v/>
      </c>
      <c r="O126" s="250">
        <f t="shared" si="66"/>
        <v>4645209251346.9893</v>
      </c>
      <c r="P126" s="248">
        <f t="shared" si="72"/>
        <v>3.083632629214022E-6</v>
      </c>
      <c r="Q126" s="250" t="str">
        <f t="shared" si="73"/>
        <v/>
      </c>
      <c r="R126" s="251" t="str">
        <f t="shared" si="75"/>
        <v/>
      </c>
      <c r="S126" s="252">
        <f>IF(AND(E126&gt;0.95*BiasLight,E126&lt;1.05*BiasLight),"",IF(AugerModel="Sinton",calclifetimeauger(Auger_Coefficient,I126,P126),calclifetimerichter(SampleType,I126,SampleDoping,P126)))</f>
        <v>324292.84552759229</v>
      </c>
      <c r="T126" s="201" t="str">
        <f t="shared" si="74"/>
        <v/>
      </c>
      <c r="U126" s="252">
        <f t="shared" si="67"/>
        <v>108566.03546362714</v>
      </c>
      <c r="V126" s="251" t="str">
        <f>IF(AugerModel="Sinton","",IF(SampleType="n-type",n_intr_boltzmann(SampleDoping,0,K126,Temperature+273.15),n_intr_boltzmann(0,SampleDoping,K126,Temperature+273.15)))</f>
        <v/>
      </c>
      <c r="W126" s="251" t="str">
        <f t="shared" si="51"/>
        <v/>
      </c>
      <c r="X126" s="246">
        <f>IF(AND(A126&gt;TimeofMaxCD,I126&gt;Traps),IF(AugerModel="Sinton",CalcImpliedV(SampleDoping,O126),CalcImpliedVRichter(O126,SampleDoping,V126)),"")</f>
        <v>0.51987355737456875</v>
      </c>
      <c r="Y126" s="253">
        <f t="shared" si="68"/>
        <v>0.1633037019985891</v>
      </c>
      <c r="Z126" s="200" t="str">
        <f t="shared" si="69"/>
        <v/>
      </c>
      <c r="AE126" s="251">
        <f t="shared" si="70"/>
        <v>1489.9366099387669</v>
      </c>
    </row>
    <row r="127" spans="1:31" x14ac:dyDescent="0.2">
      <c r="A127" s="244">
        <v>1.18499E-2</v>
      </c>
      <c r="B127" s="244">
        <v>9.3304499999999997E-4</v>
      </c>
      <c r="C127" s="245">
        <v>1.6036100000000001E-3</v>
      </c>
      <c r="D127" s="246">
        <f>IF(CouplingMode="AC",B127-(A$11-A$10)*SUM(B$9:B127)/0.21,B127)</f>
        <v>9.3304499999999997E-4</v>
      </c>
      <c r="E127" s="247">
        <f t="shared" si="58"/>
        <v>0.15237672141955902</v>
      </c>
      <c r="F127" s="247">
        <f t="shared" si="59"/>
        <v>0.15237672141955902</v>
      </c>
      <c r="G127" s="248">
        <f t="shared" si="60"/>
        <v>2.5301003681399932E+16</v>
      </c>
      <c r="H127" s="249">
        <f t="shared" si="61"/>
        <v>2.8828606697048342E-5</v>
      </c>
      <c r="I127" s="248">
        <f>IF(MobilityModel=DK,CalcDeltaN(H127,SampleDoping,Thickness,AreaFrac),CalcDeltaNDL(H127,AreaFrac,Thickness,SampleType,SampleDoping,Temperature))</f>
        <v>6716880326317.8936</v>
      </c>
      <c r="J127" s="248" t="str">
        <f t="shared" si="62"/>
        <v/>
      </c>
      <c r="K127" s="248">
        <f t="shared" si="63"/>
        <v>6716880326317.8936</v>
      </c>
      <c r="L127" s="250">
        <f t="shared" si="71"/>
        <v>-1.506223846092121E+16</v>
      </c>
      <c r="M127" s="196" t="str">
        <f t="shared" si="64"/>
        <v/>
      </c>
      <c r="N127" s="196" t="str">
        <f t="shared" si="65"/>
        <v/>
      </c>
      <c r="O127" s="250">
        <f t="shared" si="66"/>
        <v>6716880326317.8936</v>
      </c>
      <c r="P127" s="248">
        <f t="shared" si="72"/>
        <v>4.72795478381396E-6</v>
      </c>
      <c r="Q127" s="250" t="str">
        <f t="shared" si="73"/>
        <v/>
      </c>
      <c r="R127" s="251" t="str">
        <f t="shared" si="75"/>
        <v/>
      </c>
      <c r="S127" s="252">
        <f>IF(AND(E127&gt;0.95*BiasLight,E127&lt;1.05*BiasLight),"",IF(AugerModel="Sinton",calclifetimeauger(Auger_Coefficient,I127,P127),calclifetimerichter(SampleType,I127,SampleDoping,P127)))</f>
        <v>211507.94484528145</v>
      </c>
      <c r="T127" s="201" t="str">
        <f t="shared" si="74"/>
        <v/>
      </c>
      <c r="U127" s="252">
        <f t="shared" si="67"/>
        <v>108566.82042363135</v>
      </c>
      <c r="V127" s="251" t="str">
        <f>IF(AugerModel="Sinton","",IF(SampleType="n-type",n_intr_boltzmann(SampleDoping,0,K127,Temperature+273.15),n_intr_boltzmann(0,SampleDoping,K127,Temperature+273.15)))</f>
        <v/>
      </c>
      <c r="W127" s="251" t="str">
        <f t="shared" si="51"/>
        <v/>
      </c>
      <c r="X127" s="246">
        <f>IF(AND(A127&gt;TimeofMaxCD,I127&gt;Traps),IF(AugerModel="Sinton",CalcImpliedV(SampleDoping,O127),CalcImpliedVRichter(O127,SampleDoping,V127)),"")</f>
        <v>0.52935314102259512</v>
      </c>
      <c r="Y127" s="253">
        <f t="shared" si="68"/>
        <v>0.15400955866865346</v>
      </c>
      <c r="Z127" s="200" t="str">
        <f t="shared" si="69"/>
        <v/>
      </c>
      <c r="AE127" s="251">
        <f t="shared" si="70"/>
        <v>1488.4046759982641</v>
      </c>
    </row>
    <row r="128" spans="1:31" x14ac:dyDescent="0.2">
      <c r="A128" s="244">
        <v>1.1949899999999999E-2</v>
      </c>
      <c r="B128" s="244">
        <v>5.3656000000000005E-4</v>
      </c>
      <c r="C128" s="245">
        <v>1.54306E-3</v>
      </c>
      <c r="D128" s="246">
        <f>IF(CouplingMode="AC",B128-(A$11-A$10)*SUM(B$9:B128)/0.21,B128)</f>
        <v>5.3656000000000005E-4</v>
      </c>
      <c r="E128" s="247">
        <f t="shared" si="58"/>
        <v>0.14662319625948</v>
      </c>
      <c r="F128" s="247">
        <f t="shared" si="59"/>
        <v>0.14662319625948</v>
      </c>
      <c r="G128" s="248">
        <f t="shared" si="60"/>
        <v>2.4345674285281948E+16</v>
      </c>
      <c r="H128" s="249">
        <f t="shared" si="61"/>
        <v>1.6578181295578975E-5</v>
      </c>
      <c r="I128" s="248">
        <f>IF(MobilityModel=DK,CalcDeltaN(H128,SampleDoping,Thickness,AreaFrac),CalcDeltaNDL(H128,AreaFrac,Thickness,SampleType,SampleDoping,Temperature))</f>
        <v>3856875738431.2085</v>
      </c>
      <c r="J128" s="248" t="str">
        <f t="shared" si="62"/>
        <v/>
      </c>
      <c r="K128" s="248">
        <f t="shared" si="63"/>
        <v>3856875738431.2085</v>
      </c>
      <c r="L128" s="250">
        <f t="shared" si="71"/>
        <v>-7640591774386870</v>
      </c>
      <c r="M128" s="196" t="str">
        <f t="shared" si="64"/>
        <v/>
      </c>
      <c r="N128" s="196" t="str">
        <f t="shared" si="65"/>
        <v/>
      </c>
      <c r="O128" s="250">
        <f t="shared" si="66"/>
        <v>3856875738431.2085</v>
      </c>
      <c r="P128" s="248">
        <f t="shared" si="72"/>
        <v>2.8355668087481214E-6</v>
      </c>
      <c r="Q128" s="250" t="str">
        <f t="shared" si="73"/>
        <v/>
      </c>
      <c r="R128" s="251" t="str">
        <f t="shared" si="75"/>
        <v/>
      </c>
      <c r="S128" s="252">
        <f>IF(AND(E128&gt;0.95*BiasLight,E128&lt;1.05*BiasLight),"",IF(AugerModel="Sinton",calclifetimeauger(Auger_Coefficient,I128,P128),calclifetimerichter(SampleType,I128,SampleDoping,P128)))</f>
        <v>352663.17719788518</v>
      </c>
      <c r="T128" s="201" t="str">
        <f t="shared" si="74"/>
        <v/>
      </c>
      <c r="U128" s="252">
        <f t="shared" si="67"/>
        <v>108565.73676260017</v>
      </c>
      <c r="V128" s="251" t="str">
        <f>IF(AugerModel="Sinton","",IF(SampleType="n-type",n_intr_boltzmann(SampleDoping,0,K128,Temperature+273.15),n_intr_boltzmann(0,SampleDoping,K128,Temperature+273.15)))</f>
        <v/>
      </c>
      <c r="W128" s="251" t="str">
        <f t="shared" si="51"/>
        <v/>
      </c>
      <c r="X128" s="246">
        <f>IF(AND(A128&gt;TimeofMaxCD,I128&gt;Traps),IF(AugerModel="Sinton",CalcImpliedV(SampleDoping,O128),CalcImpliedVRichter(O128,SampleDoping,V128)),"")</f>
        <v>0.51509368921675669</v>
      </c>
      <c r="Y128" s="253">
        <f t="shared" si="68"/>
        <v>0.14745148236627031</v>
      </c>
      <c r="Z128" s="200" t="str">
        <f t="shared" si="69"/>
        <v/>
      </c>
      <c r="AE128" s="251">
        <f t="shared" si="70"/>
        <v>1490.6175183168289</v>
      </c>
    </row>
    <row r="129" spans="1:31" x14ac:dyDescent="0.2">
      <c r="A129" s="244">
        <v>1.2049900000000001E-2</v>
      </c>
      <c r="B129" s="244">
        <v>1.3030999999999999E-4</v>
      </c>
      <c r="C129" s="245">
        <v>1.44834E-3</v>
      </c>
      <c r="D129" s="246">
        <f>IF(CouplingMode="AC",B129-(A$11-A$10)*SUM(B$9:B129)/0.21,B129)</f>
        <v>1.3030999999999999E-4</v>
      </c>
      <c r="E129" s="247">
        <f t="shared" si="58"/>
        <v>0.13762280149213593</v>
      </c>
      <c r="F129" s="247">
        <f t="shared" si="59"/>
        <v>0.13762280149213593</v>
      </c>
      <c r="G129" s="248">
        <f t="shared" si="60"/>
        <v>2.2851226714674256E+16</v>
      </c>
      <c r="H129" s="249">
        <f t="shared" si="61"/>
        <v>4.0261857121165479E-6</v>
      </c>
      <c r="I129" s="248">
        <f>IF(MobilityModel=DK,CalcDeltaN(H129,SampleDoping,Thickness,AreaFrac),CalcDeltaNDL(H129,AreaFrac,Thickness,SampleType,SampleDoping,Temperature))</f>
        <v>934386149398.05164</v>
      </c>
      <c r="J129" s="248" t="str">
        <f t="shared" si="62"/>
        <v/>
      </c>
      <c r="K129" s="248">
        <f t="shared" si="63"/>
        <v>934386149398.05164</v>
      </c>
      <c r="L129" s="250">
        <f t="shared" si="71"/>
        <v>-1832626019428486.7</v>
      </c>
      <c r="M129" s="196" t="str">
        <f t="shared" si="64"/>
        <v/>
      </c>
      <c r="N129" s="196" t="str">
        <f t="shared" si="65"/>
        <v/>
      </c>
      <c r="O129" s="250">
        <f t="shared" si="66"/>
        <v>934386149398.05164</v>
      </c>
      <c r="P129" s="248">
        <f t="shared" si="72"/>
        <v>7.3495863574958745E-7</v>
      </c>
      <c r="Q129" s="250" t="str">
        <f t="shared" si="73"/>
        <v/>
      </c>
      <c r="R129" s="251" t="str">
        <f t="shared" si="75"/>
        <v/>
      </c>
      <c r="S129" s="252">
        <f>IF(AND(E129&gt;0.95*BiasLight,E129&lt;1.05*BiasLight),"",IF(AugerModel="Sinton",calclifetimeauger(Auger_Coefficient,I129,P129),calclifetimerichter(SampleType,I129,SampleDoping,P129)))</f>
        <v>1360620.7905551454</v>
      </c>
      <c r="T129" s="201" t="str">
        <f t="shared" si="74"/>
        <v/>
      </c>
      <c r="U129" s="252">
        <f t="shared" si="67"/>
        <v>108564.62942588642</v>
      </c>
      <c r="V129" s="251" t="str">
        <f>IF(AugerModel="Sinton","",IF(SampleType="n-type",n_intr_boltzmann(SampleDoping,0,K129,Temperature+273.15),n_intr_boltzmann(0,SampleDoping,K129,Temperature+273.15)))</f>
        <v/>
      </c>
      <c r="W129" s="251" t="str">
        <f t="shared" si="51"/>
        <v/>
      </c>
      <c r="X129" s="246">
        <f>IF(AND(A129&gt;TimeofMaxCD,I129&gt;Traps),IF(AugerModel="Sinton",CalcImpliedV(SampleDoping,O129),CalcImpliedVRichter(O129,SampleDoping,V129)),"")</f>
        <v>0.47866471604779798</v>
      </c>
      <c r="Y129" s="253">
        <f t="shared" si="68"/>
        <v>0.13782146917595636</v>
      </c>
      <c r="Z129" s="200" t="str">
        <f t="shared" si="69"/>
        <v/>
      </c>
      <c r="AE129" s="251">
        <f t="shared" si="70"/>
        <v>1494.2814125839961</v>
      </c>
    </row>
    <row r="130" spans="1:31" x14ac:dyDescent="0.2">
      <c r="A130" s="244">
        <v>1.21499E-2</v>
      </c>
      <c r="B130" s="244">
        <v>5.1702900000000001E-4</v>
      </c>
      <c r="C130" s="245">
        <v>1.3653300000000001E-3</v>
      </c>
      <c r="D130" s="246">
        <f>IF(CouplingMode="AC",B130-(A$11-A$10)*SUM(B$9:B130)/0.21,B130)</f>
        <v>5.1702900000000001E-4</v>
      </c>
      <c r="E130" s="247">
        <f t="shared" si="58"/>
        <v>0.1297351033329591</v>
      </c>
      <c r="F130" s="247">
        <f t="shared" si="59"/>
        <v>0.1297351033329591</v>
      </c>
      <c r="G130" s="248">
        <f t="shared" si="60"/>
        <v>2.154153401158996E+16</v>
      </c>
      <c r="H130" s="249">
        <f t="shared" si="61"/>
        <v>1.5974724343600921E-5</v>
      </c>
      <c r="I130" s="248">
        <f>IF(MobilityModel=DK,CalcDeltaN(H130,SampleDoping,Thickness,AreaFrac),CalcDeltaNDL(H130,AreaFrac,Thickness,SampleType,SampleDoping,Temperature))</f>
        <v>3716160452613.4868</v>
      </c>
      <c r="J130" s="248" t="str">
        <f t="shared" si="62"/>
        <v/>
      </c>
      <c r="K130" s="248">
        <f t="shared" si="63"/>
        <v>3716160452613.4868</v>
      </c>
      <c r="L130" s="250">
        <f t="shared" si="71"/>
        <v>1758592803817268</v>
      </c>
      <c r="M130" s="196" t="str">
        <f t="shared" si="64"/>
        <v/>
      </c>
      <c r="N130" s="196" t="str">
        <f t="shared" si="65"/>
        <v/>
      </c>
      <c r="O130" s="250">
        <f t="shared" si="66"/>
        <v>3716160452613.4868</v>
      </c>
      <c r="P130" s="248">
        <f t="shared" si="72"/>
        <v>3.1097751450034832E-6</v>
      </c>
      <c r="Q130" s="250" t="str">
        <f t="shared" si="73"/>
        <v/>
      </c>
      <c r="R130" s="251" t="str">
        <f t="shared" si="75"/>
        <v/>
      </c>
      <c r="S130" s="252">
        <f>IF(AND(E130&gt;0.95*BiasLight,E130&lt;1.05*BiasLight),"",IF(AugerModel="Sinton",calclifetimeauger(Auger_Coefficient,I130,P130),calclifetimerichter(SampleType,I130,SampleDoping,P130)))</f>
        <v>321566.65781300096</v>
      </c>
      <c r="T130" s="201" t="str">
        <f t="shared" si="74"/>
        <v/>
      </c>
      <c r="U130" s="252">
        <f t="shared" si="67"/>
        <v>108565.68344531796</v>
      </c>
      <c r="V130" s="251" t="str">
        <f>IF(AugerModel="Sinton","",IF(SampleType="n-type",n_intr_boltzmann(SampleDoping,0,K130,Temperature+273.15),n_intr_boltzmann(0,SampleDoping,K130,Temperature+273.15)))</f>
        <v/>
      </c>
      <c r="W130" s="251" t="str">
        <f t="shared" si="51"/>
        <v/>
      </c>
      <c r="X130" s="246">
        <f>IF(AND(A130&gt;TimeofMaxCD,I130&gt;Traps),IF(AugerModel="Sinton",CalcImpliedV(SampleDoping,O130),CalcImpliedVRichter(O130,SampleDoping,V130)),"")</f>
        <v>0.51413851351310502</v>
      </c>
      <c r="Y130" s="253">
        <f t="shared" si="68"/>
        <v>0.12954446129502345</v>
      </c>
      <c r="Z130" s="200" t="str">
        <f t="shared" si="69"/>
        <v/>
      </c>
      <c r="AE130" s="251">
        <f t="shared" si="70"/>
        <v>1490.7468443650316</v>
      </c>
    </row>
    <row r="131" spans="1:31" x14ac:dyDescent="0.2">
      <c r="A131" s="244">
        <v>1.2249899999999999E-2</v>
      </c>
      <c r="B131" s="244">
        <v>8.1585700000000002E-4</v>
      </c>
      <c r="C131" s="245">
        <v>1.2813499999999999E-3</v>
      </c>
      <c r="D131" s="246">
        <f>IF(CouplingMode="AC",B131-(A$11-A$10)*SUM(B$9:B131)/0.21,B131)</f>
        <v>8.1585700000000002E-4</v>
      </c>
      <c r="E131" s="247">
        <f t="shared" si="58"/>
        <v>0.1217552347459494</v>
      </c>
      <c r="F131" s="247">
        <f t="shared" si="59"/>
        <v>0.1217552347459494</v>
      </c>
      <c r="G131" s="248">
        <f t="shared" si="60"/>
        <v>2.0216537105132672E+16</v>
      </c>
      <c r="H131" s="249">
        <f t="shared" si="61"/>
        <v>2.5207767048784913E-5</v>
      </c>
      <c r="I131" s="248">
        <f>IF(MobilityModel=DK,CalcDeltaN(H131,SampleDoping,Thickness,AreaFrac),CalcDeltaNDL(H131,AreaFrac,Thickness,SampleType,SampleDoping,Temperature))</f>
        <v>5870924959512.5254</v>
      </c>
      <c r="J131" s="248" t="str">
        <f t="shared" si="62"/>
        <v/>
      </c>
      <c r="K131" s="248">
        <f t="shared" si="63"/>
        <v>5870924959512.5254</v>
      </c>
      <c r="L131" s="250">
        <f t="shared" si="71"/>
        <v>-606610618933628.25</v>
      </c>
      <c r="M131" s="196" t="str">
        <f t="shared" si="64"/>
        <v/>
      </c>
      <c r="N131" s="196" t="str">
        <f t="shared" si="65"/>
        <v/>
      </c>
      <c r="O131" s="250">
        <f t="shared" si="66"/>
        <v>5870924959512.5254</v>
      </c>
      <c r="P131" s="248">
        <f t="shared" si="72"/>
        <v>5.2244161978774165E-6</v>
      </c>
      <c r="Q131" s="250" t="str">
        <f t="shared" si="73"/>
        <v/>
      </c>
      <c r="R131" s="251" t="str">
        <f t="shared" si="75"/>
        <v/>
      </c>
      <c r="S131" s="252">
        <f>IF(AND(E131&gt;0.95*BiasLight,E131&lt;1.05*BiasLight),"",IF(AugerModel="Sinton",calclifetimeauger(Auger_Coefficient,I131,P131),calclifetimerichter(SampleType,I131,SampleDoping,P131)))</f>
        <v>191408.94634454252</v>
      </c>
      <c r="T131" s="201" t="str">
        <f t="shared" si="74"/>
        <v/>
      </c>
      <c r="U131" s="252">
        <f t="shared" si="67"/>
        <v>108566.4998895773</v>
      </c>
      <c r="V131" s="251" t="str">
        <f>IF(AugerModel="Sinton","",IF(SampleType="n-type",n_intr_boltzmann(SampleDoping,0,K131,Temperature+273.15),n_intr_boltzmann(0,SampleDoping,K131,Temperature+273.15)))</f>
        <v/>
      </c>
      <c r="W131" s="251" t="str">
        <f t="shared" si="51"/>
        <v/>
      </c>
      <c r="X131" s="246">
        <f>IF(AND(A131&gt;TimeofMaxCD,I131&gt;Traps),IF(AugerModel="Sinton",CalcImpliedV(SampleDoping,O131),CalcImpliedVRichter(O131,SampleDoping,V131)),"")</f>
        <v>0.52589274919356721</v>
      </c>
      <c r="Y131" s="253">
        <f t="shared" si="68"/>
        <v>0.12182099498582748</v>
      </c>
      <c r="Z131" s="200" t="str">
        <f t="shared" si="69"/>
        <v/>
      </c>
      <c r="AE131" s="251">
        <f t="shared" si="70"/>
        <v>1488.9935981340245</v>
      </c>
    </row>
    <row r="132" spans="1:31" x14ac:dyDescent="0.2">
      <c r="A132" s="244">
        <v>1.23499E-2</v>
      </c>
      <c r="B132" s="244">
        <v>3.1585700000000001E-4</v>
      </c>
      <c r="C132" s="245">
        <v>1.22178E-3</v>
      </c>
      <c r="D132" s="246">
        <f>IF(CouplingMode="AC",B132-(A$11-A$10)*SUM(B$9:B132)/0.21,B132)</f>
        <v>3.1585700000000001E-4</v>
      </c>
      <c r="E132" s="247">
        <f t="shared" si="58"/>
        <v>0.11609483022429942</v>
      </c>
      <c r="F132" s="247">
        <f t="shared" si="59"/>
        <v>0.11609483022429942</v>
      </c>
      <c r="G132" s="248">
        <f t="shared" si="60"/>
        <v>1.9276669687680176E+16</v>
      </c>
      <c r="H132" s="249">
        <f t="shared" si="61"/>
        <v>9.7590540086914257E-6</v>
      </c>
      <c r="I132" s="248">
        <f>IF(MobilityModel=DK,CalcDeltaN(H132,SampleDoping,Thickness,AreaFrac),CalcDeltaNDL(H132,AreaFrac,Thickness,SampleType,SampleDoping,Temperature))</f>
        <v>2267902735282.6265</v>
      </c>
      <c r="J132" s="248" t="str">
        <f t="shared" si="62"/>
        <v/>
      </c>
      <c r="K132" s="248">
        <f t="shared" si="63"/>
        <v>2267902735282.6265</v>
      </c>
      <c r="L132" s="250"/>
      <c r="M132" s="196" t="str">
        <f t="shared" si="64"/>
        <v/>
      </c>
      <c r="N132" s="196" t="str">
        <f t="shared" si="65"/>
        <v/>
      </c>
      <c r="O132" s="250">
        <f t="shared" si="66"/>
        <v>2267902735282.6265</v>
      </c>
      <c r="P132" s="248"/>
      <c r="Q132" s="250" t="str">
        <f t="shared" si="73"/>
        <v/>
      </c>
      <c r="R132" s="251" t="str">
        <f t="shared" si="75"/>
        <v/>
      </c>
      <c r="S132" s="201"/>
      <c r="T132" s="201" t="str">
        <f t="shared" si="74"/>
        <v/>
      </c>
      <c r="U132" s="252">
        <f t="shared" si="67"/>
        <v>108565.13469778867</v>
      </c>
      <c r="V132" s="251" t="str">
        <f>IF(AugerModel="Sinton","",IF(SampleType="n-type",n_intr_boltzmann(SampleDoping,0,K132,Temperature+273.15),n_intr_boltzmann(0,SampleDoping,K132,Temperature+273.15)))</f>
        <v/>
      </c>
      <c r="W132" s="251" t="str">
        <f t="shared" si="51"/>
        <v/>
      </c>
      <c r="X132" s="246">
        <f>IF(AND(A132&gt;TimeofMaxCD,I132&gt;Traps),IF(AugerModel="Sinton",CalcImpliedV(SampleDoping,O132),CalcImpliedVRichter(O132,SampleDoping,V132)),"")</f>
        <v>0.50144807857489559</v>
      </c>
      <c r="Y132" s="253" t="str">
        <f t="shared" si="68"/>
        <v/>
      </c>
      <c r="Z132" s="200" t="str">
        <f t="shared" si="69"/>
        <v/>
      </c>
      <c r="AE132" s="251">
        <f t="shared" si="70"/>
        <v>1492.2729950117539</v>
      </c>
    </row>
    <row r="133" spans="1:31" x14ac:dyDescent="0.2">
      <c r="A133" s="244">
        <v>1.24499E-2</v>
      </c>
      <c r="B133" s="244">
        <v>1.8890399999999999E-4</v>
      </c>
      <c r="C133" s="245">
        <v>1.1475599999999999E-3</v>
      </c>
      <c r="D133" s="246">
        <f>IF(CouplingMode="AC",B133-(A$11-A$10)*SUM(B$9:B133)/0.21,B133)</f>
        <v>1.8890399999999999E-4</v>
      </c>
      <c r="E133" s="247">
        <f t="shared" si="58"/>
        <v>0.10904236717919515</v>
      </c>
      <c r="F133" s="247">
        <f t="shared" si="59"/>
        <v>0.10904236717919515</v>
      </c>
      <c r="G133" s="248">
        <f t="shared" si="60"/>
        <v>1.8105661466707804E+16</v>
      </c>
      <c r="H133" s="249">
        <f t="shared" si="61"/>
        <v>5.836568379408158E-6</v>
      </c>
      <c r="I133" s="248">
        <f>IF(MobilityModel=DK,CalcDeltaN(H133,SampleDoping,Thickness,AreaFrac),CalcDeltaNDL(H133,AreaFrac,Thickness,SampleType,SampleDoping,Temperature))</f>
        <v>1355209698596.6841</v>
      </c>
      <c r="J133" s="248" t="str">
        <f t="shared" si="62"/>
        <v/>
      </c>
      <c r="K133" s="248">
        <f t="shared" si="63"/>
        <v>1355209698596.6841</v>
      </c>
      <c r="L133" s="250"/>
      <c r="M133" s="196" t="str">
        <f t="shared" si="64"/>
        <v/>
      </c>
      <c r="N133" s="196" t="str">
        <f t="shared" si="65"/>
        <v/>
      </c>
      <c r="O133" s="250">
        <f t="shared" si="66"/>
        <v>1355209698596.6841</v>
      </c>
      <c r="P133" s="248"/>
      <c r="Q133" s="250" t="str">
        <f t="shared" si="73"/>
        <v/>
      </c>
      <c r="R133" s="251" t="str">
        <f t="shared" si="75"/>
        <v/>
      </c>
      <c r="S133" s="201"/>
      <c r="T133" s="201" t="str">
        <f t="shared" si="74"/>
        <v/>
      </c>
      <c r="U133" s="252">
        <f t="shared" si="67"/>
        <v>108564.78887670801</v>
      </c>
      <c r="V133" s="251" t="str">
        <f>IF(AugerModel="Sinton","",IF(SampleType="n-type",n_intr_boltzmann(SampleDoping,0,K133,Temperature+273.15),n_intr_boltzmann(0,SampleDoping,K133,Temperature+273.15)))</f>
        <v/>
      </c>
      <c r="W133" s="251" t="str">
        <f t="shared" si="51"/>
        <v/>
      </c>
      <c r="X133" s="246">
        <f>IF(AND(A133&gt;TimeofMaxCD,I133&gt;Traps),IF(AugerModel="Sinton",CalcImpliedV(SampleDoping,O133),CalcImpliedVRichter(O133,SampleDoping,V133)),"")</f>
        <v>0.48821791996202768</v>
      </c>
      <c r="Y133" s="253" t="str">
        <f t="shared" si="68"/>
        <v/>
      </c>
      <c r="Z133" s="200" t="str">
        <f t="shared" si="69"/>
        <v/>
      </c>
      <c r="AE133" s="251">
        <f t="shared" si="70"/>
        <v>1493.5372545888408</v>
      </c>
    </row>
    <row r="134" spans="1:31" x14ac:dyDescent="0.2">
      <c r="A134" s="255" t="s">
        <v>57</v>
      </c>
      <c r="B134" s="256" t="s">
        <v>131</v>
      </c>
      <c r="C134" s="257"/>
      <c r="D134" s="201"/>
      <c r="E134" s="201"/>
      <c r="F134" s="201"/>
      <c r="G134" s="201"/>
      <c r="H134" s="201"/>
      <c r="I134" s="201"/>
      <c r="J134" s="201"/>
      <c r="K134" s="201"/>
      <c r="L134" s="201"/>
      <c r="M134" s="201"/>
      <c r="N134" s="200" t="str">
        <f t="shared" ref="N134" si="76">IF(M134="","",1/M134)</f>
        <v/>
      </c>
      <c r="O134" s="201"/>
      <c r="R134" s="201"/>
      <c r="S134" s="201"/>
      <c r="T134" s="201"/>
      <c r="U134" s="201"/>
      <c r="V134" s="251"/>
      <c r="W134" s="251" t="str">
        <f t="shared" si="51"/>
        <v/>
      </c>
      <c r="Z134" s="258"/>
      <c r="AE134" s="251"/>
    </row>
    <row r="135" spans="1:31" x14ac:dyDescent="0.2">
      <c r="A135" s="255"/>
      <c r="B135" s="259"/>
      <c r="C135" s="260"/>
      <c r="D135" s="201"/>
      <c r="E135" s="201"/>
      <c r="F135" s="201"/>
      <c r="G135" s="196"/>
      <c r="H135" s="196"/>
      <c r="I135" s="201"/>
      <c r="J135" s="201"/>
      <c r="K135" s="201"/>
      <c r="L135" s="201"/>
      <c r="M135" s="201"/>
      <c r="N135" s="201"/>
      <c r="O135" s="201"/>
      <c r="R135" s="201"/>
      <c r="S135" s="201"/>
      <c r="T135" s="201"/>
      <c r="U135" s="196"/>
      <c r="V135" s="201"/>
      <c r="W135" s="201"/>
      <c r="X135" s="201"/>
      <c r="Y135" s="201"/>
    </row>
    <row r="136" spans="1:31" x14ac:dyDescent="0.2">
      <c r="A136" s="255" t="s">
        <v>80</v>
      </c>
      <c r="B136" s="259" t="s">
        <v>132</v>
      </c>
      <c r="C136" s="261"/>
      <c r="D136" s="201"/>
      <c r="E136" s="201"/>
      <c r="F136" s="201"/>
      <c r="G136" s="201"/>
      <c r="H136" s="201"/>
      <c r="I136" s="201"/>
      <c r="J136" s="201"/>
      <c r="K136" s="201"/>
      <c r="L136" s="201"/>
      <c r="M136" s="201"/>
      <c r="N136" s="201"/>
      <c r="O136" s="201"/>
      <c r="R136" s="201"/>
      <c r="S136" s="201"/>
      <c r="T136" s="201"/>
      <c r="U136" s="196"/>
      <c r="V136" s="201"/>
      <c r="W136" s="201"/>
      <c r="X136" s="201"/>
      <c r="Y136" s="201"/>
    </row>
    <row r="137" spans="1:31" x14ac:dyDescent="0.2">
      <c r="A137" s="255"/>
      <c r="B137" s="259"/>
      <c r="C137" s="261"/>
      <c r="D137" s="201"/>
      <c r="E137" s="201"/>
      <c r="F137" s="201"/>
      <c r="G137" s="201"/>
      <c r="H137" s="201"/>
      <c r="I137" s="201"/>
      <c r="J137" s="201"/>
      <c r="K137" s="201"/>
      <c r="L137" s="201"/>
      <c r="M137" s="201"/>
      <c r="N137" s="201"/>
      <c r="O137" s="201"/>
      <c r="R137" s="201"/>
      <c r="S137" s="201"/>
      <c r="T137" s="201"/>
      <c r="U137" s="196"/>
      <c r="V137" s="201"/>
      <c r="W137" s="201"/>
      <c r="X137" s="201"/>
      <c r="Y137" s="201"/>
    </row>
    <row r="138" spans="1:31" x14ac:dyDescent="0.2">
      <c r="A138" s="255" t="s">
        <v>69</v>
      </c>
      <c r="B138" s="259">
        <v>5</v>
      </c>
      <c r="C138" s="261"/>
      <c r="D138" s="201"/>
      <c r="E138" s="201"/>
      <c r="F138" s="201"/>
      <c r="G138" s="201"/>
      <c r="H138" s="201"/>
      <c r="I138" s="201"/>
      <c r="J138" s="201"/>
      <c r="K138" s="201"/>
      <c r="L138" s="201"/>
      <c r="M138" s="201"/>
      <c r="N138" s="201"/>
      <c r="O138" s="201"/>
      <c r="R138" s="201"/>
      <c r="S138" s="201"/>
      <c r="T138" s="201"/>
      <c r="U138" s="196"/>
      <c r="V138" s="201"/>
      <c r="W138" s="201"/>
      <c r="X138" s="201"/>
      <c r="Y138" s="201"/>
    </row>
    <row r="139" spans="1:31" x14ac:dyDescent="0.2">
      <c r="A139" s="262"/>
      <c r="B139" s="259"/>
      <c r="C139" s="259"/>
      <c r="D139" s="263"/>
      <c r="E139" s="263"/>
      <c r="F139" s="263"/>
      <c r="G139" s="263"/>
      <c r="H139" s="263"/>
      <c r="I139" s="263"/>
      <c r="J139" s="263"/>
      <c r="K139" s="263"/>
      <c r="L139" s="263"/>
      <c r="M139" s="201"/>
      <c r="N139" s="263"/>
      <c r="O139" s="201"/>
      <c r="P139" s="263"/>
      <c r="Q139" s="263"/>
      <c r="R139" s="263"/>
      <c r="S139" s="263"/>
      <c r="T139" s="263"/>
      <c r="U139" s="263"/>
      <c r="V139" s="263" t="str">
        <f>IF(User!S6="","",User!S6)</f>
        <v/>
      </c>
      <c r="W139" s="201"/>
    </row>
    <row r="140" spans="1:31" x14ac:dyDescent="0.2">
      <c r="A140" s="255" t="s">
        <v>68</v>
      </c>
      <c r="B140" s="264">
        <v>5</v>
      </c>
      <c r="C140" s="265"/>
      <c r="D140" s="201"/>
      <c r="E140" s="201"/>
      <c r="F140" s="266"/>
      <c r="G140" s="266"/>
      <c r="H140" s="266"/>
      <c r="I140" s="266"/>
      <c r="J140" s="267"/>
      <c r="K140" s="266"/>
      <c r="L140" s="266"/>
      <c r="M140" s="201"/>
      <c r="N140" s="266"/>
      <c r="O140" s="201"/>
      <c r="P140" s="266"/>
      <c r="Q140" s="266"/>
      <c r="R140" s="266"/>
      <c r="S140" s="266"/>
      <c r="T140" s="201"/>
      <c r="U140" s="201"/>
      <c r="V140" s="201"/>
      <c r="W140" s="201"/>
    </row>
    <row r="141" spans="1:31" x14ac:dyDescent="0.2">
      <c r="A141" s="268"/>
      <c r="B141" s="259"/>
      <c r="C141" s="260"/>
      <c r="D141" s="269"/>
      <c r="E141" s="253"/>
      <c r="F141" s="269"/>
      <c r="G141" s="201"/>
      <c r="H141" s="201"/>
      <c r="I141" s="201"/>
      <c r="J141" s="270"/>
      <c r="K141" s="253"/>
      <c r="L141" s="270"/>
      <c r="N141" s="251"/>
      <c r="P141" s="201"/>
      <c r="Q141" s="253"/>
      <c r="R141" s="251"/>
    </row>
    <row r="142" spans="1:31" x14ac:dyDescent="0.2">
      <c r="A142" s="255" t="s">
        <v>67</v>
      </c>
      <c r="B142" s="259">
        <v>10</v>
      </c>
      <c r="C142" s="260"/>
      <c r="D142" s="201"/>
      <c r="E142" s="201"/>
      <c r="F142" s="201"/>
      <c r="G142" s="201"/>
      <c r="H142" s="201"/>
      <c r="I142" s="201"/>
      <c r="J142" s="201"/>
      <c r="K142" s="201"/>
      <c r="L142" s="201"/>
      <c r="P142" s="201"/>
      <c r="Q142" s="201"/>
    </row>
    <row r="143" spans="1:31" x14ac:dyDescent="0.2">
      <c r="A143" s="271"/>
      <c r="B143" s="272"/>
      <c r="C143" s="273"/>
    </row>
    <row r="144" spans="1:31" x14ac:dyDescent="0.2">
      <c r="A144" s="271" t="s">
        <v>66</v>
      </c>
      <c r="B144" s="272">
        <v>20</v>
      </c>
      <c r="C144" s="273"/>
    </row>
    <row r="145" spans="1:3" x14ac:dyDescent="0.2">
      <c r="A145" s="271"/>
      <c r="B145" s="272"/>
      <c r="C145" s="273"/>
    </row>
    <row r="146" spans="1:3" x14ac:dyDescent="0.2">
      <c r="A146" s="271" t="s">
        <v>73</v>
      </c>
      <c r="B146" s="272">
        <v>1</v>
      </c>
      <c r="C146" s="273"/>
    </row>
    <row r="147" spans="1:3" x14ac:dyDescent="0.2">
      <c r="A147" s="271"/>
      <c r="B147" s="272"/>
      <c r="C147" s="273"/>
    </row>
    <row r="148" spans="1:3" x14ac:dyDescent="0.2">
      <c r="A148" s="271" t="s">
        <v>72</v>
      </c>
      <c r="B148" s="272">
        <v>1</v>
      </c>
      <c r="C148" s="273"/>
    </row>
    <row r="149" spans="1:3" x14ac:dyDescent="0.2">
      <c r="A149" s="271"/>
      <c r="B149" s="272"/>
      <c r="C149" s="273"/>
    </row>
    <row r="150" spans="1:3" x14ac:dyDescent="0.2">
      <c r="A150" s="271" t="s">
        <v>71</v>
      </c>
      <c r="B150" s="274">
        <v>0.63010299999999997</v>
      </c>
      <c r="C150" s="273"/>
    </row>
    <row r="151" spans="1:3" x14ac:dyDescent="0.2">
      <c r="A151" s="271"/>
      <c r="B151" s="272"/>
      <c r="C151" s="273"/>
    </row>
    <row r="152" spans="1:3" x14ac:dyDescent="0.2">
      <c r="A152" s="271" t="s">
        <v>70</v>
      </c>
      <c r="B152" s="272">
        <v>0.63104099999999996</v>
      </c>
      <c r="C152" s="273"/>
    </row>
    <row r="153" spans="1:3" x14ac:dyDescent="0.2">
      <c r="A153" s="271"/>
      <c r="B153" s="272"/>
      <c r="C153" s="273"/>
    </row>
    <row r="154" spans="1:3" x14ac:dyDescent="0.2">
      <c r="A154" s="271" t="s">
        <v>63</v>
      </c>
      <c r="B154" s="272">
        <v>125</v>
      </c>
      <c r="C154" s="273"/>
    </row>
    <row r="155" spans="1:3" x14ac:dyDescent="0.2">
      <c r="A155" s="271"/>
      <c r="B155" s="272"/>
      <c r="C155" s="273"/>
    </row>
    <row r="156" spans="1:3" x14ac:dyDescent="0.2">
      <c r="A156" s="271" t="s">
        <v>61</v>
      </c>
      <c r="B156" s="272">
        <v>12500</v>
      </c>
      <c r="C156" s="273"/>
    </row>
    <row r="157" spans="1:3" x14ac:dyDescent="0.2">
      <c r="A157" s="271"/>
      <c r="B157" s="272"/>
      <c r="C157" s="273"/>
    </row>
    <row r="158" spans="1:3" x14ac:dyDescent="0.2">
      <c r="A158" s="271" t="s">
        <v>58</v>
      </c>
      <c r="B158" s="272">
        <v>0.2</v>
      </c>
      <c r="C158" s="273"/>
    </row>
    <row r="159" spans="1:3" x14ac:dyDescent="0.2">
      <c r="A159" s="271"/>
      <c r="B159" s="272"/>
      <c r="C159" s="273"/>
    </row>
    <row r="160" spans="1:3" x14ac:dyDescent="0.2">
      <c r="A160" s="271" t="s">
        <v>59</v>
      </c>
      <c r="B160" s="272">
        <v>0.02</v>
      </c>
      <c r="C160" s="273"/>
    </row>
    <row r="161" spans="1:3" x14ac:dyDescent="0.2">
      <c r="A161" s="271"/>
      <c r="B161" s="272"/>
      <c r="C161" s="273"/>
    </row>
    <row r="162" spans="1:3" x14ac:dyDescent="0.2">
      <c r="A162" s="271" t="s">
        <v>60</v>
      </c>
      <c r="B162" s="272">
        <v>1000</v>
      </c>
      <c r="C162" s="273"/>
    </row>
    <row r="163" spans="1:3" x14ac:dyDescent="0.2">
      <c r="A163" s="271"/>
      <c r="B163" s="272"/>
      <c r="C163" s="273"/>
    </row>
    <row r="164" spans="1:3" x14ac:dyDescent="0.2">
      <c r="A164" s="271" t="s">
        <v>62</v>
      </c>
      <c r="B164" s="272">
        <v>0.05</v>
      </c>
      <c r="C164" s="273"/>
    </row>
    <row r="165" spans="1:3" x14ac:dyDescent="0.2">
      <c r="A165" s="271"/>
      <c r="B165" s="272"/>
      <c r="C165" s="273"/>
    </row>
    <row r="166" spans="1:3" x14ac:dyDescent="0.2">
      <c r="A166" s="271" t="s">
        <v>64</v>
      </c>
      <c r="B166" s="272">
        <v>0.67978000000000005</v>
      </c>
      <c r="C166" s="273"/>
    </row>
    <row r="167" spans="1:3" x14ac:dyDescent="0.2">
      <c r="A167" s="271"/>
      <c r="B167" s="272"/>
      <c r="C167" s="273"/>
    </row>
    <row r="168" spans="1:3" x14ac:dyDescent="0.2">
      <c r="A168" s="271" t="s">
        <v>76</v>
      </c>
      <c r="B168" s="272" t="s">
        <v>131</v>
      </c>
      <c r="C168" s="273"/>
    </row>
    <row r="169" spans="1:3" x14ac:dyDescent="0.2">
      <c r="A169" s="271"/>
      <c r="B169" s="272"/>
      <c r="C169" s="273"/>
    </row>
    <row r="170" spans="1:3" x14ac:dyDescent="0.2">
      <c r="A170" s="271" t="s">
        <v>74</v>
      </c>
      <c r="B170" s="272" t="s">
        <v>131</v>
      </c>
      <c r="C170" s="273"/>
    </row>
    <row r="171" spans="1:3" x14ac:dyDescent="0.2">
      <c r="A171" s="271"/>
      <c r="B171" s="272"/>
      <c r="C171" s="273"/>
    </row>
    <row r="172" spans="1:3" x14ac:dyDescent="0.2">
      <c r="A172" s="271" t="s">
        <v>75</v>
      </c>
      <c r="B172" s="272" t="s">
        <v>132</v>
      </c>
      <c r="C172" s="273"/>
    </row>
    <row r="173" spans="1:3" x14ac:dyDescent="0.2">
      <c r="A173" s="271"/>
      <c r="B173" s="272"/>
      <c r="C173" s="273"/>
    </row>
    <row r="174" spans="1:3" x14ac:dyDescent="0.2">
      <c r="A174" s="271" t="s">
        <v>79</v>
      </c>
      <c r="B174" s="272">
        <v>20000</v>
      </c>
      <c r="C174" s="273"/>
    </row>
    <row r="175" spans="1:3" x14ac:dyDescent="0.2">
      <c r="A175" s="271"/>
      <c r="B175" s="272"/>
      <c r="C175" s="273"/>
    </row>
    <row r="176" spans="1:3" x14ac:dyDescent="0.2">
      <c r="A176" s="271" t="s">
        <v>77</v>
      </c>
      <c r="B176" s="272">
        <v>6</v>
      </c>
      <c r="C176" s="273"/>
    </row>
    <row r="177" spans="1:3" x14ac:dyDescent="0.2">
      <c r="A177" s="271"/>
      <c r="B177" s="272"/>
      <c r="C177" s="273"/>
    </row>
    <row r="178" spans="1:3" x14ac:dyDescent="0.2">
      <c r="A178" s="271" t="s">
        <v>78</v>
      </c>
      <c r="B178" s="272">
        <v>1</v>
      </c>
      <c r="C178" s="273"/>
    </row>
    <row r="179" spans="1:3" x14ac:dyDescent="0.2">
      <c r="A179" s="271"/>
      <c r="B179" s="272"/>
      <c r="C179" s="273"/>
    </row>
    <row r="180" spans="1:3" x14ac:dyDescent="0.2">
      <c r="A180" s="271" t="s">
        <v>81</v>
      </c>
      <c r="B180" s="272">
        <v>20</v>
      </c>
      <c r="C180" s="273"/>
    </row>
    <row r="181" spans="1:3" x14ac:dyDescent="0.2">
      <c r="A181" s="271"/>
      <c r="B181" s="272"/>
      <c r="C181" s="273"/>
    </row>
    <row r="182" spans="1:3" x14ac:dyDescent="0.2">
      <c r="A182" s="271" t="s">
        <v>83</v>
      </c>
      <c r="B182" s="272">
        <v>1</v>
      </c>
      <c r="C182" s="273"/>
    </row>
    <row r="183" spans="1:3" x14ac:dyDescent="0.2">
      <c r="A183" s="271"/>
      <c r="B183" s="272"/>
      <c r="C183" s="273"/>
    </row>
    <row r="184" spans="1:3" x14ac:dyDescent="0.2">
      <c r="A184" s="271" t="s">
        <v>84</v>
      </c>
      <c r="B184" s="272" t="s">
        <v>132</v>
      </c>
      <c r="C184" s="273"/>
    </row>
    <row r="185" spans="1:3" x14ac:dyDescent="0.2">
      <c r="A185" s="271"/>
      <c r="B185" s="272"/>
      <c r="C185" s="273"/>
    </row>
    <row r="186" spans="1:3" x14ac:dyDescent="0.2">
      <c r="A186" s="271" t="s">
        <v>85</v>
      </c>
      <c r="B186" s="272"/>
      <c r="C186" s="273"/>
    </row>
    <row r="187" spans="1:3" x14ac:dyDescent="0.2">
      <c r="A187" s="271" t="s">
        <v>99</v>
      </c>
      <c r="B187" s="272">
        <v>1</v>
      </c>
      <c r="C187" s="273"/>
    </row>
    <row r="188" spans="1:3" x14ac:dyDescent="0.2">
      <c r="A188" s="271"/>
      <c r="B188" s="272"/>
      <c r="C188" s="273"/>
    </row>
    <row r="189" spans="1:3" x14ac:dyDescent="0.2">
      <c r="A189" s="271" t="s">
        <v>100</v>
      </c>
      <c r="B189" s="272">
        <v>1</v>
      </c>
      <c r="C189" s="273"/>
    </row>
    <row r="190" spans="1:3" x14ac:dyDescent="0.2">
      <c r="A190" s="271"/>
      <c r="B190" s="272"/>
      <c r="C190" s="273"/>
    </row>
    <row r="191" spans="1:3" x14ac:dyDescent="0.2">
      <c r="A191" s="271" t="s">
        <v>101</v>
      </c>
      <c r="B191" s="272">
        <v>1</v>
      </c>
      <c r="C191" s="273"/>
    </row>
    <row r="192" spans="1:3" x14ac:dyDescent="0.2">
      <c r="A192" s="271"/>
      <c r="B192" s="272"/>
      <c r="C192" s="273"/>
    </row>
    <row r="193" spans="1:19" x14ac:dyDescent="0.2">
      <c r="A193" s="271" t="s">
        <v>102</v>
      </c>
      <c r="B193" s="272">
        <v>1</v>
      </c>
      <c r="C193" s="273"/>
    </row>
    <row r="194" spans="1:19" x14ac:dyDescent="0.2">
      <c r="A194" s="271"/>
      <c r="B194" s="272"/>
      <c r="C194" s="273"/>
    </row>
    <row r="195" spans="1:19" x14ac:dyDescent="0.2">
      <c r="A195" s="271" t="s">
        <v>103</v>
      </c>
      <c r="B195" s="272">
        <v>1</v>
      </c>
      <c r="C195" s="273"/>
    </row>
    <row r="196" spans="1:19" x14ac:dyDescent="0.2">
      <c r="A196" s="271"/>
      <c r="B196" s="272"/>
      <c r="C196" s="273"/>
    </row>
    <row r="197" spans="1:19" x14ac:dyDescent="0.2">
      <c r="A197" s="271" t="s">
        <v>104</v>
      </c>
      <c r="B197" s="272">
        <v>1</v>
      </c>
      <c r="C197" s="273"/>
    </row>
    <row r="198" spans="1:19" x14ac:dyDescent="0.2">
      <c r="A198" s="271"/>
      <c r="B198" s="272"/>
      <c r="C198" s="273"/>
    </row>
    <row r="199" spans="1:19" x14ac:dyDescent="0.2">
      <c r="A199" s="271" t="s">
        <v>105</v>
      </c>
      <c r="B199" s="272">
        <v>1</v>
      </c>
      <c r="C199" s="273"/>
    </row>
    <row r="200" spans="1:19" x14ac:dyDescent="0.2">
      <c r="A200" s="271"/>
      <c r="B200" s="272"/>
      <c r="C200" s="272"/>
      <c r="D200" s="258"/>
      <c r="E200" s="258"/>
      <c r="F200" s="258"/>
      <c r="G200" s="258"/>
      <c r="H200" s="258"/>
      <c r="I200" s="258"/>
      <c r="J200" s="258"/>
      <c r="K200" s="258"/>
      <c r="L200" s="258"/>
      <c r="N200" s="258"/>
      <c r="P200" s="258"/>
      <c r="Q200" s="258"/>
      <c r="R200" s="258"/>
      <c r="S200" s="258"/>
    </row>
    <row r="201" spans="1:19" x14ac:dyDescent="0.2">
      <c r="A201" s="271" t="s">
        <v>106</v>
      </c>
      <c r="B201" s="272">
        <v>1</v>
      </c>
      <c r="C201" s="273"/>
    </row>
    <row r="202" spans="1:19" x14ac:dyDescent="0.2">
      <c r="A202" s="271"/>
      <c r="B202" s="272"/>
      <c r="C202" s="273"/>
    </row>
    <row r="203" spans="1:19" x14ac:dyDescent="0.2">
      <c r="A203" s="271" t="s">
        <v>107</v>
      </c>
      <c r="B203" s="272">
        <v>1</v>
      </c>
      <c r="C203" s="273"/>
    </row>
    <row r="204" spans="1:19" x14ac:dyDescent="0.2">
      <c r="A204" s="271"/>
      <c r="B204" s="272"/>
      <c r="C204" s="273"/>
    </row>
    <row r="205" spans="1:19" x14ac:dyDescent="0.2">
      <c r="A205" s="271" t="s">
        <v>108</v>
      </c>
      <c r="B205" s="272" t="s">
        <v>132</v>
      </c>
      <c r="C205" s="273"/>
    </row>
    <row r="206" spans="1:19" x14ac:dyDescent="0.2">
      <c r="A206" s="271"/>
      <c r="B206" s="272"/>
      <c r="C206" s="273"/>
    </row>
    <row r="207" spans="1:19" x14ac:dyDescent="0.2">
      <c r="A207" s="271" t="s">
        <v>109</v>
      </c>
      <c r="B207" s="272">
        <v>1</v>
      </c>
      <c r="C207" s="273"/>
    </row>
    <row r="208" spans="1:19" x14ac:dyDescent="0.2">
      <c r="A208" s="271"/>
      <c r="B208" s="272"/>
      <c r="C208" s="273"/>
    </row>
    <row r="209" spans="1:3" x14ac:dyDescent="0.2">
      <c r="A209" s="271" t="s">
        <v>110</v>
      </c>
      <c r="B209" s="272">
        <v>1</v>
      </c>
      <c r="C209" s="273"/>
    </row>
    <row r="210" spans="1:3" x14ac:dyDescent="0.2">
      <c r="A210" s="271"/>
      <c r="B210" s="272"/>
      <c r="C210" s="273"/>
    </row>
    <row r="211" spans="1:3" x14ac:dyDescent="0.2">
      <c r="A211" s="271" t="s">
        <v>91</v>
      </c>
      <c r="B211" s="272">
        <v>1</v>
      </c>
      <c r="C211" s="273"/>
    </row>
    <row r="212" spans="1:3" x14ac:dyDescent="0.2">
      <c r="A212" s="271"/>
      <c r="B212" s="272"/>
      <c r="C212" s="273"/>
    </row>
    <row r="213" spans="1:3" x14ac:dyDescent="0.2">
      <c r="A213" s="271" t="s">
        <v>92</v>
      </c>
      <c r="B213" s="272">
        <v>1</v>
      </c>
      <c r="C213" s="273"/>
    </row>
    <row r="214" spans="1:3" x14ac:dyDescent="0.2">
      <c r="A214" s="271"/>
      <c r="B214" s="272"/>
      <c r="C214" s="273"/>
    </row>
    <row r="215" spans="1:3" x14ac:dyDescent="0.2">
      <c r="A215" s="271" t="s">
        <v>93</v>
      </c>
      <c r="B215" s="272">
        <v>1</v>
      </c>
      <c r="C215" s="273"/>
    </row>
    <row r="216" spans="1:3" x14ac:dyDescent="0.2">
      <c r="A216" s="271"/>
      <c r="B216" s="272"/>
      <c r="C216" s="273"/>
    </row>
    <row r="217" spans="1:3" x14ac:dyDescent="0.2">
      <c r="A217" s="271" t="s">
        <v>94</v>
      </c>
      <c r="B217" s="272">
        <v>1</v>
      </c>
      <c r="C217" s="273"/>
    </row>
    <row r="218" spans="1:3" x14ac:dyDescent="0.2">
      <c r="A218" s="271"/>
      <c r="B218" s="272"/>
      <c r="C218" s="273"/>
    </row>
    <row r="219" spans="1:3" x14ac:dyDescent="0.2">
      <c r="A219" s="271" t="s">
        <v>95</v>
      </c>
      <c r="B219" s="272">
        <v>1</v>
      </c>
      <c r="C219" s="273"/>
    </row>
    <row r="220" spans="1:3" x14ac:dyDescent="0.2">
      <c r="A220" s="271"/>
      <c r="B220" s="272"/>
      <c r="C220" s="273"/>
    </row>
    <row r="221" spans="1:3" x14ac:dyDescent="0.2">
      <c r="A221" s="271" t="s">
        <v>98</v>
      </c>
      <c r="B221" s="272">
        <v>1</v>
      </c>
      <c r="C221" s="273"/>
    </row>
    <row r="222" spans="1:3" x14ac:dyDescent="0.2">
      <c r="A222" s="271"/>
      <c r="B222" s="272"/>
      <c r="C222" s="273"/>
    </row>
    <row r="223" spans="1:3" x14ac:dyDescent="0.2">
      <c r="A223" s="271" t="s">
        <v>96</v>
      </c>
      <c r="B223" s="272">
        <v>1</v>
      </c>
      <c r="C223" s="273"/>
    </row>
    <row r="224" spans="1:3" x14ac:dyDescent="0.2">
      <c r="A224" s="271"/>
      <c r="B224" s="272"/>
      <c r="C224" s="273"/>
    </row>
    <row r="225" spans="1:3" x14ac:dyDescent="0.2">
      <c r="A225" s="271" t="s">
        <v>97</v>
      </c>
      <c r="B225" s="272">
        <v>1</v>
      </c>
      <c r="C225" s="273"/>
    </row>
    <row r="226" spans="1:3" x14ac:dyDescent="0.2">
      <c r="A226" s="271"/>
      <c r="B226" s="272"/>
      <c r="C226" s="273"/>
    </row>
    <row r="227" spans="1:3" x14ac:dyDescent="0.2">
      <c r="A227" s="271" t="s">
        <v>111</v>
      </c>
      <c r="B227" s="272">
        <v>1</v>
      </c>
      <c r="C227" s="273"/>
    </row>
    <row r="228" spans="1:3" x14ac:dyDescent="0.2">
      <c r="A228" s="271"/>
      <c r="B228" s="272"/>
      <c r="C228" s="273"/>
    </row>
    <row r="229" spans="1:3" x14ac:dyDescent="0.2">
      <c r="A229" s="271" t="s">
        <v>112</v>
      </c>
      <c r="B229" s="272">
        <v>1</v>
      </c>
      <c r="C229" s="273"/>
    </row>
    <row r="230" spans="1:3" x14ac:dyDescent="0.2">
      <c r="A230" s="271"/>
      <c r="B230" s="272"/>
      <c r="C230" s="273"/>
    </row>
    <row r="231" spans="1:3" x14ac:dyDescent="0.2">
      <c r="A231" s="271" t="s">
        <v>149</v>
      </c>
      <c r="B231" s="272">
        <v>1</v>
      </c>
      <c r="C231" s="273"/>
    </row>
    <row r="232" spans="1:3" x14ac:dyDescent="0.2">
      <c r="A232" s="271"/>
      <c r="B232" s="272"/>
      <c r="C232" s="273"/>
    </row>
    <row r="233" spans="1:3" x14ac:dyDescent="0.2">
      <c r="A233" s="271" t="s">
        <v>150</v>
      </c>
      <c r="B233" s="272">
        <v>1</v>
      </c>
      <c r="C233" s="273"/>
    </row>
    <row r="234" spans="1:3" x14ac:dyDescent="0.2">
      <c r="A234" s="271"/>
      <c r="B234" s="272"/>
      <c r="C234" s="273"/>
    </row>
    <row r="235" spans="1:3" x14ac:dyDescent="0.2">
      <c r="A235" s="271" t="s">
        <v>134</v>
      </c>
      <c r="B235" s="272">
        <v>1</v>
      </c>
      <c r="C235" s="273"/>
    </row>
    <row r="236" spans="1:3" x14ac:dyDescent="0.2">
      <c r="A236" s="271"/>
      <c r="B236" s="272"/>
      <c r="C236" s="273"/>
    </row>
    <row r="237" spans="1:3" x14ac:dyDescent="0.2">
      <c r="A237" s="271" t="s">
        <v>133</v>
      </c>
      <c r="B237" s="272">
        <v>1</v>
      </c>
      <c r="C237" s="273"/>
    </row>
    <row r="238" spans="1:3" x14ac:dyDescent="0.2">
      <c r="A238" s="271"/>
      <c r="B238" s="272"/>
      <c r="C238" s="273"/>
    </row>
    <row r="239" spans="1:3" x14ac:dyDescent="0.2">
      <c r="A239" s="271" t="s">
        <v>135</v>
      </c>
      <c r="B239" s="272">
        <v>1</v>
      </c>
      <c r="C239" s="273"/>
    </row>
    <row r="240" spans="1:3" x14ac:dyDescent="0.2">
      <c r="A240" s="271"/>
      <c r="B240" s="272"/>
      <c r="C240" s="273"/>
    </row>
    <row r="241" spans="1:3" x14ac:dyDescent="0.2">
      <c r="A241" s="271" t="s">
        <v>136</v>
      </c>
      <c r="B241" s="272">
        <v>1</v>
      </c>
      <c r="C241" s="273"/>
    </row>
    <row r="242" spans="1:3" x14ac:dyDescent="0.2">
      <c r="A242" s="271"/>
      <c r="B242" s="272"/>
      <c r="C242" s="273"/>
    </row>
    <row r="243" spans="1:3" x14ac:dyDescent="0.2">
      <c r="A243" s="271" t="s">
        <v>137</v>
      </c>
      <c r="B243" s="272">
        <v>1</v>
      </c>
      <c r="C243" s="273"/>
    </row>
    <row r="244" spans="1:3" x14ac:dyDescent="0.2">
      <c r="A244" s="271"/>
      <c r="B244" s="272"/>
      <c r="C244" s="273"/>
    </row>
    <row r="245" spans="1:3" x14ac:dyDescent="0.2">
      <c r="A245" s="271" t="s">
        <v>138</v>
      </c>
      <c r="B245" s="272">
        <v>1</v>
      </c>
      <c r="C245" s="273"/>
    </row>
    <row r="246" spans="1:3" x14ac:dyDescent="0.2">
      <c r="A246" s="271"/>
      <c r="B246" s="272"/>
      <c r="C246" s="273"/>
    </row>
    <row r="247" spans="1:3" x14ac:dyDescent="0.2">
      <c r="A247" s="271" t="s">
        <v>139</v>
      </c>
      <c r="B247" s="272">
        <v>1</v>
      </c>
      <c r="C247" s="273"/>
    </row>
    <row r="248" spans="1:3" x14ac:dyDescent="0.2">
      <c r="A248" s="271"/>
      <c r="B248" s="272"/>
      <c r="C248" s="273"/>
    </row>
    <row r="249" spans="1:3" x14ac:dyDescent="0.2">
      <c r="A249" s="271" t="s">
        <v>140</v>
      </c>
      <c r="B249" s="272">
        <v>1</v>
      </c>
      <c r="C249" s="273"/>
    </row>
    <row r="250" spans="1:3" x14ac:dyDescent="0.2">
      <c r="A250" s="271"/>
      <c r="B250" s="272"/>
      <c r="C250" s="273"/>
    </row>
    <row r="251" spans="1:3" x14ac:dyDescent="0.2">
      <c r="A251" s="271" t="s">
        <v>141</v>
      </c>
      <c r="B251" s="272">
        <v>1</v>
      </c>
      <c r="C251" s="273"/>
    </row>
    <row r="252" spans="1:3" x14ac:dyDescent="0.2">
      <c r="A252" s="271"/>
      <c r="B252" s="272"/>
      <c r="C252" s="273"/>
    </row>
    <row r="253" spans="1:3" x14ac:dyDescent="0.2">
      <c r="A253" s="271" t="s">
        <v>142</v>
      </c>
      <c r="B253" s="272">
        <v>1</v>
      </c>
      <c r="C253" s="273"/>
    </row>
    <row r="254" spans="1:3" x14ac:dyDescent="0.2">
      <c r="A254" s="271"/>
      <c r="B254" s="272"/>
      <c r="C254" s="273"/>
    </row>
    <row r="255" spans="1:3" x14ac:dyDescent="0.2">
      <c r="A255" s="271" t="s">
        <v>143</v>
      </c>
      <c r="B255" s="272">
        <v>1</v>
      </c>
      <c r="C255" s="273"/>
    </row>
    <row r="256" spans="1:3" x14ac:dyDescent="0.2">
      <c r="A256" s="271"/>
      <c r="B256" s="272"/>
      <c r="C256" s="273"/>
    </row>
    <row r="257" spans="1:3" x14ac:dyDescent="0.2">
      <c r="A257" s="271" t="s">
        <v>144</v>
      </c>
      <c r="B257" s="272">
        <v>1</v>
      </c>
      <c r="C257" s="273"/>
    </row>
    <row r="258" spans="1:3" x14ac:dyDescent="0.2">
      <c r="A258" s="271"/>
      <c r="B258" s="272"/>
      <c r="C258" s="273"/>
    </row>
    <row r="259" spans="1:3" x14ac:dyDescent="0.2">
      <c r="A259" s="271" t="s">
        <v>145</v>
      </c>
      <c r="B259" s="272">
        <v>1</v>
      </c>
      <c r="C259" s="273"/>
    </row>
    <row r="260" spans="1:3" x14ac:dyDescent="0.2">
      <c r="A260" s="271"/>
      <c r="B260" s="272"/>
      <c r="C260" s="273"/>
    </row>
    <row r="261" spans="1:3" x14ac:dyDescent="0.2">
      <c r="A261" s="271" t="s">
        <v>146</v>
      </c>
      <c r="B261" s="272">
        <v>1</v>
      </c>
      <c r="C261" s="273"/>
    </row>
    <row r="262" spans="1:3" x14ac:dyDescent="0.2">
      <c r="A262" s="271"/>
      <c r="B262" s="272"/>
      <c r="C262" s="273"/>
    </row>
    <row r="263" spans="1:3" x14ac:dyDescent="0.2">
      <c r="A263" s="271" t="s">
        <v>147</v>
      </c>
      <c r="B263" s="272">
        <v>1</v>
      </c>
      <c r="C263" s="273"/>
    </row>
    <row r="264" spans="1:3" x14ac:dyDescent="0.2">
      <c r="A264" s="271"/>
      <c r="B264" s="272"/>
      <c r="C264" s="273"/>
    </row>
    <row r="265" spans="1:3" x14ac:dyDescent="0.2">
      <c r="A265" s="271" t="s">
        <v>148</v>
      </c>
      <c r="B265" s="272">
        <v>1</v>
      </c>
      <c r="C265" s="273"/>
    </row>
    <row r="266" spans="1:3" x14ac:dyDescent="0.2">
      <c r="A266" s="271"/>
      <c r="B266" s="272"/>
      <c r="C266" s="273"/>
    </row>
    <row r="267" spans="1:3" x14ac:dyDescent="0.2">
      <c r="A267" s="271" t="s">
        <v>113</v>
      </c>
      <c r="B267" s="272"/>
      <c r="C267" s="273"/>
    </row>
    <row r="268" spans="1:3" x14ac:dyDescent="0.2">
      <c r="A268" s="271" t="s">
        <v>114</v>
      </c>
      <c r="B268" s="272" t="s">
        <v>132</v>
      </c>
      <c r="C268" s="273"/>
    </row>
    <row r="269" spans="1:3" x14ac:dyDescent="0.2">
      <c r="A269" s="271"/>
      <c r="B269" s="272"/>
      <c r="C269" s="273"/>
    </row>
    <row r="270" spans="1:3" x14ac:dyDescent="0.2">
      <c r="A270" s="271" t="s">
        <v>115</v>
      </c>
      <c r="B270" s="272" t="s">
        <v>151</v>
      </c>
      <c r="C270" s="273"/>
    </row>
    <row r="271" spans="1:3" x14ac:dyDescent="0.2">
      <c r="A271" s="271"/>
      <c r="B271" s="272"/>
      <c r="C271" s="273"/>
    </row>
    <row r="272" spans="1:3" x14ac:dyDescent="0.2">
      <c r="A272" s="271" t="s">
        <v>116</v>
      </c>
      <c r="B272" s="272" t="s">
        <v>151</v>
      </c>
      <c r="C272" s="273"/>
    </row>
    <row r="273" spans="1:3" x14ac:dyDescent="0.2">
      <c r="A273" s="271"/>
      <c r="B273" s="272"/>
      <c r="C273" s="273"/>
    </row>
    <row r="274" spans="1:3" x14ac:dyDescent="0.2">
      <c r="A274" s="271" t="s">
        <v>117</v>
      </c>
      <c r="B274" s="272" t="s">
        <v>132</v>
      </c>
      <c r="C274" s="273"/>
    </row>
    <row r="275" spans="1:3" x14ac:dyDescent="0.2">
      <c r="A275" s="271"/>
      <c r="B275" s="272"/>
      <c r="C275" s="273"/>
    </row>
    <row r="276" spans="1:3" x14ac:dyDescent="0.2">
      <c r="A276" s="271" t="s">
        <v>118</v>
      </c>
      <c r="B276" s="272" t="s">
        <v>151</v>
      </c>
      <c r="C276" s="273"/>
    </row>
    <row r="277" spans="1:3" x14ac:dyDescent="0.2">
      <c r="A277" s="271"/>
      <c r="B277" s="272"/>
      <c r="C277" s="273"/>
    </row>
    <row r="278" spans="1:3" x14ac:dyDescent="0.2">
      <c r="A278" s="271" t="s">
        <v>119</v>
      </c>
      <c r="B278" s="272" t="s">
        <v>132</v>
      </c>
      <c r="C278" s="273"/>
    </row>
    <row r="279" spans="1:3" x14ac:dyDescent="0.2">
      <c r="A279" s="271"/>
      <c r="B279" s="272"/>
      <c r="C279" s="273"/>
    </row>
    <row r="280" spans="1:3" x14ac:dyDescent="0.2">
      <c r="A280" s="271" t="s">
        <v>120</v>
      </c>
      <c r="B280" s="272" t="s">
        <v>151</v>
      </c>
      <c r="C280" s="273"/>
    </row>
    <row r="281" spans="1:3" x14ac:dyDescent="0.2">
      <c r="A281" s="271"/>
      <c r="B281" s="272"/>
      <c r="C281" s="273"/>
    </row>
    <row r="282" spans="1:3" x14ac:dyDescent="0.2">
      <c r="A282" s="271" t="s">
        <v>121</v>
      </c>
      <c r="B282" s="272">
        <v>1</v>
      </c>
      <c r="C282" s="273"/>
    </row>
    <row r="283" spans="1:3" x14ac:dyDescent="0.2">
      <c r="A283" s="271"/>
      <c r="B283" s="272"/>
      <c r="C283" s="273"/>
    </row>
    <row r="284" spans="1:3" x14ac:dyDescent="0.2">
      <c r="A284" s="271" t="s">
        <v>122</v>
      </c>
      <c r="B284" s="272">
        <v>1</v>
      </c>
      <c r="C284" s="273"/>
    </row>
    <row r="285" spans="1:3" x14ac:dyDescent="0.2">
      <c r="A285" s="271"/>
      <c r="B285" s="272"/>
      <c r="C285" s="273"/>
    </row>
    <row r="286" spans="1:3" x14ac:dyDescent="0.2">
      <c r="A286" s="271" t="s">
        <v>123</v>
      </c>
      <c r="B286" s="272">
        <v>1</v>
      </c>
      <c r="C286" s="273"/>
    </row>
    <row r="287" spans="1:3" x14ac:dyDescent="0.2">
      <c r="A287" s="271"/>
      <c r="B287" s="272"/>
      <c r="C287" s="273"/>
    </row>
    <row r="288" spans="1:3" x14ac:dyDescent="0.2">
      <c r="A288" s="271" t="s">
        <v>124</v>
      </c>
      <c r="B288" s="272" t="s">
        <v>151</v>
      </c>
      <c r="C288" s="273"/>
    </row>
    <row r="289" spans="1:3" x14ac:dyDescent="0.2">
      <c r="A289" s="271"/>
      <c r="B289" s="272"/>
      <c r="C289" s="273"/>
    </row>
    <row r="290" spans="1:3" x14ac:dyDescent="0.2">
      <c r="A290" s="271" t="s">
        <v>125</v>
      </c>
      <c r="B290" s="272" t="s">
        <v>151</v>
      </c>
      <c r="C290" s="273"/>
    </row>
    <row r="291" spans="1:3" x14ac:dyDescent="0.2">
      <c r="A291" s="271"/>
      <c r="B291" s="272"/>
      <c r="C291" s="273"/>
    </row>
    <row r="292" spans="1:3" x14ac:dyDescent="0.2">
      <c r="A292" s="271" t="s">
        <v>126</v>
      </c>
      <c r="B292" s="272">
        <v>1</v>
      </c>
      <c r="C292" s="273"/>
    </row>
    <row r="293" spans="1:3" x14ac:dyDescent="0.2">
      <c r="A293" s="271"/>
      <c r="B293" s="272"/>
      <c r="C293" s="273"/>
    </row>
    <row r="294" spans="1:3" x14ac:dyDescent="0.2">
      <c r="A294" s="271" t="s">
        <v>127</v>
      </c>
      <c r="B294" s="272">
        <v>1</v>
      </c>
      <c r="C294" s="273"/>
    </row>
    <row r="295" spans="1:3" x14ac:dyDescent="0.2">
      <c r="A295" s="271"/>
      <c r="B295" s="272"/>
      <c r="C295" s="273"/>
    </row>
    <row r="296" spans="1:3" x14ac:dyDescent="0.2">
      <c r="A296" s="271" t="s">
        <v>128</v>
      </c>
      <c r="B296" s="272" t="s">
        <v>151</v>
      </c>
      <c r="C296" s="273"/>
    </row>
    <row r="297" spans="1:3" x14ac:dyDescent="0.2">
      <c r="A297" s="271"/>
      <c r="B297" s="272"/>
      <c r="C297" s="273"/>
    </row>
    <row r="298" spans="1:3" x14ac:dyDescent="0.2">
      <c r="A298" s="271" t="s">
        <v>152</v>
      </c>
      <c r="B298" s="272" t="s">
        <v>151</v>
      </c>
      <c r="C298" s="273"/>
    </row>
    <row r="299" spans="1:3" x14ac:dyDescent="0.2">
      <c r="A299" s="271"/>
      <c r="B299" s="272"/>
      <c r="C299" s="273"/>
    </row>
    <row r="300" spans="1:3" x14ac:dyDescent="0.2">
      <c r="A300" s="271" t="s">
        <v>129</v>
      </c>
      <c r="B300" s="272"/>
      <c r="C300" s="273"/>
    </row>
    <row r="301" spans="1:3" x14ac:dyDescent="0.2">
      <c r="A301" s="271" t="s">
        <v>86</v>
      </c>
      <c r="B301" s="272">
        <v>1</v>
      </c>
      <c r="C301" s="273"/>
    </row>
    <row r="302" spans="1:3" x14ac:dyDescent="0.2">
      <c r="A302" s="271"/>
      <c r="B302" s="272"/>
      <c r="C302" s="273"/>
    </row>
    <row r="303" spans="1:3" x14ac:dyDescent="0.2">
      <c r="A303" s="271" t="s">
        <v>87</v>
      </c>
      <c r="B303" s="272">
        <v>1</v>
      </c>
      <c r="C303" s="273"/>
    </row>
    <row r="304" spans="1:3" x14ac:dyDescent="0.2">
      <c r="A304" s="271"/>
      <c r="B304" s="272"/>
      <c r="C304" s="273"/>
    </row>
    <row r="305" spans="1:3" x14ac:dyDescent="0.2">
      <c r="A305" s="271" t="s">
        <v>88</v>
      </c>
      <c r="B305" s="272">
        <v>1</v>
      </c>
      <c r="C305" s="273"/>
    </row>
    <row r="306" spans="1:3" x14ac:dyDescent="0.2">
      <c r="A306" s="271"/>
      <c r="B306" s="272"/>
      <c r="C306" s="273"/>
    </row>
    <row r="307" spans="1:3" x14ac:dyDescent="0.2">
      <c r="A307" s="271" t="s">
        <v>89</v>
      </c>
      <c r="B307" s="272">
        <v>1</v>
      </c>
      <c r="C307" s="273"/>
    </row>
    <row r="308" spans="1:3" x14ac:dyDescent="0.2">
      <c r="A308" s="271"/>
      <c r="B308" s="272"/>
      <c r="C308" s="273"/>
    </row>
    <row r="309" spans="1:3" x14ac:dyDescent="0.2">
      <c r="A309" s="271" t="s">
        <v>90</v>
      </c>
      <c r="B309" s="272">
        <v>1</v>
      </c>
      <c r="C309" s="273"/>
    </row>
    <row r="310" spans="1:3" x14ac:dyDescent="0.2">
      <c r="A310" s="271"/>
      <c r="B310" s="272"/>
      <c r="C310" s="273"/>
    </row>
    <row r="311" spans="1:3" x14ac:dyDescent="0.2">
      <c r="A311" s="271" t="s">
        <v>153</v>
      </c>
      <c r="B311" s="272">
        <v>1</v>
      </c>
      <c r="C311" s="273"/>
    </row>
    <row r="312" spans="1:3" x14ac:dyDescent="0.2">
      <c r="A312" s="271"/>
      <c r="B312" s="272"/>
      <c r="C312" s="273"/>
    </row>
    <row r="313" spans="1:3" x14ac:dyDescent="0.2">
      <c r="A313" s="271" t="s">
        <v>154</v>
      </c>
      <c r="B313" s="272">
        <v>1</v>
      </c>
      <c r="C313" s="273"/>
    </row>
    <row r="314" spans="1:3" x14ac:dyDescent="0.2">
      <c r="A314" s="271"/>
      <c r="B314" s="272"/>
      <c r="C314" s="273"/>
    </row>
    <row r="315" spans="1:3" x14ac:dyDescent="0.2">
      <c r="A315" s="271" t="s">
        <v>251</v>
      </c>
      <c r="B315" s="272">
        <v>1</v>
      </c>
      <c r="C315" s="273"/>
    </row>
    <row r="316" spans="1:3" x14ac:dyDescent="0.2">
      <c r="A316" s="271"/>
      <c r="B316" s="272"/>
      <c r="C316" s="273"/>
    </row>
    <row r="317" spans="1:3" x14ac:dyDescent="0.2">
      <c r="A317" s="271"/>
      <c r="B317" s="272"/>
      <c r="C317" s="273"/>
    </row>
    <row r="318" spans="1:3" x14ac:dyDescent="0.2">
      <c r="A318" s="271"/>
      <c r="B318" s="272"/>
      <c r="C318" s="273"/>
    </row>
    <row r="319" spans="1:3" x14ac:dyDescent="0.2">
      <c r="A319" s="271" t="s">
        <v>88</v>
      </c>
      <c r="B319" s="272">
        <v>1</v>
      </c>
      <c r="C319" s="273"/>
    </row>
    <row r="320" spans="1:3" x14ac:dyDescent="0.2">
      <c r="A320" s="271"/>
      <c r="B320" s="272"/>
      <c r="C320" s="273"/>
    </row>
    <row r="321" spans="1:3" x14ac:dyDescent="0.2">
      <c r="A321" s="271" t="s">
        <v>89</v>
      </c>
      <c r="B321" s="272">
        <v>1</v>
      </c>
      <c r="C321" s="273"/>
    </row>
    <row r="322" spans="1:3" x14ac:dyDescent="0.2">
      <c r="A322" s="271"/>
      <c r="B322" s="272"/>
      <c r="C322" s="273"/>
    </row>
    <row r="323" spans="1:3" x14ac:dyDescent="0.2">
      <c r="A323" s="271" t="s">
        <v>90</v>
      </c>
      <c r="B323" s="272">
        <v>1</v>
      </c>
      <c r="C323" s="273"/>
    </row>
    <row r="324" spans="1:3" x14ac:dyDescent="0.2">
      <c r="A324" s="271"/>
      <c r="B324" s="272"/>
      <c r="C324" s="273"/>
    </row>
    <row r="325" spans="1:3" x14ac:dyDescent="0.2">
      <c r="A325" s="271" t="s">
        <v>153</v>
      </c>
      <c r="B325" s="272">
        <v>1</v>
      </c>
      <c r="C325" s="273"/>
    </row>
    <row r="326" spans="1:3" x14ac:dyDescent="0.2">
      <c r="A326" s="271"/>
      <c r="B326" s="272"/>
      <c r="C326" s="273"/>
    </row>
    <row r="327" spans="1:3" x14ac:dyDescent="0.2">
      <c r="A327" s="271" t="s">
        <v>154</v>
      </c>
      <c r="B327" s="272">
        <v>1</v>
      </c>
      <c r="C327" s="273"/>
    </row>
    <row r="508" spans="19:19" x14ac:dyDescent="0.2">
      <c r="S508" s="251"/>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workbookViewId="0">
      <selection activeCell="C18" sqref="C18"/>
    </sheetView>
  </sheetViews>
  <sheetFormatPr defaultRowHeight="15" customHeight="1" x14ac:dyDescent="0.2"/>
  <cols>
    <col min="1" max="1" width="9.140625" style="107"/>
    <col min="2" max="2" width="27.140625" style="107" customWidth="1"/>
    <col min="3" max="3" width="13.5703125" style="107" customWidth="1"/>
    <col min="4" max="6" width="9.140625" style="107"/>
    <col min="7" max="7" width="11.7109375" style="107" customWidth="1"/>
    <col min="8" max="8" width="9.85546875" style="107" customWidth="1"/>
    <col min="9" max="14" width="9.140625" style="107"/>
    <col min="15" max="15" width="20" style="107" customWidth="1"/>
    <col min="16" max="16" width="9.140625" style="107"/>
    <col min="17" max="17" width="17.28515625" style="107" bestFit="1" customWidth="1"/>
    <col min="18" max="16384" width="9.140625" style="107"/>
  </cols>
  <sheetData>
    <row r="2" spans="2:16" ht="15" customHeight="1" x14ac:dyDescent="0.25">
      <c r="B2" s="106" t="s">
        <v>163</v>
      </c>
      <c r="E2" s="108" t="s">
        <v>162</v>
      </c>
    </row>
    <row r="3" spans="2:16" ht="15" customHeight="1" x14ac:dyDescent="0.2">
      <c r="B3" s="109" t="s">
        <v>274</v>
      </c>
      <c r="C3" s="110" t="s">
        <v>353</v>
      </c>
      <c r="E3" s="107" t="s">
        <v>171</v>
      </c>
      <c r="O3" s="107" t="s">
        <v>201</v>
      </c>
    </row>
    <row r="4" spans="2:16" ht="15" customHeight="1" x14ac:dyDescent="0.2">
      <c r="B4" s="109" t="s">
        <v>164</v>
      </c>
      <c r="C4" s="110" t="s">
        <v>354</v>
      </c>
      <c r="E4" s="111" t="b">
        <v>1</v>
      </c>
      <c r="F4" s="293" t="s">
        <v>282</v>
      </c>
      <c r="G4" s="293"/>
      <c r="H4" s="293"/>
      <c r="I4" s="293"/>
      <c r="J4" s="293"/>
      <c r="K4" s="293"/>
      <c r="L4" s="293"/>
      <c r="M4" s="293"/>
      <c r="O4" s="112">
        <v>-0.74238800000000005</v>
      </c>
      <c r="P4" s="113"/>
    </row>
    <row r="5" spans="2:16" ht="15" customHeight="1" x14ac:dyDescent="0.2">
      <c r="B5" s="114" t="s">
        <v>24</v>
      </c>
      <c r="C5" s="115">
        <v>1.0523982830583211E-2</v>
      </c>
      <c r="E5" s="111" t="b">
        <v>0</v>
      </c>
      <c r="F5" s="293" t="s">
        <v>283</v>
      </c>
      <c r="G5" s="293"/>
      <c r="H5" s="293"/>
      <c r="I5" s="293"/>
      <c r="J5" s="293"/>
      <c r="K5" s="293"/>
      <c r="L5" s="293"/>
      <c r="M5" s="293"/>
      <c r="O5" s="112">
        <v>-0.74238400000000004</v>
      </c>
      <c r="P5" s="113"/>
    </row>
    <row r="6" spans="2:16" ht="15" customHeight="1" x14ac:dyDescent="0.2">
      <c r="B6" s="114" t="s">
        <v>165</v>
      </c>
      <c r="C6" s="116">
        <v>4.4355188011347291E-4</v>
      </c>
      <c r="E6" s="111" t="b">
        <v>0</v>
      </c>
      <c r="F6" s="293" t="s">
        <v>284</v>
      </c>
      <c r="G6" s="293"/>
      <c r="H6" s="293"/>
      <c r="I6" s="293"/>
      <c r="J6" s="293"/>
      <c r="K6" s="293"/>
      <c r="L6" s="293"/>
      <c r="M6" s="293"/>
      <c r="O6" s="112">
        <v>-0.74257700000000004</v>
      </c>
      <c r="P6" s="113"/>
    </row>
    <row r="7" spans="2:16" ht="15" customHeight="1" x14ac:dyDescent="0.2">
      <c r="B7" s="117" t="s">
        <v>166</v>
      </c>
      <c r="C7" s="116">
        <v>2.9576185310453092E-2</v>
      </c>
      <c r="E7" s="118" t="b">
        <v>1</v>
      </c>
      <c r="F7" s="294" t="s">
        <v>244</v>
      </c>
      <c r="G7" s="294"/>
      <c r="H7" s="294"/>
      <c r="I7" s="294"/>
      <c r="J7" s="294"/>
      <c r="K7" s="294"/>
      <c r="L7" s="294"/>
      <c r="M7" s="294"/>
      <c r="O7" s="112">
        <v>-0.74232200000000004</v>
      </c>
      <c r="P7" s="113"/>
    </row>
    <row r="8" spans="2:16" ht="15" customHeight="1" x14ac:dyDescent="0.2">
      <c r="B8" s="109" t="s">
        <v>273</v>
      </c>
      <c r="C8" s="116">
        <v>6.6726899710747412E-2</v>
      </c>
      <c r="E8" s="119"/>
      <c r="F8" s="295"/>
      <c r="G8" s="295"/>
      <c r="H8" s="295"/>
      <c r="I8" s="295"/>
      <c r="J8" s="295"/>
      <c r="K8" s="295"/>
      <c r="L8" s="295"/>
      <c r="M8" s="295"/>
      <c r="O8" s="112">
        <v>-0.74240499999999998</v>
      </c>
      <c r="P8" s="113"/>
    </row>
    <row r="9" spans="2:16" ht="15" customHeight="1" x14ac:dyDescent="0.2">
      <c r="B9" s="109" t="s">
        <v>167</v>
      </c>
      <c r="C9" s="120">
        <f>Air_Voltage-C8</f>
        <v>-0.80904109971074745</v>
      </c>
      <c r="D9" s="121"/>
      <c r="E9" s="122"/>
      <c r="O9" s="112">
        <v>-0.74221099999999995</v>
      </c>
      <c r="P9" s="113"/>
    </row>
    <row r="10" spans="2:16" ht="15" customHeight="1" x14ac:dyDescent="0.25">
      <c r="B10" s="109" t="s">
        <v>200</v>
      </c>
      <c r="C10" s="120">
        <f>AVERAGE(O4:O13)</f>
        <v>-0.74231420000000004</v>
      </c>
      <c r="E10" s="106" t="s">
        <v>199</v>
      </c>
      <c r="O10" s="112">
        <v>-0.742317</v>
      </c>
      <c r="P10" s="113"/>
    </row>
    <row r="11" spans="2:16" ht="15" customHeight="1" x14ac:dyDescent="0.2">
      <c r="E11" s="111" t="b">
        <v>1</v>
      </c>
      <c r="F11" s="299" t="s">
        <v>263</v>
      </c>
      <c r="G11" s="299"/>
      <c r="H11" s="299"/>
      <c r="I11" s="299"/>
      <c r="J11" s="299"/>
      <c r="K11" s="299"/>
      <c r="L11" s="299"/>
      <c r="M11" s="299"/>
      <c r="O11" s="112">
        <v>-0.74221300000000001</v>
      </c>
      <c r="P11" s="113"/>
    </row>
    <row r="12" spans="2:16" ht="15" customHeight="1" x14ac:dyDescent="0.25">
      <c r="B12" s="106" t="s">
        <v>293</v>
      </c>
      <c r="E12" s="122" t="str">
        <f>IF(OR(E7,E11),"","Warning no data will be saved after a measurement!!! Neither to summary or as a full sheet")</f>
        <v/>
      </c>
      <c r="O12" s="112">
        <v>-0.74225200000000002</v>
      </c>
      <c r="P12" s="113"/>
    </row>
    <row r="13" spans="2:16" ht="15" customHeight="1" x14ac:dyDescent="0.25">
      <c r="B13" s="114" t="s">
        <v>169</v>
      </c>
      <c r="C13" s="115">
        <v>1.6600000000000001E-30</v>
      </c>
      <c r="E13" s="123" t="s">
        <v>247</v>
      </c>
      <c r="F13" s="124"/>
      <c r="G13" s="124"/>
      <c r="H13" s="124"/>
      <c r="I13" s="124"/>
      <c r="J13" s="124"/>
      <c r="K13" s="124"/>
      <c r="L13" s="124"/>
      <c r="M13" s="124"/>
      <c r="O13" s="112">
        <v>-0.74207299999999998</v>
      </c>
      <c r="P13" s="113"/>
    </row>
    <row r="14" spans="2:16" ht="15" customHeight="1" x14ac:dyDescent="0.2">
      <c r="B14" s="125" t="s">
        <v>172</v>
      </c>
      <c r="C14" s="110" t="s">
        <v>49</v>
      </c>
      <c r="E14" s="126" t="b">
        <v>1</v>
      </c>
      <c r="F14" s="303" t="s">
        <v>246</v>
      </c>
      <c r="G14" s="303"/>
      <c r="H14" s="303"/>
      <c r="I14" s="303"/>
      <c r="J14" s="303"/>
      <c r="K14" s="303"/>
      <c r="L14" s="303"/>
      <c r="M14" s="303"/>
      <c r="O14" s="107" t="s">
        <v>270</v>
      </c>
    </row>
    <row r="15" spans="2:16" ht="15" customHeight="1" x14ac:dyDescent="0.2">
      <c r="B15" s="114" t="s">
        <v>168</v>
      </c>
      <c r="C15" s="110">
        <v>1</v>
      </c>
      <c r="E15" s="127"/>
      <c r="F15" s="128"/>
      <c r="G15" s="128"/>
      <c r="H15" s="128"/>
      <c r="I15" s="128"/>
      <c r="J15" s="128"/>
      <c r="K15" s="128"/>
      <c r="L15" s="128"/>
      <c r="M15" s="128"/>
      <c r="O15" s="129">
        <f>STDEV(O4:O13)</f>
        <v>1.3769273360963511E-4</v>
      </c>
    </row>
    <row r="16" spans="2:16" ht="15" customHeight="1" x14ac:dyDescent="0.25">
      <c r="B16" s="114" t="s">
        <v>2</v>
      </c>
      <c r="C16" s="130">
        <v>0.3</v>
      </c>
      <c r="E16" s="123" t="s">
        <v>248</v>
      </c>
      <c r="F16" s="131"/>
      <c r="G16" s="131"/>
      <c r="H16" s="131"/>
      <c r="I16" s="131"/>
      <c r="J16" s="131"/>
      <c r="K16" s="131"/>
      <c r="L16" s="131"/>
      <c r="M16" s="131"/>
      <c r="O16" s="107" t="s">
        <v>265</v>
      </c>
    </row>
    <row r="17" spans="2:15" ht="15" customHeight="1" x14ac:dyDescent="0.2">
      <c r="B17" s="114" t="s">
        <v>288</v>
      </c>
      <c r="C17" s="114" t="s">
        <v>289</v>
      </c>
      <c r="E17" s="111" t="b">
        <v>1</v>
      </c>
      <c r="F17" s="299" t="s">
        <v>249</v>
      </c>
      <c r="G17" s="299"/>
      <c r="H17" s="299"/>
      <c r="I17" s="299"/>
      <c r="J17" s="299"/>
      <c r="K17" s="299"/>
      <c r="L17" s="299"/>
      <c r="M17" s="299"/>
      <c r="O17" s="132">
        <v>42033.582071759258</v>
      </c>
    </row>
    <row r="18" spans="2:15" ht="27.75" customHeight="1" x14ac:dyDescent="0.2">
      <c r="B18" s="114" t="s">
        <v>317</v>
      </c>
      <c r="C18" s="133" t="s">
        <v>319</v>
      </c>
      <c r="O18" s="134"/>
    </row>
    <row r="19" spans="2:15" ht="15" customHeight="1" x14ac:dyDescent="0.25">
      <c r="E19" s="106" t="s">
        <v>242</v>
      </c>
    </row>
    <row r="20" spans="2:15" ht="15" customHeight="1" x14ac:dyDescent="0.2">
      <c r="B20" s="135"/>
      <c r="E20" s="109">
        <v>1</v>
      </c>
      <c r="F20" s="301" t="s">
        <v>241</v>
      </c>
      <c r="G20" s="301"/>
      <c r="H20" s="301"/>
      <c r="I20" s="301"/>
      <c r="J20" s="301"/>
      <c r="K20" s="301"/>
      <c r="L20" s="301"/>
      <c r="M20" s="302"/>
    </row>
    <row r="21" spans="2:15" ht="15" customHeight="1" x14ac:dyDescent="0.2">
      <c r="E21" s="109">
        <f>6</f>
        <v>6</v>
      </c>
      <c r="F21" s="299" t="s">
        <v>298</v>
      </c>
      <c r="G21" s="299"/>
      <c r="H21" s="299"/>
      <c r="I21" s="299"/>
      <c r="J21" s="299"/>
      <c r="K21" s="299"/>
      <c r="L21" s="299"/>
      <c r="M21" s="299"/>
    </row>
    <row r="22" spans="2:15" ht="15" customHeight="1" x14ac:dyDescent="0.25">
      <c r="B22" s="106" t="s">
        <v>193</v>
      </c>
      <c r="E22" s="136">
        <v>0.3</v>
      </c>
      <c r="F22" s="294" t="s">
        <v>297</v>
      </c>
      <c r="G22" s="294"/>
      <c r="H22" s="294"/>
      <c r="I22" s="294"/>
      <c r="J22" s="294"/>
      <c r="K22" s="294"/>
      <c r="L22" s="294"/>
      <c r="M22" s="294"/>
    </row>
    <row r="23" spans="2:15" ht="15" customHeight="1" x14ac:dyDescent="0.2">
      <c r="B23" s="137" t="s">
        <v>194</v>
      </c>
      <c r="C23" s="109" t="b">
        <v>0</v>
      </c>
      <c r="E23" s="109">
        <v>5</v>
      </c>
      <c r="F23" s="299" t="s">
        <v>333</v>
      </c>
      <c r="G23" s="299"/>
      <c r="H23" s="299"/>
      <c r="I23" s="299"/>
      <c r="J23" s="299"/>
      <c r="K23" s="299"/>
      <c r="L23" s="299"/>
      <c r="M23" s="299"/>
    </row>
    <row r="24" spans="2:15" ht="15" customHeight="1" x14ac:dyDescent="0.2">
      <c r="B24" s="137" t="s">
        <v>195</v>
      </c>
      <c r="C24" s="109">
        <v>1</v>
      </c>
    </row>
    <row r="25" spans="2:15" ht="15" customHeight="1" x14ac:dyDescent="0.25">
      <c r="B25" s="137" t="s">
        <v>196</v>
      </c>
      <c r="C25" s="109">
        <v>20</v>
      </c>
      <c r="E25" s="106" t="s">
        <v>243</v>
      </c>
      <c r="K25" s="122"/>
    </row>
    <row r="26" spans="2:15" ht="15" customHeight="1" x14ac:dyDescent="0.2">
      <c r="B26" s="137" t="s">
        <v>197</v>
      </c>
      <c r="C26" s="109" t="str">
        <f>PassFail(MeasuredLifetimeAuger,MinTauLimit,MaxTauLimit,TF_PassFail)</f>
        <v/>
      </c>
      <c r="E26" s="109">
        <v>1</v>
      </c>
      <c r="F26" s="300" t="s">
        <v>229</v>
      </c>
      <c r="G26" s="301"/>
      <c r="H26" s="301"/>
      <c r="I26" s="301"/>
      <c r="J26" s="301"/>
      <c r="K26" s="301"/>
      <c r="L26" s="301"/>
      <c r="M26" s="302"/>
    </row>
    <row r="28" spans="2:15" ht="15" customHeight="1" x14ac:dyDescent="0.25">
      <c r="E28" s="106" t="s">
        <v>264</v>
      </c>
      <c r="K28" s="122"/>
    </row>
    <row r="29" spans="2:15" ht="15" customHeight="1" x14ac:dyDescent="0.2">
      <c r="C29" s="138"/>
      <c r="E29" s="110">
        <v>12500</v>
      </c>
      <c r="F29" s="296" t="s">
        <v>347</v>
      </c>
      <c r="G29" s="297"/>
      <c r="H29" s="297"/>
      <c r="I29" s="297"/>
      <c r="J29" s="297"/>
      <c r="K29" s="297"/>
      <c r="L29" s="297"/>
      <c r="M29" s="298"/>
    </row>
    <row r="30" spans="2:15" ht="15" customHeight="1" x14ac:dyDescent="0.2">
      <c r="C30" s="138"/>
      <c r="E30" s="110">
        <v>100000</v>
      </c>
      <c r="F30" s="296" t="s">
        <v>330</v>
      </c>
      <c r="G30" s="297"/>
      <c r="H30" s="297"/>
      <c r="I30" s="297"/>
      <c r="J30" s="297"/>
      <c r="K30" s="297"/>
      <c r="L30" s="297"/>
      <c r="M30" s="298"/>
    </row>
    <row r="31" spans="2:15" ht="15" customHeight="1" x14ac:dyDescent="0.2">
      <c r="C31" s="138"/>
      <c r="E31" s="110">
        <v>3</v>
      </c>
      <c r="F31" s="139" t="s">
        <v>331</v>
      </c>
      <c r="G31" s="140"/>
      <c r="H31" s="140"/>
      <c r="I31" s="140"/>
      <c r="J31" s="140"/>
      <c r="K31" s="140"/>
      <c r="L31" s="140"/>
      <c r="M31" s="141"/>
    </row>
    <row r="32" spans="2:15" ht="15" customHeight="1" x14ac:dyDescent="0.2">
      <c r="C32" s="138"/>
      <c r="K32" s="122"/>
    </row>
    <row r="33" spans="3:11" ht="15" customHeight="1" x14ac:dyDescent="0.2">
      <c r="C33" s="122"/>
      <c r="K33" s="122"/>
    </row>
    <row r="34" spans="3:11" ht="15" customHeight="1" x14ac:dyDescent="0.2">
      <c r="K34" s="122"/>
    </row>
    <row r="35" spans="3:11" ht="15" customHeight="1" x14ac:dyDescent="0.2">
      <c r="K35" s="122"/>
    </row>
    <row r="37" spans="3:11" ht="15" customHeight="1" x14ac:dyDescent="0.2">
      <c r="F37" s="142"/>
    </row>
  </sheetData>
  <sheetProtection sheet="1" objects="1" scenarios="1" selectLockedCells="1"/>
  <mergeCells count="15">
    <mergeCell ref="F29:M29"/>
    <mergeCell ref="F30:M30"/>
    <mergeCell ref="F17:M17"/>
    <mergeCell ref="F26:M26"/>
    <mergeCell ref="F11:M11"/>
    <mergeCell ref="F14:M14"/>
    <mergeCell ref="F20:M20"/>
    <mergeCell ref="F21:M21"/>
    <mergeCell ref="F22:M22"/>
    <mergeCell ref="F23:M23"/>
    <mergeCell ref="F4:M4"/>
    <mergeCell ref="F5:M5"/>
    <mergeCell ref="F6:M6"/>
    <mergeCell ref="F7:M7"/>
    <mergeCell ref="F8:M8"/>
  </mergeCells>
  <dataValidations count="4">
    <dataValidation type="list" allowBlank="1" showInputMessage="1" showErrorMessage="1" sqref="C23 E17 E11 E4:E7 E14">
      <formula1>TF_List</formula1>
    </dataValidation>
    <dataValidation type="list" allowBlank="1" showInputMessage="1" showErrorMessage="1" sqref="E26">
      <formula1>VRangeList</formula1>
    </dataValidation>
    <dataValidation type="list" allowBlank="1" showInputMessage="1" showErrorMessage="1" sqref="C17">
      <formula1>AugerModelList</formula1>
    </dataValidation>
    <dataValidation type="list" allowBlank="1" showInputMessage="1" showErrorMessage="1" sqref="C18">
      <formula1>MobilityModelList</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4"/>
  <sheetViews>
    <sheetView workbookViewId="0"/>
  </sheetViews>
  <sheetFormatPr defaultRowHeight="12.75" x14ac:dyDescent="0.2"/>
  <cols>
    <col min="1" max="1" width="9.28515625" style="161" bestFit="1" customWidth="1"/>
    <col min="2" max="2" width="12.140625" style="161" customWidth="1"/>
    <col min="3" max="3" width="12" style="161" customWidth="1"/>
    <col min="4" max="4" width="10.85546875" style="161" customWidth="1"/>
    <col min="5" max="5" width="11.42578125" style="161" bestFit="1" customWidth="1"/>
    <col min="6" max="6" width="11.7109375" style="161" customWidth="1"/>
    <col min="7" max="7" width="13.42578125" style="161" customWidth="1"/>
    <col min="8" max="8" width="9.28515625" style="161" bestFit="1" customWidth="1"/>
    <col min="9" max="9" width="11.140625" style="161" customWidth="1"/>
    <col min="10" max="12" width="9.140625" style="161"/>
    <col min="13" max="13" width="10.42578125" style="161" customWidth="1"/>
    <col min="14" max="14" width="11.140625" style="164" customWidth="1"/>
    <col min="15" max="16" width="9.140625" style="161"/>
    <col min="17" max="17" width="9.28515625" style="161" bestFit="1" customWidth="1"/>
    <col min="18" max="18" width="12.28515625" style="161" customWidth="1"/>
    <col min="19" max="19" width="9.28515625" style="161" bestFit="1" customWidth="1"/>
    <col min="20" max="20" width="10.5703125" style="161" customWidth="1"/>
    <col min="21" max="21" width="11.5703125" style="161" customWidth="1"/>
    <col min="22" max="22" width="12" style="161" customWidth="1"/>
    <col min="23" max="23" width="13.140625" style="161" customWidth="1"/>
    <col min="24" max="24" width="11.28515625" style="161" customWidth="1"/>
    <col min="25" max="25" width="12.140625" style="161" customWidth="1"/>
    <col min="26" max="26" width="13.140625" style="161" customWidth="1"/>
    <col min="27" max="16384" width="9.140625" style="161"/>
  </cols>
  <sheetData>
    <row r="1" spans="1:26" s="150" customFormat="1" ht="27" customHeight="1" x14ac:dyDescent="0.2">
      <c r="A1" s="143" t="s">
        <v>14</v>
      </c>
      <c r="B1" s="144" t="s">
        <v>204</v>
      </c>
      <c r="C1" s="145" t="s">
        <v>205</v>
      </c>
      <c r="D1" s="145" t="s">
        <v>325</v>
      </c>
      <c r="E1" s="146" t="s">
        <v>198</v>
      </c>
      <c r="F1" s="146" t="s">
        <v>348</v>
      </c>
      <c r="G1" s="146" t="s">
        <v>20</v>
      </c>
      <c r="H1" s="146" t="s">
        <v>206</v>
      </c>
      <c r="I1" s="146" t="s">
        <v>207</v>
      </c>
      <c r="J1" s="146" t="s">
        <v>155</v>
      </c>
      <c r="K1" s="146" t="s">
        <v>208</v>
      </c>
      <c r="L1" s="146" t="s">
        <v>29</v>
      </c>
      <c r="M1" s="146" t="s">
        <v>28</v>
      </c>
      <c r="N1" s="147" t="s">
        <v>0</v>
      </c>
      <c r="O1" s="146" t="s">
        <v>1</v>
      </c>
      <c r="P1" s="147" t="s">
        <v>326</v>
      </c>
      <c r="Q1" s="146" t="s">
        <v>327</v>
      </c>
      <c r="R1" s="146" t="s">
        <v>44</v>
      </c>
      <c r="S1" s="146" t="s">
        <v>43</v>
      </c>
      <c r="T1" s="147" t="s">
        <v>21</v>
      </c>
      <c r="U1" s="148" t="s">
        <v>271</v>
      </c>
      <c r="V1" s="146" t="s">
        <v>212</v>
      </c>
      <c r="W1" s="146" t="s">
        <v>209</v>
      </c>
      <c r="X1" s="146" t="s">
        <v>210</v>
      </c>
      <c r="Y1" s="146" t="s">
        <v>211</v>
      </c>
      <c r="Z1" s="149" t="s">
        <v>221</v>
      </c>
    </row>
    <row r="2" spans="1:26" ht="21.75" customHeight="1" x14ac:dyDescent="0.2">
      <c r="A2" s="151" t="str">
        <f>SampleNameUserSheet</f>
        <v>130_091-34</v>
      </c>
      <c r="B2" s="152">
        <f>MeasDate</f>
        <v>42033</v>
      </c>
      <c r="C2" s="153">
        <f>MeasTime</f>
        <v>0.58460648148148142</v>
      </c>
      <c r="D2" s="154">
        <f>Temperature</f>
        <v>35.478814999999997</v>
      </c>
      <c r="E2" s="155">
        <f>Thickness</f>
        <v>1.7999999999999999E-2</v>
      </c>
      <c r="F2" s="155">
        <f>SampleDoping</f>
        <v>9785536500003082</v>
      </c>
      <c r="G2" s="155">
        <f>OptConst</f>
        <v>0.7</v>
      </c>
      <c r="H2" s="156">
        <f>SpecMCD</f>
        <v>4000000000000000</v>
      </c>
      <c r="I2" s="155">
        <f>BiasLight</f>
        <v>0</v>
      </c>
      <c r="J2" s="155" t="str">
        <f>AnalysisMode</f>
        <v>Generalized (1/1)</v>
      </c>
      <c r="K2" s="154">
        <f>MeasuredLifetime</f>
        <v>9.0820652329804741</v>
      </c>
      <c r="L2" s="156">
        <f>Jo</f>
        <v>8.0819764740192272E-14</v>
      </c>
      <c r="M2" s="157">
        <f>TauFitIntercept</f>
        <v>9.5368416182487703</v>
      </c>
      <c r="N2" s="157">
        <f>SheetResistance</f>
        <v>22.213918840823514</v>
      </c>
      <c r="O2" s="157">
        <f>MeasuredResistivity</f>
        <v>0.39985053913482321</v>
      </c>
      <c r="P2" s="157">
        <f>CorrectedSheetRho</f>
        <v>23.008724091296607</v>
      </c>
      <c r="Q2" s="157">
        <f>CorrectedResistivity</f>
        <v>0.41415703364333889</v>
      </c>
      <c r="R2" s="154">
        <f>MaxSuns</f>
        <v>59.653651103990761</v>
      </c>
      <c r="S2" s="156">
        <f>Traps</f>
        <v>0</v>
      </c>
      <c r="T2" s="156">
        <f>MaxApparentCD</f>
        <v>5136517295787239</v>
      </c>
      <c r="U2" s="158">
        <f ca="1">ImpliedVoc1sun</f>
        <v>0.57464323717238142</v>
      </c>
      <c r="V2" s="156">
        <f>RefCellCal</f>
        <v>1.0523982830583211E-2</v>
      </c>
      <c r="W2" s="159">
        <f>A_cal</f>
        <v>4.4355188011347291E-4</v>
      </c>
      <c r="X2" s="159">
        <f>B_cal</f>
        <v>2.9576185310453092E-2</v>
      </c>
      <c r="Y2" s="155">
        <f>C_cal</f>
        <v>-0.80904109971074745</v>
      </c>
      <c r="Z2" s="160" t="str">
        <f>InstrumentSN</f>
        <v>14-127027</v>
      </c>
    </row>
    <row r="4" spans="1:26" x14ac:dyDescent="0.2">
      <c r="A4" s="162" t="s">
        <v>130</v>
      </c>
      <c r="G4" s="163"/>
    </row>
    <row r="5" spans="1:26" x14ac:dyDescent="0.2">
      <c r="A5" s="162" t="s">
        <v>27</v>
      </c>
      <c r="N5" s="161"/>
    </row>
    <row r="6" spans="1:26" x14ac:dyDescent="0.2">
      <c r="A6" s="162" t="s">
        <v>30</v>
      </c>
    </row>
    <row r="8" spans="1:26" x14ac:dyDescent="0.2">
      <c r="A8" s="161" t="s">
        <v>41</v>
      </c>
    </row>
    <row r="9" spans="1:26" x14ac:dyDescent="0.2">
      <c r="A9" s="161" t="s">
        <v>42</v>
      </c>
    </row>
    <row r="10" spans="1:26" s="165" customFormat="1" x14ac:dyDescent="0.2">
      <c r="A10" s="165" t="s">
        <v>32</v>
      </c>
      <c r="B10" s="165" t="s">
        <v>15</v>
      </c>
      <c r="C10" s="165" t="s">
        <v>19</v>
      </c>
      <c r="D10" s="165" t="s">
        <v>313</v>
      </c>
      <c r="E10" s="165" t="s">
        <v>33</v>
      </c>
      <c r="F10" s="165" t="s">
        <v>34</v>
      </c>
      <c r="G10" s="165" t="s">
        <v>213</v>
      </c>
      <c r="H10" s="165" t="s">
        <v>214</v>
      </c>
      <c r="I10" s="165" t="s">
        <v>215</v>
      </c>
      <c r="J10" s="165" t="s">
        <v>35</v>
      </c>
      <c r="K10" s="165" t="s">
        <v>36</v>
      </c>
      <c r="L10" s="165" t="s">
        <v>40</v>
      </c>
      <c r="M10" s="165" t="s">
        <v>39</v>
      </c>
      <c r="N10" s="165" t="s">
        <v>37</v>
      </c>
      <c r="O10" s="165" t="s">
        <v>38</v>
      </c>
      <c r="P10" s="165" t="s">
        <v>328</v>
      </c>
      <c r="Q10" s="165" t="s">
        <v>329</v>
      </c>
      <c r="R10" s="165" t="s">
        <v>45</v>
      </c>
      <c r="S10" s="165" t="s">
        <v>43</v>
      </c>
      <c r="T10" s="166" t="s">
        <v>46</v>
      </c>
      <c r="U10" s="165" t="s">
        <v>272</v>
      </c>
      <c r="V10" s="165" t="s">
        <v>216</v>
      </c>
      <c r="W10" s="165" t="s">
        <v>217</v>
      </c>
      <c r="X10" s="165" t="s">
        <v>218</v>
      </c>
      <c r="Y10" s="165" t="s">
        <v>219</v>
      </c>
      <c r="Z10" s="165" t="s">
        <v>220</v>
      </c>
    </row>
    <row r="11" spans="1:26" x14ac:dyDescent="0.2">
      <c r="C11" s="167"/>
      <c r="D11" s="167"/>
    </row>
    <row r="20" spans="2:7" s="168" customFormat="1" x14ac:dyDescent="0.2">
      <c r="C20" s="169"/>
      <c r="D20" s="167"/>
    </row>
    <row r="24" spans="2:7" x14ac:dyDescent="0.2">
      <c r="B24" s="168"/>
      <c r="C24" s="169"/>
      <c r="D24" s="167"/>
      <c r="E24" s="168"/>
      <c r="F24" s="168"/>
      <c r="G24" s="168"/>
    </row>
  </sheetData>
  <phoneticPr fontId="3"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8:DA328"/>
  <sheetViews>
    <sheetView workbookViewId="0">
      <selection activeCell="A9" sqref="A9:DA9"/>
    </sheetView>
  </sheetViews>
  <sheetFormatPr defaultRowHeight="12.75" x14ac:dyDescent="0.2"/>
  <cols>
    <col min="1" max="1" width="9.140625" style="83"/>
    <col min="2" max="2" width="13.28515625" style="83" customWidth="1"/>
    <col min="3" max="3" width="15.5703125" style="83" customWidth="1"/>
    <col min="4" max="16384" width="9.140625" style="83"/>
  </cols>
  <sheetData>
    <row r="8" spans="1:105" x14ac:dyDescent="0.2">
      <c r="A8" s="83" t="s">
        <v>356</v>
      </c>
      <c r="B8" s="83">
        <v>200.347218</v>
      </c>
      <c r="C8" s="170"/>
      <c r="D8" s="83" t="s">
        <v>357</v>
      </c>
      <c r="E8" s="83">
        <v>195.21356299999999</v>
      </c>
      <c r="F8" s="170"/>
      <c r="G8" s="83" t="s">
        <v>358</v>
      </c>
      <c r="H8" s="83">
        <v>190.27495999999999</v>
      </c>
      <c r="I8" s="170"/>
      <c r="J8" s="83" t="s">
        <v>359</v>
      </c>
      <c r="K8" s="83">
        <v>185.242862</v>
      </c>
      <c r="L8" s="170"/>
      <c r="M8" s="170" t="s">
        <v>360</v>
      </c>
      <c r="N8" s="83">
        <v>180.314303</v>
      </c>
      <c r="O8" s="170"/>
      <c r="P8" s="170" t="s">
        <v>361</v>
      </c>
      <c r="Q8" s="83">
        <v>175.21900500000001</v>
      </c>
      <c r="R8" s="170"/>
      <c r="S8" s="83" t="s">
        <v>362</v>
      </c>
      <c r="T8" s="83">
        <v>170.383152</v>
      </c>
      <c r="U8" s="170"/>
      <c r="V8" s="83" t="s">
        <v>363</v>
      </c>
      <c r="W8" s="83">
        <v>165.37835799999999</v>
      </c>
      <c r="X8" s="170"/>
      <c r="Y8" s="83" t="s">
        <v>364</v>
      </c>
      <c r="Z8" s="83">
        <v>160.35089600000001</v>
      </c>
      <c r="AA8" s="170"/>
      <c r="AB8" s="83" t="s">
        <v>365</v>
      </c>
      <c r="AC8" s="83">
        <v>155.39972299999999</v>
      </c>
      <c r="AD8" s="170"/>
      <c r="AE8" s="83" t="s">
        <v>366</v>
      </c>
      <c r="AF8" s="83">
        <v>150.30965399999999</v>
      </c>
      <c r="AG8" s="170"/>
      <c r="AH8" s="83" t="s">
        <v>367</v>
      </c>
      <c r="AI8" s="83">
        <v>145.42881399999999</v>
      </c>
      <c r="AJ8" s="170"/>
      <c r="AK8" s="83" t="s">
        <v>368</v>
      </c>
      <c r="AL8" s="83">
        <v>140.375584</v>
      </c>
      <c r="AM8" s="170"/>
      <c r="AN8" s="83" t="s">
        <v>369</v>
      </c>
      <c r="AO8" s="83">
        <v>135.41422700000001</v>
      </c>
      <c r="AP8" s="170"/>
      <c r="AQ8" s="83" t="s">
        <v>370</v>
      </c>
      <c r="AR8" s="83">
        <v>130.415864</v>
      </c>
      <c r="AS8" s="170"/>
      <c r="AT8" s="83" t="s">
        <v>371</v>
      </c>
      <c r="AU8" s="83">
        <v>125.30485</v>
      </c>
      <c r="AV8" s="170"/>
      <c r="AW8" s="83" t="s">
        <v>372</v>
      </c>
      <c r="AX8" s="83">
        <v>120.366663</v>
      </c>
      <c r="AY8" s="170"/>
      <c r="AZ8" s="83" t="s">
        <v>373</v>
      </c>
      <c r="BA8" s="83">
        <v>115.349901</v>
      </c>
      <c r="BB8" s="170"/>
      <c r="BC8" s="83" t="s">
        <v>374</v>
      </c>
      <c r="BD8" s="83">
        <v>110.466195</v>
      </c>
      <c r="BE8" s="170"/>
      <c r="BF8" s="83" t="s">
        <v>375</v>
      </c>
      <c r="BG8" s="83">
        <v>105.346459</v>
      </c>
      <c r="BH8" s="170"/>
      <c r="BI8" s="83" t="s">
        <v>376</v>
      </c>
      <c r="BJ8" s="83">
        <v>100.344138</v>
      </c>
      <c r="BK8" s="170"/>
      <c r="BL8" s="83" t="s">
        <v>377</v>
      </c>
      <c r="BM8" s="83">
        <v>95.431388999999996</v>
      </c>
      <c r="BN8" s="170"/>
      <c r="BO8" s="83" t="s">
        <v>378</v>
      </c>
      <c r="BP8" s="83">
        <v>90.431016999999997</v>
      </c>
      <c r="BQ8" s="170"/>
      <c r="BR8" s="83" t="s">
        <v>379</v>
      </c>
      <c r="BS8" s="83">
        <v>85.387110000000007</v>
      </c>
      <c r="BT8" s="170"/>
      <c r="BU8" s="83" t="s">
        <v>380</v>
      </c>
      <c r="BV8" s="83">
        <v>80.430606999999995</v>
      </c>
      <c r="BW8" s="170"/>
      <c r="BX8" s="83" t="s">
        <v>381</v>
      </c>
      <c r="BY8" s="83">
        <v>75.422307000000004</v>
      </c>
      <c r="BZ8" s="170"/>
      <c r="CA8" s="83" t="s">
        <v>382</v>
      </c>
      <c r="CB8" s="83">
        <v>70.423924999999997</v>
      </c>
      <c r="CD8" s="83" t="s">
        <v>383</v>
      </c>
      <c r="CE8" s="83">
        <v>65.453325000000007</v>
      </c>
      <c r="CG8" s="83" t="s">
        <v>384</v>
      </c>
      <c r="CH8" s="83">
        <v>60.443356000000001</v>
      </c>
      <c r="CJ8" s="83" t="s">
        <v>385</v>
      </c>
      <c r="CK8" s="83">
        <v>55.448321999999997</v>
      </c>
      <c r="CM8" s="83" t="s">
        <v>386</v>
      </c>
      <c r="CN8" s="83">
        <v>50.481312000000003</v>
      </c>
      <c r="CP8" s="83" t="s">
        <v>387</v>
      </c>
      <c r="CQ8" s="83">
        <v>45.457717000000002</v>
      </c>
      <c r="CS8" s="83" t="s">
        <v>388</v>
      </c>
      <c r="CT8" s="83">
        <v>40.483632999999998</v>
      </c>
      <c r="CV8" s="83" t="s">
        <v>389</v>
      </c>
      <c r="CW8" s="83">
        <v>35.478814999999997</v>
      </c>
      <c r="CY8" s="83" t="s">
        <v>390</v>
      </c>
      <c r="CZ8" s="83">
        <v>30.506421</v>
      </c>
    </row>
    <row r="9" spans="1:105" x14ac:dyDescent="0.2">
      <c r="A9" s="83" t="s">
        <v>276</v>
      </c>
      <c r="B9" s="83" t="s">
        <v>55</v>
      </c>
      <c r="C9" s="83" t="s">
        <v>56</v>
      </c>
      <c r="D9" s="83" t="s">
        <v>276</v>
      </c>
      <c r="E9" s="83" t="s">
        <v>55</v>
      </c>
      <c r="F9" s="83" t="s">
        <v>56</v>
      </c>
      <c r="G9" s="83" t="s">
        <v>276</v>
      </c>
      <c r="H9" s="83" t="s">
        <v>55</v>
      </c>
      <c r="I9" s="83" t="s">
        <v>56</v>
      </c>
      <c r="J9" s="83" t="s">
        <v>276</v>
      </c>
      <c r="K9" s="83" t="s">
        <v>55</v>
      </c>
      <c r="L9" s="83" t="s">
        <v>56</v>
      </c>
      <c r="M9" s="83" t="s">
        <v>276</v>
      </c>
      <c r="N9" s="83" t="s">
        <v>55</v>
      </c>
      <c r="O9" s="83" t="s">
        <v>56</v>
      </c>
      <c r="P9" s="83" t="s">
        <v>276</v>
      </c>
      <c r="Q9" s="83" t="s">
        <v>55</v>
      </c>
      <c r="R9" s="83" t="s">
        <v>56</v>
      </c>
      <c r="S9" s="83" t="s">
        <v>276</v>
      </c>
      <c r="T9" s="83" t="s">
        <v>55</v>
      </c>
      <c r="U9" s="83" t="s">
        <v>56</v>
      </c>
      <c r="V9" s="83" t="s">
        <v>276</v>
      </c>
      <c r="W9" s="83" t="s">
        <v>55</v>
      </c>
      <c r="X9" s="83" t="s">
        <v>56</v>
      </c>
      <c r="Y9" s="83" t="s">
        <v>276</v>
      </c>
      <c r="Z9" s="83" t="s">
        <v>55</v>
      </c>
      <c r="AA9" s="83" t="s">
        <v>56</v>
      </c>
      <c r="AB9" s="83" t="s">
        <v>276</v>
      </c>
      <c r="AC9" s="83" t="s">
        <v>55</v>
      </c>
      <c r="AD9" s="83" t="s">
        <v>56</v>
      </c>
      <c r="AE9" s="83" t="s">
        <v>276</v>
      </c>
      <c r="AF9" s="83" t="s">
        <v>55</v>
      </c>
      <c r="AG9" s="83" t="s">
        <v>56</v>
      </c>
      <c r="AH9" s="83" t="s">
        <v>276</v>
      </c>
      <c r="AI9" s="83" t="s">
        <v>55</v>
      </c>
      <c r="AJ9" s="83" t="s">
        <v>56</v>
      </c>
      <c r="AK9" s="83" t="s">
        <v>276</v>
      </c>
      <c r="AL9" s="83" t="s">
        <v>55</v>
      </c>
      <c r="AM9" s="83" t="s">
        <v>56</v>
      </c>
      <c r="AN9" s="83" t="s">
        <v>276</v>
      </c>
      <c r="AO9" s="83" t="s">
        <v>55</v>
      </c>
      <c r="AP9" s="83" t="s">
        <v>56</v>
      </c>
      <c r="AQ9" s="83" t="s">
        <v>276</v>
      </c>
      <c r="AR9" s="83" t="s">
        <v>55</v>
      </c>
      <c r="AS9" s="83" t="s">
        <v>56</v>
      </c>
      <c r="AT9" s="83" t="s">
        <v>276</v>
      </c>
      <c r="AU9" s="83" t="s">
        <v>55</v>
      </c>
      <c r="AV9" s="83" t="s">
        <v>56</v>
      </c>
      <c r="AW9" s="83" t="s">
        <v>276</v>
      </c>
      <c r="AX9" s="83" t="s">
        <v>55</v>
      </c>
      <c r="AY9" s="83" t="s">
        <v>56</v>
      </c>
      <c r="AZ9" s="83" t="s">
        <v>276</v>
      </c>
      <c r="BA9" s="83" t="s">
        <v>55</v>
      </c>
      <c r="BB9" s="83" t="s">
        <v>56</v>
      </c>
      <c r="BC9" s="83" t="s">
        <v>276</v>
      </c>
      <c r="BD9" s="83" t="s">
        <v>55</v>
      </c>
      <c r="BE9" s="83" t="s">
        <v>56</v>
      </c>
      <c r="BF9" s="83" t="s">
        <v>276</v>
      </c>
      <c r="BG9" s="83" t="s">
        <v>55</v>
      </c>
      <c r="BH9" s="83" t="s">
        <v>56</v>
      </c>
      <c r="BI9" s="83" t="s">
        <v>276</v>
      </c>
      <c r="BJ9" s="83" t="s">
        <v>55</v>
      </c>
      <c r="BK9" s="83" t="s">
        <v>56</v>
      </c>
      <c r="BL9" s="83" t="s">
        <v>276</v>
      </c>
      <c r="BM9" s="83" t="s">
        <v>55</v>
      </c>
      <c r="BN9" s="83" t="s">
        <v>56</v>
      </c>
      <c r="BO9" s="83" t="s">
        <v>276</v>
      </c>
      <c r="BP9" s="83" t="s">
        <v>55</v>
      </c>
      <c r="BQ9" s="83" t="s">
        <v>56</v>
      </c>
      <c r="BR9" s="83" t="s">
        <v>276</v>
      </c>
      <c r="BS9" s="83" t="s">
        <v>55</v>
      </c>
      <c r="BT9" s="83" t="s">
        <v>56</v>
      </c>
      <c r="BU9" s="83" t="s">
        <v>276</v>
      </c>
      <c r="BV9" s="83" t="s">
        <v>55</v>
      </c>
      <c r="BW9" s="83" t="s">
        <v>56</v>
      </c>
      <c r="BX9" s="83" t="s">
        <v>276</v>
      </c>
      <c r="BY9" s="83" t="s">
        <v>55</v>
      </c>
      <c r="BZ9" s="83" t="s">
        <v>56</v>
      </c>
      <c r="CA9" s="83" t="s">
        <v>276</v>
      </c>
      <c r="CB9" s="83" t="s">
        <v>55</v>
      </c>
      <c r="CC9" s="83" t="s">
        <v>56</v>
      </c>
      <c r="CD9" s="83" t="s">
        <v>276</v>
      </c>
      <c r="CE9" s="83" t="s">
        <v>55</v>
      </c>
      <c r="CF9" s="83" t="s">
        <v>56</v>
      </c>
      <c r="CG9" s="83" t="s">
        <v>276</v>
      </c>
      <c r="CH9" s="83" t="s">
        <v>55</v>
      </c>
      <c r="CI9" s="83" t="s">
        <v>56</v>
      </c>
      <c r="CJ9" s="83" t="s">
        <v>276</v>
      </c>
      <c r="CK9" s="83" t="s">
        <v>55</v>
      </c>
      <c r="CL9" s="83" t="s">
        <v>56</v>
      </c>
      <c r="CM9" s="83" t="s">
        <v>276</v>
      </c>
      <c r="CN9" s="83" t="s">
        <v>55</v>
      </c>
      <c r="CO9" s="83" t="s">
        <v>56</v>
      </c>
      <c r="CP9" s="83" t="s">
        <v>276</v>
      </c>
      <c r="CQ9" s="83" t="s">
        <v>55</v>
      </c>
      <c r="CR9" s="83" t="s">
        <v>56</v>
      </c>
      <c r="CS9" s="83" t="s">
        <v>276</v>
      </c>
      <c r="CT9" s="83" t="s">
        <v>55</v>
      </c>
      <c r="CU9" s="83" t="s">
        <v>56</v>
      </c>
      <c r="CV9" s="83" t="s">
        <v>276</v>
      </c>
      <c r="CW9" s="83" t="s">
        <v>55</v>
      </c>
      <c r="CX9" s="83" t="s">
        <v>56</v>
      </c>
      <c r="CY9" s="83" t="s">
        <v>276</v>
      </c>
      <c r="CZ9" s="83" t="s">
        <v>55</v>
      </c>
      <c r="DA9" s="83" t="s">
        <v>56</v>
      </c>
    </row>
    <row r="10" spans="1:105" x14ac:dyDescent="0.2">
      <c r="A10" s="83">
        <v>4.99E-5</v>
      </c>
      <c r="B10" s="83">
        <v>0.28270299999999998</v>
      </c>
      <c r="C10" s="83">
        <v>0.35266700000000001</v>
      </c>
      <c r="D10" s="83">
        <v>4.99E-5</v>
      </c>
      <c r="E10" s="83">
        <v>0.30350199999999999</v>
      </c>
      <c r="F10" s="83">
        <v>0.37638899999999997</v>
      </c>
      <c r="G10" s="83">
        <v>4.99E-5</v>
      </c>
      <c r="H10" s="83">
        <v>0.30826100000000001</v>
      </c>
      <c r="I10" s="83">
        <v>0.38003799999999999</v>
      </c>
      <c r="J10" s="83">
        <v>4.99E-5</v>
      </c>
      <c r="K10" s="83">
        <v>0.28777200000000003</v>
      </c>
      <c r="L10" s="83">
        <v>0.35470400000000002</v>
      </c>
      <c r="M10" s="83">
        <v>4.99E-5</v>
      </c>
      <c r="N10" s="83">
        <v>0.28927999999999998</v>
      </c>
      <c r="O10" s="83">
        <v>0.35547099999999998</v>
      </c>
      <c r="P10" s="83">
        <v>4.99E-5</v>
      </c>
      <c r="Q10" s="83">
        <v>0.28554299999999999</v>
      </c>
      <c r="R10" s="83">
        <v>0.35136499999999998</v>
      </c>
      <c r="S10" s="83">
        <v>4.99E-5</v>
      </c>
      <c r="T10" s="83">
        <v>0.29308000000000001</v>
      </c>
      <c r="U10" s="83">
        <v>0.357877</v>
      </c>
      <c r="V10" s="83">
        <v>4.99E-5</v>
      </c>
      <c r="W10" s="83">
        <v>0.30536400000000002</v>
      </c>
      <c r="X10" s="83">
        <v>0.37180200000000002</v>
      </c>
      <c r="Y10" s="83">
        <v>4.99E-5</v>
      </c>
      <c r="Z10" s="83">
        <v>0.28839599999999999</v>
      </c>
      <c r="AA10" s="83">
        <v>0.351244</v>
      </c>
      <c r="AB10" s="83">
        <v>4.99E-5</v>
      </c>
      <c r="AC10" s="83">
        <v>0.29916900000000002</v>
      </c>
      <c r="AD10" s="83">
        <v>0.36418099999999998</v>
      </c>
      <c r="AE10" s="83">
        <v>4.99E-5</v>
      </c>
      <c r="AF10" s="83">
        <v>0.30720399999999998</v>
      </c>
      <c r="AG10" s="83">
        <v>0.37155700000000003</v>
      </c>
      <c r="AH10" s="83">
        <v>4.99E-5</v>
      </c>
      <c r="AI10" s="83">
        <v>0.30218600000000001</v>
      </c>
      <c r="AJ10" s="83">
        <v>0.36573499999999998</v>
      </c>
      <c r="AK10" s="83">
        <v>4.99E-5</v>
      </c>
      <c r="AL10" s="83">
        <v>0.30635600000000002</v>
      </c>
      <c r="AM10" s="83">
        <v>0.36922100000000002</v>
      </c>
      <c r="AN10" s="83">
        <v>4.99E-5</v>
      </c>
      <c r="AO10" s="83">
        <v>0.291072</v>
      </c>
      <c r="AP10" s="83">
        <v>0.35091800000000001</v>
      </c>
      <c r="AQ10" s="83">
        <v>4.99E-5</v>
      </c>
      <c r="AR10" s="83">
        <v>0.30280499999999999</v>
      </c>
      <c r="AS10" s="83">
        <v>0.36265599999999998</v>
      </c>
      <c r="AT10" s="83">
        <v>4.99E-5</v>
      </c>
      <c r="AU10" s="83">
        <v>0.29093599999999997</v>
      </c>
      <c r="AV10" s="83">
        <v>0.34513300000000002</v>
      </c>
      <c r="AW10" s="83">
        <v>4.99E-5</v>
      </c>
      <c r="AX10" s="83">
        <v>0.29710300000000001</v>
      </c>
      <c r="AY10" s="83">
        <v>0.35350300000000001</v>
      </c>
      <c r="AZ10" s="83">
        <v>4.99E-5</v>
      </c>
      <c r="BA10" s="83">
        <v>0.30454199999999998</v>
      </c>
      <c r="BB10" s="83">
        <v>0.36298399999999997</v>
      </c>
      <c r="BC10" s="83">
        <v>4.99E-5</v>
      </c>
      <c r="BD10" s="83">
        <v>0.30275299999999999</v>
      </c>
      <c r="BE10" s="83">
        <v>0.36022199999999999</v>
      </c>
      <c r="BF10" s="83">
        <v>4.99E-5</v>
      </c>
      <c r="BG10" s="83">
        <v>0.30171199999999998</v>
      </c>
      <c r="BH10" s="83">
        <v>0.36132500000000001</v>
      </c>
      <c r="BI10" s="83">
        <v>4.99E-5</v>
      </c>
      <c r="BJ10" s="83">
        <v>0.29559299999999999</v>
      </c>
      <c r="BK10" s="83">
        <v>0.35741499999999998</v>
      </c>
      <c r="BL10" s="83">
        <v>4.99E-5</v>
      </c>
      <c r="BM10" s="83">
        <v>0.29396</v>
      </c>
      <c r="BN10" s="83">
        <v>0.35814299999999999</v>
      </c>
      <c r="BO10" s="83">
        <v>4.99E-5</v>
      </c>
      <c r="BP10" s="83">
        <v>0.287277</v>
      </c>
      <c r="BQ10" s="83">
        <v>0.35353499999999999</v>
      </c>
      <c r="BR10" s="83">
        <v>4.99E-5</v>
      </c>
      <c r="BS10" s="83">
        <v>0.29793599999999998</v>
      </c>
      <c r="BT10" s="83">
        <v>0.369585</v>
      </c>
      <c r="BU10" s="83">
        <v>4.99E-5</v>
      </c>
      <c r="BV10" s="83">
        <v>0.28235900000000003</v>
      </c>
      <c r="BW10" s="83">
        <v>0.35624400000000001</v>
      </c>
      <c r="BX10" s="83">
        <v>4.99E-5</v>
      </c>
      <c r="BY10" s="83">
        <v>0.29325899999999999</v>
      </c>
      <c r="BZ10" s="83">
        <v>0.373338</v>
      </c>
      <c r="CA10" s="83">
        <v>4.99E-5</v>
      </c>
      <c r="CB10" s="83">
        <v>0.27878700000000001</v>
      </c>
      <c r="CC10" s="83">
        <v>0.35878500000000002</v>
      </c>
      <c r="CD10" s="83">
        <v>4.99E-5</v>
      </c>
      <c r="CE10" s="83">
        <v>0.278553</v>
      </c>
      <c r="CF10" s="83">
        <v>0.36258800000000002</v>
      </c>
      <c r="CG10" s="83">
        <v>4.99E-5</v>
      </c>
      <c r="CH10" s="83">
        <v>0.281086</v>
      </c>
      <c r="CI10" s="83">
        <v>0.36909999999999998</v>
      </c>
      <c r="CJ10" s="83">
        <v>4.99E-5</v>
      </c>
      <c r="CK10" s="83">
        <v>0.27681</v>
      </c>
      <c r="CL10" s="83">
        <v>0.36373699999999998</v>
      </c>
      <c r="CM10" s="83">
        <v>4.99E-5</v>
      </c>
      <c r="CN10" s="83">
        <v>0.27309099999999997</v>
      </c>
      <c r="CO10" s="83">
        <v>0.36030600000000002</v>
      </c>
      <c r="CP10" s="83">
        <v>4.99E-5</v>
      </c>
      <c r="CQ10" s="83">
        <v>0.27290399999999998</v>
      </c>
      <c r="CR10" s="83">
        <v>0.35988500000000001</v>
      </c>
      <c r="CS10" s="83">
        <v>4.99E-5</v>
      </c>
      <c r="CT10" s="83">
        <v>0.28112300000000001</v>
      </c>
      <c r="CU10" s="83">
        <v>0.368867</v>
      </c>
      <c r="CV10" s="83">
        <v>4.99E-5</v>
      </c>
      <c r="CW10" s="83">
        <v>0.28174399999999999</v>
      </c>
      <c r="CX10" s="83">
        <v>0.36832900000000002</v>
      </c>
      <c r="CY10" s="83">
        <v>4.99E-5</v>
      </c>
      <c r="CZ10" s="83">
        <v>0.278698</v>
      </c>
      <c r="DA10" s="83">
        <v>0.364338</v>
      </c>
    </row>
    <row r="11" spans="1:105" x14ac:dyDescent="0.2">
      <c r="A11" s="83">
        <v>1.4990000000000001E-4</v>
      </c>
      <c r="B11" s="83">
        <v>0.57523400000000002</v>
      </c>
      <c r="C11" s="83">
        <v>0.54108699999999998</v>
      </c>
      <c r="D11" s="83">
        <v>1.4990000000000001E-4</v>
      </c>
      <c r="E11" s="83">
        <v>0.60089199999999998</v>
      </c>
      <c r="F11" s="83">
        <v>0.56174500000000005</v>
      </c>
      <c r="G11" s="83">
        <v>1.4990000000000001E-4</v>
      </c>
      <c r="H11" s="83">
        <v>0.61810299999999996</v>
      </c>
      <c r="I11" s="83">
        <v>0.57433199999999995</v>
      </c>
      <c r="J11" s="83">
        <v>1.4990000000000001E-4</v>
      </c>
      <c r="K11" s="83">
        <v>0.57253200000000004</v>
      </c>
      <c r="L11" s="83">
        <v>0.534717</v>
      </c>
      <c r="M11" s="83">
        <v>1.4990000000000001E-4</v>
      </c>
      <c r="N11" s="83">
        <v>0.57047499999999995</v>
      </c>
      <c r="O11" s="83">
        <v>0.53122199999999997</v>
      </c>
      <c r="P11" s="83">
        <v>1.4990000000000001E-4</v>
      </c>
      <c r="Q11" s="83">
        <v>0.56684500000000004</v>
      </c>
      <c r="R11" s="83">
        <v>0.53175899999999998</v>
      </c>
      <c r="S11" s="83">
        <v>1.4990000000000001E-4</v>
      </c>
      <c r="T11" s="83">
        <v>0.58314699999999997</v>
      </c>
      <c r="U11" s="83">
        <v>0.54297499999999999</v>
      </c>
      <c r="V11" s="83">
        <v>1.4990000000000001E-4</v>
      </c>
      <c r="W11" s="83">
        <v>0.60516400000000004</v>
      </c>
      <c r="X11" s="83">
        <v>0.56415599999999999</v>
      </c>
      <c r="Y11" s="83">
        <v>1.4990000000000001E-4</v>
      </c>
      <c r="Z11" s="83">
        <v>0.56764199999999998</v>
      </c>
      <c r="AA11" s="83">
        <v>0.52795199999999998</v>
      </c>
      <c r="AB11" s="83">
        <v>1.4990000000000001E-4</v>
      </c>
      <c r="AC11" s="83">
        <v>0.58544600000000002</v>
      </c>
      <c r="AD11" s="83">
        <v>0.545408</v>
      </c>
      <c r="AE11" s="83">
        <v>1.4990000000000001E-4</v>
      </c>
      <c r="AF11" s="83">
        <v>0.59674700000000003</v>
      </c>
      <c r="AG11" s="83">
        <v>0.55239000000000005</v>
      </c>
      <c r="AH11" s="83">
        <v>1.4990000000000001E-4</v>
      </c>
      <c r="AI11" s="83">
        <v>0.59829299999999996</v>
      </c>
      <c r="AJ11" s="83">
        <v>0.55574299999999999</v>
      </c>
      <c r="AK11" s="83">
        <v>1.4990000000000001E-4</v>
      </c>
      <c r="AL11" s="83">
        <v>0.59588700000000006</v>
      </c>
      <c r="AM11" s="83">
        <v>0.55015099999999995</v>
      </c>
      <c r="AN11" s="83">
        <v>1.4990000000000001E-4</v>
      </c>
      <c r="AO11" s="83">
        <v>0.56901000000000002</v>
      </c>
      <c r="AP11" s="83">
        <v>0.52562399999999998</v>
      </c>
      <c r="AQ11" s="83">
        <v>1.4990000000000001E-4</v>
      </c>
      <c r="AR11" s="83">
        <v>0.59055299999999999</v>
      </c>
      <c r="AS11" s="83">
        <v>0.54539199999999999</v>
      </c>
      <c r="AT11" s="83">
        <v>1.4990000000000001E-4</v>
      </c>
      <c r="AU11" s="83">
        <v>0.56511900000000004</v>
      </c>
      <c r="AV11" s="83">
        <v>0.51803200000000005</v>
      </c>
      <c r="AW11" s="83">
        <v>1.4990000000000001E-4</v>
      </c>
      <c r="AX11" s="83">
        <v>0.589453</v>
      </c>
      <c r="AY11" s="83">
        <v>0.54464000000000001</v>
      </c>
      <c r="AZ11" s="83">
        <v>1.4990000000000001E-4</v>
      </c>
      <c r="BA11" s="83">
        <v>0.59159300000000004</v>
      </c>
      <c r="BB11" s="83">
        <v>0.54492399999999996</v>
      </c>
      <c r="BC11" s="83">
        <v>1.4990000000000001E-4</v>
      </c>
      <c r="BD11" s="83">
        <v>0.59175699999999998</v>
      </c>
      <c r="BE11" s="83">
        <v>0.546516</v>
      </c>
      <c r="BF11" s="83">
        <v>1.4990000000000001E-4</v>
      </c>
      <c r="BG11" s="83">
        <v>0.582866</v>
      </c>
      <c r="BH11" s="83">
        <v>0.54190799999999995</v>
      </c>
      <c r="BI11" s="83">
        <v>1.4990000000000001E-4</v>
      </c>
      <c r="BJ11" s="83">
        <v>0.57225099999999995</v>
      </c>
      <c r="BK11" s="83">
        <v>0.53954400000000002</v>
      </c>
      <c r="BL11" s="83">
        <v>1.4990000000000001E-4</v>
      </c>
      <c r="BM11" s="83">
        <v>0.56585399999999997</v>
      </c>
      <c r="BN11" s="83">
        <v>0.53682799999999997</v>
      </c>
      <c r="BO11" s="83">
        <v>1.4990000000000001E-4</v>
      </c>
      <c r="BP11" s="83">
        <v>0.55115599999999998</v>
      </c>
      <c r="BQ11" s="83">
        <v>0.52990000000000004</v>
      </c>
      <c r="BR11" s="83">
        <v>1.4990000000000001E-4</v>
      </c>
      <c r="BS11" s="83">
        <v>0.56979400000000002</v>
      </c>
      <c r="BT11" s="83">
        <v>0.55307300000000004</v>
      </c>
      <c r="BU11" s="83">
        <v>1.4990000000000001E-4</v>
      </c>
      <c r="BV11" s="83">
        <v>0.54396100000000003</v>
      </c>
      <c r="BW11" s="83">
        <v>0.53635100000000002</v>
      </c>
      <c r="BX11" s="83">
        <v>1.4990000000000001E-4</v>
      </c>
      <c r="BY11" s="83">
        <v>0.56672999999999996</v>
      </c>
      <c r="BZ11" s="83">
        <v>0.56312200000000001</v>
      </c>
      <c r="CA11" s="83">
        <v>1.4990000000000001E-4</v>
      </c>
      <c r="CB11" s="83">
        <v>0.54229300000000003</v>
      </c>
      <c r="CC11" s="83">
        <v>0.54985700000000004</v>
      </c>
      <c r="CD11" s="83">
        <v>1.4990000000000001E-4</v>
      </c>
      <c r="CE11" s="83">
        <v>0.51824999999999999</v>
      </c>
      <c r="CF11" s="83">
        <v>0.53119899999999998</v>
      </c>
      <c r="CG11" s="83">
        <v>1.4990000000000001E-4</v>
      </c>
      <c r="CH11" s="83">
        <v>0.541574</v>
      </c>
      <c r="CI11" s="83">
        <v>0.56070600000000004</v>
      </c>
      <c r="CJ11" s="83">
        <v>1.4990000000000001E-4</v>
      </c>
      <c r="CK11" s="83">
        <v>0.52681800000000001</v>
      </c>
      <c r="CL11" s="83">
        <v>0.54608199999999996</v>
      </c>
      <c r="CM11" s="83">
        <v>1.4990000000000001E-4</v>
      </c>
      <c r="CN11" s="83">
        <v>0.51844100000000004</v>
      </c>
      <c r="CO11" s="83">
        <v>0.54064800000000002</v>
      </c>
      <c r="CP11" s="83">
        <v>1.4990000000000001E-4</v>
      </c>
      <c r="CQ11" s="83">
        <v>0.51388599999999995</v>
      </c>
      <c r="CR11" s="83">
        <v>0.53748399999999996</v>
      </c>
      <c r="CS11" s="83">
        <v>1.4990000000000001E-4</v>
      </c>
      <c r="CT11" s="83">
        <v>0.533057</v>
      </c>
      <c r="CU11" s="83">
        <v>0.55545800000000001</v>
      </c>
      <c r="CV11" s="83">
        <v>1.4990000000000001E-4</v>
      </c>
      <c r="CW11" s="83">
        <v>0.53121399999999996</v>
      </c>
      <c r="CX11" s="83">
        <v>0.55086999999999997</v>
      </c>
      <c r="CY11" s="83">
        <v>1.4990000000000001E-4</v>
      </c>
      <c r="CZ11" s="83">
        <v>0.52321700000000004</v>
      </c>
      <c r="DA11" s="83">
        <v>0.54570300000000005</v>
      </c>
    </row>
    <row r="12" spans="1:105" x14ac:dyDescent="0.2">
      <c r="A12" s="83">
        <v>2.499E-4</v>
      </c>
      <c r="B12" s="83">
        <v>0.65636300000000003</v>
      </c>
      <c r="C12" s="83">
        <v>0.601433</v>
      </c>
      <c r="D12" s="83">
        <v>2.499E-4</v>
      </c>
      <c r="E12" s="83">
        <v>0.67744499999999996</v>
      </c>
      <c r="F12" s="83">
        <v>0.61279300000000003</v>
      </c>
      <c r="G12" s="83">
        <v>2.499E-4</v>
      </c>
      <c r="H12" s="83">
        <v>0.684226</v>
      </c>
      <c r="I12" s="83">
        <v>0.61682499999999996</v>
      </c>
      <c r="J12" s="83">
        <v>2.499E-4</v>
      </c>
      <c r="K12" s="83">
        <v>0.65071000000000001</v>
      </c>
      <c r="L12" s="83">
        <v>0.59224699999999997</v>
      </c>
      <c r="M12" s="83">
        <v>2.499E-4</v>
      </c>
      <c r="N12" s="83">
        <v>0.65159400000000001</v>
      </c>
      <c r="O12" s="83">
        <v>0.591503</v>
      </c>
      <c r="P12" s="83">
        <v>2.499E-4</v>
      </c>
      <c r="Q12" s="83">
        <v>0.65065399999999995</v>
      </c>
      <c r="R12" s="83">
        <v>0.59076200000000001</v>
      </c>
      <c r="S12" s="83">
        <v>2.499E-4</v>
      </c>
      <c r="T12" s="83">
        <v>0.67038299999999995</v>
      </c>
      <c r="U12" s="83">
        <v>0.60367000000000004</v>
      </c>
      <c r="V12" s="83">
        <v>2.499E-4</v>
      </c>
      <c r="W12" s="83">
        <v>0.67950999999999995</v>
      </c>
      <c r="X12" s="83">
        <v>0.60969399999999996</v>
      </c>
      <c r="Y12" s="83">
        <v>2.499E-4</v>
      </c>
      <c r="Z12" s="83">
        <v>0.64534999999999998</v>
      </c>
      <c r="AA12" s="83">
        <v>0.58354200000000001</v>
      </c>
      <c r="AB12" s="83">
        <v>2.499E-4</v>
      </c>
      <c r="AC12" s="83">
        <v>0.67216299999999995</v>
      </c>
      <c r="AD12" s="83">
        <v>0.60157000000000005</v>
      </c>
      <c r="AE12" s="83">
        <v>2.499E-4</v>
      </c>
      <c r="AF12" s="83">
        <v>0.680566</v>
      </c>
      <c r="AG12" s="83">
        <v>0.60677099999999995</v>
      </c>
      <c r="AH12" s="83">
        <v>2.499E-4</v>
      </c>
      <c r="AI12" s="83">
        <v>0.67474800000000001</v>
      </c>
      <c r="AJ12" s="83">
        <v>0.603711</v>
      </c>
      <c r="AK12" s="83">
        <v>2.499E-4</v>
      </c>
      <c r="AL12" s="83">
        <v>0.68024399999999996</v>
      </c>
      <c r="AM12" s="83">
        <v>0.60404100000000005</v>
      </c>
      <c r="AN12" s="83">
        <v>2.499E-4</v>
      </c>
      <c r="AO12" s="83">
        <v>0.65560799999999997</v>
      </c>
      <c r="AP12" s="83">
        <v>0.58781000000000005</v>
      </c>
      <c r="AQ12" s="83">
        <v>2.499E-4</v>
      </c>
      <c r="AR12" s="83">
        <v>0.67943799999999999</v>
      </c>
      <c r="AS12" s="83">
        <v>0.603688</v>
      </c>
      <c r="AT12" s="83">
        <v>2.499E-4</v>
      </c>
      <c r="AU12" s="83">
        <v>0.65456099999999995</v>
      </c>
      <c r="AV12" s="83">
        <v>0.58599800000000002</v>
      </c>
      <c r="AW12" s="83">
        <v>2.499E-4</v>
      </c>
      <c r="AX12" s="83">
        <v>0.68821100000000002</v>
      </c>
      <c r="AY12" s="83">
        <v>0.60927799999999999</v>
      </c>
      <c r="AZ12" s="83">
        <v>2.499E-4</v>
      </c>
      <c r="BA12" s="83">
        <v>0.67557500000000004</v>
      </c>
      <c r="BB12" s="83">
        <v>0.59996499999999997</v>
      </c>
      <c r="BC12" s="83">
        <v>2.499E-4</v>
      </c>
      <c r="BD12" s="83">
        <v>0.67386199999999996</v>
      </c>
      <c r="BE12" s="83">
        <v>0.59885500000000003</v>
      </c>
      <c r="BF12" s="83">
        <v>2.499E-4</v>
      </c>
      <c r="BG12" s="83">
        <v>0.66791299999999998</v>
      </c>
      <c r="BH12" s="83">
        <v>0.59953400000000001</v>
      </c>
      <c r="BI12" s="83">
        <v>2.499E-4</v>
      </c>
      <c r="BJ12" s="83">
        <v>0.66613199999999995</v>
      </c>
      <c r="BK12" s="83">
        <v>0.60159300000000004</v>
      </c>
      <c r="BL12" s="83">
        <v>2.499E-4</v>
      </c>
      <c r="BM12" s="83">
        <v>0.64867300000000006</v>
      </c>
      <c r="BN12" s="83">
        <v>0.59426000000000001</v>
      </c>
      <c r="BO12" s="83">
        <v>2.499E-4</v>
      </c>
      <c r="BP12" s="83">
        <v>0.63886299999999996</v>
      </c>
      <c r="BQ12" s="83">
        <v>0.59285200000000005</v>
      </c>
      <c r="BR12" s="83">
        <v>2.499E-4</v>
      </c>
      <c r="BS12" s="83">
        <v>0.65097000000000005</v>
      </c>
      <c r="BT12" s="83">
        <v>0.60813799999999996</v>
      </c>
      <c r="BU12" s="83">
        <v>2.499E-4</v>
      </c>
      <c r="BV12" s="83">
        <v>0.61543700000000001</v>
      </c>
      <c r="BW12" s="83">
        <v>0.59134399999999998</v>
      </c>
      <c r="BX12" s="83">
        <v>2.499E-4</v>
      </c>
      <c r="BY12" s="83">
        <v>0.63661900000000005</v>
      </c>
      <c r="BZ12" s="83">
        <v>0.61095299999999997</v>
      </c>
      <c r="CA12" s="83">
        <v>2.499E-4</v>
      </c>
      <c r="CB12" s="83">
        <v>0.62082000000000004</v>
      </c>
      <c r="CC12" s="83">
        <v>0.60594000000000003</v>
      </c>
      <c r="CD12" s="83">
        <v>2.499E-4</v>
      </c>
      <c r="CE12" s="83">
        <v>0.60409599999999997</v>
      </c>
      <c r="CF12" s="83">
        <v>0.59792299999999998</v>
      </c>
      <c r="CG12" s="83">
        <v>2.499E-4</v>
      </c>
      <c r="CH12" s="83">
        <v>0.61118799999999995</v>
      </c>
      <c r="CI12" s="83">
        <v>0.60714299999999999</v>
      </c>
      <c r="CJ12" s="83">
        <v>2.499E-4</v>
      </c>
      <c r="CK12" s="83">
        <v>0.61173200000000005</v>
      </c>
      <c r="CL12" s="83">
        <v>0.607348</v>
      </c>
      <c r="CM12" s="83">
        <v>2.499E-4</v>
      </c>
      <c r="CN12" s="83">
        <v>0.60299000000000003</v>
      </c>
      <c r="CO12" s="83">
        <v>0.60329100000000002</v>
      </c>
      <c r="CP12" s="83">
        <v>2.499E-4</v>
      </c>
      <c r="CQ12" s="83">
        <v>0.59872199999999998</v>
      </c>
      <c r="CR12" s="83">
        <v>0.59954099999999999</v>
      </c>
      <c r="CS12" s="83">
        <v>2.499E-4</v>
      </c>
      <c r="CT12" s="83">
        <v>0.62196899999999999</v>
      </c>
      <c r="CU12" s="83">
        <v>0.61638000000000004</v>
      </c>
      <c r="CV12" s="83">
        <v>2.499E-4</v>
      </c>
      <c r="CW12" s="83">
        <v>0.61400100000000002</v>
      </c>
      <c r="CX12" s="83">
        <v>0.612294</v>
      </c>
      <c r="CY12" s="83">
        <v>2.499E-4</v>
      </c>
      <c r="CZ12" s="83">
        <v>0.60465899999999995</v>
      </c>
      <c r="DA12" s="83">
        <v>0.60640899999999998</v>
      </c>
    </row>
    <row r="13" spans="1:105" x14ac:dyDescent="0.2">
      <c r="A13" s="83">
        <v>3.4989999999999999E-4</v>
      </c>
      <c r="B13" s="83">
        <v>0.67401699999999998</v>
      </c>
      <c r="C13" s="83">
        <v>0.62130099999999999</v>
      </c>
      <c r="D13" s="83">
        <v>3.4989999999999999E-4</v>
      </c>
      <c r="E13" s="83">
        <v>0.69180399999999997</v>
      </c>
      <c r="F13" s="83">
        <v>0.63170199999999999</v>
      </c>
      <c r="G13" s="83">
        <v>3.4989999999999999E-4</v>
      </c>
      <c r="H13" s="83">
        <v>0.69964400000000004</v>
      </c>
      <c r="I13" s="83">
        <v>0.63497400000000004</v>
      </c>
      <c r="J13" s="83">
        <v>3.4989999999999999E-4</v>
      </c>
      <c r="K13" s="83">
        <v>0.67194399999999999</v>
      </c>
      <c r="L13" s="83">
        <v>0.61442600000000003</v>
      </c>
      <c r="M13" s="83">
        <v>3.4989999999999999E-4</v>
      </c>
      <c r="N13" s="83">
        <v>0.67357500000000003</v>
      </c>
      <c r="O13" s="83">
        <v>0.61433899999999997</v>
      </c>
      <c r="P13" s="83">
        <v>3.4989999999999999E-4</v>
      </c>
      <c r="Q13" s="83">
        <v>0.67506200000000005</v>
      </c>
      <c r="R13" s="83">
        <v>0.61435099999999998</v>
      </c>
      <c r="S13" s="83">
        <v>3.4989999999999999E-4</v>
      </c>
      <c r="T13" s="83">
        <v>0.69159999999999999</v>
      </c>
      <c r="U13" s="83">
        <v>0.62619999999999998</v>
      </c>
      <c r="V13" s="83">
        <v>3.4989999999999999E-4</v>
      </c>
      <c r="W13" s="83">
        <v>0.69926600000000005</v>
      </c>
      <c r="X13" s="83">
        <v>0.62955499999999998</v>
      </c>
      <c r="Y13" s="83">
        <v>3.4989999999999999E-4</v>
      </c>
      <c r="Z13" s="83">
        <v>0.67586100000000005</v>
      </c>
      <c r="AA13" s="83">
        <v>0.61181399999999997</v>
      </c>
      <c r="AB13" s="83">
        <v>3.4989999999999999E-4</v>
      </c>
      <c r="AC13" s="83">
        <v>0.69113899999999995</v>
      </c>
      <c r="AD13" s="83">
        <v>0.62321599999999999</v>
      </c>
      <c r="AE13" s="83">
        <v>3.4989999999999999E-4</v>
      </c>
      <c r="AF13" s="83">
        <v>0.69762999999999997</v>
      </c>
      <c r="AG13" s="83">
        <v>0.627108</v>
      </c>
      <c r="AH13" s="83">
        <v>3.4989999999999999E-4</v>
      </c>
      <c r="AI13" s="83">
        <v>0.69770299999999996</v>
      </c>
      <c r="AJ13" s="83">
        <v>0.62557300000000005</v>
      </c>
      <c r="AK13" s="83">
        <v>3.4989999999999999E-4</v>
      </c>
      <c r="AL13" s="83">
        <v>0.70073300000000005</v>
      </c>
      <c r="AM13" s="83">
        <v>0.62675199999999998</v>
      </c>
      <c r="AN13" s="83">
        <v>3.4989999999999999E-4</v>
      </c>
      <c r="AO13" s="83">
        <v>0.67906900000000003</v>
      </c>
      <c r="AP13" s="83">
        <v>0.61133800000000005</v>
      </c>
      <c r="AQ13" s="83">
        <v>3.4989999999999999E-4</v>
      </c>
      <c r="AR13" s="83">
        <v>0.69725800000000004</v>
      </c>
      <c r="AS13" s="83">
        <v>0.62407699999999999</v>
      </c>
      <c r="AT13" s="83">
        <v>3.4989999999999999E-4</v>
      </c>
      <c r="AU13" s="83">
        <v>0.68253399999999997</v>
      </c>
      <c r="AV13" s="83">
        <v>0.61299000000000003</v>
      </c>
      <c r="AW13" s="83">
        <v>3.4989999999999999E-4</v>
      </c>
      <c r="AX13" s="83">
        <v>0.70806999999999998</v>
      </c>
      <c r="AY13" s="83">
        <v>0.63006099999999998</v>
      </c>
      <c r="AZ13" s="83">
        <v>3.4989999999999999E-4</v>
      </c>
      <c r="BA13" s="83">
        <v>0.69669800000000004</v>
      </c>
      <c r="BB13" s="83">
        <v>0.62146599999999996</v>
      </c>
      <c r="BC13" s="83">
        <v>3.4989999999999999E-4</v>
      </c>
      <c r="BD13" s="83">
        <v>0.69633100000000003</v>
      </c>
      <c r="BE13" s="83">
        <v>0.62130399999999997</v>
      </c>
      <c r="BF13" s="83">
        <v>3.4989999999999999E-4</v>
      </c>
      <c r="BG13" s="83">
        <v>0.68670399999999998</v>
      </c>
      <c r="BH13" s="83">
        <v>0.62057799999999996</v>
      </c>
      <c r="BI13" s="83">
        <v>3.4989999999999999E-4</v>
      </c>
      <c r="BJ13" s="83">
        <v>0.68280600000000002</v>
      </c>
      <c r="BK13" s="83">
        <v>0.62229100000000004</v>
      </c>
      <c r="BL13" s="83">
        <v>3.4989999999999999E-4</v>
      </c>
      <c r="BM13" s="83">
        <v>0.669956</v>
      </c>
      <c r="BN13" s="83">
        <v>0.61704099999999995</v>
      </c>
      <c r="BO13" s="83">
        <v>3.4989999999999999E-4</v>
      </c>
      <c r="BP13" s="83">
        <v>0.65918900000000002</v>
      </c>
      <c r="BQ13" s="83">
        <v>0.61557499999999998</v>
      </c>
      <c r="BR13" s="83">
        <v>3.4989999999999999E-4</v>
      </c>
      <c r="BS13" s="83">
        <v>0.66800499999999996</v>
      </c>
      <c r="BT13" s="83">
        <v>0.62858400000000003</v>
      </c>
      <c r="BU13" s="83">
        <v>3.4989999999999999E-4</v>
      </c>
      <c r="BV13" s="83">
        <v>0.63469699999999996</v>
      </c>
      <c r="BW13" s="83">
        <v>0.61287100000000005</v>
      </c>
      <c r="BX13" s="83">
        <v>3.4989999999999999E-4</v>
      </c>
      <c r="BY13" s="83">
        <v>0.65485499999999996</v>
      </c>
      <c r="BZ13" s="83">
        <v>0.63164299999999995</v>
      </c>
      <c r="CA13" s="83">
        <v>3.4989999999999999E-4</v>
      </c>
      <c r="CB13" s="83">
        <v>0.63427900000000004</v>
      </c>
      <c r="CC13" s="83">
        <v>0.62439999999999996</v>
      </c>
      <c r="CD13" s="83">
        <v>3.4989999999999999E-4</v>
      </c>
      <c r="CE13" s="83">
        <v>0.62088699999999997</v>
      </c>
      <c r="CF13" s="83">
        <v>0.61961900000000003</v>
      </c>
      <c r="CG13" s="83">
        <v>3.4989999999999999E-4</v>
      </c>
      <c r="CH13" s="83">
        <v>0.62724400000000002</v>
      </c>
      <c r="CI13" s="83">
        <v>0.62605200000000005</v>
      </c>
      <c r="CJ13" s="83">
        <v>3.4989999999999999E-4</v>
      </c>
      <c r="CK13" s="83">
        <v>0.620529</v>
      </c>
      <c r="CL13" s="83">
        <v>0.62450600000000001</v>
      </c>
      <c r="CM13" s="83">
        <v>3.4989999999999999E-4</v>
      </c>
      <c r="CN13" s="83">
        <v>0.61130799999999996</v>
      </c>
      <c r="CO13" s="83">
        <v>0.618363</v>
      </c>
      <c r="CP13" s="83">
        <v>3.4989999999999999E-4</v>
      </c>
      <c r="CQ13" s="83">
        <v>0.60892100000000005</v>
      </c>
      <c r="CR13" s="83">
        <v>0.61718399999999995</v>
      </c>
      <c r="CS13" s="83">
        <v>3.4989999999999999E-4</v>
      </c>
      <c r="CT13" s="83">
        <v>0.62516000000000005</v>
      </c>
      <c r="CU13" s="83">
        <v>0.63039900000000004</v>
      </c>
      <c r="CV13" s="83">
        <v>3.4989999999999999E-4</v>
      </c>
      <c r="CW13" s="83">
        <v>0.621031</v>
      </c>
      <c r="CX13" s="83">
        <v>0.62779399999999996</v>
      </c>
      <c r="CY13" s="83">
        <v>3.4989999999999999E-4</v>
      </c>
      <c r="CZ13" s="83">
        <v>0.61985999999999997</v>
      </c>
      <c r="DA13" s="83">
        <v>0.62676799999999999</v>
      </c>
    </row>
    <row r="14" spans="1:105" x14ac:dyDescent="0.2">
      <c r="A14" s="83">
        <v>4.4989999999999999E-4</v>
      </c>
      <c r="B14" s="83">
        <v>0.65049999999999997</v>
      </c>
      <c r="C14" s="83">
        <v>0.60892800000000002</v>
      </c>
      <c r="D14" s="83">
        <v>4.4989999999999999E-4</v>
      </c>
      <c r="E14" s="83">
        <v>0.66833900000000002</v>
      </c>
      <c r="F14" s="83">
        <v>0.62188299999999996</v>
      </c>
      <c r="G14" s="83">
        <v>4.4989999999999999E-4</v>
      </c>
      <c r="H14" s="83">
        <v>0.67743299999999995</v>
      </c>
      <c r="I14" s="83">
        <v>0.62723899999999999</v>
      </c>
      <c r="J14" s="83">
        <v>4.4989999999999999E-4</v>
      </c>
      <c r="K14" s="83">
        <v>0.64977200000000002</v>
      </c>
      <c r="L14" s="83">
        <v>0.60208499999999998</v>
      </c>
      <c r="M14" s="83">
        <v>4.4989999999999999E-4</v>
      </c>
      <c r="N14" s="83">
        <v>0.65244999999999997</v>
      </c>
      <c r="O14" s="83">
        <v>0.60303099999999998</v>
      </c>
      <c r="P14" s="83">
        <v>4.4989999999999999E-4</v>
      </c>
      <c r="Q14" s="83">
        <v>0.65195499999999995</v>
      </c>
      <c r="R14" s="83">
        <v>0.60206599999999999</v>
      </c>
      <c r="S14" s="83">
        <v>4.4989999999999999E-4</v>
      </c>
      <c r="T14" s="83">
        <v>0.66779100000000002</v>
      </c>
      <c r="U14" s="83">
        <v>0.61618700000000004</v>
      </c>
      <c r="V14" s="83">
        <v>4.4989999999999999E-4</v>
      </c>
      <c r="W14" s="83">
        <v>0.67687900000000001</v>
      </c>
      <c r="X14" s="83">
        <v>0.62160199999999999</v>
      </c>
      <c r="Y14" s="83">
        <v>4.4989999999999999E-4</v>
      </c>
      <c r="Z14" s="83">
        <v>0.65492399999999995</v>
      </c>
      <c r="AA14" s="83">
        <v>0.60190200000000005</v>
      </c>
      <c r="AB14" s="83">
        <v>4.4989999999999999E-4</v>
      </c>
      <c r="AC14" s="83">
        <v>0.66913100000000003</v>
      </c>
      <c r="AD14" s="83">
        <v>0.61332699999999996</v>
      </c>
      <c r="AE14" s="83">
        <v>4.4989999999999999E-4</v>
      </c>
      <c r="AF14" s="83">
        <v>0.67506200000000005</v>
      </c>
      <c r="AG14" s="83">
        <v>0.61809700000000001</v>
      </c>
      <c r="AH14" s="83">
        <v>4.4989999999999999E-4</v>
      </c>
      <c r="AI14" s="83">
        <v>0.67617799999999995</v>
      </c>
      <c r="AJ14" s="83">
        <v>0.61767700000000003</v>
      </c>
      <c r="AK14" s="83">
        <v>4.4989999999999999E-4</v>
      </c>
      <c r="AL14" s="83">
        <v>0.67618400000000001</v>
      </c>
      <c r="AM14" s="83">
        <v>0.61677599999999999</v>
      </c>
      <c r="AN14" s="83">
        <v>4.4989999999999999E-4</v>
      </c>
      <c r="AO14" s="83">
        <v>0.65647299999999997</v>
      </c>
      <c r="AP14" s="83">
        <v>0.59922799999999998</v>
      </c>
      <c r="AQ14" s="83">
        <v>4.4989999999999999E-4</v>
      </c>
      <c r="AR14" s="83">
        <v>0.67503800000000003</v>
      </c>
      <c r="AS14" s="83">
        <v>0.61473900000000004</v>
      </c>
      <c r="AT14" s="83">
        <v>4.4989999999999999E-4</v>
      </c>
      <c r="AU14" s="83">
        <v>0.657891</v>
      </c>
      <c r="AV14" s="83">
        <v>0.59984199999999999</v>
      </c>
      <c r="AW14" s="83">
        <v>4.4989999999999999E-4</v>
      </c>
      <c r="AX14" s="83">
        <v>0.68182799999999999</v>
      </c>
      <c r="AY14" s="83">
        <v>0.62054200000000004</v>
      </c>
      <c r="AZ14" s="83">
        <v>4.4989999999999999E-4</v>
      </c>
      <c r="BA14" s="83">
        <v>0.67496199999999995</v>
      </c>
      <c r="BB14" s="83">
        <v>0.61230600000000002</v>
      </c>
      <c r="BC14" s="83">
        <v>4.4989999999999999E-4</v>
      </c>
      <c r="BD14" s="83">
        <v>0.67333900000000002</v>
      </c>
      <c r="BE14" s="83">
        <v>0.61162399999999995</v>
      </c>
      <c r="BF14" s="83">
        <v>4.4989999999999999E-4</v>
      </c>
      <c r="BG14" s="83">
        <v>0.66358700000000004</v>
      </c>
      <c r="BH14" s="83">
        <v>0.609958</v>
      </c>
      <c r="BI14" s="83">
        <v>4.4989999999999999E-4</v>
      </c>
      <c r="BJ14" s="83">
        <v>0.65861700000000001</v>
      </c>
      <c r="BK14" s="83">
        <v>0.61087899999999995</v>
      </c>
      <c r="BL14" s="83">
        <v>4.4989999999999999E-4</v>
      </c>
      <c r="BM14" s="83">
        <v>0.64708500000000002</v>
      </c>
      <c r="BN14" s="83">
        <v>0.60522299999999996</v>
      </c>
      <c r="BO14" s="83">
        <v>4.4989999999999999E-4</v>
      </c>
      <c r="BP14" s="83">
        <v>0.63794700000000004</v>
      </c>
      <c r="BQ14" s="83">
        <v>0.60465800000000003</v>
      </c>
      <c r="BR14" s="83">
        <v>4.4989999999999999E-4</v>
      </c>
      <c r="BS14" s="83">
        <v>0.64350300000000005</v>
      </c>
      <c r="BT14" s="83">
        <v>0.61912100000000003</v>
      </c>
      <c r="BU14" s="83">
        <v>4.4989999999999999E-4</v>
      </c>
      <c r="BV14" s="83">
        <v>0.61158699999999999</v>
      </c>
      <c r="BW14" s="83">
        <v>0.60051399999999999</v>
      </c>
      <c r="BX14" s="83">
        <v>4.4989999999999999E-4</v>
      </c>
      <c r="BY14" s="83">
        <v>0.63110100000000002</v>
      </c>
      <c r="BZ14" s="83">
        <v>0.62318099999999998</v>
      </c>
      <c r="CA14" s="83">
        <v>4.4989999999999999E-4</v>
      </c>
      <c r="CB14" s="83">
        <v>0.61179099999999997</v>
      </c>
      <c r="CC14" s="83">
        <v>0.61355899999999997</v>
      </c>
      <c r="CD14" s="83">
        <v>4.4989999999999999E-4</v>
      </c>
      <c r="CE14" s="83">
        <v>0.597082</v>
      </c>
      <c r="CF14" s="83">
        <v>0.60677800000000004</v>
      </c>
      <c r="CG14" s="83">
        <v>4.4989999999999999E-4</v>
      </c>
      <c r="CH14" s="83">
        <v>0.604742</v>
      </c>
      <c r="CI14" s="83">
        <v>0.61653599999999997</v>
      </c>
      <c r="CJ14" s="83">
        <v>4.4989999999999999E-4</v>
      </c>
      <c r="CK14" s="83">
        <v>0.59742700000000004</v>
      </c>
      <c r="CL14" s="83">
        <v>0.61185</v>
      </c>
      <c r="CM14" s="83">
        <v>4.4989999999999999E-4</v>
      </c>
      <c r="CN14" s="83">
        <v>0.58971399999999996</v>
      </c>
      <c r="CO14" s="83">
        <v>0.60546500000000003</v>
      </c>
      <c r="CP14" s="83">
        <v>4.4989999999999999E-4</v>
      </c>
      <c r="CQ14" s="83">
        <v>0.586148</v>
      </c>
      <c r="CR14" s="83">
        <v>0.60334299999999996</v>
      </c>
      <c r="CS14" s="83">
        <v>4.4989999999999999E-4</v>
      </c>
      <c r="CT14" s="83">
        <v>0.59927399999999997</v>
      </c>
      <c r="CU14" s="83">
        <v>0.61675999999999997</v>
      </c>
      <c r="CV14" s="83">
        <v>4.4989999999999999E-4</v>
      </c>
      <c r="CW14" s="83">
        <v>0.59563200000000005</v>
      </c>
      <c r="CX14" s="83">
        <v>0.61406300000000003</v>
      </c>
      <c r="CY14" s="83">
        <v>4.4989999999999999E-4</v>
      </c>
      <c r="CZ14" s="83">
        <v>0.59548100000000004</v>
      </c>
      <c r="DA14" s="83">
        <v>0.61434800000000001</v>
      </c>
    </row>
    <row r="15" spans="1:105" x14ac:dyDescent="0.2">
      <c r="A15" s="83">
        <v>5.4989999999999998E-4</v>
      </c>
      <c r="B15" s="83">
        <v>0.62448400000000004</v>
      </c>
      <c r="C15" s="83">
        <v>0.582399</v>
      </c>
      <c r="D15" s="83">
        <v>5.4989999999999998E-4</v>
      </c>
      <c r="E15" s="83">
        <v>0.640019</v>
      </c>
      <c r="F15" s="83">
        <v>0.59822200000000003</v>
      </c>
      <c r="G15" s="83">
        <v>5.4989999999999998E-4</v>
      </c>
      <c r="H15" s="83">
        <v>0.64989799999999998</v>
      </c>
      <c r="I15" s="83">
        <v>0.60665100000000005</v>
      </c>
      <c r="J15" s="83">
        <v>5.4989999999999998E-4</v>
      </c>
      <c r="K15" s="83">
        <v>0.62336800000000003</v>
      </c>
      <c r="L15" s="83">
        <v>0.57595099999999999</v>
      </c>
      <c r="M15" s="83">
        <v>5.4989999999999998E-4</v>
      </c>
      <c r="N15" s="83">
        <v>0.62617400000000001</v>
      </c>
      <c r="O15" s="83">
        <v>0.577461</v>
      </c>
      <c r="P15" s="83">
        <v>5.4989999999999998E-4</v>
      </c>
      <c r="Q15" s="83">
        <v>0.62507800000000002</v>
      </c>
      <c r="R15" s="83">
        <v>0.57562599999999997</v>
      </c>
      <c r="S15" s="83">
        <v>5.4989999999999998E-4</v>
      </c>
      <c r="T15" s="83">
        <v>0.64040399999999997</v>
      </c>
      <c r="U15" s="83">
        <v>0.59219699999999997</v>
      </c>
      <c r="V15" s="83">
        <v>5.4989999999999998E-4</v>
      </c>
      <c r="W15" s="83">
        <v>0.64971100000000004</v>
      </c>
      <c r="X15" s="83">
        <v>0.60044600000000004</v>
      </c>
      <c r="Y15" s="83">
        <v>5.4989999999999998E-4</v>
      </c>
      <c r="Z15" s="83">
        <v>0.62809599999999999</v>
      </c>
      <c r="AA15" s="83">
        <v>0.57608199999999998</v>
      </c>
      <c r="AB15" s="83">
        <v>5.4989999999999998E-4</v>
      </c>
      <c r="AC15" s="83">
        <v>0.64182499999999998</v>
      </c>
      <c r="AD15" s="83">
        <v>0.58992800000000001</v>
      </c>
      <c r="AE15" s="83">
        <v>5.4989999999999998E-4</v>
      </c>
      <c r="AF15" s="83">
        <v>0.64745799999999998</v>
      </c>
      <c r="AG15" s="83">
        <v>0.59575400000000001</v>
      </c>
      <c r="AH15" s="83">
        <v>5.4989999999999998E-4</v>
      </c>
      <c r="AI15" s="83">
        <v>0.64828200000000002</v>
      </c>
      <c r="AJ15" s="83">
        <v>0.59565699999999999</v>
      </c>
      <c r="AK15" s="83">
        <v>5.4989999999999998E-4</v>
      </c>
      <c r="AL15" s="83">
        <v>0.64821700000000004</v>
      </c>
      <c r="AM15" s="83">
        <v>0.59343299999999999</v>
      </c>
      <c r="AN15" s="83">
        <v>5.4989999999999998E-4</v>
      </c>
      <c r="AO15" s="83">
        <v>0.62882000000000005</v>
      </c>
      <c r="AP15" s="83">
        <v>0.57290600000000003</v>
      </c>
      <c r="AQ15" s="83">
        <v>5.4989999999999998E-4</v>
      </c>
      <c r="AR15" s="83">
        <v>0.64622500000000005</v>
      </c>
      <c r="AS15" s="83">
        <v>0.59107500000000002</v>
      </c>
      <c r="AT15" s="83">
        <v>5.4989999999999998E-4</v>
      </c>
      <c r="AU15" s="83">
        <v>0.62948499999999996</v>
      </c>
      <c r="AV15" s="83">
        <v>0.57256099999999999</v>
      </c>
      <c r="AW15" s="83">
        <v>5.4989999999999998E-4</v>
      </c>
      <c r="AX15" s="83">
        <v>0.65234899999999996</v>
      </c>
      <c r="AY15" s="83">
        <v>0.597055</v>
      </c>
      <c r="AZ15" s="83">
        <v>5.4989999999999998E-4</v>
      </c>
      <c r="BA15" s="83">
        <v>0.64590499999999995</v>
      </c>
      <c r="BB15" s="83">
        <v>0.58841600000000005</v>
      </c>
      <c r="BC15" s="83">
        <v>5.4989999999999998E-4</v>
      </c>
      <c r="BD15" s="83">
        <v>0.64423900000000001</v>
      </c>
      <c r="BE15" s="83">
        <v>0.58751399999999998</v>
      </c>
      <c r="BF15" s="83">
        <v>5.4989999999999998E-4</v>
      </c>
      <c r="BG15" s="83">
        <v>0.63516899999999998</v>
      </c>
      <c r="BH15" s="83">
        <v>0.58549300000000004</v>
      </c>
      <c r="BI15" s="83">
        <v>5.4989999999999998E-4</v>
      </c>
      <c r="BJ15" s="83">
        <v>0.62897000000000003</v>
      </c>
      <c r="BK15" s="83">
        <v>0.58528999999999998</v>
      </c>
      <c r="BL15" s="83">
        <v>5.4989999999999998E-4</v>
      </c>
      <c r="BM15" s="83">
        <v>0.61943400000000004</v>
      </c>
      <c r="BN15" s="83">
        <v>0.579843</v>
      </c>
      <c r="BO15" s="83">
        <v>5.4989999999999998E-4</v>
      </c>
      <c r="BP15" s="83">
        <v>0.60976200000000003</v>
      </c>
      <c r="BQ15" s="83">
        <v>0.57872299999999999</v>
      </c>
      <c r="BR15" s="83">
        <v>5.4989999999999998E-4</v>
      </c>
      <c r="BS15" s="83">
        <v>0.615124</v>
      </c>
      <c r="BT15" s="83">
        <v>0.59565500000000005</v>
      </c>
      <c r="BU15" s="83">
        <v>5.4989999999999998E-4</v>
      </c>
      <c r="BV15" s="83">
        <v>0.58450199999999997</v>
      </c>
      <c r="BW15" s="83">
        <v>0.57333699999999999</v>
      </c>
      <c r="BX15" s="83">
        <v>5.4989999999999998E-4</v>
      </c>
      <c r="BY15" s="83">
        <v>0.60323000000000004</v>
      </c>
      <c r="BZ15" s="83">
        <v>0.60085299999999997</v>
      </c>
      <c r="CA15" s="83">
        <v>5.4989999999999998E-4</v>
      </c>
      <c r="CB15" s="83">
        <v>0.58372599999999997</v>
      </c>
      <c r="CC15" s="83">
        <v>0.58823700000000001</v>
      </c>
      <c r="CD15" s="83">
        <v>5.4989999999999998E-4</v>
      </c>
      <c r="CE15" s="83">
        <v>0.56969099999999995</v>
      </c>
      <c r="CF15" s="83">
        <v>0.57987900000000003</v>
      </c>
      <c r="CG15" s="83">
        <v>5.4989999999999998E-4</v>
      </c>
      <c r="CH15" s="83">
        <v>0.577627</v>
      </c>
      <c r="CI15" s="83">
        <v>0.59254899999999999</v>
      </c>
      <c r="CJ15" s="83">
        <v>5.4989999999999998E-4</v>
      </c>
      <c r="CK15" s="83">
        <v>0.56881599999999999</v>
      </c>
      <c r="CL15" s="83">
        <v>0.58496099999999995</v>
      </c>
      <c r="CM15" s="83">
        <v>5.4989999999999998E-4</v>
      </c>
      <c r="CN15" s="83">
        <v>0.562087</v>
      </c>
      <c r="CO15" s="83">
        <v>0.57849300000000003</v>
      </c>
      <c r="CP15" s="83">
        <v>5.4989999999999998E-4</v>
      </c>
      <c r="CQ15" s="83">
        <v>0.55927899999999997</v>
      </c>
      <c r="CR15" s="83">
        <v>0.57583399999999996</v>
      </c>
      <c r="CS15" s="83">
        <v>5.4989999999999998E-4</v>
      </c>
      <c r="CT15" s="83">
        <v>0.57069700000000001</v>
      </c>
      <c r="CU15" s="83">
        <v>0.59052199999999999</v>
      </c>
      <c r="CV15" s="83">
        <v>5.4989999999999998E-4</v>
      </c>
      <c r="CW15" s="83">
        <v>0.56855</v>
      </c>
      <c r="CX15" s="83">
        <v>0.58807699999999996</v>
      </c>
      <c r="CY15" s="83">
        <v>5.4989999999999998E-4</v>
      </c>
      <c r="CZ15" s="83">
        <v>0.56689500000000004</v>
      </c>
      <c r="DA15" s="83">
        <v>0.58748100000000003</v>
      </c>
    </row>
    <row r="16" spans="1:105" x14ac:dyDescent="0.2">
      <c r="A16" s="83">
        <v>6.4990000000000002E-4</v>
      </c>
      <c r="B16" s="83">
        <v>0.59658</v>
      </c>
      <c r="C16" s="83">
        <v>0.54879500000000003</v>
      </c>
      <c r="D16" s="83">
        <v>6.4990000000000002E-4</v>
      </c>
      <c r="E16" s="83">
        <v>0.61258699999999999</v>
      </c>
      <c r="F16" s="83">
        <v>0.56615199999999999</v>
      </c>
      <c r="G16" s="83">
        <v>6.4990000000000002E-4</v>
      </c>
      <c r="H16" s="83">
        <v>0.62143300000000001</v>
      </c>
      <c r="I16" s="83">
        <v>0.57586300000000001</v>
      </c>
      <c r="J16" s="83">
        <v>6.4990000000000002E-4</v>
      </c>
      <c r="K16" s="83">
        <v>0.59577800000000003</v>
      </c>
      <c r="L16" s="83">
        <v>0.54299399999999998</v>
      </c>
      <c r="M16" s="83">
        <v>6.4990000000000002E-4</v>
      </c>
      <c r="N16" s="83">
        <v>0.59793399999999997</v>
      </c>
      <c r="O16" s="83">
        <v>0.54427599999999998</v>
      </c>
      <c r="P16" s="83">
        <v>6.4990000000000002E-4</v>
      </c>
      <c r="Q16" s="83">
        <v>0.59746500000000002</v>
      </c>
      <c r="R16" s="83">
        <v>0.543018</v>
      </c>
      <c r="S16" s="83">
        <v>6.4990000000000002E-4</v>
      </c>
      <c r="T16" s="83">
        <v>0.61162099999999997</v>
      </c>
      <c r="U16" s="83">
        <v>0.55954099999999996</v>
      </c>
      <c r="V16" s="83">
        <v>6.4990000000000002E-4</v>
      </c>
      <c r="W16" s="83">
        <v>0.62065700000000001</v>
      </c>
      <c r="X16" s="83">
        <v>0.56936600000000004</v>
      </c>
      <c r="Y16" s="83">
        <v>6.4990000000000002E-4</v>
      </c>
      <c r="Z16" s="83">
        <v>0.60017799999999999</v>
      </c>
      <c r="AA16" s="83">
        <v>0.54350500000000002</v>
      </c>
      <c r="AB16" s="83">
        <v>6.4990000000000002E-4</v>
      </c>
      <c r="AC16" s="83">
        <v>0.61318399999999995</v>
      </c>
      <c r="AD16" s="83">
        <v>0.55791900000000005</v>
      </c>
      <c r="AE16" s="83">
        <v>6.4990000000000002E-4</v>
      </c>
      <c r="AF16" s="83">
        <v>0.61860300000000001</v>
      </c>
      <c r="AG16" s="83">
        <v>0.56406400000000001</v>
      </c>
      <c r="AH16" s="83">
        <v>6.4990000000000002E-4</v>
      </c>
      <c r="AI16" s="83">
        <v>0.61874600000000002</v>
      </c>
      <c r="AJ16" s="83">
        <v>0.56382399999999999</v>
      </c>
      <c r="AK16" s="83">
        <v>6.4990000000000002E-4</v>
      </c>
      <c r="AL16" s="83">
        <v>0.61833800000000005</v>
      </c>
      <c r="AM16" s="83">
        <v>0.56141300000000005</v>
      </c>
      <c r="AN16" s="83">
        <v>6.4990000000000002E-4</v>
      </c>
      <c r="AO16" s="83">
        <v>0.60043000000000002</v>
      </c>
      <c r="AP16" s="83">
        <v>0.54018600000000006</v>
      </c>
      <c r="AQ16" s="83">
        <v>6.4990000000000002E-4</v>
      </c>
      <c r="AR16" s="83">
        <v>0.61666100000000001</v>
      </c>
      <c r="AS16" s="83">
        <v>0.55840900000000004</v>
      </c>
      <c r="AT16" s="83">
        <v>6.4990000000000002E-4</v>
      </c>
      <c r="AU16" s="83">
        <v>0.60033599999999998</v>
      </c>
      <c r="AV16" s="83">
        <v>0.53956199999999999</v>
      </c>
      <c r="AW16" s="83">
        <v>6.4990000000000002E-4</v>
      </c>
      <c r="AX16" s="83">
        <v>0.62174799999999997</v>
      </c>
      <c r="AY16" s="83">
        <v>0.56429799999999997</v>
      </c>
      <c r="AZ16" s="83">
        <v>6.4990000000000002E-4</v>
      </c>
      <c r="BA16" s="83">
        <v>0.61629</v>
      </c>
      <c r="BB16" s="83">
        <v>0.556168</v>
      </c>
      <c r="BC16" s="83">
        <v>6.4990000000000002E-4</v>
      </c>
      <c r="BD16" s="83">
        <v>0.61412199999999995</v>
      </c>
      <c r="BE16" s="83">
        <v>0.55466199999999999</v>
      </c>
      <c r="BF16" s="83">
        <v>6.4990000000000002E-4</v>
      </c>
      <c r="BG16" s="83">
        <v>0.60546199999999994</v>
      </c>
      <c r="BH16" s="83">
        <v>0.55281000000000002</v>
      </c>
      <c r="BI16" s="83">
        <v>6.4990000000000002E-4</v>
      </c>
      <c r="BJ16" s="83">
        <v>0.59907200000000005</v>
      </c>
      <c r="BK16" s="83">
        <v>0.55200099999999996</v>
      </c>
      <c r="BL16" s="83">
        <v>6.4990000000000002E-4</v>
      </c>
      <c r="BM16" s="83">
        <v>0.590669</v>
      </c>
      <c r="BN16" s="83">
        <v>0.54771000000000003</v>
      </c>
      <c r="BO16" s="83">
        <v>6.4990000000000002E-4</v>
      </c>
      <c r="BP16" s="83">
        <v>0.57968699999999995</v>
      </c>
      <c r="BQ16" s="83">
        <v>0.54555600000000004</v>
      </c>
      <c r="BR16" s="83">
        <v>6.4990000000000002E-4</v>
      </c>
      <c r="BS16" s="83">
        <v>0.58624500000000002</v>
      </c>
      <c r="BT16" s="83">
        <v>0.56376899999999996</v>
      </c>
      <c r="BU16" s="83">
        <v>6.4990000000000002E-4</v>
      </c>
      <c r="BV16" s="83">
        <v>0.55718500000000004</v>
      </c>
      <c r="BW16" s="83">
        <v>0.54112400000000005</v>
      </c>
      <c r="BX16" s="83">
        <v>6.4990000000000002E-4</v>
      </c>
      <c r="BY16" s="83">
        <v>0.57393300000000003</v>
      </c>
      <c r="BZ16" s="83">
        <v>0.56888899999999998</v>
      </c>
      <c r="CA16" s="83">
        <v>6.4990000000000002E-4</v>
      </c>
      <c r="CB16" s="83">
        <v>0.55496100000000004</v>
      </c>
      <c r="CC16" s="83">
        <v>0.55442899999999995</v>
      </c>
      <c r="CD16" s="83">
        <v>6.4990000000000002E-4</v>
      </c>
      <c r="CE16" s="83">
        <v>0.54177299999999995</v>
      </c>
      <c r="CF16" s="83">
        <v>0.5464</v>
      </c>
      <c r="CG16" s="83">
        <v>6.4990000000000002E-4</v>
      </c>
      <c r="CH16" s="83">
        <v>0.54906299999999997</v>
      </c>
      <c r="CI16" s="83">
        <v>0.55981099999999995</v>
      </c>
      <c r="CJ16" s="83">
        <v>6.4990000000000002E-4</v>
      </c>
      <c r="CK16" s="83">
        <v>0.54095800000000005</v>
      </c>
      <c r="CL16" s="83">
        <v>0.55090099999999997</v>
      </c>
      <c r="CM16" s="83">
        <v>6.4990000000000002E-4</v>
      </c>
      <c r="CN16" s="83">
        <v>0.53424400000000005</v>
      </c>
      <c r="CO16" s="83">
        <v>0.54523999999999995</v>
      </c>
      <c r="CP16" s="83">
        <v>6.4990000000000002E-4</v>
      </c>
      <c r="CQ16" s="83">
        <v>0.53130599999999994</v>
      </c>
      <c r="CR16" s="83">
        <v>0.54299399999999998</v>
      </c>
      <c r="CS16" s="83">
        <v>6.4990000000000002E-4</v>
      </c>
      <c r="CT16" s="83">
        <v>0.54332800000000003</v>
      </c>
      <c r="CU16" s="83">
        <v>0.55816399999999999</v>
      </c>
      <c r="CV16" s="83">
        <v>6.4990000000000002E-4</v>
      </c>
      <c r="CW16" s="83">
        <v>0.54052500000000003</v>
      </c>
      <c r="CX16" s="83">
        <v>0.555311</v>
      </c>
      <c r="CY16" s="83">
        <v>6.4990000000000002E-4</v>
      </c>
      <c r="CZ16" s="83">
        <v>0.53796699999999997</v>
      </c>
      <c r="DA16" s="83">
        <v>0.55373499999999998</v>
      </c>
    </row>
    <row r="17" spans="1:105" x14ac:dyDescent="0.2">
      <c r="A17" s="83">
        <v>7.4989999999999996E-4</v>
      </c>
      <c r="B17" s="83">
        <v>0.57029700000000005</v>
      </c>
      <c r="C17" s="83">
        <v>0.516015</v>
      </c>
      <c r="D17" s="83">
        <v>7.4989999999999996E-4</v>
      </c>
      <c r="E17" s="83">
        <v>0.58518300000000001</v>
      </c>
      <c r="F17" s="83">
        <v>0.53251499999999996</v>
      </c>
      <c r="G17" s="83">
        <v>7.4989999999999996E-4</v>
      </c>
      <c r="H17" s="83">
        <v>0.59390299999999996</v>
      </c>
      <c r="I17" s="83">
        <v>0.54160699999999995</v>
      </c>
      <c r="J17" s="83">
        <v>7.4989999999999996E-4</v>
      </c>
      <c r="K17" s="83">
        <v>0.57043600000000005</v>
      </c>
      <c r="L17" s="83">
        <v>0.51186600000000004</v>
      </c>
      <c r="M17" s="83">
        <v>7.4989999999999996E-4</v>
      </c>
      <c r="N17" s="83">
        <v>0.57138500000000003</v>
      </c>
      <c r="O17" s="83">
        <v>0.51272200000000001</v>
      </c>
      <c r="P17" s="83">
        <v>7.4989999999999996E-4</v>
      </c>
      <c r="Q17" s="83">
        <v>0.57113800000000003</v>
      </c>
      <c r="R17" s="83">
        <v>0.51184200000000002</v>
      </c>
      <c r="S17" s="83">
        <v>7.4989999999999996E-4</v>
      </c>
      <c r="T17" s="83">
        <v>0.58311299999999999</v>
      </c>
      <c r="U17" s="83">
        <v>0.52533300000000005</v>
      </c>
      <c r="V17" s="83">
        <v>7.4989999999999996E-4</v>
      </c>
      <c r="W17" s="83">
        <v>0.59273299999999995</v>
      </c>
      <c r="X17" s="83">
        <v>0.53562200000000004</v>
      </c>
      <c r="Y17" s="83">
        <v>7.4989999999999996E-4</v>
      </c>
      <c r="Z17" s="83">
        <v>0.57326200000000005</v>
      </c>
      <c r="AA17" s="83">
        <v>0.51175899999999996</v>
      </c>
      <c r="AB17" s="83">
        <v>7.4989999999999996E-4</v>
      </c>
      <c r="AC17" s="83">
        <v>0.58514500000000003</v>
      </c>
      <c r="AD17" s="83">
        <v>0.52502099999999996</v>
      </c>
      <c r="AE17" s="83">
        <v>7.4989999999999996E-4</v>
      </c>
      <c r="AF17" s="83">
        <v>0.59014</v>
      </c>
      <c r="AG17" s="83">
        <v>0.53061599999999998</v>
      </c>
      <c r="AH17" s="83">
        <v>7.4989999999999996E-4</v>
      </c>
      <c r="AI17" s="83">
        <v>0.590422</v>
      </c>
      <c r="AJ17" s="83">
        <v>0.53000199999999997</v>
      </c>
      <c r="AK17" s="83">
        <v>7.4989999999999996E-4</v>
      </c>
      <c r="AL17" s="83">
        <v>0.590252</v>
      </c>
      <c r="AM17" s="83">
        <v>0.52827599999999997</v>
      </c>
      <c r="AN17" s="83">
        <v>7.4989999999999996E-4</v>
      </c>
      <c r="AO17" s="83">
        <v>0.57272699999999999</v>
      </c>
      <c r="AP17" s="83">
        <v>0.50892099999999996</v>
      </c>
      <c r="AQ17" s="83">
        <v>7.4989999999999996E-4</v>
      </c>
      <c r="AR17" s="83">
        <v>0.58737600000000001</v>
      </c>
      <c r="AS17" s="83">
        <v>0.52433600000000002</v>
      </c>
      <c r="AT17" s="83">
        <v>7.4989999999999996E-4</v>
      </c>
      <c r="AU17" s="83">
        <v>0.57289699999999999</v>
      </c>
      <c r="AV17" s="83">
        <v>0.50812299999999999</v>
      </c>
      <c r="AW17" s="83">
        <v>7.4989999999999996E-4</v>
      </c>
      <c r="AX17" s="83">
        <v>0.59272000000000002</v>
      </c>
      <c r="AY17" s="83">
        <v>0.53042500000000004</v>
      </c>
      <c r="AZ17" s="83">
        <v>7.4989999999999996E-4</v>
      </c>
      <c r="BA17" s="83">
        <v>0.58699500000000004</v>
      </c>
      <c r="BB17" s="83">
        <v>0.52317999999999998</v>
      </c>
      <c r="BC17" s="83">
        <v>7.4989999999999996E-4</v>
      </c>
      <c r="BD17" s="83">
        <v>0.58473699999999995</v>
      </c>
      <c r="BE17" s="83">
        <v>0.52154400000000001</v>
      </c>
      <c r="BF17" s="83">
        <v>7.4989999999999996E-4</v>
      </c>
      <c r="BG17" s="83">
        <v>0.57656499999999999</v>
      </c>
      <c r="BH17" s="83">
        <v>0.51962799999999998</v>
      </c>
      <c r="BI17" s="83">
        <v>7.4989999999999996E-4</v>
      </c>
      <c r="BJ17" s="83">
        <v>0.56983300000000003</v>
      </c>
      <c r="BK17" s="83">
        <v>0.51868400000000003</v>
      </c>
      <c r="BL17" s="83">
        <v>7.4989999999999996E-4</v>
      </c>
      <c r="BM17" s="83">
        <v>0.56235599999999997</v>
      </c>
      <c r="BN17" s="83">
        <v>0.51573800000000003</v>
      </c>
      <c r="BO17" s="83">
        <v>7.4989999999999996E-4</v>
      </c>
      <c r="BP17" s="83">
        <v>0.55175799999999997</v>
      </c>
      <c r="BQ17" s="83">
        <v>0.51285199999999997</v>
      </c>
      <c r="BR17" s="83">
        <v>7.4989999999999996E-4</v>
      </c>
      <c r="BS17" s="83">
        <v>0.55826799999999999</v>
      </c>
      <c r="BT17" s="83">
        <v>0.53073000000000004</v>
      </c>
      <c r="BU17" s="83">
        <v>7.4989999999999996E-4</v>
      </c>
      <c r="BV17" s="83">
        <v>0.53064199999999995</v>
      </c>
      <c r="BW17" s="83">
        <v>0.51000199999999996</v>
      </c>
      <c r="BX17" s="83">
        <v>7.4989999999999996E-4</v>
      </c>
      <c r="BY17" s="83">
        <v>0.54632999999999998</v>
      </c>
      <c r="BZ17" s="83">
        <v>0.53545600000000004</v>
      </c>
      <c r="CA17" s="83">
        <v>7.4989999999999996E-4</v>
      </c>
      <c r="CB17" s="83">
        <v>0.52770099999999998</v>
      </c>
      <c r="CC17" s="83">
        <v>0.52190400000000003</v>
      </c>
      <c r="CD17" s="83">
        <v>7.4989999999999996E-4</v>
      </c>
      <c r="CE17" s="83">
        <v>0.51427699999999998</v>
      </c>
      <c r="CF17" s="83">
        <v>0.51380899999999996</v>
      </c>
      <c r="CG17" s="83">
        <v>7.4989999999999996E-4</v>
      </c>
      <c r="CH17" s="83">
        <v>0.52152299999999996</v>
      </c>
      <c r="CI17" s="83">
        <v>0.52667900000000001</v>
      </c>
      <c r="CJ17" s="83">
        <v>7.4989999999999996E-4</v>
      </c>
      <c r="CK17" s="83">
        <v>0.51355399999999995</v>
      </c>
      <c r="CL17" s="83">
        <v>0.518092</v>
      </c>
      <c r="CM17" s="83">
        <v>7.4989999999999996E-4</v>
      </c>
      <c r="CN17" s="83">
        <v>0.50687400000000005</v>
      </c>
      <c r="CO17" s="83">
        <v>0.51281299999999996</v>
      </c>
      <c r="CP17" s="83">
        <v>7.4989999999999996E-4</v>
      </c>
      <c r="CQ17" s="83">
        <v>0.50379799999999997</v>
      </c>
      <c r="CR17" s="83">
        <v>0.51085000000000003</v>
      </c>
      <c r="CS17" s="83">
        <v>7.4989999999999996E-4</v>
      </c>
      <c r="CT17" s="83">
        <v>0.51553099999999996</v>
      </c>
      <c r="CU17" s="83">
        <v>0.52516799999999997</v>
      </c>
      <c r="CV17" s="83">
        <v>7.4989999999999996E-4</v>
      </c>
      <c r="CW17" s="83">
        <v>0.51258899999999996</v>
      </c>
      <c r="CX17" s="83">
        <v>0.52234199999999997</v>
      </c>
      <c r="CY17" s="83">
        <v>7.4989999999999996E-4</v>
      </c>
      <c r="CZ17" s="83">
        <v>0.51073900000000005</v>
      </c>
      <c r="DA17" s="83">
        <v>0.52094799999999997</v>
      </c>
    </row>
    <row r="18" spans="1:105" x14ac:dyDescent="0.2">
      <c r="A18" s="83">
        <v>8.499E-4</v>
      </c>
      <c r="B18" s="83">
        <v>0.54447800000000002</v>
      </c>
      <c r="C18" s="83">
        <v>0.48510300000000001</v>
      </c>
      <c r="D18" s="83">
        <v>8.499E-4</v>
      </c>
      <c r="E18" s="83">
        <v>0.55900700000000003</v>
      </c>
      <c r="F18" s="83">
        <v>0.50073299999999998</v>
      </c>
      <c r="G18" s="83">
        <v>8.499E-4</v>
      </c>
      <c r="H18" s="83">
        <v>0.56744600000000001</v>
      </c>
      <c r="I18" s="83">
        <v>0.50904000000000005</v>
      </c>
      <c r="J18" s="83">
        <v>8.499E-4</v>
      </c>
      <c r="K18" s="83">
        <v>0.54483099999999995</v>
      </c>
      <c r="L18" s="83">
        <v>0.48267100000000002</v>
      </c>
      <c r="M18" s="83">
        <v>8.499E-4</v>
      </c>
      <c r="N18" s="83">
        <v>0.545825</v>
      </c>
      <c r="O18" s="83">
        <v>0.482734</v>
      </c>
      <c r="P18" s="83">
        <v>8.499E-4</v>
      </c>
      <c r="Q18" s="83">
        <v>0.54543900000000001</v>
      </c>
      <c r="R18" s="83">
        <v>0.48222300000000001</v>
      </c>
      <c r="S18" s="83">
        <v>8.499E-4</v>
      </c>
      <c r="T18" s="83">
        <v>0.55616600000000005</v>
      </c>
      <c r="U18" s="83">
        <v>0.49327700000000002</v>
      </c>
      <c r="V18" s="83">
        <v>8.499E-4</v>
      </c>
      <c r="W18" s="83">
        <v>0.56584800000000002</v>
      </c>
      <c r="X18" s="83">
        <v>0.50354600000000005</v>
      </c>
      <c r="Y18" s="83">
        <v>8.499E-4</v>
      </c>
      <c r="Z18" s="83">
        <v>0.54674</v>
      </c>
      <c r="AA18" s="83">
        <v>0.48200900000000002</v>
      </c>
      <c r="AB18" s="83">
        <v>8.499E-4</v>
      </c>
      <c r="AC18" s="83">
        <v>0.55824099999999999</v>
      </c>
      <c r="AD18" s="83">
        <v>0.49408000000000002</v>
      </c>
      <c r="AE18" s="83">
        <v>8.499E-4</v>
      </c>
      <c r="AF18" s="83">
        <v>0.56307499999999999</v>
      </c>
      <c r="AG18" s="83">
        <v>0.49935299999999999</v>
      </c>
      <c r="AH18" s="83">
        <v>8.499E-4</v>
      </c>
      <c r="AI18" s="83">
        <v>0.562801</v>
      </c>
      <c r="AJ18" s="83">
        <v>0.49818099999999998</v>
      </c>
      <c r="AK18" s="83">
        <v>8.499E-4</v>
      </c>
      <c r="AL18" s="83">
        <v>0.56287500000000001</v>
      </c>
      <c r="AM18" s="83">
        <v>0.49703700000000001</v>
      </c>
      <c r="AN18" s="83">
        <v>8.499E-4</v>
      </c>
      <c r="AO18" s="83">
        <v>0.54620500000000005</v>
      </c>
      <c r="AP18" s="83">
        <v>0.47917700000000002</v>
      </c>
      <c r="AQ18" s="83">
        <v>8.499E-4</v>
      </c>
      <c r="AR18" s="83">
        <v>0.55942800000000004</v>
      </c>
      <c r="AS18" s="83">
        <v>0.49300500000000003</v>
      </c>
      <c r="AT18" s="83">
        <v>8.499E-4</v>
      </c>
      <c r="AU18" s="83">
        <v>0.54559199999999997</v>
      </c>
      <c r="AV18" s="83">
        <v>0.478522</v>
      </c>
      <c r="AW18" s="83">
        <v>8.499E-4</v>
      </c>
      <c r="AX18" s="83">
        <v>0.56415199999999999</v>
      </c>
      <c r="AY18" s="83">
        <v>0.49835800000000002</v>
      </c>
      <c r="AZ18" s="83">
        <v>8.499E-4</v>
      </c>
      <c r="BA18" s="83">
        <v>0.55933699999999997</v>
      </c>
      <c r="BB18" s="83">
        <v>0.49268600000000001</v>
      </c>
      <c r="BC18" s="83">
        <v>8.499E-4</v>
      </c>
      <c r="BD18" s="83">
        <v>0.55629200000000001</v>
      </c>
      <c r="BE18" s="83">
        <v>0.49050199999999999</v>
      </c>
      <c r="BF18" s="83">
        <v>8.499E-4</v>
      </c>
      <c r="BG18" s="83">
        <v>0.54882699999999995</v>
      </c>
      <c r="BH18" s="83">
        <v>0.48915399999999998</v>
      </c>
      <c r="BI18" s="83">
        <v>8.499E-4</v>
      </c>
      <c r="BJ18" s="83">
        <v>0.54186800000000002</v>
      </c>
      <c r="BK18" s="83">
        <v>0.48794900000000002</v>
      </c>
      <c r="BL18" s="83">
        <v>8.499E-4</v>
      </c>
      <c r="BM18" s="83">
        <v>0.53467299999999995</v>
      </c>
      <c r="BN18" s="83">
        <v>0.48544900000000002</v>
      </c>
      <c r="BO18" s="83">
        <v>8.499E-4</v>
      </c>
      <c r="BP18" s="83">
        <v>0.52462900000000001</v>
      </c>
      <c r="BQ18" s="83">
        <v>0.48287400000000003</v>
      </c>
      <c r="BR18" s="83">
        <v>8.499E-4</v>
      </c>
      <c r="BS18" s="83">
        <v>0.53085000000000004</v>
      </c>
      <c r="BT18" s="83">
        <v>0.499195</v>
      </c>
      <c r="BU18" s="83">
        <v>8.499E-4</v>
      </c>
      <c r="BV18" s="83">
        <v>0.50401300000000004</v>
      </c>
      <c r="BW18" s="83">
        <v>0.480744</v>
      </c>
      <c r="BX18" s="83">
        <v>8.499E-4</v>
      </c>
      <c r="BY18" s="83">
        <v>0.51927100000000004</v>
      </c>
      <c r="BZ18" s="83">
        <v>0.50392599999999999</v>
      </c>
      <c r="CA18" s="83">
        <v>8.499E-4</v>
      </c>
      <c r="CB18" s="83">
        <v>0.50148000000000004</v>
      </c>
      <c r="CC18" s="83">
        <v>0.49144399999999999</v>
      </c>
      <c r="CD18" s="83">
        <v>8.499E-4</v>
      </c>
      <c r="CE18" s="83">
        <v>0.48854300000000001</v>
      </c>
      <c r="CF18" s="83">
        <v>0.48372300000000001</v>
      </c>
      <c r="CG18" s="83">
        <v>8.499E-4</v>
      </c>
      <c r="CH18" s="83">
        <v>0.49489100000000003</v>
      </c>
      <c r="CI18" s="83">
        <v>0.49548500000000001</v>
      </c>
      <c r="CJ18" s="83">
        <v>8.499E-4</v>
      </c>
      <c r="CK18" s="83">
        <v>0.487261</v>
      </c>
      <c r="CL18" s="83">
        <v>0.48802899999999999</v>
      </c>
      <c r="CM18" s="83">
        <v>8.499E-4</v>
      </c>
      <c r="CN18" s="83">
        <v>0.48082000000000003</v>
      </c>
      <c r="CO18" s="83">
        <v>0.482964</v>
      </c>
      <c r="CP18" s="83">
        <v>8.499E-4</v>
      </c>
      <c r="CQ18" s="83">
        <v>0.47817100000000001</v>
      </c>
      <c r="CR18" s="83">
        <v>0.48120499999999999</v>
      </c>
      <c r="CS18" s="83">
        <v>8.499E-4</v>
      </c>
      <c r="CT18" s="83">
        <v>0.48849399999999998</v>
      </c>
      <c r="CU18" s="83">
        <v>0.494425</v>
      </c>
      <c r="CV18" s="83">
        <v>8.499E-4</v>
      </c>
      <c r="CW18" s="83">
        <v>0.485263</v>
      </c>
      <c r="CX18" s="83">
        <v>0.49124200000000001</v>
      </c>
      <c r="CY18" s="83">
        <v>8.499E-4</v>
      </c>
      <c r="CZ18" s="83">
        <v>0.48353600000000002</v>
      </c>
      <c r="DA18" s="83">
        <v>0.49002499999999999</v>
      </c>
    </row>
    <row r="19" spans="1:105" x14ac:dyDescent="0.2">
      <c r="A19" s="83">
        <v>9.4990000000000005E-4</v>
      </c>
      <c r="B19" s="83">
        <v>0.51968099999999995</v>
      </c>
      <c r="C19" s="83">
        <v>0.45627000000000001</v>
      </c>
      <c r="D19" s="83">
        <v>9.4990000000000005E-4</v>
      </c>
      <c r="E19" s="83">
        <v>0.53390800000000005</v>
      </c>
      <c r="F19" s="83">
        <v>0.47124199999999999</v>
      </c>
      <c r="G19" s="83">
        <v>9.4990000000000005E-4</v>
      </c>
      <c r="H19" s="83">
        <v>0.54167699999999996</v>
      </c>
      <c r="I19" s="83">
        <v>0.47878500000000002</v>
      </c>
      <c r="J19" s="83">
        <v>9.4990000000000005E-4</v>
      </c>
      <c r="K19" s="83">
        <v>0.52030900000000002</v>
      </c>
      <c r="L19" s="83">
        <v>0.45513100000000001</v>
      </c>
      <c r="M19" s="83">
        <v>9.4990000000000005E-4</v>
      </c>
      <c r="N19" s="83">
        <v>0.52065499999999998</v>
      </c>
      <c r="O19" s="83">
        <v>0.454397</v>
      </c>
      <c r="P19" s="83">
        <v>9.4990000000000005E-4</v>
      </c>
      <c r="Q19" s="83">
        <v>0.52041400000000004</v>
      </c>
      <c r="R19" s="83">
        <v>0.45429599999999998</v>
      </c>
      <c r="S19" s="83">
        <v>9.4990000000000005E-4</v>
      </c>
      <c r="T19" s="83">
        <v>0.53027800000000003</v>
      </c>
      <c r="U19" s="83">
        <v>0.46404600000000001</v>
      </c>
      <c r="V19" s="83">
        <v>9.4990000000000005E-4</v>
      </c>
      <c r="W19" s="83">
        <v>0.53933200000000003</v>
      </c>
      <c r="X19" s="83">
        <v>0.47362900000000002</v>
      </c>
      <c r="Y19" s="83">
        <v>9.4990000000000005E-4</v>
      </c>
      <c r="Z19" s="83">
        <v>0.52144299999999999</v>
      </c>
      <c r="AA19" s="83">
        <v>0.45394699999999999</v>
      </c>
      <c r="AB19" s="83">
        <v>9.4990000000000005E-4</v>
      </c>
      <c r="AC19" s="83">
        <v>0.53234000000000004</v>
      </c>
      <c r="AD19" s="83">
        <v>0.46493099999999998</v>
      </c>
      <c r="AE19" s="83">
        <v>9.4990000000000005E-4</v>
      </c>
      <c r="AF19" s="83">
        <v>0.53705199999999997</v>
      </c>
      <c r="AG19" s="83">
        <v>0.47009699999999999</v>
      </c>
      <c r="AH19" s="83">
        <v>9.4990000000000005E-4</v>
      </c>
      <c r="AI19" s="83">
        <v>0.53644999999999998</v>
      </c>
      <c r="AJ19" s="83">
        <v>0.46901399999999999</v>
      </c>
      <c r="AK19" s="83">
        <v>9.4990000000000005E-4</v>
      </c>
      <c r="AL19" s="83">
        <v>0.53688899999999995</v>
      </c>
      <c r="AM19" s="83">
        <v>0.46815699999999999</v>
      </c>
      <c r="AN19" s="83">
        <v>9.4990000000000005E-4</v>
      </c>
      <c r="AO19" s="83">
        <v>0.52006699999999995</v>
      </c>
      <c r="AP19" s="83">
        <v>0.45128000000000001</v>
      </c>
      <c r="AQ19" s="83">
        <v>9.4990000000000005E-4</v>
      </c>
      <c r="AR19" s="83">
        <v>0.53241499999999997</v>
      </c>
      <c r="AS19" s="83">
        <v>0.463893</v>
      </c>
      <c r="AT19" s="83">
        <v>9.4990000000000005E-4</v>
      </c>
      <c r="AU19" s="83">
        <v>0.51997099999999996</v>
      </c>
      <c r="AV19" s="83">
        <v>0.451131</v>
      </c>
      <c r="AW19" s="83">
        <v>9.4990000000000005E-4</v>
      </c>
      <c r="AX19" s="83">
        <v>0.53678899999999996</v>
      </c>
      <c r="AY19" s="83">
        <v>0.468918</v>
      </c>
      <c r="AZ19" s="83">
        <v>9.4990000000000005E-4</v>
      </c>
      <c r="BA19" s="83">
        <v>0.532694</v>
      </c>
      <c r="BB19" s="83">
        <v>0.46415800000000002</v>
      </c>
      <c r="BC19" s="83">
        <v>9.4990000000000005E-4</v>
      </c>
      <c r="BD19" s="83">
        <v>0.52898699999999999</v>
      </c>
      <c r="BE19" s="83">
        <v>0.46149000000000001</v>
      </c>
      <c r="BF19" s="83">
        <v>9.4990000000000005E-4</v>
      </c>
      <c r="BG19" s="83">
        <v>0.52181900000000003</v>
      </c>
      <c r="BH19" s="83">
        <v>0.460642</v>
      </c>
      <c r="BI19" s="83">
        <v>9.4990000000000005E-4</v>
      </c>
      <c r="BJ19" s="83">
        <v>0.51503100000000002</v>
      </c>
      <c r="BK19" s="83">
        <v>0.459229</v>
      </c>
      <c r="BL19" s="83">
        <v>9.4990000000000005E-4</v>
      </c>
      <c r="BM19" s="83">
        <v>0.50818399999999997</v>
      </c>
      <c r="BN19" s="83">
        <v>0.45686199999999999</v>
      </c>
      <c r="BO19" s="83">
        <v>9.4990000000000005E-4</v>
      </c>
      <c r="BP19" s="83">
        <v>0.49832599999999999</v>
      </c>
      <c r="BQ19" s="83">
        <v>0.45475900000000002</v>
      </c>
      <c r="BR19" s="83">
        <v>9.4990000000000005E-4</v>
      </c>
      <c r="BS19" s="83">
        <v>0.504278</v>
      </c>
      <c r="BT19" s="83">
        <v>0.46993600000000002</v>
      </c>
      <c r="BU19" s="83">
        <v>9.4990000000000005E-4</v>
      </c>
      <c r="BV19" s="83">
        <v>0.47894500000000001</v>
      </c>
      <c r="BW19" s="83">
        <v>0.45316000000000001</v>
      </c>
      <c r="BX19" s="83">
        <v>9.4990000000000005E-4</v>
      </c>
      <c r="BY19" s="83">
        <v>0.49299799999999999</v>
      </c>
      <c r="BZ19" s="83">
        <v>0.47434999999999999</v>
      </c>
      <c r="CA19" s="83">
        <v>9.4990000000000005E-4</v>
      </c>
      <c r="CB19" s="83">
        <v>0.47581400000000001</v>
      </c>
      <c r="CC19" s="83">
        <v>0.46284599999999998</v>
      </c>
      <c r="CD19" s="83">
        <v>9.4990000000000005E-4</v>
      </c>
      <c r="CE19" s="83">
        <v>0.46346500000000002</v>
      </c>
      <c r="CF19" s="83">
        <v>0.45577899999999999</v>
      </c>
      <c r="CG19" s="83">
        <v>9.4990000000000005E-4</v>
      </c>
      <c r="CH19" s="83">
        <v>0.469217</v>
      </c>
      <c r="CI19" s="83">
        <v>0.46663399999999999</v>
      </c>
      <c r="CJ19" s="83">
        <v>9.4990000000000005E-4</v>
      </c>
      <c r="CK19" s="83">
        <v>0.461644</v>
      </c>
      <c r="CL19" s="83">
        <v>0.45976499999999998</v>
      </c>
      <c r="CM19" s="83">
        <v>9.4990000000000005E-4</v>
      </c>
      <c r="CN19" s="83">
        <v>0.45546599999999998</v>
      </c>
      <c r="CO19" s="83">
        <v>0.45492500000000002</v>
      </c>
      <c r="CP19" s="83">
        <v>9.4990000000000005E-4</v>
      </c>
      <c r="CQ19" s="83">
        <v>0.45244099999999998</v>
      </c>
      <c r="CR19" s="83">
        <v>0.45330300000000001</v>
      </c>
      <c r="CS19" s="83">
        <v>9.4990000000000005E-4</v>
      </c>
      <c r="CT19" s="83">
        <v>0.46232200000000001</v>
      </c>
      <c r="CU19" s="83">
        <v>0.46524399999999999</v>
      </c>
      <c r="CV19" s="83">
        <v>9.4990000000000005E-4</v>
      </c>
      <c r="CW19" s="83">
        <v>0.458976</v>
      </c>
      <c r="CX19" s="83">
        <v>0.462113</v>
      </c>
      <c r="CY19" s="83">
        <v>9.4990000000000005E-4</v>
      </c>
      <c r="CZ19" s="83">
        <v>0.456563</v>
      </c>
      <c r="DA19" s="83">
        <v>0.46106200000000003</v>
      </c>
    </row>
    <row r="20" spans="1:105" x14ac:dyDescent="0.2">
      <c r="A20" s="83">
        <v>1.0499000000000001E-3</v>
      </c>
      <c r="B20" s="83">
        <v>0.49541000000000002</v>
      </c>
      <c r="C20" s="83">
        <v>0.42941800000000002</v>
      </c>
      <c r="D20" s="83">
        <v>1.0499000000000001E-3</v>
      </c>
      <c r="E20" s="83">
        <v>0.50889399999999996</v>
      </c>
      <c r="F20" s="83">
        <v>0.44359999999999999</v>
      </c>
      <c r="G20" s="83">
        <v>1.0499000000000001E-3</v>
      </c>
      <c r="H20" s="83">
        <v>0.51553800000000005</v>
      </c>
      <c r="I20" s="83">
        <v>0.45005699999999998</v>
      </c>
      <c r="J20" s="83">
        <v>1.0499000000000001E-3</v>
      </c>
      <c r="K20" s="83">
        <v>0.49638300000000002</v>
      </c>
      <c r="L20" s="83">
        <v>0.42886299999999999</v>
      </c>
      <c r="M20" s="83">
        <v>1.0499000000000001E-3</v>
      </c>
      <c r="N20" s="83">
        <v>0.49622899999999998</v>
      </c>
      <c r="O20" s="83">
        <v>0.42796299999999998</v>
      </c>
      <c r="P20" s="83">
        <v>1.0499000000000001E-3</v>
      </c>
      <c r="Q20" s="83">
        <v>0.49615599999999999</v>
      </c>
      <c r="R20" s="83">
        <v>0.42769400000000002</v>
      </c>
      <c r="S20" s="83">
        <v>1.0499000000000001E-3</v>
      </c>
      <c r="T20" s="83">
        <v>0.50459399999999999</v>
      </c>
      <c r="U20" s="83">
        <v>0.43663099999999999</v>
      </c>
      <c r="V20" s="83">
        <v>1.0499000000000001E-3</v>
      </c>
      <c r="W20" s="83">
        <v>0.51397899999999996</v>
      </c>
      <c r="X20" s="83">
        <v>0.44555699999999998</v>
      </c>
      <c r="Y20" s="83">
        <v>1.0499000000000001E-3</v>
      </c>
      <c r="Z20" s="83">
        <v>0.49676700000000001</v>
      </c>
      <c r="AA20" s="83">
        <v>0.42750700000000003</v>
      </c>
      <c r="AB20" s="83">
        <v>1.0499000000000001E-3</v>
      </c>
      <c r="AC20" s="83">
        <v>0.50668400000000002</v>
      </c>
      <c r="AD20" s="83">
        <v>0.43748399999999998</v>
      </c>
      <c r="AE20" s="83">
        <v>1.0499000000000001E-3</v>
      </c>
      <c r="AF20" s="83">
        <v>0.51131400000000005</v>
      </c>
      <c r="AG20" s="83">
        <v>0.44259399999999999</v>
      </c>
      <c r="AH20" s="83">
        <v>1.0499000000000001E-3</v>
      </c>
      <c r="AI20" s="83">
        <v>0.51069200000000003</v>
      </c>
      <c r="AJ20" s="83">
        <v>0.44154199999999999</v>
      </c>
      <c r="AK20" s="83">
        <v>1.0499000000000001E-3</v>
      </c>
      <c r="AL20" s="83">
        <v>0.51061900000000005</v>
      </c>
      <c r="AM20" s="83">
        <v>0.44094299999999997</v>
      </c>
      <c r="AN20" s="83">
        <v>1.0499000000000001E-3</v>
      </c>
      <c r="AO20" s="83">
        <v>0.49491400000000002</v>
      </c>
      <c r="AP20" s="83">
        <v>0.42532700000000001</v>
      </c>
      <c r="AQ20" s="83">
        <v>1.0499000000000001E-3</v>
      </c>
      <c r="AR20" s="83">
        <v>0.50675800000000004</v>
      </c>
      <c r="AS20" s="83">
        <v>0.43675399999999998</v>
      </c>
      <c r="AT20" s="83">
        <v>1.0499000000000001E-3</v>
      </c>
      <c r="AU20" s="83">
        <v>0.49472300000000002</v>
      </c>
      <c r="AV20" s="83">
        <v>0.42573800000000001</v>
      </c>
      <c r="AW20" s="83">
        <v>1.0499000000000001E-3</v>
      </c>
      <c r="AX20" s="83">
        <v>0.51014199999999998</v>
      </c>
      <c r="AY20" s="83">
        <v>0.44124200000000002</v>
      </c>
      <c r="AZ20" s="83">
        <v>1.0499000000000001E-3</v>
      </c>
      <c r="BA20" s="83">
        <v>0.50687800000000005</v>
      </c>
      <c r="BB20" s="83">
        <v>0.43758599999999997</v>
      </c>
      <c r="BC20" s="83">
        <v>1.0499000000000001E-3</v>
      </c>
      <c r="BD20" s="83">
        <v>0.50290299999999999</v>
      </c>
      <c r="BE20" s="83">
        <v>0.434419</v>
      </c>
      <c r="BF20" s="83">
        <v>1.0499000000000001E-3</v>
      </c>
      <c r="BG20" s="83">
        <v>0.49584800000000001</v>
      </c>
      <c r="BH20" s="83">
        <v>0.433948</v>
      </c>
      <c r="BI20" s="83">
        <v>1.0499000000000001E-3</v>
      </c>
      <c r="BJ20" s="83">
        <v>0.48930400000000002</v>
      </c>
      <c r="BK20" s="83">
        <v>0.432425</v>
      </c>
      <c r="BL20" s="83">
        <v>1.0499000000000001E-3</v>
      </c>
      <c r="BM20" s="83">
        <v>0.48241099999999998</v>
      </c>
      <c r="BN20" s="83">
        <v>0.43026599999999998</v>
      </c>
      <c r="BO20" s="83">
        <v>1.0499000000000001E-3</v>
      </c>
      <c r="BP20" s="83">
        <v>0.473387</v>
      </c>
      <c r="BQ20" s="83">
        <v>0.42846099999999998</v>
      </c>
      <c r="BR20" s="83">
        <v>1.0499000000000001E-3</v>
      </c>
      <c r="BS20" s="83">
        <v>0.478632</v>
      </c>
      <c r="BT20" s="83">
        <v>0.44259900000000002</v>
      </c>
      <c r="BU20" s="83">
        <v>1.0499000000000001E-3</v>
      </c>
      <c r="BV20" s="83">
        <v>0.45450299999999999</v>
      </c>
      <c r="BW20" s="83">
        <v>0.427037</v>
      </c>
      <c r="BX20" s="83">
        <v>1.0499000000000001E-3</v>
      </c>
      <c r="BY20" s="83">
        <v>0.46705200000000002</v>
      </c>
      <c r="BZ20" s="83">
        <v>0.446077</v>
      </c>
      <c r="CA20" s="83">
        <v>1.0499000000000001E-3</v>
      </c>
      <c r="CB20" s="83">
        <v>0.45106200000000002</v>
      </c>
      <c r="CC20" s="83">
        <v>0.43593399999999999</v>
      </c>
      <c r="CD20" s="83">
        <v>1.0499000000000001E-3</v>
      </c>
      <c r="CE20" s="83">
        <v>0.439363</v>
      </c>
      <c r="CF20" s="83">
        <v>0.42949900000000002</v>
      </c>
      <c r="CG20" s="83">
        <v>1.0499000000000001E-3</v>
      </c>
      <c r="CH20" s="83">
        <v>0.44467800000000002</v>
      </c>
      <c r="CI20" s="83">
        <v>0.43957000000000002</v>
      </c>
      <c r="CJ20" s="83">
        <v>1.0499000000000001E-3</v>
      </c>
      <c r="CK20" s="83">
        <v>0.43780799999999997</v>
      </c>
      <c r="CL20" s="83">
        <v>0.43344100000000002</v>
      </c>
      <c r="CM20" s="83">
        <v>1.0499000000000001E-3</v>
      </c>
      <c r="CN20" s="83">
        <v>0.431925</v>
      </c>
      <c r="CO20" s="83">
        <v>0.42875099999999999</v>
      </c>
      <c r="CP20" s="83">
        <v>1.0499000000000001E-3</v>
      </c>
      <c r="CQ20" s="83">
        <v>0.42862800000000001</v>
      </c>
      <c r="CR20" s="83">
        <v>0.42749700000000002</v>
      </c>
      <c r="CS20" s="83">
        <v>1.0499000000000001E-3</v>
      </c>
      <c r="CT20" s="83">
        <v>0.43708399999999997</v>
      </c>
      <c r="CU20" s="83">
        <v>0.43798599999999999</v>
      </c>
      <c r="CV20" s="83">
        <v>1.0499000000000001E-3</v>
      </c>
      <c r="CW20" s="83">
        <v>0.43409300000000001</v>
      </c>
      <c r="CX20" s="83">
        <v>0.43501099999999998</v>
      </c>
      <c r="CY20" s="83">
        <v>1.0499000000000001E-3</v>
      </c>
      <c r="CZ20" s="83">
        <v>0.43145</v>
      </c>
      <c r="DA20" s="83">
        <v>0.43396699999999999</v>
      </c>
    </row>
    <row r="21" spans="1:105" x14ac:dyDescent="0.2">
      <c r="A21" s="83">
        <v>1.1498999999999999E-3</v>
      </c>
      <c r="B21" s="83">
        <v>0.472076</v>
      </c>
      <c r="C21" s="83">
        <v>0.40427800000000003</v>
      </c>
      <c r="D21" s="83">
        <v>1.1498999999999999E-3</v>
      </c>
      <c r="E21" s="83">
        <v>0.48545500000000003</v>
      </c>
      <c r="F21" s="83">
        <v>0.41792699999999999</v>
      </c>
      <c r="G21" s="83">
        <v>1.1498999999999999E-3</v>
      </c>
      <c r="H21" s="83">
        <v>0.49147400000000002</v>
      </c>
      <c r="I21" s="83">
        <v>0.42340699999999998</v>
      </c>
      <c r="J21" s="83">
        <v>1.1498999999999999E-3</v>
      </c>
      <c r="K21" s="83">
        <v>0.473188</v>
      </c>
      <c r="L21" s="83">
        <v>0.40403600000000001</v>
      </c>
      <c r="M21" s="83">
        <v>1.1498999999999999E-3</v>
      </c>
      <c r="N21" s="83">
        <v>0.47290300000000002</v>
      </c>
      <c r="O21" s="83">
        <v>0.40319500000000003</v>
      </c>
      <c r="P21" s="83">
        <v>1.1498999999999999E-3</v>
      </c>
      <c r="Q21" s="83">
        <v>0.47260099999999999</v>
      </c>
      <c r="R21" s="83">
        <v>0.40280300000000002</v>
      </c>
      <c r="S21" s="83">
        <v>1.1498999999999999E-3</v>
      </c>
      <c r="T21" s="83">
        <v>0.48056700000000002</v>
      </c>
      <c r="U21" s="83">
        <v>0.411049</v>
      </c>
      <c r="V21" s="83">
        <v>1.1498999999999999E-3</v>
      </c>
      <c r="W21" s="83">
        <v>0.488653</v>
      </c>
      <c r="X21" s="83">
        <v>0.41938999999999999</v>
      </c>
      <c r="Y21" s="83">
        <v>1.1498999999999999E-3</v>
      </c>
      <c r="Z21" s="83">
        <v>0.47264099999999998</v>
      </c>
      <c r="AA21" s="83">
        <v>0.40273100000000001</v>
      </c>
      <c r="AB21" s="83">
        <v>1.1498999999999999E-3</v>
      </c>
      <c r="AC21" s="83">
        <v>0.48223899999999997</v>
      </c>
      <c r="AD21" s="83">
        <v>0.41190100000000002</v>
      </c>
      <c r="AE21" s="83">
        <v>1.1498999999999999E-3</v>
      </c>
      <c r="AF21" s="83">
        <v>0.48605599999999999</v>
      </c>
      <c r="AG21" s="83">
        <v>0.41685</v>
      </c>
      <c r="AH21" s="83">
        <v>1.1498999999999999E-3</v>
      </c>
      <c r="AI21" s="83">
        <v>0.48597099999999999</v>
      </c>
      <c r="AJ21" s="83">
        <v>0.41583700000000001</v>
      </c>
      <c r="AK21" s="83">
        <v>1.1498999999999999E-3</v>
      </c>
      <c r="AL21" s="83">
        <v>0.48585</v>
      </c>
      <c r="AM21" s="83">
        <v>0.41539599999999999</v>
      </c>
      <c r="AN21" s="83">
        <v>1.1498999999999999E-3</v>
      </c>
      <c r="AO21" s="83">
        <v>0.47112500000000002</v>
      </c>
      <c r="AP21" s="83">
        <v>0.40076600000000001</v>
      </c>
      <c r="AQ21" s="83">
        <v>1.1498999999999999E-3</v>
      </c>
      <c r="AR21" s="83">
        <v>0.48147299999999998</v>
      </c>
      <c r="AS21" s="83">
        <v>0.41134100000000001</v>
      </c>
      <c r="AT21" s="83">
        <v>1.1498999999999999E-3</v>
      </c>
      <c r="AU21" s="83">
        <v>0.47115299999999999</v>
      </c>
      <c r="AV21" s="83">
        <v>0.40176699999999999</v>
      </c>
      <c r="AW21" s="83">
        <v>1.1498999999999999E-3</v>
      </c>
      <c r="AX21" s="83">
        <v>0.48474</v>
      </c>
      <c r="AY21" s="83">
        <v>0.41553800000000002</v>
      </c>
      <c r="AZ21" s="83">
        <v>1.1498999999999999E-3</v>
      </c>
      <c r="BA21" s="83">
        <v>0.48204399999999997</v>
      </c>
      <c r="BB21" s="83">
        <v>0.41247299999999998</v>
      </c>
      <c r="BC21" s="83">
        <v>1.1498999999999999E-3</v>
      </c>
      <c r="BD21" s="83">
        <v>0.47745799999999999</v>
      </c>
      <c r="BE21" s="83">
        <v>0.40910800000000003</v>
      </c>
      <c r="BF21" s="83">
        <v>1.1498999999999999E-3</v>
      </c>
      <c r="BG21" s="83">
        <v>0.47044599999999998</v>
      </c>
      <c r="BH21" s="83">
        <v>0.40877599999999997</v>
      </c>
      <c r="BI21" s="83">
        <v>1.1498999999999999E-3</v>
      </c>
      <c r="BJ21" s="83">
        <v>0.46460899999999999</v>
      </c>
      <c r="BK21" s="83">
        <v>0.40737800000000002</v>
      </c>
      <c r="BL21" s="83">
        <v>1.1498999999999999E-3</v>
      </c>
      <c r="BM21" s="83">
        <v>0.45766499999999999</v>
      </c>
      <c r="BN21" s="83">
        <v>0.40526099999999998</v>
      </c>
      <c r="BO21" s="83">
        <v>1.1498999999999999E-3</v>
      </c>
      <c r="BP21" s="83">
        <v>0.44894899999999999</v>
      </c>
      <c r="BQ21" s="83">
        <v>0.40363700000000002</v>
      </c>
      <c r="BR21" s="83">
        <v>1.1498999999999999E-3</v>
      </c>
      <c r="BS21" s="83">
        <v>0.45434099999999999</v>
      </c>
      <c r="BT21" s="83">
        <v>0.41714699999999999</v>
      </c>
      <c r="BU21" s="83">
        <v>1.1498999999999999E-3</v>
      </c>
      <c r="BV21" s="83">
        <v>0.43119299999999999</v>
      </c>
      <c r="BW21" s="83">
        <v>0.40245199999999998</v>
      </c>
      <c r="BX21" s="83">
        <v>1.1498999999999999E-3</v>
      </c>
      <c r="BY21" s="83">
        <v>0.44226300000000002</v>
      </c>
      <c r="BZ21" s="83">
        <v>0.41992400000000002</v>
      </c>
      <c r="CA21" s="83">
        <v>1.1498999999999999E-3</v>
      </c>
      <c r="CB21" s="83">
        <v>0.42775800000000003</v>
      </c>
      <c r="CC21" s="83">
        <v>0.41071299999999999</v>
      </c>
      <c r="CD21" s="83">
        <v>1.1498999999999999E-3</v>
      </c>
      <c r="CE21" s="83">
        <v>0.41627900000000001</v>
      </c>
      <c r="CF21" s="83">
        <v>0.40482299999999999</v>
      </c>
      <c r="CG21" s="83">
        <v>1.1498999999999999E-3</v>
      </c>
      <c r="CH21" s="83">
        <v>0.42124200000000001</v>
      </c>
      <c r="CI21" s="83">
        <v>0.41409899999999999</v>
      </c>
      <c r="CJ21" s="83">
        <v>1.1498999999999999E-3</v>
      </c>
      <c r="CK21" s="83">
        <v>0.41456999999999999</v>
      </c>
      <c r="CL21" s="83">
        <v>0.40828399999999998</v>
      </c>
      <c r="CM21" s="83">
        <v>1.1498999999999999E-3</v>
      </c>
      <c r="CN21" s="83">
        <v>0.40848000000000001</v>
      </c>
      <c r="CO21" s="83">
        <v>0.40397300000000003</v>
      </c>
      <c r="CP21" s="83">
        <v>1.1498999999999999E-3</v>
      </c>
      <c r="CQ21" s="83">
        <v>0.40606999999999999</v>
      </c>
      <c r="CR21" s="83">
        <v>0.40298099999999998</v>
      </c>
      <c r="CS21" s="83">
        <v>1.1498999999999999E-3</v>
      </c>
      <c r="CT21" s="83">
        <v>0.41379100000000002</v>
      </c>
      <c r="CU21" s="83">
        <v>0.41253400000000001</v>
      </c>
      <c r="CV21" s="83">
        <v>1.1498999999999999E-3</v>
      </c>
      <c r="CW21" s="83">
        <v>0.41023799999999999</v>
      </c>
      <c r="CX21" s="83">
        <v>0.40977799999999998</v>
      </c>
      <c r="CY21" s="83">
        <v>1.1498999999999999E-3</v>
      </c>
      <c r="CZ21" s="83">
        <v>0.408053</v>
      </c>
      <c r="DA21" s="83">
        <v>0.40878999999999999</v>
      </c>
    </row>
    <row r="22" spans="1:105" x14ac:dyDescent="0.2">
      <c r="A22" s="83">
        <v>1.2499E-3</v>
      </c>
      <c r="B22" s="83">
        <v>0.44994899999999999</v>
      </c>
      <c r="C22" s="83">
        <v>0.38072800000000001</v>
      </c>
      <c r="D22" s="83">
        <v>1.2499E-3</v>
      </c>
      <c r="E22" s="83">
        <v>0.46277099999999999</v>
      </c>
      <c r="F22" s="83">
        <v>0.39369700000000002</v>
      </c>
      <c r="G22" s="83">
        <v>1.2499E-3</v>
      </c>
      <c r="H22" s="83">
        <v>0.46767300000000001</v>
      </c>
      <c r="I22" s="83">
        <v>0.39849200000000001</v>
      </c>
      <c r="J22" s="83">
        <v>1.2499E-3</v>
      </c>
      <c r="K22" s="83">
        <v>0.45072099999999998</v>
      </c>
      <c r="L22" s="83">
        <v>0.38066</v>
      </c>
      <c r="M22" s="83">
        <v>1.2499E-3</v>
      </c>
      <c r="N22" s="83">
        <v>0.44998899999999997</v>
      </c>
      <c r="O22" s="83">
        <v>0.37993700000000002</v>
      </c>
      <c r="P22" s="83">
        <v>1.2499E-3</v>
      </c>
      <c r="Q22" s="83">
        <v>0.449355</v>
      </c>
      <c r="R22" s="83">
        <v>0.37941599999999998</v>
      </c>
      <c r="S22" s="83">
        <v>1.2499E-3</v>
      </c>
      <c r="T22" s="83">
        <v>0.457067</v>
      </c>
      <c r="U22" s="83">
        <v>0.38698700000000003</v>
      </c>
      <c r="V22" s="83">
        <v>1.2499E-3</v>
      </c>
      <c r="W22" s="83">
        <v>0.46492800000000001</v>
      </c>
      <c r="X22" s="83">
        <v>0.39476099999999997</v>
      </c>
      <c r="Y22" s="83">
        <v>1.2499E-3</v>
      </c>
      <c r="Z22" s="83">
        <v>0.44982</v>
      </c>
      <c r="AA22" s="83">
        <v>0.37948900000000002</v>
      </c>
      <c r="AB22" s="83">
        <v>1.2499E-3</v>
      </c>
      <c r="AC22" s="83">
        <v>0.45851799999999998</v>
      </c>
      <c r="AD22" s="83">
        <v>0.38781100000000002</v>
      </c>
      <c r="AE22" s="83">
        <v>1.2499E-3</v>
      </c>
      <c r="AF22" s="83">
        <v>0.46232299999999998</v>
      </c>
      <c r="AG22" s="83">
        <v>0.39245600000000003</v>
      </c>
      <c r="AH22" s="83">
        <v>1.2499E-3</v>
      </c>
      <c r="AI22" s="83">
        <v>0.46190900000000001</v>
      </c>
      <c r="AJ22" s="83">
        <v>0.39141100000000001</v>
      </c>
      <c r="AK22" s="83">
        <v>1.2499E-3</v>
      </c>
      <c r="AL22" s="83">
        <v>0.46218599999999999</v>
      </c>
      <c r="AM22" s="83">
        <v>0.39134799999999997</v>
      </c>
      <c r="AN22" s="83">
        <v>1.2499E-3</v>
      </c>
      <c r="AO22" s="83">
        <v>0.447438</v>
      </c>
      <c r="AP22" s="83">
        <v>0.37771500000000002</v>
      </c>
      <c r="AQ22" s="83">
        <v>1.2499E-3</v>
      </c>
      <c r="AR22" s="83">
        <v>0.45778000000000002</v>
      </c>
      <c r="AS22" s="83">
        <v>0.38738299999999998</v>
      </c>
      <c r="AT22" s="83">
        <v>1.2499E-3</v>
      </c>
      <c r="AU22" s="83">
        <v>0.44822499999999998</v>
      </c>
      <c r="AV22" s="83">
        <v>0.37891200000000003</v>
      </c>
      <c r="AW22" s="83">
        <v>1.2499E-3</v>
      </c>
      <c r="AX22" s="83">
        <v>0.46039400000000003</v>
      </c>
      <c r="AY22" s="83">
        <v>0.391295</v>
      </c>
      <c r="AZ22" s="83">
        <v>1.2499E-3</v>
      </c>
      <c r="BA22" s="83">
        <v>0.45781899999999998</v>
      </c>
      <c r="BB22" s="83">
        <v>0.38874799999999998</v>
      </c>
      <c r="BC22" s="83">
        <v>1.2499E-3</v>
      </c>
      <c r="BD22" s="83">
        <v>0.45312999999999998</v>
      </c>
      <c r="BE22" s="83">
        <v>0.385326</v>
      </c>
      <c r="BF22" s="83">
        <v>1.2499E-3</v>
      </c>
      <c r="BG22" s="83">
        <v>0.44656299999999999</v>
      </c>
      <c r="BH22" s="83">
        <v>0.38507599999999997</v>
      </c>
      <c r="BI22" s="83">
        <v>1.2499E-3</v>
      </c>
      <c r="BJ22" s="83">
        <v>0.44047599999999998</v>
      </c>
      <c r="BK22" s="83">
        <v>0.383797</v>
      </c>
      <c r="BL22" s="83">
        <v>1.2499E-3</v>
      </c>
      <c r="BM22" s="83">
        <v>0.43387399999999998</v>
      </c>
      <c r="BN22" s="83">
        <v>0.38176300000000002</v>
      </c>
      <c r="BO22" s="83">
        <v>1.2499E-3</v>
      </c>
      <c r="BP22" s="83">
        <v>0.42582599999999998</v>
      </c>
      <c r="BQ22" s="83">
        <v>0.38039400000000001</v>
      </c>
      <c r="BR22" s="83">
        <v>1.2499E-3</v>
      </c>
      <c r="BS22" s="83">
        <v>0.43108099999999999</v>
      </c>
      <c r="BT22" s="83">
        <v>0.39309100000000002</v>
      </c>
      <c r="BU22" s="83">
        <v>1.2499E-3</v>
      </c>
      <c r="BV22" s="83">
        <v>0.40872199999999997</v>
      </c>
      <c r="BW22" s="83">
        <v>0.37928099999999998</v>
      </c>
      <c r="BX22" s="83">
        <v>1.2499E-3</v>
      </c>
      <c r="BY22" s="83">
        <v>0.41901699999999997</v>
      </c>
      <c r="BZ22" s="83">
        <v>0.39536300000000002</v>
      </c>
      <c r="CA22" s="83">
        <v>1.2499E-3</v>
      </c>
      <c r="CB22" s="83">
        <v>0.40527099999999999</v>
      </c>
      <c r="CC22" s="83">
        <v>0.38697399999999998</v>
      </c>
      <c r="CD22" s="83">
        <v>1.2499E-3</v>
      </c>
      <c r="CE22" s="83">
        <v>0.39435100000000001</v>
      </c>
      <c r="CF22" s="83">
        <v>0.38151000000000002</v>
      </c>
      <c r="CG22" s="83">
        <v>1.2499E-3</v>
      </c>
      <c r="CH22" s="83">
        <v>0.398613</v>
      </c>
      <c r="CI22" s="83">
        <v>0.39006000000000002</v>
      </c>
      <c r="CJ22" s="83">
        <v>1.2499E-3</v>
      </c>
      <c r="CK22" s="83">
        <v>0.39250499999999999</v>
      </c>
      <c r="CL22" s="83">
        <v>0.38451200000000002</v>
      </c>
      <c r="CM22" s="83">
        <v>1.2499E-3</v>
      </c>
      <c r="CN22" s="83">
        <v>0.386378</v>
      </c>
      <c r="CO22" s="83">
        <v>0.38056000000000001</v>
      </c>
      <c r="CP22" s="83">
        <v>1.2499E-3</v>
      </c>
      <c r="CQ22" s="83">
        <v>0.38428299999999999</v>
      </c>
      <c r="CR22" s="83">
        <v>0.37991999999999998</v>
      </c>
      <c r="CS22" s="83">
        <v>1.2499E-3</v>
      </c>
      <c r="CT22" s="83">
        <v>0.390824</v>
      </c>
      <c r="CU22" s="83">
        <v>0.38863599999999998</v>
      </c>
      <c r="CV22" s="83">
        <v>1.2499E-3</v>
      </c>
      <c r="CW22" s="83">
        <v>0.38771800000000001</v>
      </c>
      <c r="CX22" s="83">
        <v>0.386106</v>
      </c>
      <c r="CY22" s="83">
        <v>1.2499E-3</v>
      </c>
      <c r="CZ22" s="83">
        <v>0.38555699999999998</v>
      </c>
      <c r="DA22" s="83">
        <v>0.38509399999999999</v>
      </c>
    </row>
    <row r="23" spans="1:105" x14ac:dyDescent="0.2">
      <c r="A23" s="83">
        <v>1.3499E-3</v>
      </c>
      <c r="B23" s="83">
        <v>0.42831000000000002</v>
      </c>
      <c r="C23" s="83">
        <v>0.35873100000000002</v>
      </c>
      <c r="D23" s="83">
        <v>1.3499E-3</v>
      </c>
      <c r="E23" s="83">
        <v>0.44043500000000002</v>
      </c>
      <c r="F23" s="83">
        <v>0.37098100000000001</v>
      </c>
      <c r="G23" s="83">
        <v>1.3499E-3</v>
      </c>
      <c r="H23" s="83">
        <v>0.44531399999999999</v>
      </c>
      <c r="I23" s="83">
        <v>0.37539600000000001</v>
      </c>
      <c r="J23" s="83">
        <v>1.3499E-3</v>
      </c>
      <c r="K23" s="83">
        <v>0.42968800000000001</v>
      </c>
      <c r="L23" s="83">
        <v>0.35898200000000002</v>
      </c>
      <c r="M23" s="83">
        <v>1.3499E-3</v>
      </c>
      <c r="N23" s="83">
        <v>0.42868200000000001</v>
      </c>
      <c r="O23" s="83">
        <v>0.358323</v>
      </c>
      <c r="P23" s="83">
        <v>1.3499E-3</v>
      </c>
      <c r="Q23" s="83">
        <v>0.42838999999999999</v>
      </c>
      <c r="R23" s="83">
        <v>0.35767300000000002</v>
      </c>
      <c r="S23" s="83">
        <v>1.3499E-3</v>
      </c>
      <c r="T23" s="83">
        <v>0.43488700000000002</v>
      </c>
      <c r="U23" s="83">
        <v>0.36458800000000002</v>
      </c>
      <c r="V23" s="83">
        <v>1.3499E-3</v>
      </c>
      <c r="W23" s="83">
        <v>0.44195499999999999</v>
      </c>
      <c r="X23" s="83">
        <v>0.37182900000000002</v>
      </c>
      <c r="Y23" s="83">
        <v>1.3499E-3</v>
      </c>
      <c r="Z23" s="83">
        <v>0.42826399999999998</v>
      </c>
      <c r="AA23" s="83">
        <v>0.35782599999999998</v>
      </c>
      <c r="AB23" s="83">
        <v>1.3499E-3</v>
      </c>
      <c r="AC23" s="83">
        <v>0.43628600000000001</v>
      </c>
      <c r="AD23" s="83">
        <v>0.365398</v>
      </c>
      <c r="AE23" s="83">
        <v>1.3499E-3</v>
      </c>
      <c r="AF23" s="83">
        <v>0.43977899999999998</v>
      </c>
      <c r="AG23" s="83">
        <v>0.369755</v>
      </c>
      <c r="AH23" s="83">
        <v>1.3499E-3</v>
      </c>
      <c r="AI23" s="83">
        <v>0.43898900000000002</v>
      </c>
      <c r="AJ23" s="83">
        <v>0.36865900000000001</v>
      </c>
      <c r="AK23" s="83">
        <v>1.3499E-3</v>
      </c>
      <c r="AL23" s="83">
        <v>0.43964500000000001</v>
      </c>
      <c r="AM23" s="83">
        <v>0.36893100000000001</v>
      </c>
      <c r="AN23" s="83">
        <v>1.3499E-3</v>
      </c>
      <c r="AO23" s="83">
        <v>0.42544199999999999</v>
      </c>
      <c r="AP23" s="83">
        <v>0.35617799999999999</v>
      </c>
      <c r="AQ23" s="83">
        <v>1.3499E-3</v>
      </c>
      <c r="AR23" s="83">
        <v>0.43473299999999998</v>
      </c>
      <c r="AS23" s="83">
        <v>0.36500500000000002</v>
      </c>
      <c r="AT23" s="83">
        <v>1.3499E-3</v>
      </c>
      <c r="AU23" s="83">
        <v>0.42628899999999997</v>
      </c>
      <c r="AV23" s="83">
        <v>0.35757499999999998</v>
      </c>
      <c r="AW23" s="83">
        <v>1.3499E-3</v>
      </c>
      <c r="AX23" s="83">
        <v>0.43758599999999997</v>
      </c>
      <c r="AY23" s="83">
        <v>0.36882900000000002</v>
      </c>
      <c r="AZ23" s="83">
        <v>1.3499E-3</v>
      </c>
      <c r="BA23" s="83">
        <v>0.43513600000000002</v>
      </c>
      <c r="BB23" s="83">
        <v>0.36654100000000001</v>
      </c>
      <c r="BC23" s="83">
        <v>1.3499E-3</v>
      </c>
      <c r="BD23" s="83">
        <v>0.42985800000000002</v>
      </c>
      <c r="BE23" s="83">
        <v>0.36318099999999998</v>
      </c>
      <c r="BF23" s="83">
        <v>1.3499E-3</v>
      </c>
      <c r="BG23" s="83">
        <v>0.423989</v>
      </c>
      <c r="BH23" s="83">
        <v>0.36301600000000001</v>
      </c>
      <c r="BI23" s="83">
        <v>1.3499E-3</v>
      </c>
      <c r="BJ23" s="83">
        <v>0.41791099999999998</v>
      </c>
      <c r="BK23" s="83">
        <v>0.36175499999999999</v>
      </c>
      <c r="BL23" s="83">
        <v>1.3499E-3</v>
      </c>
      <c r="BM23" s="83">
        <v>0.411688</v>
      </c>
      <c r="BN23" s="83">
        <v>0.35983100000000001</v>
      </c>
      <c r="BO23" s="83">
        <v>1.3499E-3</v>
      </c>
      <c r="BP23" s="83">
        <v>0.40383599999999997</v>
      </c>
      <c r="BQ23" s="83">
        <v>0.35867100000000002</v>
      </c>
      <c r="BR23" s="83">
        <v>1.3499E-3</v>
      </c>
      <c r="BS23" s="83">
        <v>0.40864</v>
      </c>
      <c r="BT23" s="83">
        <v>0.37062099999999998</v>
      </c>
      <c r="BU23" s="83">
        <v>1.3499E-3</v>
      </c>
      <c r="BV23" s="83">
        <v>0.38730599999999998</v>
      </c>
      <c r="BW23" s="83">
        <v>0.35765400000000003</v>
      </c>
      <c r="BX23" s="83">
        <v>1.3499E-3</v>
      </c>
      <c r="BY23" s="83">
        <v>0.39720899999999998</v>
      </c>
      <c r="BZ23" s="83">
        <v>0.37259199999999998</v>
      </c>
      <c r="CA23" s="83">
        <v>1.3499E-3</v>
      </c>
      <c r="CB23" s="83">
        <v>0.383496</v>
      </c>
      <c r="CC23" s="83">
        <v>0.364894</v>
      </c>
      <c r="CD23" s="83">
        <v>1.3499E-3</v>
      </c>
      <c r="CE23" s="83">
        <v>0.37314599999999998</v>
      </c>
      <c r="CF23" s="83">
        <v>0.359765</v>
      </c>
      <c r="CG23" s="83">
        <v>1.3499E-3</v>
      </c>
      <c r="CH23" s="83">
        <v>0.37724600000000003</v>
      </c>
      <c r="CI23" s="83">
        <v>0.36769200000000002</v>
      </c>
      <c r="CJ23" s="83">
        <v>1.3499E-3</v>
      </c>
      <c r="CK23" s="83">
        <v>0.370894</v>
      </c>
      <c r="CL23" s="83">
        <v>0.36233300000000002</v>
      </c>
      <c r="CM23" s="83">
        <v>1.3499E-3</v>
      </c>
      <c r="CN23" s="83">
        <v>0.36526900000000001</v>
      </c>
      <c r="CO23" s="83">
        <v>0.35866900000000002</v>
      </c>
      <c r="CP23" s="83">
        <v>1.3499E-3</v>
      </c>
      <c r="CQ23" s="83">
        <v>0.362902</v>
      </c>
      <c r="CR23" s="83">
        <v>0.35830099999999998</v>
      </c>
      <c r="CS23" s="83">
        <v>1.3499E-3</v>
      </c>
      <c r="CT23" s="83">
        <v>0.36943599999999999</v>
      </c>
      <c r="CU23" s="83">
        <v>0.36624000000000001</v>
      </c>
      <c r="CV23" s="83">
        <v>1.3499E-3</v>
      </c>
      <c r="CW23" s="83">
        <v>0.36559900000000001</v>
      </c>
      <c r="CX23" s="83">
        <v>0.36399500000000001</v>
      </c>
      <c r="CY23" s="83">
        <v>1.3499E-3</v>
      </c>
      <c r="CZ23" s="83">
        <v>0.363813</v>
      </c>
      <c r="DA23" s="83">
        <v>0.36291699999999999</v>
      </c>
    </row>
    <row r="24" spans="1:105" x14ac:dyDescent="0.2">
      <c r="A24" s="83">
        <v>1.4499000000000001E-3</v>
      </c>
      <c r="B24" s="83">
        <v>0.40837899999999999</v>
      </c>
      <c r="C24" s="83">
        <v>0.33815800000000001</v>
      </c>
      <c r="D24" s="83">
        <v>1.4499000000000001E-3</v>
      </c>
      <c r="E24" s="83">
        <v>0.41994700000000001</v>
      </c>
      <c r="F24" s="83">
        <v>0.34975699999999998</v>
      </c>
      <c r="G24" s="83">
        <v>1.4499000000000001E-3</v>
      </c>
      <c r="H24" s="83">
        <v>0.42452299999999998</v>
      </c>
      <c r="I24" s="83">
        <v>0.35392000000000001</v>
      </c>
      <c r="J24" s="83">
        <v>1.4499000000000001E-3</v>
      </c>
      <c r="K24" s="83">
        <v>0.409053</v>
      </c>
      <c r="L24" s="83">
        <v>0.33865600000000001</v>
      </c>
      <c r="M24" s="83">
        <v>1.4499000000000001E-3</v>
      </c>
      <c r="N24" s="83">
        <v>0.40867199999999998</v>
      </c>
      <c r="O24" s="83">
        <v>0.33803699999999998</v>
      </c>
      <c r="P24" s="83">
        <v>1.4499000000000001E-3</v>
      </c>
      <c r="Q24" s="83">
        <v>0.40745500000000001</v>
      </c>
      <c r="R24" s="83">
        <v>0.33730700000000002</v>
      </c>
      <c r="S24" s="83">
        <v>1.4499000000000001E-3</v>
      </c>
      <c r="T24" s="83">
        <v>0.41397699999999998</v>
      </c>
      <c r="U24" s="83">
        <v>0.34365200000000001</v>
      </c>
      <c r="V24" s="83">
        <v>1.4499000000000001E-3</v>
      </c>
      <c r="W24" s="83">
        <v>0.42093799999999998</v>
      </c>
      <c r="X24" s="83">
        <v>0.35052299999999997</v>
      </c>
      <c r="Y24" s="83">
        <v>1.4499000000000001E-3</v>
      </c>
      <c r="Z24" s="83">
        <v>0.40746100000000002</v>
      </c>
      <c r="AA24" s="83">
        <v>0.33756900000000001</v>
      </c>
      <c r="AB24" s="83">
        <v>1.4499000000000001E-3</v>
      </c>
      <c r="AC24" s="83">
        <v>0.41453600000000002</v>
      </c>
      <c r="AD24" s="83">
        <v>0.34447699999999998</v>
      </c>
      <c r="AE24" s="83">
        <v>1.4499000000000001E-3</v>
      </c>
      <c r="AF24" s="83">
        <v>0.41851500000000003</v>
      </c>
      <c r="AG24" s="83">
        <v>0.34857300000000002</v>
      </c>
      <c r="AH24" s="83">
        <v>1.4499000000000001E-3</v>
      </c>
      <c r="AI24" s="83">
        <v>0.41723100000000002</v>
      </c>
      <c r="AJ24" s="83">
        <v>0.34749799999999997</v>
      </c>
      <c r="AK24" s="83">
        <v>1.4499000000000001E-3</v>
      </c>
      <c r="AL24" s="83">
        <v>0.41795100000000002</v>
      </c>
      <c r="AM24" s="83">
        <v>0.34800799999999998</v>
      </c>
      <c r="AN24" s="83">
        <v>1.4499000000000001E-3</v>
      </c>
      <c r="AO24" s="83">
        <v>0.40459400000000001</v>
      </c>
      <c r="AP24" s="83">
        <v>0.33600099999999999</v>
      </c>
      <c r="AQ24" s="83">
        <v>1.4499000000000001E-3</v>
      </c>
      <c r="AR24" s="83">
        <v>0.41275099999999998</v>
      </c>
      <c r="AS24" s="83">
        <v>0.34409800000000001</v>
      </c>
      <c r="AT24" s="83">
        <v>1.4499000000000001E-3</v>
      </c>
      <c r="AU24" s="83">
        <v>0.40523900000000002</v>
      </c>
      <c r="AV24" s="83">
        <v>0.337478</v>
      </c>
      <c r="AW24" s="83">
        <v>1.4499000000000001E-3</v>
      </c>
      <c r="AX24" s="83">
        <v>0.41583799999999999</v>
      </c>
      <c r="AY24" s="83">
        <v>0.34775</v>
      </c>
      <c r="AZ24" s="83">
        <v>1.4499000000000001E-3</v>
      </c>
      <c r="BA24" s="83">
        <v>0.41292899999999999</v>
      </c>
      <c r="BB24" s="83">
        <v>0.34579799999999999</v>
      </c>
      <c r="BC24" s="83">
        <v>1.4499000000000001E-3</v>
      </c>
      <c r="BD24" s="83">
        <v>0.40861999999999998</v>
      </c>
      <c r="BE24" s="83">
        <v>0.342526</v>
      </c>
      <c r="BF24" s="83">
        <v>1.4499000000000001E-3</v>
      </c>
      <c r="BG24" s="83">
        <v>0.40268999999999999</v>
      </c>
      <c r="BH24" s="83">
        <v>0.34239799999999998</v>
      </c>
      <c r="BI24" s="83">
        <v>1.4499000000000001E-3</v>
      </c>
      <c r="BJ24" s="83">
        <v>0.39605200000000002</v>
      </c>
      <c r="BK24" s="83">
        <v>0.341171</v>
      </c>
      <c r="BL24" s="83">
        <v>1.4499000000000001E-3</v>
      </c>
      <c r="BM24" s="83">
        <v>0.39005000000000001</v>
      </c>
      <c r="BN24" s="83">
        <v>0.33937099999999998</v>
      </c>
      <c r="BO24" s="83">
        <v>1.4499000000000001E-3</v>
      </c>
      <c r="BP24" s="83">
        <v>0.383017</v>
      </c>
      <c r="BQ24" s="83">
        <v>0.33836100000000002</v>
      </c>
      <c r="BR24" s="83">
        <v>1.4499000000000001E-3</v>
      </c>
      <c r="BS24" s="83">
        <v>0.38708100000000001</v>
      </c>
      <c r="BT24" s="83">
        <v>0.34956500000000001</v>
      </c>
      <c r="BU24" s="83">
        <v>1.4499000000000001E-3</v>
      </c>
      <c r="BV24" s="83">
        <v>0.36716399999999999</v>
      </c>
      <c r="BW24" s="83">
        <v>0.33734399999999998</v>
      </c>
      <c r="BX24" s="83">
        <v>1.4499000000000001E-3</v>
      </c>
      <c r="BY24" s="83">
        <v>0.375861</v>
      </c>
      <c r="BZ24" s="83">
        <v>0.35139799999999999</v>
      </c>
      <c r="CA24" s="83">
        <v>1.4499000000000001E-3</v>
      </c>
      <c r="CB24" s="83">
        <v>0.36321900000000001</v>
      </c>
      <c r="CC24" s="83">
        <v>0.344165</v>
      </c>
      <c r="CD24" s="83">
        <v>1.4499000000000001E-3</v>
      </c>
      <c r="CE24" s="83">
        <v>0.35319099999999998</v>
      </c>
      <c r="CF24" s="83">
        <v>0.33937</v>
      </c>
      <c r="CG24" s="83">
        <v>1.4499000000000001E-3</v>
      </c>
      <c r="CH24" s="83">
        <v>0.356518</v>
      </c>
      <c r="CI24" s="83">
        <v>0.346831</v>
      </c>
      <c r="CJ24" s="83">
        <v>1.4499000000000001E-3</v>
      </c>
      <c r="CK24" s="83">
        <v>0.35039199999999998</v>
      </c>
      <c r="CL24" s="83">
        <v>0.34158300000000003</v>
      </c>
      <c r="CM24" s="83">
        <v>1.4499000000000001E-3</v>
      </c>
      <c r="CN24" s="83">
        <v>0.34491100000000002</v>
      </c>
      <c r="CO24" s="83">
        <v>0.33822200000000002</v>
      </c>
      <c r="CP24" s="83">
        <v>1.4499000000000001E-3</v>
      </c>
      <c r="CQ24" s="83">
        <v>0.34307500000000002</v>
      </c>
      <c r="CR24" s="83">
        <v>0.33805800000000003</v>
      </c>
      <c r="CS24" s="83">
        <v>1.4499000000000001E-3</v>
      </c>
      <c r="CT24" s="83">
        <v>0.34914499999999998</v>
      </c>
      <c r="CU24" s="83">
        <v>0.34537000000000001</v>
      </c>
      <c r="CV24" s="83">
        <v>1.4499000000000001E-3</v>
      </c>
      <c r="CW24" s="83">
        <v>0.34553299999999998</v>
      </c>
      <c r="CX24" s="83">
        <v>0.34325699999999998</v>
      </c>
      <c r="CY24" s="83">
        <v>1.4499000000000001E-3</v>
      </c>
      <c r="CZ24" s="83">
        <v>0.34326600000000002</v>
      </c>
      <c r="DA24" s="83">
        <v>0.34219899999999998</v>
      </c>
    </row>
    <row r="25" spans="1:105" x14ac:dyDescent="0.2">
      <c r="A25" s="83">
        <v>1.5499000000000001E-3</v>
      </c>
      <c r="B25" s="83">
        <v>0.38861699999999999</v>
      </c>
      <c r="C25" s="83">
        <v>0.31882700000000003</v>
      </c>
      <c r="D25" s="83">
        <v>1.5499000000000001E-3</v>
      </c>
      <c r="E25" s="83">
        <v>0.39987699999999998</v>
      </c>
      <c r="F25" s="83">
        <v>0.329791</v>
      </c>
      <c r="G25" s="83">
        <v>1.5499000000000001E-3</v>
      </c>
      <c r="H25" s="83">
        <v>0.40434700000000001</v>
      </c>
      <c r="I25" s="83">
        <v>0.33371299999999998</v>
      </c>
      <c r="J25" s="83">
        <v>1.5499000000000001E-3</v>
      </c>
      <c r="K25" s="83">
        <v>0.38964700000000002</v>
      </c>
      <c r="L25" s="83">
        <v>0.31945899999999999</v>
      </c>
      <c r="M25" s="83">
        <v>1.5499000000000001E-3</v>
      </c>
      <c r="N25" s="83">
        <v>0.38866099999999998</v>
      </c>
      <c r="O25" s="83">
        <v>0.31890600000000002</v>
      </c>
      <c r="P25" s="83">
        <v>1.5499000000000001E-3</v>
      </c>
      <c r="Q25" s="83">
        <v>0.38755600000000001</v>
      </c>
      <c r="R25" s="83">
        <v>0.31814900000000002</v>
      </c>
      <c r="S25" s="83">
        <v>1.5499000000000001E-3</v>
      </c>
      <c r="T25" s="83">
        <v>0.39363100000000001</v>
      </c>
      <c r="U25" s="83">
        <v>0.32392700000000002</v>
      </c>
      <c r="V25" s="83">
        <v>1.5499000000000001E-3</v>
      </c>
      <c r="W25" s="83">
        <v>0.40047700000000003</v>
      </c>
      <c r="X25" s="83">
        <v>0.33050600000000002</v>
      </c>
      <c r="Y25" s="83">
        <v>1.5499000000000001E-3</v>
      </c>
      <c r="Z25" s="83">
        <v>0.38771299999999997</v>
      </c>
      <c r="AA25" s="83">
        <v>0.31839499999999998</v>
      </c>
      <c r="AB25" s="83">
        <v>1.5499000000000001E-3</v>
      </c>
      <c r="AC25" s="83">
        <v>0.39429900000000001</v>
      </c>
      <c r="AD25" s="83">
        <v>0.32475300000000001</v>
      </c>
      <c r="AE25" s="83">
        <v>1.5499000000000001E-3</v>
      </c>
      <c r="AF25" s="83">
        <v>0.39760299999999998</v>
      </c>
      <c r="AG25" s="83">
        <v>0.32863300000000001</v>
      </c>
      <c r="AH25" s="83">
        <v>1.5499000000000001E-3</v>
      </c>
      <c r="AI25" s="83">
        <v>0.39669199999999999</v>
      </c>
      <c r="AJ25" s="83">
        <v>0.327623</v>
      </c>
      <c r="AK25" s="83">
        <v>1.5499000000000001E-3</v>
      </c>
      <c r="AL25" s="83">
        <v>0.39737899999999998</v>
      </c>
      <c r="AM25" s="83">
        <v>0.32827099999999998</v>
      </c>
      <c r="AN25" s="83">
        <v>1.5499000000000001E-3</v>
      </c>
      <c r="AO25" s="83">
        <v>0.38439299999999998</v>
      </c>
      <c r="AP25" s="83">
        <v>0.31692799999999999</v>
      </c>
      <c r="AQ25" s="83">
        <v>1.5499000000000001E-3</v>
      </c>
      <c r="AR25" s="83">
        <v>0.39177600000000001</v>
      </c>
      <c r="AS25" s="83">
        <v>0.32435900000000001</v>
      </c>
      <c r="AT25" s="83">
        <v>1.5499000000000001E-3</v>
      </c>
      <c r="AU25" s="83">
        <v>0.38457999999999998</v>
      </c>
      <c r="AV25" s="83">
        <v>0.31846999999999998</v>
      </c>
      <c r="AW25" s="83">
        <v>1.5499000000000001E-3</v>
      </c>
      <c r="AX25" s="83">
        <v>0.39421299999999998</v>
      </c>
      <c r="AY25" s="83">
        <v>0.32790599999999998</v>
      </c>
      <c r="AZ25" s="83">
        <v>1.5499000000000001E-3</v>
      </c>
      <c r="BA25" s="83">
        <v>0.392237</v>
      </c>
      <c r="BB25" s="83">
        <v>0.32625999999999999</v>
      </c>
      <c r="BC25" s="83">
        <v>1.5499000000000001E-3</v>
      </c>
      <c r="BD25" s="83">
        <v>0.387521</v>
      </c>
      <c r="BE25" s="83">
        <v>0.323017</v>
      </c>
      <c r="BF25" s="83">
        <v>1.5499000000000001E-3</v>
      </c>
      <c r="BG25" s="83">
        <v>0.38190499999999999</v>
      </c>
      <c r="BH25" s="83">
        <v>0.32293100000000002</v>
      </c>
      <c r="BI25" s="83">
        <v>1.5499000000000001E-3</v>
      </c>
      <c r="BJ25" s="83">
        <v>0.37548199999999998</v>
      </c>
      <c r="BK25" s="83">
        <v>0.32179000000000002</v>
      </c>
      <c r="BL25" s="83">
        <v>1.5499000000000001E-3</v>
      </c>
      <c r="BM25" s="83">
        <v>0.369751</v>
      </c>
      <c r="BN25" s="83">
        <v>0.32002999999999998</v>
      </c>
      <c r="BO25" s="83">
        <v>1.5499000000000001E-3</v>
      </c>
      <c r="BP25" s="83">
        <v>0.36269099999999999</v>
      </c>
      <c r="BQ25" s="83">
        <v>0.31919900000000001</v>
      </c>
      <c r="BR25" s="83">
        <v>1.5499000000000001E-3</v>
      </c>
      <c r="BS25" s="83">
        <v>0.36666100000000001</v>
      </c>
      <c r="BT25" s="83">
        <v>0.32973799999999998</v>
      </c>
      <c r="BU25" s="83">
        <v>1.5499000000000001E-3</v>
      </c>
      <c r="BV25" s="83">
        <v>0.34753299999999998</v>
      </c>
      <c r="BW25" s="83">
        <v>0.31821899999999997</v>
      </c>
      <c r="BX25" s="83">
        <v>1.5499000000000001E-3</v>
      </c>
      <c r="BY25" s="83">
        <v>0.35644300000000001</v>
      </c>
      <c r="BZ25" s="83">
        <v>0.33148100000000003</v>
      </c>
      <c r="CA25" s="83">
        <v>1.5499000000000001E-3</v>
      </c>
      <c r="CB25" s="83">
        <v>0.343719</v>
      </c>
      <c r="CC25" s="83">
        <v>0.324598</v>
      </c>
      <c r="CD25" s="83">
        <v>1.5499000000000001E-3</v>
      </c>
      <c r="CE25" s="83">
        <v>0.33408599999999999</v>
      </c>
      <c r="CF25" s="83">
        <v>0.32015199999999999</v>
      </c>
      <c r="CG25" s="83">
        <v>1.5499000000000001E-3</v>
      </c>
      <c r="CH25" s="83">
        <v>0.337584</v>
      </c>
      <c r="CI25" s="83">
        <v>0.32718700000000001</v>
      </c>
      <c r="CJ25" s="83">
        <v>1.5499000000000001E-3</v>
      </c>
      <c r="CK25" s="83">
        <v>0.33151900000000001</v>
      </c>
      <c r="CL25" s="83">
        <v>0.32207400000000003</v>
      </c>
      <c r="CM25" s="83">
        <v>1.5499000000000001E-3</v>
      </c>
      <c r="CN25" s="83">
        <v>0.32583499999999999</v>
      </c>
      <c r="CO25" s="83">
        <v>0.31898799999999999</v>
      </c>
      <c r="CP25" s="83">
        <v>1.5499000000000001E-3</v>
      </c>
      <c r="CQ25" s="83">
        <v>0.32422000000000001</v>
      </c>
      <c r="CR25" s="83">
        <v>0.31894800000000001</v>
      </c>
      <c r="CS25" s="83">
        <v>1.5499000000000001E-3</v>
      </c>
      <c r="CT25" s="83">
        <v>0.32929700000000001</v>
      </c>
      <c r="CU25" s="83">
        <v>0.32562600000000003</v>
      </c>
      <c r="CV25" s="83">
        <v>1.5499000000000001E-3</v>
      </c>
      <c r="CW25" s="83">
        <v>0.32564799999999999</v>
      </c>
      <c r="CX25" s="83">
        <v>0.32363599999999998</v>
      </c>
      <c r="CY25" s="83">
        <v>1.5499000000000001E-3</v>
      </c>
      <c r="CZ25" s="83">
        <v>0.32350800000000002</v>
      </c>
      <c r="DA25" s="83">
        <v>0.32263500000000001</v>
      </c>
    </row>
    <row r="26" spans="1:105" x14ac:dyDescent="0.2">
      <c r="A26" s="83">
        <v>1.6498999999999999E-3</v>
      </c>
      <c r="B26" s="83">
        <v>0.37014399999999997</v>
      </c>
      <c r="C26" s="83">
        <v>0.30069800000000002</v>
      </c>
      <c r="D26" s="83">
        <v>1.6498999999999999E-3</v>
      </c>
      <c r="E26" s="83">
        <v>0.38064999999999999</v>
      </c>
      <c r="F26" s="83">
        <v>0.31106</v>
      </c>
      <c r="G26" s="83">
        <v>1.6498999999999999E-3</v>
      </c>
      <c r="H26" s="83">
        <v>0.38483899999999999</v>
      </c>
      <c r="I26" s="83">
        <v>0.314633</v>
      </c>
      <c r="J26" s="83">
        <v>1.6498999999999999E-3</v>
      </c>
      <c r="K26" s="83">
        <v>0.370614</v>
      </c>
      <c r="L26" s="83">
        <v>0.30131599999999997</v>
      </c>
      <c r="M26" s="83">
        <v>1.6498999999999999E-3</v>
      </c>
      <c r="N26" s="83">
        <v>0.36986599999999997</v>
      </c>
      <c r="O26" s="83">
        <v>0.30091600000000002</v>
      </c>
      <c r="P26" s="83">
        <v>1.6498999999999999E-3</v>
      </c>
      <c r="Q26" s="83">
        <v>0.36888799999999999</v>
      </c>
      <c r="R26" s="83">
        <v>0.30013800000000002</v>
      </c>
      <c r="S26" s="83">
        <v>1.6498999999999999E-3</v>
      </c>
      <c r="T26" s="83">
        <v>0.37441600000000003</v>
      </c>
      <c r="U26" s="83">
        <v>0.30544100000000002</v>
      </c>
      <c r="V26" s="83">
        <v>1.6498999999999999E-3</v>
      </c>
      <c r="W26" s="83">
        <v>0.381241</v>
      </c>
      <c r="X26" s="83">
        <v>0.31164199999999997</v>
      </c>
      <c r="Y26" s="83">
        <v>1.6498999999999999E-3</v>
      </c>
      <c r="Z26" s="83">
        <v>0.36845899999999998</v>
      </c>
      <c r="AA26" s="83">
        <v>0.30039100000000002</v>
      </c>
      <c r="AB26" s="83">
        <v>1.6498999999999999E-3</v>
      </c>
      <c r="AC26" s="83">
        <v>0.37471700000000002</v>
      </c>
      <c r="AD26" s="83">
        <v>0.30621999999999999</v>
      </c>
      <c r="AE26" s="83">
        <v>1.6498999999999999E-3</v>
      </c>
      <c r="AF26" s="83">
        <v>0.37763999999999998</v>
      </c>
      <c r="AG26" s="83">
        <v>0.30989699999999998</v>
      </c>
      <c r="AH26" s="83">
        <v>1.6498999999999999E-3</v>
      </c>
      <c r="AI26" s="83">
        <v>0.37652000000000002</v>
      </c>
      <c r="AJ26" s="83">
        <v>0.30895800000000001</v>
      </c>
      <c r="AK26" s="83">
        <v>1.6498999999999999E-3</v>
      </c>
      <c r="AL26" s="83">
        <v>0.37746299999999999</v>
      </c>
      <c r="AM26" s="83">
        <v>0.30968499999999999</v>
      </c>
      <c r="AN26" s="83">
        <v>1.6498999999999999E-3</v>
      </c>
      <c r="AO26" s="83">
        <v>0.364869</v>
      </c>
      <c r="AP26" s="83">
        <v>0.299012</v>
      </c>
      <c r="AQ26" s="83">
        <v>1.6498999999999999E-3</v>
      </c>
      <c r="AR26" s="83">
        <v>0.37224299999999999</v>
      </c>
      <c r="AS26" s="83">
        <v>0.30586600000000003</v>
      </c>
      <c r="AT26" s="83">
        <v>1.6498999999999999E-3</v>
      </c>
      <c r="AU26" s="83">
        <v>0.36549999999999999</v>
      </c>
      <c r="AV26" s="83">
        <v>0.30065900000000001</v>
      </c>
      <c r="AW26" s="83">
        <v>1.6498999999999999E-3</v>
      </c>
      <c r="AX26" s="83">
        <v>0.37421300000000002</v>
      </c>
      <c r="AY26" s="83">
        <v>0.30923499999999998</v>
      </c>
      <c r="AZ26" s="83">
        <v>1.6498999999999999E-3</v>
      </c>
      <c r="BA26" s="83">
        <v>0.37192700000000001</v>
      </c>
      <c r="BB26" s="83">
        <v>0.30787599999999998</v>
      </c>
      <c r="BC26" s="83">
        <v>1.6498999999999999E-3</v>
      </c>
      <c r="BD26" s="83">
        <v>0.367257</v>
      </c>
      <c r="BE26" s="83">
        <v>0.30465199999999998</v>
      </c>
      <c r="BF26" s="83">
        <v>1.6498999999999999E-3</v>
      </c>
      <c r="BG26" s="83">
        <v>0.36178399999999999</v>
      </c>
      <c r="BH26" s="83">
        <v>0.30468600000000001</v>
      </c>
      <c r="BI26" s="83">
        <v>1.6498999999999999E-3</v>
      </c>
      <c r="BJ26" s="83">
        <v>0.35607</v>
      </c>
      <c r="BK26" s="83">
        <v>0.30358600000000002</v>
      </c>
      <c r="BL26" s="83">
        <v>1.6498999999999999E-3</v>
      </c>
      <c r="BM26" s="83">
        <v>0.35022500000000001</v>
      </c>
      <c r="BN26" s="83">
        <v>0.30191899999999999</v>
      </c>
      <c r="BO26" s="83">
        <v>1.6498999999999999E-3</v>
      </c>
      <c r="BP26" s="83">
        <v>0.34342200000000001</v>
      </c>
      <c r="BQ26" s="83">
        <v>0.301153</v>
      </c>
      <c r="BR26" s="83">
        <v>1.6498999999999999E-3</v>
      </c>
      <c r="BS26" s="83">
        <v>0.34774100000000002</v>
      </c>
      <c r="BT26" s="83">
        <v>0.31104999999999999</v>
      </c>
      <c r="BU26" s="83">
        <v>1.6498999999999999E-3</v>
      </c>
      <c r="BV26" s="83">
        <v>0.32883899999999999</v>
      </c>
      <c r="BW26" s="83">
        <v>0.30024699999999999</v>
      </c>
      <c r="BX26" s="83">
        <v>1.6498999999999999E-3</v>
      </c>
      <c r="BY26" s="83">
        <v>0.33668500000000001</v>
      </c>
      <c r="BZ26" s="83">
        <v>0.31271599999999999</v>
      </c>
      <c r="CA26" s="83">
        <v>1.6498999999999999E-3</v>
      </c>
      <c r="CB26" s="83">
        <v>0.32506600000000002</v>
      </c>
      <c r="CC26" s="83">
        <v>0.30615700000000001</v>
      </c>
      <c r="CD26" s="83">
        <v>1.6498999999999999E-3</v>
      </c>
      <c r="CE26" s="83">
        <v>0.31626500000000002</v>
      </c>
      <c r="CF26" s="83">
        <v>0.30214000000000002</v>
      </c>
      <c r="CG26" s="83">
        <v>1.6498999999999999E-3</v>
      </c>
      <c r="CH26" s="83">
        <v>0.31917600000000002</v>
      </c>
      <c r="CI26" s="83">
        <v>0.30869400000000002</v>
      </c>
      <c r="CJ26" s="83">
        <v>1.6498999999999999E-3</v>
      </c>
      <c r="CK26" s="83">
        <v>0.31297599999999998</v>
      </c>
      <c r="CL26" s="83">
        <v>0.303788</v>
      </c>
      <c r="CM26" s="83">
        <v>1.6498999999999999E-3</v>
      </c>
      <c r="CN26" s="83">
        <v>0.30774000000000001</v>
      </c>
      <c r="CO26" s="83">
        <v>0.30088199999999998</v>
      </c>
      <c r="CP26" s="83">
        <v>1.6498999999999999E-3</v>
      </c>
      <c r="CQ26" s="83">
        <v>0.30615599999999998</v>
      </c>
      <c r="CR26" s="83">
        <v>0.30102200000000001</v>
      </c>
      <c r="CS26" s="83">
        <v>1.6498999999999999E-3</v>
      </c>
      <c r="CT26" s="83">
        <v>0.31025999999999998</v>
      </c>
      <c r="CU26" s="83">
        <v>0.30704500000000001</v>
      </c>
      <c r="CV26" s="83">
        <v>1.6498999999999999E-3</v>
      </c>
      <c r="CW26" s="83">
        <v>0.30714200000000003</v>
      </c>
      <c r="CX26" s="83">
        <v>0.30527500000000002</v>
      </c>
      <c r="CY26" s="83">
        <v>1.6498999999999999E-3</v>
      </c>
      <c r="CZ26" s="83">
        <v>0.30507099999999998</v>
      </c>
      <c r="DA26" s="83">
        <v>0.30422300000000002</v>
      </c>
    </row>
    <row r="27" spans="1:105" x14ac:dyDescent="0.2">
      <c r="A27" s="83">
        <v>1.7499E-3</v>
      </c>
      <c r="B27" s="83">
        <v>0.35238999999999998</v>
      </c>
      <c r="C27" s="83">
        <v>0.28369499999999997</v>
      </c>
      <c r="D27" s="83">
        <v>1.7499E-3</v>
      </c>
      <c r="E27" s="83">
        <v>0.362265</v>
      </c>
      <c r="F27" s="83">
        <v>0.29345199999999999</v>
      </c>
      <c r="G27" s="83">
        <v>1.7499E-3</v>
      </c>
      <c r="H27" s="83">
        <v>0.36634100000000003</v>
      </c>
      <c r="I27" s="83">
        <v>0.29670600000000003</v>
      </c>
      <c r="J27" s="83">
        <v>1.7499E-3</v>
      </c>
      <c r="K27" s="83">
        <v>0.35220000000000001</v>
      </c>
      <c r="L27" s="83">
        <v>0.28428700000000001</v>
      </c>
      <c r="M27" s="83">
        <v>1.7499E-3</v>
      </c>
      <c r="N27" s="83">
        <v>0.35166999999999998</v>
      </c>
      <c r="O27" s="83">
        <v>0.283999</v>
      </c>
      <c r="P27" s="83">
        <v>1.7499E-3</v>
      </c>
      <c r="Q27" s="83">
        <v>0.35064200000000001</v>
      </c>
      <c r="R27" s="83">
        <v>0.28322799999999998</v>
      </c>
      <c r="S27" s="83">
        <v>1.7499E-3</v>
      </c>
      <c r="T27" s="83">
        <v>0.35589100000000001</v>
      </c>
      <c r="U27" s="83">
        <v>0.288132</v>
      </c>
      <c r="V27" s="83">
        <v>1.7499E-3</v>
      </c>
      <c r="W27" s="83">
        <v>0.36181099999999999</v>
      </c>
      <c r="X27" s="83">
        <v>0.29392200000000002</v>
      </c>
      <c r="Y27" s="83">
        <v>1.7499E-3</v>
      </c>
      <c r="Z27" s="83">
        <v>0.34964400000000001</v>
      </c>
      <c r="AA27" s="83">
        <v>0.28346300000000002</v>
      </c>
      <c r="AB27" s="83">
        <v>1.7499E-3</v>
      </c>
      <c r="AC27" s="83">
        <v>0.355883</v>
      </c>
      <c r="AD27" s="83">
        <v>0.28884799999999999</v>
      </c>
      <c r="AE27" s="83">
        <v>1.7499E-3</v>
      </c>
      <c r="AF27" s="83">
        <v>0.35848400000000002</v>
      </c>
      <c r="AG27" s="83">
        <v>0.29229500000000003</v>
      </c>
      <c r="AH27" s="83">
        <v>1.7499E-3</v>
      </c>
      <c r="AI27" s="83">
        <v>0.35727999999999999</v>
      </c>
      <c r="AJ27" s="83">
        <v>0.29141099999999998</v>
      </c>
      <c r="AK27" s="83">
        <v>1.7499E-3</v>
      </c>
      <c r="AL27" s="83">
        <v>0.35839900000000002</v>
      </c>
      <c r="AM27" s="83">
        <v>0.29222199999999998</v>
      </c>
      <c r="AN27" s="83">
        <v>1.7499E-3</v>
      </c>
      <c r="AO27" s="83">
        <v>0.34613699999999997</v>
      </c>
      <c r="AP27" s="83">
        <v>0.28215600000000002</v>
      </c>
      <c r="AQ27" s="83">
        <v>1.7499E-3</v>
      </c>
      <c r="AR27" s="83">
        <v>0.35248299999999999</v>
      </c>
      <c r="AS27" s="83">
        <v>0.28850100000000001</v>
      </c>
      <c r="AT27" s="83">
        <v>1.7499E-3</v>
      </c>
      <c r="AU27" s="83">
        <v>0.346524</v>
      </c>
      <c r="AV27" s="83">
        <v>0.283889</v>
      </c>
      <c r="AW27" s="83">
        <v>1.7499E-3</v>
      </c>
      <c r="AX27" s="83">
        <v>0.35451700000000003</v>
      </c>
      <c r="AY27" s="83">
        <v>0.29170299999999999</v>
      </c>
      <c r="AZ27" s="83">
        <v>1.7499E-3</v>
      </c>
      <c r="BA27" s="83">
        <v>0.35281899999999999</v>
      </c>
      <c r="BB27" s="83">
        <v>0.29055300000000001</v>
      </c>
      <c r="BC27" s="83">
        <v>1.7499E-3</v>
      </c>
      <c r="BD27" s="83">
        <v>0.34804400000000002</v>
      </c>
      <c r="BE27" s="83">
        <v>0.287412</v>
      </c>
      <c r="BF27" s="83">
        <v>1.7499E-3</v>
      </c>
      <c r="BG27" s="83">
        <v>0.34274300000000002</v>
      </c>
      <c r="BH27" s="83">
        <v>0.28750999999999999</v>
      </c>
      <c r="BI27" s="83">
        <v>1.7499E-3</v>
      </c>
      <c r="BJ27" s="83">
        <v>0.337368</v>
      </c>
      <c r="BK27" s="83">
        <v>0.286524</v>
      </c>
      <c r="BL27" s="83">
        <v>1.7499E-3</v>
      </c>
      <c r="BM27" s="83">
        <v>0.33155299999999999</v>
      </c>
      <c r="BN27" s="83">
        <v>0.28486299999999998</v>
      </c>
      <c r="BO27" s="83">
        <v>1.7499E-3</v>
      </c>
      <c r="BP27" s="83">
        <v>0.32522600000000002</v>
      </c>
      <c r="BQ27" s="83">
        <v>0.28416200000000003</v>
      </c>
      <c r="BR27" s="83">
        <v>1.7499E-3</v>
      </c>
      <c r="BS27" s="83">
        <v>0.32875100000000002</v>
      </c>
      <c r="BT27" s="83">
        <v>0.29349799999999998</v>
      </c>
      <c r="BU27" s="83">
        <v>1.7499E-3</v>
      </c>
      <c r="BV27" s="83">
        <v>0.31079499999999999</v>
      </c>
      <c r="BW27" s="83">
        <v>0.28336600000000001</v>
      </c>
      <c r="BX27" s="83">
        <v>1.7499E-3</v>
      </c>
      <c r="BY27" s="83">
        <v>0.318519</v>
      </c>
      <c r="BZ27" s="83">
        <v>0.29505900000000002</v>
      </c>
      <c r="CA27" s="83">
        <v>1.7499E-3</v>
      </c>
      <c r="CB27" s="83">
        <v>0.30691000000000002</v>
      </c>
      <c r="CC27" s="83">
        <v>0.28883799999999998</v>
      </c>
      <c r="CD27" s="83">
        <v>1.7499E-3</v>
      </c>
      <c r="CE27" s="83">
        <v>0.29898400000000003</v>
      </c>
      <c r="CF27" s="83">
        <v>0.28518300000000002</v>
      </c>
      <c r="CG27" s="83">
        <v>1.7499E-3</v>
      </c>
      <c r="CH27" s="83">
        <v>0.30149799999999999</v>
      </c>
      <c r="CI27" s="83">
        <v>0.29128399999999999</v>
      </c>
      <c r="CJ27" s="83">
        <v>1.7499E-3</v>
      </c>
      <c r="CK27" s="83">
        <v>0.29558699999999999</v>
      </c>
      <c r="CL27" s="83">
        <v>0.28667799999999999</v>
      </c>
      <c r="CM27" s="83">
        <v>1.7499E-3</v>
      </c>
      <c r="CN27" s="83">
        <v>0.29063600000000001</v>
      </c>
      <c r="CO27" s="83">
        <v>0.28387000000000001</v>
      </c>
      <c r="CP27" s="83">
        <v>1.7499E-3</v>
      </c>
      <c r="CQ27" s="83">
        <v>0.288659</v>
      </c>
      <c r="CR27" s="83">
        <v>0.28411500000000001</v>
      </c>
      <c r="CS27" s="83">
        <v>1.7499E-3</v>
      </c>
      <c r="CT27" s="83">
        <v>0.29278100000000001</v>
      </c>
      <c r="CU27" s="83">
        <v>0.28963100000000003</v>
      </c>
      <c r="CV27" s="83">
        <v>1.7499E-3</v>
      </c>
      <c r="CW27" s="83">
        <v>0.28932400000000003</v>
      </c>
      <c r="CX27" s="83">
        <v>0.28798600000000002</v>
      </c>
      <c r="CY27" s="83">
        <v>1.7499E-3</v>
      </c>
      <c r="CZ27" s="83">
        <v>0.28726800000000002</v>
      </c>
      <c r="DA27" s="83">
        <v>0.28694700000000001</v>
      </c>
    </row>
    <row r="28" spans="1:105" x14ac:dyDescent="0.2">
      <c r="A28" s="83">
        <v>1.8499E-3</v>
      </c>
      <c r="B28" s="83">
        <v>0.33520899999999998</v>
      </c>
      <c r="C28" s="83">
        <v>0.26765899999999998</v>
      </c>
      <c r="D28" s="83">
        <v>1.8499E-3</v>
      </c>
      <c r="E28" s="83">
        <v>0.34425299999999998</v>
      </c>
      <c r="F28" s="83">
        <v>0.27689399999999997</v>
      </c>
      <c r="G28" s="83">
        <v>1.8499E-3</v>
      </c>
      <c r="H28" s="83">
        <v>0.34824699999999997</v>
      </c>
      <c r="I28" s="83">
        <v>0.27993499999999999</v>
      </c>
      <c r="J28" s="83">
        <v>1.8499E-3</v>
      </c>
      <c r="K28" s="83">
        <v>0.335231</v>
      </c>
      <c r="L28" s="83">
        <v>0.26827899999999999</v>
      </c>
      <c r="M28" s="83">
        <v>1.8499E-3</v>
      </c>
      <c r="N28" s="83">
        <v>0.33474300000000001</v>
      </c>
      <c r="O28" s="83">
        <v>0.26808100000000001</v>
      </c>
      <c r="P28" s="83">
        <v>1.8499E-3</v>
      </c>
      <c r="Q28" s="83">
        <v>0.33320300000000003</v>
      </c>
      <c r="R28" s="83">
        <v>0.26731700000000003</v>
      </c>
      <c r="S28" s="83">
        <v>1.8499E-3</v>
      </c>
      <c r="T28" s="83">
        <v>0.33796300000000001</v>
      </c>
      <c r="U28" s="83">
        <v>0.27180900000000002</v>
      </c>
      <c r="V28" s="83">
        <v>1.8499E-3</v>
      </c>
      <c r="W28" s="83">
        <v>0.34377999999999997</v>
      </c>
      <c r="X28" s="83">
        <v>0.27729399999999998</v>
      </c>
      <c r="Y28" s="83">
        <v>1.8499E-3</v>
      </c>
      <c r="Z28" s="83">
        <v>0.33267999999999998</v>
      </c>
      <c r="AA28" s="83">
        <v>0.26751599999999998</v>
      </c>
      <c r="AB28" s="83">
        <v>1.8499E-3</v>
      </c>
      <c r="AC28" s="83">
        <v>0.33770800000000001</v>
      </c>
      <c r="AD28" s="83">
        <v>0.27251399999999998</v>
      </c>
      <c r="AE28" s="83">
        <v>1.8499E-3</v>
      </c>
      <c r="AF28" s="83">
        <v>0.34031</v>
      </c>
      <c r="AG28" s="83">
        <v>0.27577299999999999</v>
      </c>
      <c r="AH28" s="83">
        <v>1.8499E-3</v>
      </c>
      <c r="AI28" s="83">
        <v>0.33952199999999999</v>
      </c>
      <c r="AJ28" s="83">
        <v>0.274922</v>
      </c>
      <c r="AK28" s="83">
        <v>1.8499E-3</v>
      </c>
      <c r="AL28" s="83">
        <v>0.33998400000000001</v>
      </c>
      <c r="AM28" s="83">
        <v>0.27576600000000001</v>
      </c>
      <c r="AN28" s="83">
        <v>1.8499E-3</v>
      </c>
      <c r="AO28" s="83">
        <v>0.32818000000000003</v>
      </c>
      <c r="AP28" s="83">
        <v>0.26625500000000002</v>
      </c>
      <c r="AQ28" s="83">
        <v>1.8499E-3</v>
      </c>
      <c r="AR28" s="83">
        <v>0.334565</v>
      </c>
      <c r="AS28" s="83">
        <v>0.27217599999999997</v>
      </c>
      <c r="AT28" s="83">
        <v>1.8499E-3</v>
      </c>
      <c r="AU28" s="83">
        <v>0.32894000000000001</v>
      </c>
      <c r="AV28" s="83">
        <v>0.26803399999999999</v>
      </c>
      <c r="AW28" s="83">
        <v>1.8499E-3</v>
      </c>
      <c r="AX28" s="83">
        <v>0.33637899999999998</v>
      </c>
      <c r="AY28" s="83">
        <v>0.27523599999999998</v>
      </c>
      <c r="AZ28" s="83">
        <v>1.8499E-3</v>
      </c>
      <c r="BA28" s="83">
        <v>0.33468999999999999</v>
      </c>
      <c r="BB28" s="83">
        <v>0.27421299999999998</v>
      </c>
      <c r="BC28" s="83">
        <v>1.8499E-3</v>
      </c>
      <c r="BD28" s="83">
        <v>0.32996199999999998</v>
      </c>
      <c r="BE28" s="83">
        <v>0.271144</v>
      </c>
      <c r="BF28" s="83">
        <v>1.8499E-3</v>
      </c>
      <c r="BG28" s="83">
        <v>0.32429000000000002</v>
      </c>
      <c r="BH28" s="83">
        <v>0.271316</v>
      </c>
      <c r="BI28" s="83">
        <v>1.8499E-3</v>
      </c>
      <c r="BJ28" s="83">
        <v>0.31920199999999999</v>
      </c>
      <c r="BK28" s="83">
        <v>0.27041199999999999</v>
      </c>
      <c r="BL28" s="83">
        <v>1.8499E-3</v>
      </c>
      <c r="BM28" s="83">
        <v>0.31364900000000001</v>
      </c>
      <c r="BN28" s="83">
        <v>0.26880399999999999</v>
      </c>
      <c r="BO28" s="83">
        <v>1.8499E-3</v>
      </c>
      <c r="BP28" s="83">
        <v>0.30776300000000001</v>
      </c>
      <c r="BQ28" s="83">
        <v>0.26814100000000002</v>
      </c>
      <c r="BR28" s="83">
        <v>1.8499E-3</v>
      </c>
      <c r="BS28" s="83">
        <v>0.31095400000000001</v>
      </c>
      <c r="BT28" s="83">
        <v>0.27698800000000001</v>
      </c>
      <c r="BU28" s="83">
        <v>1.8499E-3</v>
      </c>
      <c r="BV28" s="83">
        <v>0.29375000000000001</v>
      </c>
      <c r="BW28" s="83">
        <v>0.26744099999999998</v>
      </c>
      <c r="BX28" s="83">
        <v>1.8499E-3</v>
      </c>
      <c r="BY28" s="83">
        <v>0.30117699999999997</v>
      </c>
      <c r="BZ28" s="83">
        <v>0.278445</v>
      </c>
      <c r="CA28" s="83">
        <v>1.8499E-3</v>
      </c>
      <c r="CB28" s="83">
        <v>0.28972500000000001</v>
      </c>
      <c r="CC28" s="83">
        <v>0.272505</v>
      </c>
      <c r="CD28" s="83">
        <v>1.8499E-3</v>
      </c>
      <c r="CE28" s="83">
        <v>0.28216000000000002</v>
      </c>
      <c r="CF28" s="83">
        <v>0.26919599999999999</v>
      </c>
      <c r="CG28" s="83">
        <v>1.8499E-3</v>
      </c>
      <c r="CH28" s="83">
        <v>0.284717</v>
      </c>
      <c r="CI28" s="83">
        <v>0.27489599999999997</v>
      </c>
      <c r="CJ28" s="83">
        <v>1.8499E-3</v>
      </c>
      <c r="CK28" s="83">
        <v>0.27884100000000001</v>
      </c>
      <c r="CL28" s="83">
        <v>0.27050200000000002</v>
      </c>
      <c r="CM28" s="83">
        <v>1.8499E-3</v>
      </c>
      <c r="CN28" s="83">
        <v>0.27400099999999999</v>
      </c>
      <c r="CO28" s="83">
        <v>0.26783400000000002</v>
      </c>
      <c r="CP28" s="83">
        <v>1.8499E-3</v>
      </c>
      <c r="CQ28" s="83">
        <v>0.272318</v>
      </c>
      <c r="CR28" s="83">
        <v>0.268202</v>
      </c>
      <c r="CS28" s="83">
        <v>1.8499E-3</v>
      </c>
      <c r="CT28" s="83">
        <v>0.27579100000000001</v>
      </c>
      <c r="CU28" s="83">
        <v>0.27322800000000003</v>
      </c>
      <c r="CV28" s="83">
        <v>1.8499E-3</v>
      </c>
      <c r="CW28" s="83">
        <v>0.272814</v>
      </c>
      <c r="CX28" s="83">
        <v>0.27168599999999998</v>
      </c>
      <c r="CY28" s="83">
        <v>1.8499E-3</v>
      </c>
      <c r="CZ28" s="83">
        <v>0.27004899999999998</v>
      </c>
      <c r="DA28" s="83">
        <v>0.270677</v>
      </c>
    </row>
    <row r="29" spans="1:105" x14ac:dyDescent="0.2">
      <c r="A29" s="83">
        <v>1.9499000000000001E-3</v>
      </c>
      <c r="B29" s="83">
        <v>0.31845899999999999</v>
      </c>
      <c r="C29" s="83">
        <v>0.25271300000000002</v>
      </c>
      <c r="D29" s="83">
        <v>1.9499000000000001E-3</v>
      </c>
      <c r="E29" s="83">
        <v>0.32769300000000001</v>
      </c>
      <c r="F29" s="83">
        <v>0.26134800000000002</v>
      </c>
      <c r="G29" s="83">
        <v>1.9499000000000001E-3</v>
      </c>
      <c r="H29" s="83">
        <v>0.33078400000000002</v>
      </c>
      <c r="I29" s="83">
        <v>0.26410699999999998</v>
      </c>
      <c r="J29" s="83">
        <v>1.9499000000000001E-3</v>
      </c>
      <c r="K29" s="83">
        <v>0.31838699999999998</v>
      </c>
      <c r="L29" s="83">
        <v>0.253301</v>
      </c>
      <c r="M29" s="83">
        <v>1.9499000000000001E-3</v>
      </c>
      <c r="N29" s="83">
        <v>0.31808599999999998</v>
      </c>
      <c r="O29" s="83">
        <v>0.25320100000000001</v>
      </c>
      <c r="P29" s="83">
        <v>1.9499000000000001E-3</v>
      </c>
      <c r="Q29" s="83">
        <v>0.31638500000000003</v>
      </c>
      <c r="R29" s="83">
        <v>0.25243100000000002</v>
      </c>
      <c r="S29" s="83">
        <v>1.9499000000000001E-3</v>
      </c>
      <c r="T29" s="83">
        <v>0.32084200000000002</v>
      </c>
      <c r="U29" s="83">
        <v>0.25653900000000002</v>
      </c>
      <c r="V29" s="83">
        <v>1.9499000000000001E-3</v>
      </c>
      <c r="W29" s="83">
        <v>0.32625799999999999</v>
      </c>
      <c r="X29" s="83">
        <v>0.26165899999999997</v>
      </c>
      <c r="Y29" s="83">
        <v>1.9499000000000001E-3</v>
      </c>
      <c r="Z29" s="83">
        <v>0.31554900000000002</v>
      </c>
      <c r="AA29" s="83">
        <v>0.25261</v>
      </c>
      <c r="AB29" s="83">
        <v>1.9499000000000001E-3</v>
      </c>
      <c r="AC29" s="83">
        <v>0.32081100000000001</v>
      </c>
      <c r="AD29" s="83">
        <v>0.25721100000000002</v>
      </c>
      <c r="AE29" s="83">
        <v>1.9499000000000001E-3</v>
      </c>
      <c r="AF29" s="83">
        <v>0.32305800000000001</v>
      </c>
      <c r="AG29" s="83">
        <v>0.26024399999999998</v>
      </c>
      <c r="AH29" s="83">
        <v>1.9499000000000001E-3</v>
      </c>
      <c r="AI29" s="83">
        <v>0.32200200000000001</v>
      </c>
      <c r="AJ29" s="83">
        <v>0.25944400000000001</v>
      </c>
      <c r="AK29" s="83">
        <v>1.9499000000000001E-3</v>
      </c>
      <c r="AL29" s="83">
        <v>0.32267800000000002</v>
      </c>
      <c r="AM29" s="83">
        <v>0.26030500000000001</v>
      </c>
      <c r="AN29" s="83">
        <v>1.9499000000000001E-3</v>
      </c>
      <c r="AO29" s="83">
        <v>0.311612</v>
      </c>
      <c r="AP29" s="83">
        <v>0.25141200000000002</v>
      </c>
      <c r="AQ29" s="83">
        <v>1.9499000000000001E-3</v>
      </c>
      <c r="AR29" s="83">
        <v>0.31731300000000001</v>
      </c>
      <c r="AS29" s="83">
        <v>0.25689299999999998</v>
      </c>
      <c r="AT29" s="83">
        <v>1.9499000000000001E-3</v>
      </c>
      <c r="AU29" s="83">
        <v>0.31210199999999999</v>
      </c>
      <c r="AV29" s="83">
        <v>0.25320500000000001</v>
      </c>
      <c r="AW29" s="83">
        <v>1.9499000000000001E-3</v>
      </c>
      <c r="AX29" s="83">
        <v>0.31907400000000002</v>
      </c>
      <c r="AY29" s="83">
        <v>0.25976199999999999</v>
      </c>
      <c r="AZ29" s="83">
        <v>1.9499000000000001E-3</v>
      </c>
      <c r="BA29" s="83">
        <v>0.31679000000000002</v>
      </c>
      <c r="BB29" s="83">
        <v>0.25890400000000002</v>
      </c>
      <c r="BC29" s="83">
        <v>1.9499000000000001E-3</v>
      </c>
      <c r="BD29" s="83">
        <v>0.31221399999999999</v>
      </c>
      <c r="BE29" s="83">
        <v>0.25595299999999999</v>
      </c>
      <c r="BF29" s="83">
        <v>1.9499000000000001E-3</v>
      </c>
      <c r="BG29" s="83">
        <v>0.30746899999999999</v>
      </c>
      <c r="BH29" s="83">
        <v>0.256166</v>
      </c>
      <c r="BI29" s="83">
        <v>1.9499000000000001E-3</v>
      </c>
      <c r="BJ29" s="83">
        <v>0.30238599999999999</v>
      </c>
      <c r="BK29" s="83">
        <v>0.25534400000000002</v>
      </c>
      <c r="BL29" s="83">
        <v>1.9499000000000001E-3</v>
      </c>
      <c r="BM29" s="83">
        <v>0.29674099999999998</v>
      </c>
      <c r="BN29" s="83">
        <v>0.25375599999999998</v>
      </c>
      <c r="BO29" s="83">
        <v>1.9499000000000001E-3</v>
      </c>
      <c r="BP29" s="83">
        <v>0.29051199999999999</v>
      </c>
      <c r="BQ29" s="83">
        <v>0.253195</v>
      </c>
      <c r="BR29" s="83">
        <v>1.9499000000000001E-3</v>
      </c>
      <c r="BS29" s="83">
        <v>0.29394599999999999</v>
      </c>
      <c r="BT29" s="83">
        <v>0.26142199999999999</v>
      </c>
      <c r="BU29" s="83">
        <v>1.9499000000000001E-3</v>
      </c>
      <c r="BV29" s="83">
        <v>0.27781600000000001</v>
      </c>
      <c r="BW29" s="83">
        <v>0.25253700000000001</v>
      </c>
      <c r="BX29" s="83">
        <v>1.9499000000000001E-3</v>
      </c>
      <c r="BY29" s="83">
        <v>0.28460299999999999</v>
      </c>
      <c r="BZ29" s="83">
        <v>0.26283299999999998</v>
      </c>
      <c r="CA29" s="83">
        <v>1.9499000000000001E-3</v>
      </c>
      <c r="CB29" s="83">
        <v>0.27424999999999999</v>
      </c>
      <c r="CC29" s="83">
        <v>0.257241</v>
      </c>
      <c r="CD29" s="83">
        <v>1.9499000000000001E-3</v>
      </c>
      <c r="CE29" s="83">
        <v>0.26666000000000001</v>
      </c>
      <c r="CF29" s="83">
        <v>0.254193</v>
      </c>
      <c r="CG29" s="83">
        <v>1.9499000000000001E-3</v>
      </c>
      <c r="CH29" s="83">
        <v>0.268895</v>
      </c>
      <c r="CI29" s="83">
        <v>0.25948100000000002</v>
      </c>
      <c r="CJ29" s="83">
        <v>1.9499000000000001E-3</v>
      </c>
      <c r="CK29" s="83">
        <v>0.26323200000000002</v>
      </c>
      <c r="CL29" s="83">
        <v>0.25534299999999999</v>
      </c>
      <c r="CM29" s="83">
        <v>1.9499000000000001E-3</v>
      </c>
      <c r="CN29" s="83">
        <v>0.25831399999999999</v>
      </c>
      <c r="CO29" s="83">
        <v>0.25283899999999998</v>
      </c>
      <c r="CP29" s="83">
        <v>1.9499000000000001E-3</v>
      </c>
      <c r="CQ29" s="83">
        <v>0.257216</v>
      </c>
      <c r="CR29" s="83">
        <v>0.25330900000000001</v>
      </c>
      <c r="CS29" s="83">
        <v>1.9499000000000001E-3</v>
      </c>
      <c r="CT29" s="83">
        <v>0.26033200000000001</v>
      </c>
      <c r="CU29" s="83">
        <v>0.25784200000000002</v>
      </c>
      <c r="CV29" s="83">
        <v>1.9499000000000001E-3</v>
      </c>
      <c r="CW29" s="83">
        <v>0.257023</v>
      </c>
      <c r="CX29" s="83">
        <v>0.25643300000000002</v>
      </c>
      <c r="CY29" s="83">
        <v>1.9499000000000001E-3</v>
      </c>
      <c r="CZ29" s="83">
        <v>0.25445400000000001</v>
      </c>
      <c r="DA29" s="83">
        <v>0.25547799999999998</v>
      </c>
    </row>
    <row r="30" spans="1:105" x14ac:dyDescent="0.2">
      <c r="A30" s="83">
        <v>2.0498999999999999E-3</v>
      </c>
      <c r="B30" s="83">
        <v>0.30297800000000003</v>
      </c>
      <c r="C30" s="83">
        <v>0.23866299999999999</v>
      </c>
      <c r="D30" s="83">
        <v>2.0498999999999999E-3</v>
      </c>
      <c r="E30" s="83">
        <v>0.31125199999999997</v>
      </c>
      <c r="F30" s="83">
        <v>0.24677299999999999</v>
      </c>
      <c r="G30" s="83">
        <v>2.0498999999999999E-3</v>
      </c>
      <c r="H30" s="83">
        <v>0.31425900000000001</v>
      </c>
      <c r="I30" s="83">
        <v>0.24937300000000001</v>
      </c>
      <c r="J30" s="83">
        <v>2.0498999999999999E-3</v>
      </c>
      <c r="K30" s="83">
        <v>0.30245</v>
      </c>
      <c r="L30" s="83">
        <v>0.23926900000000001</v>
      </c>
      <c r="M30" s="83">
        <v>2.0498999999999999E-3</v>
      </c>
      <c r="N30" s="83">
        <v>0.30247299999999999</v>
      </c>
      <c r="O30" s="83">
        <v>0.23921799999999999</v>
      </c>
      <c r="P30" s="83">
        <v>2.0498999999999999E-3</v>
      </c>
      <c r="Q30" s="83">
        <v>0.30085099999999998</v>
      </c>
      <c r="R30" s="83">
        <v>0.23851900000000001</v>
      </c>
      <c r="S30" s="83">
        <v>2.0498999999999999E-3</v>
      </c>
      <c r="T30" s="83">
        <v>0.30442599999999997</v>
      </c>
      <c r="U30" s="83">
        <v>0.242257</v>
      </c>
      <c r="V30" s="83">
        <v>2.0498999999999999E-3</v>
      </c>
      <c r="W30" s="83">
        <v>0.309637</v>
      </c>
      <c r="X30" s="83">
        <v>0.247057</v>
      </c>
      <c r="Y30" s="83">
        <v>2.0498999999999999E-3</v>
      </c>
      <c r="Z30" s="83">
        <v>0.29977500000000001</v>
      </c>
      <c r="AA30" s="83">
        <v>0.23863300000000001</v>
      </c>
      <c r="AB30" s="83">
        <v>2.0498999999999999E-3</v>
      </c>
      <c r="AC30" s="83">
        <v>0.304342</v>
      </c>
      <c r="AD30" s="83">
        <v>0.24290100000000001</v>
      </c>
      <c r="AE30" s="83">
        <v>2.0498999999999999E-3</v>
      </c>
      <c r="AF30" s="83">
        <v>0.306427</v>
      </c>
      <c r="AG30" s="83">
        <v>0.24574499999999999</v>
      </c>
      <c r="AH30" s="83">
        <v>2.0498999999999999E-3</v>
      </c>
      <c r="AI30" s="83">
        <v>0.30508999999999997</v>
      </c>
      <c r="AJ30" s="83">
        <v>0.244973</v>
      </c>
      <c r="AK30" s="83">
        <v>2.0498999999999999E-3</v>
      </c>
      <c r="AL30" s="83">
        <v>0.30613499999999999</v>
      </c>
      <c r="AM30" s="83">
        <v>0.24587500000000001</v>
      </c>
      <c r="AN30" s="83">
        <v>2.0498999999999999E-3</v>
      </c>
      <c r="AO30" s="83">
        <v>0.29567199999999999</v>
      </c>
      <c r="AP30" s="83">
        <v>0.23750399999999999</v>
      </c>
      <c r="AQ30" s="83">
        <v>2.0498999999999999E-3</v>
      </c>
      <c r="AR30" s="83">
        <v>0.30037199999999997</v>
      </c>
      <c r="AS30" s="83">
        <v>0.242589</v>
      </c>
      <c r="AT30" s="83">
        <v>2.0498999999999999E-3</v>
      </c>
      <c r="AU30" s="83">
        <v>0.29563299999999998</v>
      </c>
      <c r="AV30" s="83">
        <v>0.23929500000000001</v>
      </c>
      <c r="AW30" s="83">
        <v>2.0498999999999999E-3</v>
      </c>
      <c r="AX30" s="83">
        <v>0.30198199999999997</v>
      </c>
      <c r="AY30" s="83">
        <v>0.24534600000000001</v>
      </c>
      <c r="AZ30" s="83">
        <v>2.0498999999999999E-3</v>
      </c>
      <c r="BA30" s="83">
        <v>0.30033500000000002</v>
      </c>
      <c r="BB30" s="83">
        <v>0.24457200000000001</v>
      </c>
      <c r="BC30" s="83">
        <v>2.0498999999999999E-3</v>
      </c>
      <c r="BD30" s="83">
        <v>0.29574499999999998</v>
      </c>
      <c r="BE30" s="83">
        <v>0.24169599999999999</v>
      </c>
      <c r="BF30" s="83">
        <v>2.0498999999999999E-3</v>
      </c>
      <c r="BG30" s="83">
        <v>0.29112399999999999</v>
      </c>
      <c r="BH30" s="83">
        <v>0.241983</v>
      </c>
      <c r="BI30" s="83">
        <v>2.0498999999999999E-3</v>
      </c>
      <c r="BJ30" s="83">
        <v>0.285945</v>
      </c>
      <c r="BK30" s="83">
        <v>0.241227</v>
      </c>
      <c r="BL30" s="83">
        <v>2.0498999999999999E-3</v>
      </c>
      <c r="BM30" s="83">
        <v>0.28052199999999999</v>
      </c>
      <c r="BN30" s="83">
        <v>0.23965600000000001</v>
      </c>
      <c r="BO30" s="83">
        <v>2.0498999999999999E-3</v>
      </c>
      <c r="BP30" s="83">
        <v>0.27483000000000002</v>
      </c>
      <c r="BQ30" s="83">
        <v>0.23915800000000001</v>
      </c>
      <c r="BR30" s="83">
        <v>2.0498999999999999E-3</v>
      </c>
      <c r="BS30" s="83">
        <v>0.27787400000000001</v>
      </c>
      <c r="BT30" s="83">
        <v>0.246916</v>
      </c>
      <c r="BU30" s="83">
        <v>2.0498999999999999E-3</v>
      </c>
      <c r="BV30" s="83">
        <v>0.26258599999999999</v>
      </c>
      <c r="BW30" s="83">
        <v>0.23858599999999999</v>
      </c>
      <c r="BX30" s="83">
        <v>2.0498999999999999E-3</v>
      </c>
      <c r="BY30" s="83">
        <v>0.26892500000000003</v>
      </c>
      <c r="BZ30" s="83">
        <v>0.24818299999999999</v>
      </c>
      <c r="CA30" s="83">
        <v>2.0498999999999999E-3</v>
      </c>
      <c r="CB30" s="83">
        <v>0.25897799999999999</v>
      </c>
      <c r="CC30" s="83">
        <v>0.24291399999999999</v>
      </c>
      <c r="CD30" s="83">
        <v>2.0498999999999999E-3</v>
      </c>
      <c r="CE30" s="83">
        <v>0.25160500000000002</v>
      </c>
      <c r="CF30" s="83">
        <v>0.24013899999999999</v>
      </c>
      <c r="CG30" s="83">
        <v>2.0498999999999999E-3</v>
      </c>
      <c r="CH30" s="83">
        <v>0.25398399999999999</v>
      </c>
      <c r="CI30" s="83">
        <v>0.245064</v>
      </c>
      <c r="CJ30" s="83">
        <v>2.0498999999999999E-3</v>
      </c>
      <c r="CK30" s="83">
        <v>0.24793299999999999</v>
      </c>
      <c r="CL30" s="83">
        <v>0.24116199999999999</v>
      </c>
      <c r="CM30" s="83">
        <v>2.0498999999999999E-3</v>
      </c>
      <c r="CN30" s="83">
        <v>0.243587</v>
      </c>
      <c r="CO30" s="83">
        <v>0.238787</v>
      </c>
      <c r="CP30" s="83">
        <v>2.0498999999999999E-3</v>
      </c>
      <c r="CQ30" s="83">
        <v>0.24237600000000001</v>
      </c>
      <c r="CR30" s="83">
        <v>0.23927100000000001</v>
      </c>
      <c r="CS30" s="83">
        <v>2.0498999999999999E-3</v>
      </c>
      <c r="CT30" s="83">
        <v>0.24493999999999999</v>
      </c>
      <c r="CU30" s="83">
        <v>0.24345900000000001</v>
      </c>
      <c r="CV30" s="83">
        <v>2.0498999999999999E-3</v>
      </c>
      <c r="CW30" s="83">
        <v>0.24216499999999999</v>
      </c>
      <c r="CX30" s="83">
        <v>0.24216499999999999</v>
      </c>
      <c r="CY30" s="83">
        <v>2.0498999999999999E-3</v>
      </c>
      <c r="CZ30" s="83">
        <v>0.23963899999999999</v>
      </c>
      <c r="DA30" s="83">
        <v>0.24126700000000001</v>
      </c>
    </row>
    <row r="31" spans="1:105" x14ac:dyDescent="0.2">
      <c r="A31" s="83">
        <v>2.1499000000000002E-3</v>
      </c>
      <c r="B31" s="83">
        <v>0.28800900000000001</v>
      </c>
      <c r="C31" s="83">
        <v>0.22547800000000001</v>
      </c>
      <c r="D31" s="83">
        <v>2.1499000000000002E-3</v>
      </c>
      <c r="E31" s="83">
        <v>0.29589199999999999</v>
      </c>
      <c r="F31" s="83">
        <v>0.23309099999999999</v>
      </c>
      <c r="G31" s="83">
        <v>2.1499000000000002E-3</v>
      </c>
      <c r="H31" s="83">
        <v>0.298653</v>
      </c>
      <c r="I31" s="83">
        <v>0.235538</v>
      </c>
      <c r="J31" s="83">
        <v>2.1499000000000002E-3</v>
      </c>
      <c r="K31" s="83">
        <v>0.28711599999999998</v>
      </c>
      <c r="L31" s="83">
        <v>0.22603599999999999</v>
      </c>
      <c r="M31" s="83">
        <v>2.1499000000000002E-3</v>
      </c>
      <c r="N31" s="83">
        <v>0.28710200000000002</v>
      </c>
      <c r="O31" s="83">
        <v>0.22606399999999999</v>
      </c>
      <c r="P31" s="83">
        <v>2.1499000000000002E-3</v>
      </c>
      <c r="Q31" s="83">
        <v>0.28554299999999999</v>
      </c>
      <c r="R31" s="83">
        <v>0.22539799999999999</v>
      </c>
      <c r="S31" s="83">
        <v>2.1499000000000002E-3</v>
      </c>
      <c r="T31" s="83">
        <v>0.28914699999999999</v>
      </c>
      <c r="U31" s="83">
        <v>0.22888700000000001</v>
      </c>
      <c r="V31" s="83">
        <v>2.1499000000000002E-3</v>
      </c>
      <c r="W31" s="83">
        <v>0.29400799999999999</v>
      </c>
      <c r="X31" s="83">
        <v>0.23336100000000001</v>
      </c>
      <c r="Y31" s="83">
        <v>2.1499000000000002E-3</v>
      </c>
      <c r="Z31" s="83">
        <v>0.284719</v>
      </c>
      <c r="AA31" s="83">
        <v>0.22553200000000001</v>
      </c>
      <c r="AB31" s="83">
        <v>2.1499000000000002E-3</v>
      </c>
      <c r="AC31" s="83">
        <v>0.28862199999999999</v>
      </c>
      <c r="AD31" s="83">
        <v>0.22953399999999999</v>
      </c>
      <c r="AE31" s="83">
        <v>2.1499000000000002E-3</v>
      </c>
      <c r="AF31" s="83">
        <v>0.29124100000000003</v>
      </c>
      <c r="AG31" s="83">
        <v>0.23214199999999999</v>
      </c>
      <c r="AH31" s="83">
        <v>2.1499000000000002E-3</v>
      </c>
      <c r="AI31" s="83">
        <v>0.289491</v>
      </c>
      <c r="AJ31" s="83">
        <v>0.23138400000000001</v>
      </c>
      <c r="AK31" s="83">
        <v>2.1499000000000002E-3</v>
      </c>
      <c r="AL31" s="83">
        <v>0.29015400000000002</v>
      </c>
      <c r="AM31" s="83">
        <v>0.23228299999999999</v>
      </c>
      <c r="AN31" s="83">
        <v>2.1499000000000002E-3</v>
      </c>
      <c r="AO31" s="83">
        <v>0.280391</v>
      </c>
      <c r="AP31" s="83">
        <v>0.224472</v>
      </c>
      <c r="AQ31" s="83">
        <v>2.1499000000000002E-3</v>
      </c>
      <c r="AR31" s="83">
        <v>0.28498099999999998</v>
      </c>
      <c r="AS31" s="83">
        <v>0.22917399999999999</v>
      </c>
      <c r="AT31" s="83">
        <v>2.1499000000000002E-3</v>
      </c>
      <c r="AU31" s="83">
        <v>0.28033599999999997</v>
      </c>
      <c r="AV31" s="83">
        <v>0.22623799999999999</v>
      </c>
      <c r="AW31" s="83">
        <v>2.1499000000000002E-3</v>
      </c>
      <c r="AX31" s="83">
        <v>0.286412</v>
      </c>
      <c r="AY31" s="83">
        <v>0.23178499999999999</v>
      </c>
      <c r="AZ31" s="83">
        <v>2.1499000000000002E-3</v>
      </c>
      <c r="BA31" s="83">
        <v>0.28420000000000001</v>
      </c>
      <c r="BB31" s="83">
        <v>0.231128</v>
      </c>
      <c r="BC31" s="83">
        <v>2.1499000000000002E-3</v>
      </c>
      <c r="BD31" s="83">
        <v>0.28003800000000001</v>
      </c>
      <c r="BE31" s="83">
        <v>0.228348</v>
      </c>
      <c r="BF31" s="83">
        <v>2.1499000000000002E-3</v>
      </c>
      <c r="BG31" s="83">
        <v>0.27540100000000001</v>
      </c>
      <c r="BH31" s="83">
        <v>0.22866800000000001</v>
      </c>
      <c r="BI31" s="83">
        <v>2.1499000000000002E-3</v>
      </c>
      <c r="BJ31" s="83">
        <v>0.27058100000000002</v>
      </c>
      <c r="BK31" s="83">
        <v>0.227994</v>
      </c>
      <c r="BL31" s="83">
        <v>2.1499000000000002E-3</v>
      </c>
      <c r="BM31" s="83">
        <v>0.26549499999999998</v>
      </c>
      <c r="BN31" s="83">
        <v>0.226435</v>
      </c>
      <c r="BO31" s="83">
        <v>2.1499000000000002E-3</v>
      </c>
      <c r="BP31" s="83">
        <v>0.26020100000000002</v>
      </c>
      <c r="BQ31" s="83">
        <v>0.22603100000000001</v>
      </c>
      <c r="BR31" s="83">
        <v>2.1499000000000002E-3</v>
      </c>
      <c r="BS31" s="83">
        <v>0.26272499999999999</v>
      </c>
      <c r="BT31" s="83">
        <v>0.233288</v>
      </c>
      <c r="BU31" s="83">
        <v>2.1499000000000002E-3</v>
      </c>
      <c r="BV31" s="83">
        <v>0.247978</v>
      </c>
      <c r="BW31" s="83">
        <v>0.22545100000000001</v>
      </c>
      <c r="BX31" s="83">
        <v>2.1499000000000002E-3</v>
      </c>
      <c r="BY31" s="83">
        <v>0.25406000000000001</v>
      </c>
      <c r="BZ31" s="83">
        <v>0.23449600000000001</v>
      </c>
      <c r="CA31" s="83">
        <v>2.1499000000000002E-3</v>
      </c>
      <c r="CB31" s="83">
        <v>0.24459800000000001</v>
      </c>
      <c r="CC31" s="83">
        <v>0.22949</v>
      </c>
      <c r="CD31" s="83">
        <v>2.1499000000000002E-3</v>
      </c>
      <c r="CE31" s="83">
        <v>0.23732800000000001</v>
      </c>
      <c r="CF31" s="83">
        <v>0.226934</v>
      </c>
      <c r="CG31" s="83">
        <v>2.1499000000000002E-3</v>
      </c>
      <c r="CH31" s="83">
        <v>0.23902699999999999</v>
      </c>
      <c r="CI31" s="83">
        <v>0.23152900000000001</v>
      </c>
      <c r="CJ31" s="83">
        <v>2.1499000000000002E-3</v>
      </c>
      <c r="CK31" s="83">
        <v>0.233872</v>
      </c>
      <c r="CL31" s="83">
        <v>0.227824</v>
      </c>
      <c r="CM31" s="83">
        <v>2.1499000000000002E-3</v>
      </c>
      <c r="CN31" s="83">
        <v>0.22958300000000001</v>
      </c>
      <c r="CO31" s="83">
        <v>0.22558</v>
      </c>
      <c r="CP31" s="83">
        <v>2.1499000000000002E-3</v>
      </c>
      <c r="CQ31" s="83">
        <v>0.228327</v>
      </c>
      <c r="CR31" s="83">
        <v>0.22613</v>
      </c>
      <c r="CS31" s="83">
        <v>2.1499000000000002E-3</v>
      </c>
      <c r="CT31" s="83">
        <v>0.23094400000000001</v>
      </c>
      <c r="CU31" s="83">
        <v>0.229934</v>
      </c>
      <c r="CV31" s="83">
        <v>2.1499000000000002E-3</v>
      </c>
      <c r="CW31" s="83">
        <v>0.227857</v>
      </c>
      <c r="CX31" s="83">
        <v>0.22878599999999999</v>
      </c>
      <c r="CY31" s="83">
        <v>2.1499000000000002E-3</v>
      </c>
      <c r="CZ31" s="83">
        <v>0.22576199999999999</v>
      </c>
      <c r="DA31" s="83">
        <v>0.227936</v>
      </c>
    </row>
    <row r="32" spans="1:105" x14ac:dyDescent="0.2">
      <c r="A32" s="83">
        <v>2.2499E-3</v>
      </c>
      <c r="B32" s="83">
        <v>0.27341599999999999</v>
      </c>
      <c r="C32" s="83">
        <v>0.21310699999999999</v>
      </c>
      <c r="D32" s="83">
        <v>2.2499E-3</v>
      </c>
      <c r="E32" s="83">
        <v>0.281171</v>
      </c>
      <c r="F32" s="83">
        <v>0.22026399999999999</v>
      </c>
      <c r="G32" s="83">
        <v>2.2499E-3</v>
      </c>
      <c r="H32" s="83">
        <v>0.28375899999999998</v>
      </c>
      <c r="I32" s="83">
        <v>0.22255900000000001</v>
      </c>
      <c r="J32" s="83">
        <v>2.2499E-3</v>
      </c>
      <c r="K32" s="83">
        <v>0.27319199999999999</v>
      </c>
      <c r="L32" s="83">
        <v>0.21364900000000001</v>
      </c>
      <c r="M32" s="83">
        <v>2.2499E-3</v>
      </c>
      <c r="N32" s="83">
        <v>0.27290700000000001</v>
      </c>
      <c r="O32" s="83">
        <v>0.21370600000000001</v>
      </c>
      <c r="P32" s="83">
        <v>2.2499E-3</v>
      </c>
      <c r="Q32" s="83">
        <v>0.27119100000000002</v>
      </c>
      <c r="R32" s="83">
        <v>0.21307200000000001</v>
      </c>
      <c r="S32" s="83">
        <v>2.2499E-3</v>
      </c>
      <c r="T32" s="83">
        <v>0.27452599999999999</v>
      </c>
      <c r="U32" s="83">
        <v>0.216278</v>
      </c>
      <c r="V32" s="83">
        <v>2.2499E-3</v>
      </c>
      <c r="W32" s="83">
        <v>0.27906500000000001</v>
      </c>
      <c r="X32" s="83">
        <v>0.22054199999999999</v>
      </c>
      <c r="Y32" s="83">
        <v>2.2499E-3</v>
      </c>
      <c r="Z32" s="83">
        <v>0.270262</v>
      </c>
      <c r="AA32" s="83">
        <v>0.21316199999999999</v>
      </c>
      <c r="AB32" s="83">
        <v>2.2499E-3</v>
      </c>
      <c r="AC32" s="83">
        <v>0.27346700000000002</v>
      </c>
      <c r="AD32" s="83">
        <v>0.21693999999999999</v>
      </c>
      <c r="AE32" s="83">
        <v>2.2499E-3</v>
      </c>
      <c r="AF32" s="83">
        <v>0.27605400000000002</v>
      </c>
      <c r="AG32" s="83">
        <v>0.219416</v>
      </c>
      <c r="AH32" s="83">
        <v>2.2499E-3</v>
      </c>
      <c r="AI32" s="83">
        <v>0.274619</v>
      </c>
      <c r="AJ32" s="83">
        <v>0.21868000000000001</v>
      </c>
      <c r="AK32" s="83">
        <v>2.2499E-3</v>
      </c>
      <c r="AL32" s="83">
        <v>0.27534199999999998</v>
      </c>
      <c r="AM32" s="83">
        <v>0.21959200000000001</v>
      </c>
      <c r="AN32" s="83">
        <v>2.2499E-3</v>
      </c>
      <c r="AO32" s="83">
        <v>0.26597100000000001</v>
      </c>
      <c r="AP32" s="83">
        <v>0.21218300000000001</v>
      </c>
      <c r="AQ32" s="83">
        <v>2.2499E-3</v>
      </c>
      <c r="AR32" s="83">
        <v>0.27015899999999998</v>
      </c>
      <c r="AS32" s="83">
        <v>0.216644</v>
      </c>
      <c r="AT32" s="83">
        <v>2.2499E-3</v>
      </c>
      <c r="AU32" s="83">
        <v>0.26597700000000002</v>
      </c>
      <c r="AV32" s="83">
        <v>0.213978</v>
      </c>
      <c r="AW32" s="83">
        <v>2.2499E-3</v>
      </c>
      <c r="AX32" s="83">
        <v>0.27124799999999999</v>
      </c>
      <c r="AY32" s="83">
        <v>0.21911700000000001</v>
      </c>
      <c r="AZ32" s="83">
        <v>2.2499E-3</v>
      </c>
      <c r="BA32" s="83">
        <v>0.26904400000000001</v>
      </c>
      <c r="BB32" s="83">
        <v>0.21853300000000001</v>
      </c>
      <c r="BC32" s="83">
        <v>2.2499E-3</v>
      </c>
      <c r="BD32" s="83">
        <v>0.26498899999999997</v>
      </c>
      <c r="BE32" s="83">
        <v>0.21584500000000001</v>
      </c>
      <c r="BF32" s="83">
        <v>2.2499E-3</v>
      </c>
      <c r="BG32" s="83">
        <v>0.26074700000000001</v>
      </c>
      <c r="BH32" s="83">
        <v>0.216224</v>
      </c>
      <c r="BI32" s="83">
        <v>2.2499E-3</v>
      </c>
      <c r="BJ32" s="83">
        <v>0.25590200000000002</v>
      </c>
      <c r="BK32" s="83">
        <v>0.215584</v>
      </c>
      <c r="BL32" s="83">
        <v>2.2499E-3</v>
      </c>
      <c r="BM32" s="83">
        <v>0.25097900000000001</v>
      </c>
      <c r="BN32" s="83">
        <v>0.21409400000000001</v>
      </c>
      <c r="BO32" s="83">
        <v>2.2499E-3</v>
      </c>
      <c r="BP32" s="83">
        <v>0.24590999999999999</v>
      </c>
      <c r="BQ32" s="83">
        <v>0.213699</v>
      </c>
      <c r="BR32" s="83">
        <v>2.2499E-3</v>
      </c>
      <c r="BS32" s="83">
        <v>0.24856300000000001</v>
      </c>
      <c r="BT32" s="83">
        <v>0.22050400000000001</v>
      </c>
      <c r="BU32" s="83">
        <v>2.2499E-3</v>
      </c>
      <c r="BV32" s="83">
        <v>0.23430599999999999</v>
      </c>
      <c r="BW32" s="83">
        <v>0.21317900000000001</v>
      </c>
      <c r="BX32" s="83">
        <v>2.2499E-3</v>
      </c>
      <c r="BY32" s="83">
        <v>0.23993500000000001</v>
      </c>
      <c r="BZ32" s="83">
        <v>0.22164500000000001</v>
      </c>
      <c r="CA32" s="83">
        <v>2.2499E-3</v>
      </c>
      <c r="CB32" s="83">
        <v>0.231123</v>
      </c>
      <c r="CC32" s="83">
        <v>0.21691099999999999</v>
      </c>
      <c r="CD32" s="83">
        <v>2.2499E-3</v>
      </c>
      <c r="CE32" s="83">
        <v>0.22384399999999999</v>
      </c>
      <c r="CF32" s="83">
        <v>0.21455099999999999</v>
      </c>
      <c r="CG32" s="83">
        <v>2.2499E-3</v>
      </c>
      <c r="CH32" s="83">
        <v>0.22541800000000001</v>
      </c>
      <c r="CI32" s="83">
        <v>0.21884400000000001</v>
      </c>
      <c r="CJ32" s="83">
        <v>2.2499E-3</v>
      </c>
      <c r="CK32" s="83">
        <v>0.220439</v>
      </c>
      <c r="CL32" s="83">
        <v>0.21537400000000001</v>
      </c>
      <c r="CM32" s="83">
        <v>2.2499E-3</v>
      </c>
      <c r="CN32" s="83">
        <v>0.21610299999999999</v>
      </c>
      <c r="CO32" s="83">
        <v>0.21321000000000001</v>
      </c>
      <c r="CP32" s="83">
        <v>2.2499E-3</v>
      </c>
      <c r="CQ32" s="83">
        <v>0.215251</v>
      </c>
      <c r="CR32" s="83">
        <v>0.21378900000000001</v>
      </c>
      <c r="CS32" s="83">
        <v>2.2499E-3</v>
      </c>
      <c r="CT32" s="83">
        <v>0.216922</v>
      </c>
      <c r="CU32" s="83">
        <v>0.21725800000000001</v>
      </c>
      <c r="CV32" s="83">
        <v>2.2499E-3</v>
      </c>
      <c r="CW32" s="83">
        <v>0.21469299999999999</v>
      </c>
      <c r="CX32" s="83">
        <v>0.21621599999999999</v>
      </c>
      <c r="CY32" s="83">
        <v>2.2499E-3</v>
      </c>
      <c r="CZ32" s="83">
        <v>0.21251600000000001</v>
      </c>
      <c r="DA32" s="83">
        <v>0.21543799999999999</v>
      </c>
    </row>
    <row r="33" spans="1:105" x14ac:dyDescent="0.2">
      <c r="A33" s="83">
        <v>2.3498999999999998E-3</v>
      </c>
      <c r="B33" s="83">
        <v>0.26011099999999998</v>
      </c>
      <c r="C33" s="83">
        <v>0.20141400000000001</v>
      </c>
      <c r="D33" s="83">
        <v>2.3498999999999998E-3</v>
      </c>
      <c r="E33" s="83">
        <v>0.26733200000000001</v>
      </c>
      <c r="F33" s="83">
        <v>0.20814199999999999</v>
      </c>
      <c r="G33" s="83">
        <v>2.3498999999999998E-3</v>
      </c>
      <c r="H33" s="83">
        <v>0.269482</v>
      </c>
      <c r="I33" s="83">
        <v>0.210317</v>
      </c>
      <c r="J33" s="83">
        <v>2.3498999999999998E-3</v>
      </c>
      <c r="K33" s="83">
        <v>0.25894800000000001</v>
      </c>
      <c r="L33" s="83">
        <v>0.20191899999999999</v>
      </c>
      <c r="M33" s="83">
        <v>2.3498999999999998E-3</v>
      </c>
      <c r="N33" s="83">
        <v>0.258934</v>
      </c>
      <c r="O33" s="83">
        <v>0.20200399999999999</v>
      </c>
      <c r="P33" s="83">
        <v>2.3498999999999998E-3</v>
      </c>
      <c r="Q33" s="83">
        <v>0.25781199999999999</v>
      </c>
      <c r="R33" s="83">
        <v>0.20141600000000001</v>
      </c>
      <c r="S33" s="83">
        <v>2.3498999999999998E-3</v>
      </c>
      <c r="T33" s="83">
        <v>0.26038499999999998</v>
      </c>
      <c r="U33" s="83">
        <v>0.204369</v>
      </c>
      <c r="V33" s="83">
        <v>2.3498999999999998E-3</v>
      </c>
      <c r="W33" s="83">
        <v>0.26499800000000001</v>
      </c>
      <c r="X33" s="83">
        <v>0.208394</v>
      </c>
      <c r="Y33" s="83">
        <v>2.3498999999999998E-3</v>
      </c>
      <c r="Z33" s="83">
        <v>0.25619500000000001</v>
      </c>
      <c r="AA33" s="83">
        <v>0.20150299999999999</v>
      </c>
      <c r="AB33" s="83">
        <v>2.3498999999999998E-3</v>
      </c>
      <c r="AC33" s="83">
        <v>0.25958100000000001</v>
      </c>
      <c r="AD33" s="83">
        <v>0.205039</v>
      </c>
      <c r="AE33" s="83">
        <v>2.3498999999999998E-3</v>
      </c>
      <c r="AF33" s="83">
        <v>0.261741</v>
      </c>
      <c r="AG33" s="83">
        <v>0.207369</v>
      </c>
      <c r="AH33" s="83">
        <v>2.3498999999999998E-3</v>
      </c>
      <c r="AI33" s="83">
        <v>0.26030900000000001</v>
      </c>
      <c r="AJ33" s="83">
        <v>0.20666000000000001</v>
      </c>
      <c r="AK33" s="83">
        <v>2.3498999999999998E-3</v>
      </c>
      <c r="AL33" s="83">
        <v>0.260963</v>
      </c>
      <c r="AM33" s="83">
        <v>0.20757100000000001</v>
      </c>
      <c r="AN33" s="83">
        <v>2.3498999999999998E-3</v>
      </c>
      <c r="AO33" s="83">
        <v>0.25172699999999998</v>
      </c>
      <c r="AP33" s="83">
        <v>0.20058799999999999</v>
      </c>
      <c r="AQ33" s="83">
        <v>2.3498999999999998E-3</v>
      </c>
      <c r="AR33" s="83">
        <v>0.25534600000000002</v>
      </c>
      <c r="AS33" s="83">
        <v>0.20474200000000001</v>
      </c>
      <c r="AT33" s="83">
        <v>2.3498999999999998E-3</v>
      </c>
      <c r="AU33" s="83">
        <v>0.25204300000000002</v>
      </c>
      <c r="AV33" s="83">
        <v>0.202323</v>
      </c>
      <c r="AW33" s="83">
        <v>2.3498999999999998E-3</v>
      </c>
      <c r="AX33" s="83">
        <v>0.256826</v>
      </c>
      <c r="AY33" s="83">
        <v>0.20712</v>
      </c>
      <c r="AZ33" s="83">
        <v>2.3498999999999998E-3</v>
      </c>
      <c r="BA33" s="83">
        <v>0.25494800000000001</v>
      </c>
      <c r="BB33" s="83">
        <v>0.20660100000000001</v>
      </c>
      <c r="BC33" s="83">
        <v>2.3498999999999998E-3</v>
      </c>
      <c r="BD33" s="83">
        <v>0.25079200000000001</v>
      </c>
      <c r="BE33" s="83">
        <v>0.20397699999999999</v>
      </c>
      <c r="BF33" s="83">
        <v>2.3498999999999998E-3</v>
      </c>
      <c r="BG33" s="83">
        <v>0.24665100000000001</v>
      </c>
      <c r="BH33" s="83">
        <v>0.204372</v>
      </c>
      <c r="BI33" s="83">
        <v>2.3498999999999998E-3</v>
      </c>
      <c r="BJ33" s="83">
        <v>0.242202</v>
      </c>
      <c r="BK33" s="83">
        <v>0.20383599999999999</v>
      </c>
      <c r="BL33" s="83">
        <v>2.3498999999999998E-3</v>
      </c>
      <c r="BM33" s="83">
        <v>0.23704600000000001</v>
      </c>
      <c r="BN33" s="83">
        <v>0.202351</v>
      </c>
      <c r="BO33" s="83">
        <v>2.3498999999999998E-3</v>
      </c>
      <c r="BP33" s="83">
        <v>0.232125</v>
      </c>
      <c r="BQ33" s="83">
        <v>0.20200399999999999</v>
      </c>
      <c r="BR33" s="83">
        <v>2.3498999999999998E-3</v>
      </c>
      <c r="BS33" s="83">
        <v>0.23471</v>
      </c>
      <c r="BT33" s="83">
        <v>0.208453</v>
      </c>
      <c r="BU33" s="83">
        <v>2.3498999999999998E-3</v>
      </c>
      <c r="BV33" s="83">
        <v>0.221418</v>
      </c>
      <c r="BW33" s="83">
        <v>0.20153599999999999</v>
      </c>
      <c r="BX33" s="83">
        <v>2.3498999999999998E-3</v>
      </c>
      <c r="BY33" s="83">
        <v>0.22589400000000001</v>
      </c>
      <c r="BZ33" s="83">
        <v>0.20952899999999999</v>
      </c>
      <c r="CA33" s="83">
        <v>2.3498999999999998E-3</v>
      </c>
      <c r="CB33" s="83">
        <v>0.217389</v>
      </c>
      <c r="CC33" s="83">
        <v>0.205043</v>
      </c>
      <c r="CD33" s="83">
        <v>2.3498999999999998E-3</v>
      </c>
      <c r="CE33" s="83">
        <v>0.211539</v>
      </c>
      <c r="CF33" s="83">
        <v>0.202874</v>
      </c>
      <c r="CG33" s="83">
        <v>2.3498999999999998E-3</v>
      </c>
      <c r="CH33" s="83">
        <v>0.21263699999999999</v>
      </c>
      <c r="CI33" s="83">
        <v>0.20686099999999999</v>
      </c>
      <c r="CJ33" s="83">
        <v>2.3498999999999998E-3</v>
      </c>
      <c r="CK33" s="83">
        <v>0.207736</v>
      </c>
      <c r="CL33" s="83">
        <v>0.20356399999999999</v>
      </c>
      <c r="CM33" s="83">
        <v>2.3498999999999998E-3</v>
      </c>
      <c r="CN33" s="83">
        <v>0.20344499999999999</v>
      </c>
      <c r="CO33" s="83">
        <v>0.20152200000000001</v>
      </c>
      <c r="CP33" s="83">
        <v>2.3498999999999998E-3</v>
      </c>
      <c r="CQ33" s="83">
        <v>0.202462</v>
      </c>
      <c r="CR33" s="83">
        <v>0.20214299999999999</v>
      </c>
      <c r="CS33" s="83">
        <v>2.3498999999999998E-3</v>
      </c>
      <c r="CT33" s="83">
        <v>0.204153</v>
      </c>
      <c r="CU33" s="83">
        <v>0.20529800000000001</v>
      </c>
      <c r="CV33" s="83">
        <v>2.3498999999999998E-3</v>
      </c>
      <c r="CW33" s="83">
        <v>0.201542</v>
      </c>
      <c r="CX33" s="83">
        <v>0.20435800000000001</v>
      </c>
      <c r="CY33" s="83">
        <v>2.3498999999999998E-3</v>
      </c>
      <c r="CZ33" s="83">
        <v>0.19977800000000001</v>
      </c>
      <c r="DA33" s="83">
        <v>0.20360700000000001</v>
      </c>
    </row>
    <row r="34" spans="1:105" x14ac:dyDescent="0.2">
      <c r="A34" s="83">
        <v>2.4499000000000001E-3</v>
      </c>
      <c r="B34" s="83">
        <v>0.24735699999999999</v>
      </c>
      <c r="C34" s="83">
        <v>0.190494</v>
      </c>
      <c r="D34" s="83">
        <v>2.4499000000000001E-3</v>
      </c>
      <c r="E34" s="83">
        <v>0.25392100000000001</v>
      </c>
      <c r="F34" s="83">
        <v>0.19675599999999999</v>
      </c>
      <c r="G34" s="83">
        <v>2.4499000000000001E-3</v>
      </c>
      <c r="H34" s="83">
        <v>0.25605</v>
      </c>
      <c r="I34" s="83">
        <v>0.1988</v>
      </c>
      <c r="J34" s="83">
        <v>2.4499000000000001E-3</v>
      </c>
      <c r="K34" s="83">
        <v>0.24618000000000001</v>
      </c>
      <c r="L34" s="83">
        <v>0.19096399999999999</v>
      </c>
      <c r="M34" s="83">
        <v>2.4499000000000001E-3</v>
      </c>
      <c r="N34" s="83">
        <v>0.24610799999999999</v>
      </c>
      <c r="O34" s="83">
        <v>0.19105</v>
      </c>
      <c r="P34" s="83">
        <v>2.4499000000000001E-3</v>
      </c>
      <c r="Q34" s="83">
        <v>0.244474</v>
      </c>
      <c r="R34" s="83">
        <v>0.190522</v>
      </c>
      <c r="S34" s="83">
        <v>2.4499000000000001E-3</v>
      </c>
      <c r="T34" s="83">
        <v>0.24674199999999999</v>
      </c>
      <c r="U34" s="83">
        <v>0.19325500000000001</v>
      </c>
      <c r="V34" s="83">
        <v>2.4499000000000001E-3</v>
      </c>
      <c r="W34" s="83">
        <v>0.25132500000000002</v>
      </c>
      <c r="X34" s="83">
        <v>0.19700400000000001</v>
      </c>
      <c r="Y34" s="83">
        <v>2.4499000000000001E-3</v>
      </c>
      <c r="Z34" s="83">
        <v>0.242836</v>
      </c>
      <c r="AA34" s="83">
        <v>0.190577</v>
      </c>
      <c r="AB34" s="83">
        <v>2.4499000000000001E-3</v>
      </c>
      <c r="AC34" s="83">
        <v>0.246278</v>
      </c>
      <c r="AD34" s="83">
        <v>0.193858</v>
      </c>
      <c r="AE34" s="83">
        <v>2.4499000000000001E-3</v>
      </c>
      <c r="AF34" s="83">
        <v>0.248136</v>
      </c>
      <c r="AG34" s="83">
        <v>0.19605300000000001</v>
      </c>
      <c r="AH34" s="83">
        <v>2.4499000000000001E-3</v>
      </c>
      <c r="AI34" s="83">
        <v>0.24671499999999999</v>
      </c>
      <c r="AJ34" s="83">
        <v>0.195379</v>
      </c>
      <c r="AK34" s="83">
        <v>2.4499000000000001E-3</v>
      </c>
      <c r="AL34" s="83">
        <v>0.24737300000000001</v>
      </c>
      <c r="AM34" s="83">
        <v>0.19627</v>
      </c>
      <c r="AN34" s="83">
        <v>2.4499000000000001E-3</v>
      </c>
      <c r="AO34" s="83">
        <v>0.23786199999999999</v>
      </c>
      <c r="AP34" s="83">
        <v>0.18967800000000001</v>
      </c>
      <c r="AQ34" s="83">
        <v>2.4499000000000001E-3</v>
      </c>
      <c r="AR34" s="83">
        <v>0.242169</v>
      </c>
      <c r="AS34" s="83">
        <v>0.19359199999999999</v>
      </c>
      <c r="AT34" s="83">
        <v>2.4499000000000001E-3</v>
      </c>
      <c r="AU34" s="83">
        <v>0.23852799999999999</v>
      </c>
      <c r="AV34" s="83">
        <v>0.191413</v>
      </c>
      <c r="AW34" s="83">
        <v>2.4499000000000001E-3</v>
      </c>
      <c r="AX34" s="83">
        <v>0.24290800000000001</v>
      </c>
      <c r="AY34" s="83">
        <v>0.19583500000000001</v>
      </c>
      <c r="AZ34" s="83">
        <v>2.4499000000000001E-3</v>
      </c>
      <c r="BA34" s="83">
        <v>0.24115900000000001</v>
      </c>
      <c r="BB34" s="83">
        <v>0.19539100000000001</v>
      </c>
      <c r="BC34" s="83">
        <v>2.4499000000000001E-3</v>
      </c>
      <c r="BD34" s="83">
        <v>0.23706199999999999</v>
      </c>
      <c r="BE34" s="83">
        <v>0.19286500000000001</v>
      </c>
      <c r="BF34" s="83">
        <v>2.4499000000000001E-3</v>
      </c>
      <c r="BG34" s="83">
        <v>0.233155</v>
      </c>
      <c r="BH34" s="83">
        <v>0.193271</v>
      </c>
      <c r="BI34" s="83">
        <v>2.4499000000000001E-3</v>
      </c>
      <c r="BJ34" s="83">
        <v>0.228857</v>
      </c>
      <c r="BK34" s="83">
        <v>0.192801</v>
      </c>
      <c r="BL34" s="83">
        <v>2.4499000000000001E-3</v>
      </c>
      <c r="BM34" s="83">
        <v>0.224216</v>
      </c>
      <c r="BN34" s="83">
        <v>0.191383</v>
      </c>
      <c r="BO34" s="83">
        <v>2.4499000000000001E-3</v>
      </c>
      <c r="BP34" s="83">
        <v>0.21940200000000001</v>
      </c>
      <c r="BQ34" s="83">
        <v>0.19106000000000001</v>
      </c>
      <c r="BR34" s="83">
        <v>2.4499000000000001E-3</v>
      </c>
      <c r="BS34" s="83">
        <v>0.221583</v>
      </c>
      <c r="BT34" s="83">
        <v>0.197102</v>
      </c>
      <c r="BU34" s="83">
        <v>2.4499000000000001E-3</v>
      </c>
      <c r="BV34" s="83">
        <v>0.208759</v>
      </c>
      <c r="BW34" s="83">
        <v>0.19064</v>
      </c>
      <c r="BX34" s="83">
        <v>2.4499000000000001E-3</v>
      </c>
      <c r="BY34" s="83">
        <v>0.213562</v>
      </c>
      <c r="BZ34" s="83">
        <v>0.198133</v>
      </c>
      <c r="CA34" s="83">
        <v>2.4499000000000001E-3</v>
      </c>
      <c r="CB34" s="83">
        <v>0.20506199999999999</v>
      </c>
      <c r="CC34" s="83">
        <v>0.19389500000000001</v>
      </c>
      <c r="CD34" s="83">
        <v>2.4499000000000001E-3</v>
      </c>
      <c r="CE34" s="83">
        <v>0.199568</v>
      </c>
      <c r="CF34" s="83">
        <v>0.19188</v>
      </c>
      <c r="CG34" s="83">
        <v>2.4499000000000001E-3</v>
      </c>
      <c r="CH34" s="83">
        <v>0.200574</v>
      </c>
      <c r="CI34" s="83">
        <v>0.19564200000000001</v>
      </c>
      <c r="CJ34" s="83">
        <v>2.4499000000000001E-3</v>
      </c>
      <c r="CK34" s="83">
        <v>0.196156</v>
      </c>
      <c r="CL34" s="83">
        <v>0.192522</v>
      </c>
      <c r="CM34" s="83">
        <v>2.4499000000000001E-3</v>
      </c>
      <c r="CN34" s="83">
        <v>0.19180800000000001</v>
      </c>
      <c r="CO34" s="83">
        <v>0.19059200000000001</v>
      </c>
      <c r="CP34" s="83">
        <v>2.4499000000000001E-3</v>
      </c>
      <c r="CQ34" s="83">
        <v>0.19073999999999999</v>
      </c>
      <c r="CR34" s="83">
        <v>0.19123100000000001</v>
      </c>
      <c r="CS34" s="83">
        <v>2.4499000000000001E-3</v>
      </c>
      <c r="CT34" s="83">
        <v>0.19225400000000001</v>
      </c>
      <c r="CU34" s="83">
        <v>0.19411200000000001</v>
      </c>
      <c r="CV34" s="83">
        <v>2.4499000000000001E-3</v>
      </c>
      <c r="CW34" s="83">
        <v>0.18971399999999999</v>
      </c>
      <c r="CX34" s="83">
        <v>0.19327800000000001</v>
      </c>
      <c r="CY34" s="83">
        <v>2.4499000000000001E-3</v>
      </c>
      <c r="CZ34" s="83">
        <v>0.188114</v>
      </c>
      <c r="DA34" s="83">
        <v>0.192552</v>
      </c>
    </row>
    <row r="35" spans="1:105" x14ac:dyDescent="0.2">
      <c r="A35" s="83">
        <v>2.5498999999999999E-3</v>
      </c>
      <c r="B35" s="83">
        <v>0.234734</v>
      </c>
      <c r="C35" s="83">
        <v>0.18018799999999999</v>
      </c>
      <c r="D35" s="83">
        <v>2.5498999999999999E-3</v>
      </c>
      <c r="E35" s="83">
        <v>0.240951</v>
      </c>
      <c r="F35" s="83">
        <v>0.18612200000000001</v>
      </c>
      <c r="G35" s="83">
        <v>2.5498999999999999E-3</v>
      </c>
      <c r="H35" s="83">
        <v>0.24293699999999999</v>
      </c>
      <c r="I35" s="83">
        <v>0.188004</v>
      </c>
      <c r="J35" s="83">
        <v>2.5498999999999999E-3</v>
      </c>
      <c r="K35" s="83">
        <v>0.233516</v>
      </c>
      <c r="L35" s="83">
        <v>0.18063000000000001</v>
      </c>
      <c r="M35" s="83">
        <v>2.5498999999999999E-3</v>
      </c>
      <c r="N35" s="83">
        <v>0.23349500000000001</v>
      </c>
      <c r="O35" s="83">
        <v>0.18074599999999999</v>
      </c>
      <c r="P35" s="83">
        <v>2.5498999999999999E-3</v>
      </c>
      <c r="Q35" s="83">
        <v>0.23182800000000001</v>
      </c>
      <c r="R35" s="83">
        <v>0.18027399999999999</v>
      </c>
      <c r="S35" s="83">
        <v>2.5498999999999999E-3</v>
      </c>
      <c r="T35" s="83">
        <v>0.23453099999999999</v>
      </c>
      <c r="U35" s="83">
        <v>0.18282200000000001</v>
      </c>
      <c r="V35" s="83">
        <v>2.5498999999999999E-3</v>
      </c>
      <c r="W35" s="83">
        <v>0.238119</v>
      </c>
      <c r="X35" s="83">
        <v>0.186303</v>
      </c>
      <c r="Y35" s="83">
        <v>2.5498999999999999E-3</v>
      </c>
      <c r="Z35" s="83">
        <v>0.23019500000000001</v>
      </c>
      <c r="AA35" s="83">
        <v>0.180282</v>
      </c>
      <c r="AB35" s="83">
        <v>2.5498999999999999E-3</v>
      </c>
      <c r="AC35" s="83">
        <v>0.233352</v>
      </c>
      <c r="AD35" s="83">
        <v>0.18340600000000001</v>
      </c>
      <c r="AE35" s="83">
        <v>2.5498999999999999E-3</v>
      </c>
      <c r="AF35" s="83">
        <v>0.235404</v>
      </c>
      <c r="AG35" s="83">
        <v>0.18548200000000001</v>
      </c>
      <c r="AH35" s="83">
        <v>2.5498999999999999E-3</v>
      </c>
      <c r="AI35" s="83">
        <v>0.23404700000000001</v>
      </c>
      <c r="AJ35" s="83">
        <v>0.18481600000000001</v>
      </c>
      <c r="AK35" s="83">
        <v>2.5498999999999999E-3</v>
      </c>
      <c r="AL35" s="83">
        <v>0.23424800000000001</v>
      </c>
      <c r="AM35" s="83">
        <v>0.18568499999999999</v>
      </c>
      <c r="AN35" s="83">
        <v>2.5498999999999999E-3</v>
      </c>
      <c r="AO35" s="83">
        <v>0.22545299999999999</v>
      </c>
      <c r="AP35" s="83">
        <v>0.179453</v>
      </c>
      <c r="AQ35" s="83">
        <v>2.5498999999999999E-3</v>
      </c>
      <c r="AR35" s="83">
        <v>0.229077</v>
      </c>
      <c r="AS35" s="83">
        <v>0.18312899999999999</v>
      </c>
      <c r="AT35" s="83">
        <v>2.5498999999999999E-3</v>
      </c>
      <c r="AU35" s="83">
        <v>0.22547900000000001</v>
      </c>
      <c r="AV35" s="83">
        <v>0.181171</v>
      </c>
      <c r="AW35" s="83">
        <v>2.5498999999999999E-3</v>
      </c>
      <c r="AX35" s="83">
        <v>0.22972799999999999</v>
      </c>
      <c r="AY35" s="83">
        <v>0.18526500000000001</v>
      </c>
      <c r="AZ35" s="83">
        <v>2.5498999999999999E-3</v>
      </c>
      <c r="BA35" s="83">
        <v>0.22804199999999999</v>
      </c>
      <c r="BB35" s="83">
        <v>0.184887</v>
      </c>
      <c r="BC35" s="83">
        <v>2.5498999999999999E-3</v>
      </c>
      <c r="BD35" s="83">
        <v>0.22409499999999999</v>
      </c>
      <c r="BE35" s="83">
        <v>0.18245800000000001</v>
      </c>
      <c r="BF35" s="83">
        <v>2.5498999999999999E-3</v>
      </c>
      <c r="BG35" s="83">
        <v>0.22067100000000001</v>
      </c>
      <c r="BH35" s="83">
        <v>0.18287500000000001</v>
      </c>
      <c r="BI35" s="83">
        <v>2.5498999999999999E-3</v>
      </c>
      <c r="BJ35" s="83">
        <v>0.21651300000000001</v>
      </c>
      <c r="BK35" s="83">
        <v>0.18243999999999999</v>
      </c>
      <c r="BL35" s="83">
        <v>2.5498999999999999E-3</v>
      </c>
      <c r="BM35" s="83">
        <v>0.21182899999999999</v>
      </c>
      <c r="BN35" s="83">
        <v>0.18107100000000001</v>
      </c>
      <c r="BO35" s="83">
        <v>2.5498999999999999E-3</v>
      </c>
      <c r="BP35" s="83">
        <v>0.207013</v>
      </c>
      <c r="BQ35" s="83">
        <v>0.18077099999999999</v>
      </c>
      <c r="BR35" s="83">
        <v>2.5498999999999999E-3</v>
      </c>
      <c r="BS35" s="83">
        <v>0.20908099999999999</v>
      </c>
      <c r="BT35" s="83">
        <v>0.186478</v>
      </c>
      <c r="BU35" s="83">
        <v>2.5498999999999999E-3</v>
      </c>
      <c r="BV35" s="83">
        <v>0.19708700000000001</v>
      </c>
      <c r="BW35" s="83">
        <v>0.18035799999999999</v>
      </c>
      <c r="BX35" s="83">
        <v>2.5498999999999999E-3</v>
      </c>
      <c r="BY35" s="83">
        <v>0.2014</v>
      </c>
      <c r="BZ35" s="83">
        <v>0.18743299999999999</v>
      </c>
      <c r="CA35" s="83">
        <v>2.5498999999999999E-3</v>
      </c>
      <c r="CB35" s="83">
        <v>0.193799</v>
      </c>
      <c r="CC35" s="83">
        <v>0.183417</v>
      </c>
      <c r="CD35" s="83">
        <v>2.5498999999999999E-3</v>
      </c>
      <c r="CE35" s="83">
        <v>0.18782399999999999</v>
      </c>
      <c r="CF35" s="83">
        <v>0.181557</v>
      </c>
      <c r="CG35" s="83">
        <v>2.5498999999999999E-3</v>
      </c>
      <c r="CH35" s="83">
        <v>0.189059</v>
      </c>
      <c r="CI35" s="83">
        <v>0.18509400000000001</v>
      </c>
      <c r="CJ35" s="83">
        <v>2.5498999999999999E-3</v>
      </c>
      <c r="CK35" s="83">
        <v>0.184581</v>
      </c>
      <c r="CL35" s="83">
        <v>0.18212200000000001</v>
      </c>
      <c r="CM35" s="83">
        <v>2.5498999999999999E-3</v>
      </c>
      <c r="CN35" s="83">
        <v>0.18065400000000001</v>
      </c>
      <c r="CO35" s="83">
        <v>0.180311</v>
      </c>
      <c r="CP35" s="83">
        <v>2.5498999999999999E-3</v>
      </c>
      <c r="CQ35" s="83">
        <v>0.179591</v>
      </c>
      <c r="CR35" s="83">
        <v>0.18096000000000001</v>
      </c>
      <c r="CS35" s="83">
        <v>2.5498999999999999E-3</v>
      </c>
      <c r="CT35" s="83">
        <v>0.180981</v>
      </c>
      <c r="CU35" s="83">
        <v>0.18362200000000001</v>
      </c>
      <c r="CV35" s="83">
        <v>2.5498999999999999E-3</v>
      </c>
      <c r="CW35" s="83">
        <v>0.178871</v>
      </c>
      <c r="CX35" s="83">
        <v>0.18282000000000001</v>
      </c>
      <c r="CY35" s="83">
        <v>2.5498999999999999E-3</v>
      </c>
      <c r="CZ35" s="83">
        <v>0.176874</v>
      </c>
      <c r="DA35" s="83">
        <v>0.182171</v>
      </c>
    </row>
    <row r="36" spans="1:105" x14ac:dyDescent="0.2">
      <c r="A36" s="83">
        <v>2.6499000000000002E-3</v>
      </c>
      <c r="B36" s="83">
        <v>0.22283600000000001</v>
      </c>
      <c r="C36" s="83">
        <v>0.170546</v>
      </c>
      <c r="D36" s="83">
        <v>2.6499000000000002E-3</v>
      </c>
      <c r="E36" s="83">
        <v>0.22901299999999999</v>
      </c>
      <c r="F36" s="83">
        <v>0.17610600000000001</v>
      </c>
      <c r="G36" s="83">
        <v>2.6499000000000002E-3</v>
      </c>
      <c r="H36" s="83">
        <v>0.23052700000000001</v>
      </c>
      <c r="I36" s="83">
        <v>0.17786199999999999</v>
      </c>
      <c r="J36" s="83">
        <v>2.6499000000000002E-3</v>
      </c>
      <c r="K36" s="83">
        <v>0.22145200000000001</v>
      </c>
      <c r="L36" s="83">
        <v>0.17094799999999999</v>
      </c>
      <c r="M36" s="83">
        <v>2.6499000000000002E-3</v>
      </c>
      <c r="N36" s="83">
        <v>0.22123699999999999</v>
      </c>
      <c r="O36" s="83">
        <v>0.17108999999999999</v>
      </c>
      <c r="P36" s="83">
        <v>2.6499000000000002E-3</v>
      </c>
      <c r="Q36" s="83">
        <v>0.220023</v>
      </c>
      <c r="R36" s="83">
        <v>0.17064599999999999</v>
      </c>
      <c r="S36" s="83">
        <v>2.6499000000000002E-3</v>
      </c>
      <c r="T36" s="83">
        <v>0.222305</v>
      </c>
      <c r="U36" s="83">
        <v>0.173013</v>
      </c>
      <c r="V36" s="83">
        <v>2.6499000000000002E-3</v>
      </c>
      <c r="W36" s="83">
        <v>0.22558400000000001</v>
      </c>
      <c r="X36" s="83">
        <v>0.17627999999999999</v>
      </c>
      <c r="Y36" s="83">
        <v>2.6499000000000002E-3</v>
      </c>
      <c r="Z36" s="83">
        <v>0.21848999999999999</v>
      </c>
      <c r="AA36" s="83">
        <v>0.170629</v>
      </c>
      <c r="AB36" s="83">
        <v>2.6499000000000002E-3</v>
      </c>
      <c r="AC36" s="83">
        <v>0.22126599999999999</v>
      </c>
      <c r="AD36" s="83">
        <v>0.17357500000000001</v>
      </c>
      <c r="AE36" s="83">
        <v>2.6499000000000002E-3</v>
      </c>
      <c r="AF36" s="83">
        <v>0.22275700000000001</v>
      </c>
      <c r="AG36" s="83">
        <v>0.175534</v>
      </c>
      <c r="AH36" s="83">
        <v>2.6499000000000002E-3</v>
      </c>
      <c r="AI36" s="83">
        <v>0.221555</v>
      </c>
      <c r="AJ36" s="83">
        <v>0.17488699999999999</v>
      </c>
      <c r="AK36" s="83">
        <v>2.6499000000000002E-3</v>
      </c>
      <c r="AL36" s="83">
        <v>0.22169900000000001</v>
      </c>
      <c r="AM36" s="83">
        <v>0.175709</v>
      </c>
      <c r="AN36" s="83">
        <v>2.6499000000000002E-3</v>
      </c>
      <c r="AO36" s="83">
        <v>0.213561</v>
      </c>
      <c r="AP36" s="83">
        <v>0.169817</v>
      </c>
      <c r="AQ36" s="83">
        <v>2.6499000000000002E-3</v>
      </c>
      <c r="AR36" s="83">
        <v>0.217001</v>
      </c>
      <c r="AS36" s="83">
        <v>0.17329600000000001</v>
      </c>
      <c r="AT36" s="83">
        <v>2.6499000000000002E-3</v>
      </c>
      <c r="AU36" s="83">
        <v>0.21343599999999999</v>
      </c>
      <c r="AV36" s="83">
        <v>0.17152700000000001</v>
      </c>
      <c r="AW36" s="83">
        <v>2.6499000000000002E-3</v>
      </c>
      <c r="AX36" s="83">
        <v>0.217998</v>
      </c>
      <c r="AY36" s="83">
        <v>0.17532800000000001</v>
      </c>
      <c r="AZ36" s="83">
        <v>2.6499000000000002E-3</v>
      </c>
      <c r="BA36" s="83">
        <v>0.21612000000000001</v>
      </c>
      <c r="BB36" s="83">
        <v>0.17500299999999999</v>
      </c>
      <c r="BC36" s="83">
        <v>2.6499000000000002E-3</v>
      </c>
      <c r="BD36" s="83">
        <v>0.211841</v>
      </c>
      <c r="BE36" s="83">
        <v>0.17267199999999999</v>
      </c>
      <c r="BF36" s="83">
        <v>2.6499000000000002E-3</v>
      </c>
      <c r="BG36" s="83">
        <v>0.20810400000000001</v>
      </c>
      <c r="BH36" s="83">
        <v>0.17308599999999999</v>
      </c>
      <c r="BI36" s="83">
        <v>2.6499000000000002E-3</v>
      </c>
      <c r="BJ36" s="83">
        <v>0.20457400000000001</v>
      </c>
      <c r="BK36" s="83">
        <v>0.17270099999999999</v>
      </c>
      <c r="BL36" s="83">
        <v>2.6499000000000002E-3</v>
      </c>
      <c r="BM36" s="83">
        <v>0.20008500000000001</v>
      </c>
      <c r="BN36" s="83">
        <v>0.171379</v>
      </c>
      <c r="BO36" s="83">
        <v>2.6499000000000002E-3</v>
      </c>
      <c r="BP36" s="83">
        <v>0.195635</v>
      </c>
      <c r="BQ36" s="83">
        <v>0.171095</v>
      </c>
      <c r="BR36" s="83">
        <v>2.6499000000000002E-3</v>
      </c>
      <c r="BS36" s="83">
        <v>0.19705</v>
      </c>
      <c r="BT36" s="83">
        <v>0.176459</v>
      </c>
      <c r="BU36" s="83">
        <v>2.6499000000000002E-3</v>
      </c>
      <c r="BV36" s="83">
        <v>0.186117</v>
      </c>
      <c r="BW36" s="83">
        <v>0.17069200000000001</v>
      </c>
      <c r="BX36" s="83">
        <v>2.6499000000000002E-3</v>
      </c>
      <c r="BY36" s="83">
        <v>0.19051699999999999</v>
      </c>
      <c r="BZ36" s="83">
        <v>0.17738100000000001</v>
      </c>
      <c r="CA36" s="83">
        <v>2.6499000000000002E-3</v>
      </c>
      <c r="CB36" s="83">
        <v>0.182756</v>
      </c>
      <c r="CC36" s="83">
        <v>0.17356199999999999</v>
      </c>
      <c r="CD36" s="83">
        <v>2.6499000000000002E-3</v>
      </c>
      <c r="CE36" s="83">
        <v>0.17734800000000001</v>
      </c>
      <c r="CF36" s="83">
        <v>0.17183799999999999</v>
      </c>
      <c r="CG36" s="83">
        <v>2.6499000000000002E-3</v>
      </c>
      <c r="CH36" s="83">
        <v>0.17838300000000001</v>
      </c>
      <c r="CI36" s="83">
        <v>0.17517199999999999</v>
      </c>
      <c r="CJ36" s="83">
        <v>2.6499000000000002E-3</v>
      </c>
      <c r="CK36" s="83">
        <v>0.17380200000000001</v>
      </c>
      <c r="CL36" s="83">
        <v>0.17238800000000001</v>
      </c>
      <c r="CM36" s="83">
        <v>2.6499000000000002E-3</v>
      </c>
      <c r="CN36" s="83">
        <v>0.17008499999999999</v>
      </c>
      <c r="CO36" s="83">
        <v>0.17063300000000001</v>
      </c>
      <c r="CP36" s="83">
        <v>2.6499000000000002E-3</v>
      </c>
      <c r="CQ36" s="83">
        <v>0.169013</v>
      </c>
      <c r="CR36" s="83">
        <v>0.17128499999999999</v>
      </c>
      <c r="CS36" s="83">
        <v>2.6499000000000002E-3</v>
      </c>
      <c r="CT36" s="83">
        <v>0.170182</v>
      </c>
      <c r="CU36" s="83">
        <v>0.17374200000000001</v>
      </c>
      <c r="CV36" s="83">
        <v>2.6499000000000002E-3</v>
      </c>
      <c r="CW36" s="83">
        <v>0.16808100000000001</v>
      </c>
      <c r="CX36" s="83">
        <v>0.17302100000000001</v>
      </c>
      <c r="CY36" s="83">
        <v>2.6499000000000002E-3</v>
      </c>
      <c r="CZ36" s="83">
        <v>0.16633700000000001</v>
      </c>
      <c r="DA36" s="83">
        <v>0.172378</v>
      </c>
    </row>
    <row r="37" spans="1:105" x14ac:dyDescent="0.2">
      <c r="A37" s="83">
        <v>2.7499E-3</v>
      </c>
      <c r="B37" s="83">
        <v>0.21157599999999999</v>
      </c>
      <c r="C37" s="83">
        <v>0.161408</v>
      </c>
      <c r="D37" s="83">
        <v>2.7499E-3</v>
      </c>
      <c r="E37" s="83">
        <v>0.21753500000000001</v>
      </c>
      <c r="F37" s="83">
        <v>0.166681</v>
      </c>
      <c r="G37" s="83">
        <v>2.7499E-3</v>
      </c>
      <c r="H37" s="83">
        <v>0.21881900000000001</v>
      </c>
      <c r="I37" s="83">
        <v>0.16833200000000001</v>
      </c>
      <c r="J37" s="83">
        <v>2.7499E-3</v>
      </c>
      <c r="K37" s="83">
        <v>0.21040300000000001</v>
      </c>
      <c r="L37" s="83">
        <v>0.16181599999999999</v>
      </c>
      <c r="M37" s="83">
        <v>2.7499E-3</v>
      </c>
      <c r="N37" s="83">
        <v>0.20999300000000001</v>
      </c>
      <c r="O37" s="83">
        <v>0.161964</v>
      </c>
      <c r="P37" s="83">
        <v>2.7499E-3</v>
      </c>
      <c r="Q37" s="83">
        <v>0.20877699999999999</v>
      </c>
      <c r="R37" s="83">
        <v>0.161548</v>
      </c>
      <c r="S37" s="83">
        <v>2.7499E-3</v>
      </c>
      <c r="T37" s="83">
        <v>0.21052899999999999</v>
      </c>
      <c r="U37" s="83">
        <v>0.163822</v>
      </c>
      <c r="V37" s="83">
        <v>2.7499E-3</v>
      </c>
      <c r="W37" s="83">
        <v>0.213889</v>
      </c>
      <c r="X37" s="83">
        <v>0.16684499999999999</v>
      </c>
      <c r="Y37" s="83">
        <v>2.7499E-3</v>
      </c>
      <c r="Z37" s="83">
        <v>0.206705</v>
      </c>
      <c r="AA37" s="83">
        <v>0.16154199999999999</v>
      </c>
      <c r="AB37" s="83">
        <v>2.7499E-3</v>
      </c>
      <c r="AC37" s="83">
        <v>0.20972099999999999</v>
      </c>
      <c r="AD37" s="83">
        <v>0.16431000000000001</v>
      </c>
      <c r="AE37" s="83">
        <v>2.7499E-3</v>
      </c>
      <c r="AF37" s="83">
        <v>0.21085499999999999</v>
      </c>
      <c r="AG37" s="83">
        <v>0.16619800000000001</v>
      </c>
      <c r="AH37" s="83">
        <v>2.7499E-3</v>
      </c>
      <c r="AI37" s="83">
        <v>0.20996300000000001</v>
      </c>
      <c r="AJ37" s="83">
        <v>0.16556100000000001</v>
      </c>
      <c r="AK37" s="83">
        <v>2.7499E-3</v>
      </c>
      <c r="AL37" s="83">
        <v>0.210453</v>
      </c>
      <c r="AM37" s="83">
        <v>0.16635</v>
      </c>
      <c r="AN37" s="83">
        <v>2.7499E-3</v>
      </c>
      <c r="AO37" s="83">
        <v>0.20227400000000001</v>
      </c>
      <c r="AP37" s="83">
        <v>0.16072800000000001</v>
      </c>
      <c r="AQ37" s="83">
        <v>2.7499E-3</v>
      </c>
      <c r="AR37" s="83">
        <v>0.20527400000000001</v>
      </c>
      <c r="AS37" s="83">
        <v>0.16405800000000001</v>
      </c>
      <c r="AT37" s="83">
        <v>2.7499E-3</v>
      </c>
      <c r="AU37" s="83">
        <v>0.20197499999999999</v>
      </c>
      <c r="AV37" s="83">
        <v>0.16242899999999999</v>
      </c>
      <c r="AW37" s="83">
        <v>2.7499E-3</v>
      </c>
      <c r="AX37" s="83">
        <v>0.20599400000000001</v>
      </c>
      <c r="AY37" s="83">
        <v>0.16597100000000001</v>
      </c>
      <c r="AZ37" s="83">
        <v>2.7499E-3</v>
      </c>
      <c r="BA37" s="83">
        <v>0.20441300000000001</v>
      </c>
      <c r="BB37" s="83">
        <v>0.16566900000000001</v>
      </c>
      <c r="BC37" s="83">
        <v>2.7499E-3</v>
      </c>
      <c r="BD37" s="83">
        <v>0.20030600000000001</v>
      </c>
      <c r="BE37" s="83">
        <v>0.16345399999999999</v>
      </c>
      <c r="BF37" s="83">
        <v>2.7499E-3</v>
      </c>
      <c r="BG37" s="83">
        <v>0.19720799999999999</v>
      </c>
      <c r="BH37" s="83">
        <v>0.16388</v>
      </c>
      <c r="BI37" s="83">
        <v>2.7499E-3</v>
      </c>
      <c r="BJ37" s="83">
        <v>0.19305800000000001</v>
      </c>
      <c r="BK37" s="83">
        <v>0.163525</v>
      </c>
      <c r="BL37" s="83">
        <v>2.7499E-3</v>
      </c>
      <c r="BM37" s="83">
        <v>0.18906899999999999</v>
      </c>
      <c r="BN37" s="83">
        <v>0.16225200000000001</v>
      </c>
      <c r="BO37" s="83">
        <v>2.7499E-3</v>
      </c>
      <c r="BP37" s="83">
        <v>0.18481800000000001</v>
      </c>
      <c r="BQ37" s="83">
        <v>0.16198000000000001</v>
      </c>
      <c r="BR37" s="83">
        <v>2.7499E-3</v>
      </c>
      <c r="BS37" s="83">
        <v>0.18610399999999999</v>
      </c>
      <c r="BT37" s="83">
        <v>0.167048</v>
      </c>
      <c r="BU37" s="83">
        <v>2.7499E-3</v>
      </c>
      <c r="BV37" s="83">
        <v>0.17533399999999999</v>
      </c>
      <c r="BW37" s="83">
        <v>0.161602</v>
      </c>
      <c r="BX37" s="83">
        <v>2.7499E-3</v>
      </c>
      <c r="BY37" s="83">
        <v>0.17951700000000001</v>
      </c>
      <c r="BZ37" s="83">
        <v>0.16792000000000001</v>
      </c>
      <c r="CA37" s="83">
        <v>2.7499E-3</v>
      </c>
      <c r="CB37" s="83">
        <v>0.17225599999999999</v>
      </c>
      <c r="CC37" s="83">
        <v>0.16428400000000001</v>
      </c>
      <c r="CD37" s="83">
        <v>2.7499E-3</v>
      </c>
      <c r="CE37" s="83">
        <v>0.166715</v>
      </c>
      <c r="CF37" s="83">
        <v>0.16267200000000001</v>
      </c>
      <c r="CG37" s="83">
        <v>2.7499E-3</v>
      </c>
      <c r="CH37" s="83">
        <v>0.167799</v>
      </c>
      <c r="CI37" s="83">
        <v>0.16582</v>
      </c>
      <c r="CJ37" s="83">
        <v>2.7499E-3</v>
      </c>
      <c r="CK37" s="83">
        <v>0.16361500000000001</v>
      </c>
      <c r="CL37" s="83">
        <v>0.16319</v>
      </c>
      <c r="CM37" s="83">
        <v>2.7499E-3</v>
      </c>
      <c r="CN37" s="83">
        <v>0.16017100000000001</v>
      </c>
      <c r="CO37" s="83">
        <v>0.161495</v>
      </c>
      <c r="CP37" s="83">
        <v>2.7499E-3</v>
      </c>
      <c r="CQ37" s="83">
        <v>0.15879799999999999</v>
      </c>
      <c r="CR37" s="83">
        <v>0.16218199999999999</v>
      </c>
      <c r="CS37" s="83">
        <v>2.7499E-3</v>
      </c>
      <c r="CT37" s="83">
        <v>0.160221</v>
      </c>
      <c r="CU37" s="83">
        <v>0.16444400000000001</v>
      </c>
      <c r="CV37" s="83">
        <v>2.7499E-3</v>
      </c>
      <c r="CW37" s="83">
        <v>0.15784899999999999</v>
      </c>
      <c r="CX37" s="83">
        <v>0.16381599999999999</v>
      </c>
      <c r="CY37" s="83">
        <v>2.7499E-3</v>
      </c>
      <c r="CZ37" s="83">
        <v>0.15568399999999999</v>
      </c>
      <c r="DA37" s="83">
        <v>0.16318199999999999</v>
      </c>
    </row>
    <row r="38" spans="1:105" x14ac:dyDescent="0.2">
      <c r="A38" s="83">
        <v>2.8498999999999998E-3</v>
      </c>
      <c r="B38" s="83">
        <v>0.20071800000000001</v>
      </c>
      <c r="C38" s="83">
        <v>0.15257999999999999</v>
      </c>
      <c r="D38" s="83">
        <v>2.8498999999999998E-3</v>
      </c>
      <c r="E38" s="83">
        <v>0.20605399999999999</v>
      </c>
      <c r="F38" s="83">
        <v>0.15767400000000001</v>
      </c>
      <c r="G38" s="83">
        <v>2.8498999999999998E-3</v>
      </c>
      <c r="H38" s="83">
        <v>0.20797199999999999</v>
      </c>
      <c r="I38" s="83">
        <v>0.15926999999999999</v>
      </c>
      <c r="J38" s="83">
        <v>2.8498999999999998E-3</v>
      </c>
      <c r="K38" s="83">
        <v>0.19936599999999999</v>
      </c>
      <c r="L38" s="83">
        <v>0.15292700000000001</v>
      </c>
      <c r="M38" s="83">
        <v>2.8498999999999998E-3</v>
      </c>
      <c r="N38" s="83">
        <v>0.198659</v>
      </c>
      <c r="O38" s="83">
        <v>0.153082</v>
      </c>
      <c r="P38" s="83">
        <v>2.8498999999999998E-3</v>
      </c>
      <c r="Q38" s="83">
        <v>0.197799</v>
      </c>
      <c r="R38" s="83">
        <v>0.15274599999999999</v>
      </c>
      <c r="S38" s="83">
        <v>2.8498999999999998E-3</v>
      </c>
      <c r="T38" s="83">
        <v>0.19947699999999999</v>
      </c>
      <c r="U38" s="83">
        <v>0.154886</v>
      </c>
      <c r="V38" s="83">
        <v>2.8498999999999998E-3</v>
      </c>
      <c r="W38" s="83">
        <v>0.20277400000000001</v>
      </c>
      <c r="X38" s="83">
        <v>0.15779799999999999</v>
      </c>
      <c r="Y38" s="83">
        <v>2.8498999999999998E-3</v>
      </c>
      <c r="Z38" s="83">
        <v>0.19613900000000001</v>
      </c>
      <c r="AA38" s="83">
        <v>0.15267</v>
      </c>
      <c r="AB38" s="83">
        <v>2.8498999999999998E-3</v>
      </c>
      <c r="AC38" s="83">
        <v>0.198434</v>
      </c>
      <c r="AD38" s="83">
        <v>0.15536900000000001</v>
      </c>
      <c r="AE38" s="83">
        <v>2.8498999999999998E-3</v>
      </c>
      <c r="AF38" s="83">
        <v>0.200015</v>
      </c>
      <c r="AG38" s="83">
        <v>0.15724199999999999</v>
      </c>
      <c r="AH38" s="83">
        <v>2.8498999999999998E-3</v>
      </c>
      <c r="AI38" s="83">
        <v>0.19849800000000001</v>
      </c>
      <c r="AJ38" s="83">
        <v>0.156583</v>
      </c>
      <c r="AK38" s="83">
        <v>2.8498999999999998E-3</v>
      </c>
      <c r="AL38" s="83">
        <v>0.19863900000000001</v>
      </c>
      <c r="AM38" s="83">
        <v>0.15735499999999999</v>
      </c>
      <c r="AN38" s="83">
        <v>2.8498999999999998E-3</v>
      </c>
      <c r="AO38" s="83">
        <v>0.19128899999999999</v>
      </c>
      <c r="AP38" s="83">
        <v>0.15191499999999999</v>
      </c>
      <c r="AQ38" s="83">
        <v>2.8498999999999998E-3</v>
      </c>
      <c r="AR38" s="83">
        <v>0.19398899999999999</v>
      </c>
      <c r="AS38" s="83">
        <v>0.155114</v>
      </c>
      <c r="AT38" s="83">
        <v>2.8498999999999998E-3</v>
      </c>
      <c r="AU38" s="83">
        <v>0.190998</v>
      </c>
      <c r="AV38" s="83">
        <v>0.153559</v>
      </c>
      <c r="AW38" s="83">
        <v>2.8498999999999998E-3</v>
      </c>
      <c r="AX38" s="83">
        <v>0.194771</v>
      </c>
      <c r="AY38" s="83">
        <v>0.156976</v>
      </c>
      <c r="AZ38" s="83">
        <v>2.8498999999999998E-3</v>
      </c>
      <c r="BA38" s="83">
        <v>0.19284499999999999</v>
      </c>
      <c r="BB38" s="83">
        <v>0.15673100000000001</v>
      </c>
      <c r="BC38" s="83">
        <v>2.8498999999999998E-3</v>
      </c>
      <c r="BD38" s="83">
        <v>0.189499</v>
      </c>
      <c r="BE38" s="83">
        <v>0.15451699999999999</v>
      </c>
      <c r="BF38" s="83">
        <v>2.8498999999999998E-3</v>
      </c>
      <c r="BG38" s="83">
        <v>0.18640699999999999</v>
      </c>
      <c r="BH38" s="83">
        <v>0.15493399999999999</v>
      </c>
      <c r="BI38" s="83">
        <v>2.8498999999999998E-3</v>
      </c>
      <c r="BJ38" s="83">
        <v>0.18243699999999999</v>
      </c>
      <c r="BK38" s="83">
        <v>0.15460199999999999</v>
      </c>
      <c r="BL38" s="83">
        <v>2.8498999999999998E-3</v>
      </c>
      <c r="BM38" s="83">
        <v>0.17801</v>
      </c>
      <c r="BN38" s="83">
        <v>0.15331500000000001</v>
      </c>
      <c r="BO38" s="83">
        <v>2.8498999999999998E-3</v>
      </c>
      <c r="BP38" s="83">
        <v>0.17435700000000001</v>
      </c>
      <c r="BQ38" s="83">
        <v>0.15310599999999999</v>
      </c>
      <c r="BR38" s="83">
        <v>2.8498999999999998E-3</v>
      </c>
      <c r="BS38" s="83">
        <v>0.175819</v>
      </c>
      <c r="BT38" s="83">
        <v>0.158055</v>
      </c>
      <c r="BU38" s="83">
        <v>2.8498999999999998E-3</v>
      </c>
      <c r="BV38" s="83">
        <v>0.165545</v>
      </c>
      <c r="BW38" s="83">
        <v>0.15273500000000001</v>
      </c>
      <c r="BX38" s="83">
        <v>2.8498999999999998E-3</v>
      </c>
      <c r="BY38" s="83">
        <v>0.16897999999999999</v>
      </c>
      <c r="BZ38" s="83">
        <v>0.15889400000000001</v>
      </c>
      <c r="CA38" s="83">
        <v>2.8498999999999998E-3</v>
      </c>
      <c r="CB38" s="83">
        <v>0.16216</v>
      </c>
      <c r="CC38" s="83">
        <v>0.15531</v>
      </c>
      <c r="CD38" s="83">
        <v>2.8498999999999998E-3</v>
      </c>
      <c r="CE38" s="83">
        <v>0.15712499999999999</v>
      </c>
      <c r="CF38" s="83">
        <v>0.153783</v>
      </c>
      <c r="CG38" s="83">
        <v>2.8498999999999998E-3</v>
      </c>
      <c r="CH38" s="83">
        <v>0.15798799999999999</v>
      </c>
      <c r="CI38" s="83">
        <v>0.15685099999999999</v>
      </c>
      <c r="CJ38" s="83">
        <v>2.8498999999999998E-3</v>
      </c>
      <c r="CK38" s="83">
        <v>0.154085</v>
      </c>
      <c r="CL38" s="83">
        <v>0.154251</v>
      </c>
      <c r="CM38" s="83">
        <v>2.8498999999999998E-3</v>
      </c>
      <c r="CN38" s="83">
        <v>0.15054400000000001</v>
      </c>
      <c r="CO38" s="83">
        <v>0.152665</v>
      </c>
      <c r="CP38" s="83">
        <v>2.8498999999999998E-3</v>
      </c>
      <c r="CQ38" s="83">
        <v>0.14973800000000001</v>
      </c>
      <c r="CR38" s="83">
        <v>0.153308</v>
      </c>
      <c r="CS38" s="83">
        <v>2.8498999999999998E-3</v>
      </c>
      <c r="CT38" s="83">
        <v>0.150445</v>
      </c>
      <c r="CU38" s="83">
        <v>0.15545900000000001</v>
      </c>
      <c r="CV38" s="83">
        <v>2.8498999999999998E-3</v>
      </c>
      <c r="CW38" s="83">
        <v>0.148345</v>
      </c>
      <c r="CX38" s="83">
        <v>0.15488099999999999</v>
      </c>
      <c r="CY38" s="83">
        <v>2.8498999999999998E-3</v>
      </c>
      <c r="CZ38" s="83">
        <v>0.146901</v>
      </c>
      <c r="DA38" s="83">
        <v>0.154197</v>
      </c>
    </row>
    <row r="39" spans="1:105" x14ac:dyDescent="0.2">
      <c r="A39" s="83">
        <v>2.9499000000000001E-3</v>
      </c>
      <c r="B39" s="83">
        <v>0.19062699999999999</v>
      </c>
      <c r="C39" s="83">
        <v>0.14447199999999999</v>
      </c>
      <c r="D39" s="83">
        <v>2.9499000000000001E-3</v>
      </c>
      <c r="E39" s="83">
        <v>0.19544300000000001</v>
      </c>
      <c r="F39" s="83">
        <v>0.14910000000000001</v>
      </c>
      <c r="G39" s="83">
        <v>2.9499000000000001E-3</v>
      </c>
      <c r="H39" s="83">
        <v>0.196909</v>
      </c>
      <c r="I39" s="83">
        <v>0.150593</v>
      </c>
      <c r="J39" s="83">
        <v>2.9499000000000001E-3</v>
      </c>
      <c r="K39" s="83">
        <v>0.18884999999999999</v>
      </c>
      <c r="L39" s="83">
        <v>0.144812</v>
      </c>
      <c r="M39" s="83">
        <v>2.9499000000000001E-3</v>
      </c>
      <c r="N39" s="83">
        <v>0.189077</v>
      </c>
      <c r="O39" s="83">
        <v>0.14496899999999999</v>
      </c>
      <c r="P39" s="83">
        <v>2.9499000000000001E-3</v>
      </c>
      <c r="Q39" s="83">
        <v>0.187693</v>
      </c>
      <c r="R39" s="83">
        <v>0.14466999999999999</v>
      </c>
      <c r="S39" s="83">
        <v>2.9499000000000001E-3</v>
      </c>
      <c r="T39" s="83">
        <v>0.189356</v>
      </c>
      <c r="U39" s="83">
        <v>0.14663300000000001</v>
      </c>
      <c r="V39" s="83">
        <v>2.9499000000000001E-3</v>
      </c>
      <c r="W39" s="83">
        <v>0.19203200000000001</v>
      </c>
      <c r="X39" s="83">
        <v>0.14926400000000001</v>
      </c>
      <c r="Y39" s="83">
        <v>2.9499000000000001E-3</v>
      </c>
      <c r="Z39" s="83">
        <v>0.18540000000000001</v>
      </c>
      <c r="AA39" s="83">
        <v>0.14460600000000001</v>
      </c>
      <c r="AB39" s="83">
        <v>2.9499000000000001E-3</v>
      </c>
      <c r="AC39" s="83">
        <v>0.188309</v>
      </c>
      <c r="AD39" s="83">
        <v>0.147064</v>
      </c>
      <c r="AE39" s="83">
        <v>2.9499000000000001E-3</v>
      </c>
      <c r="AF39" s="83">
        <v>0.18956799999999999</v>
      </c>
      <c r="AG39" s="83">
        <v>0.14877000000000001</v>
      </c>
      <c r="AH39" s="83">
        <v>2.9499000000000001E-3</v>
      </c>
      <c r="AI39" s="83">
        <v>0.18806300000000001</v>
      </c>
      <c r="AJ39" s="83">
        <v>0.14813899999999999</v>
      </c>
      <c r="AK39" s="83">
        <v>2.9499000000000001E-3</v>
      </c>
      <c r="AL39" s="83">
        <v>0.18812899999999999</v>
      </c>
      <c r="AM39" s="83">
        <v>0.148868</v>
      </c>
      <c r="AN39" s="83">
        <v>2.9499000000000001E-3</v>
      </c>
      <c r="AO39" s="83">
        <v>0.180783</v>
      </c>
      <c r="AP39" s="83">
        <v>0.143875</v>
      </c>
      <c r="AQ39" s="83">
        <v>2.9499000000000001E-3</v>
      </c>
      <c r="AR39" s="83">
        <v>0.18351600000000001</v>
      </c>
      <c r="AS39" s="83">
        <v>0.14683199999999999</v>
      </c>
      <c r="AT39" s="83">
        <v>2.9499000000000001E-3</v>
      </c>
      <c r="AU39" s="83">
        <v>0.180918</v>
      </c>
      <c r="AV39" s="83">
        <v>0.14546899999999999</v>
      </c>
      <c r="AW39" s="83">
        <v>2.9499000000000001E-3</v>
      </c>
      <c r="AX39" s="83">
        <v>0.184199</v>
      </c>
      <c r="AY39" s="83">
        <v>0.148508</v>
      </c>
      <c r="AZ39" s="83">
        <v>2.9499000000000001E-3</v>
      </c>
      <c r="BA39" s="83">
        <v>0.182366</v>
      </c>
      <c r="BB39" s="83">
        <v>0.14830199999999999</v>
      </c>
      <c r="BC39" s="83">
        <v>2.9499000000000001E-3</v>
      </c>
      <c r="BD39" s="83">
        <v>0.179372</v>
      </c>
      <c r="BE39" s="83">
        <v>0.14627100000000001</v>
      </c>
      <c r="BF39" s="83">
        <v>2.9499000000000001E-3</v>
      </c>
      <c r="BG39" s="83">
        <v>0.175981</v>
      </c>
      <c r="BH39" s="83">
        <v>0.146671</v>
      </c>
      <c r="BI39" s="83">
        <v>2.9499000000000001E-3</v>
      </c>
      <c r="BJ39" s="83">
        <v>0.172208</v>
      </c>
      <c r="BK39" s="83">
        <v>0.14639199999999999</v>
      </c>
      <c r="BL39" s="83">
        <v>2.9499000000000001E-3</v>
      </c>
      <c r="BM39" s="83">
        <v>0.16842099999999999</v>
      </c>
      <c r="BN39" s="83">
        <v>0.14517099999999999</v>
      </c>
      <c r="BO39" s="83">
        <v>2.9499000000000001E-3</v>
      </c>
      <c r="BP39" s="83">
        <v>0.164246</v>
      </c>
      <c r="BQ39" s="83">
        <v>0.14497399999999999</v>
      </c>
      <c r="BR39" s="83">
        <v>2.9499000000000001E-3</v>
      </c>
      <c r="BS39" s="83">
        <v>0.166126</v>
      </c>
      <c r="BT39" s="83">
        <v>0.14949799999999999</v>
      </c>
      <c r="BU39" s="83">
        <v>2.9499000000000001E-3</v>
      </c>
      <c r="BV39" s="83">
        <v>0.15615000000000001</v>
      </c>
      <c r="BW39" s="83">
        <v>0.14463899999999999</v>
      </c>
      <c r="BX39" s="83">
        <v>2.9499000000000001E-3</v>
      </c>
      <c r="BY39" s="83">
        <v>0.15934499999999999</v>
      </c>
      <c r="BZ39" s="83">
        <v>0.15029600000000001</v>
      </c>
      <c r="CA39" s="83">
        <v>2.9499000000000001E-3</v>
      </c>
      <c r="CB39" s="83">
        <v>0.15295300000000001</v>
      </c>
      <c r="CC39" s="83">
        <v>0.14699000000000001</v>
      </c>
      <c r="CD39" s="83">
        <v>2.9499000000000001E-3</v>
      </c>
      <c r="CE39" s="83">
        <v>0.14804300000000001</v>
      </c>
      <c r="CF39" s="83">
        <v>0.14563100000000001</v>
      </c>
      <c r="CG39" s="83">
        <v>2.9499000000000001E-3</v>
      </c>
      <c r="CH39" s="83">
        <v>0.14880099999999999</v>
      </c>
      <c r="CI39" s="83">
        <v>0.148396</v>
      </c>
      <c r="CJ39" s="83">
        <v>2.9499000000000001E-3</v>
      </c>
      <c r="CK39" s="83">
        <v>0.144982</v>
      </c>
      <c r="CL39" s="83">
        <v>0.14604400000000001</v>
      </c>
      <c r="CM39" s="83">
        <v>2.9499000000000001E-3</v>
      </c>
      <c r="CN39" s="83">
        <v>0.14153299999999999</v>
      </c>
      <c r="CO39" s="83">
        <v>0.14452999999999999</v>
      </c>
      <c r="CP39" s="83">
        <v>2.9499000000000001E-3</v>
      </c>
      <c r="CQ39" s="83">
        <v>0.14047200000000001</v>
      </c>
      <c r="CR39" s="83">
        <v>0.14519499999999999</v>
      </c>
      <c r="CS39" s="83">
        <v>2.9499000000000001E-3</v>
      </c>
      <c r="CT39" s="83">
        <v>0.14116000000000001</v>
      </c>
      <c r="CU39" s="83">
        <v>0.14712900000000001</v>
      </c>
      <c r="CV39" s="83">
        <v>2.9499000000000001E-3</v>
      </c>
      <c r="CW39" s="83">
        <v>0.13930000000000001</v>
      </c>
      <c r="CX39" s="83">
        <v>0.14660699999999999</v>
      </c>
      <c r="CY39" s="83">
        <v>2.9499000000000001E-3</v>
      </c>
      <c r="CZ39" s="83">
        <v>0.13791300000000001</v>
      </c>
      <c r="DA39" s="83">
        <v>0.14596700000000001</v>
      </c>
    </row>
    <row r="40" spans="1:105" x14ac:dyDescent="0.2">
      <c r="A40" s="83">
        <v>3.0498999999999999E-3</v>
      </c>
      <c r="B40" s="83">
        <v>0.180896</v>
      </c>
      <c r="C40" s="83">
        <v>0.13685600000000001</v>
      </c>
      <c r="D40" s="83">
        <v>3.0498999999999999E-3</v>
      </c>
      <c r="E40" s="83">
        <v>0.18584100000000001</v>
      </c>
      <c r="F40" s="83">
        <v>0.14120199999999999</v>
      </c>
      <c r="G40" s="83">
        <v>3.0498999999999999E-3</v>
      </c>
      <c r="H40" s="83">
        <v>0.18675700000000001</v>
      </c>
      <c r="I40" s="83">
        <v>0.14258599999999999</v>
      </c>
      <c r="J40" s="83">
        <v>3.0498999999999999E-3</v>
      </c>
      <c r="K40" s="83">
        <v>0.179262</v>
      </c>
      <c r="L40" s="83">
        <v>0.13716200000000001</v>
      </c>
      <c r="M40" s="83">
        <v>3.0498999999999999E-3</v>
      </c>
      <c r="N40" s="83">
        <v>0.17922299999999999</v>
      </c>
      <c r="O40" s="83">
        <v>0.13735600000000001</v>
      </c>
      <c r="P40" s="83">
        <v>3.0498999999999999E-3</v>
      </c>
      <c r="Q40" s="83">
        <v>0.17830099999999999</v>
      </c>
      <c r="R40" s="83">
        <v>0.137075</v>
      </c>
      <c r="S40" s="83">
        <v>3.0498999999999999E-3</v>
      </c>
      <c r="T40" s="83">
        <v>0.17941399999999999</v>
      </c>
      <c r="U40" s="83">
        <v>0.138931</v>
      </c>
      <c r="V40" s="83">
        <v>3.0498999999999999E-3</v>
      </c>
      <c r="W40" s="83">
        <v>0.182143</v>
      </c>
      <c r="X40" s="83">
        <v>0.14135700000000001</v>
      </c>
      <c r="Y40" s="83">
        <v>3.0498999999999999E-3</v>
      </c>
      <c r="Z40" s="83">
        <v>0.17576</v>
      </c>
      <c r="AA40" s="83">
        <v>0.13701199999999999</v>
      </c>
      <c r="AB40" s="83">
        <v>3.0498999999999999E-3</v>
      </c>
      <c r="AC40" s="83">
        <v>0.178198</v>
      </c>
      <c r="AD40" s="83">
        <v>0.13931399999999999</v>
      </c>
      <c r="AE40" s="83">
        <v>3.0498999999999999E-3</v>
      </c>
      <c r="AF40" s="83">
        <v>0.179314</v>
      </c>
      <c r="AG40" s="83">
        <v>0.14096600000000001</v>
      </c>
      <c r="AH40" s="83">
        <v>3.0498999999999999E-3</v>
      </c>
      <c r="AI40" s="83">
        <v>0.178395</v>
      </c>
      <c r="AJ40" s="83">
        <v>0.140376</v>
      </c>
      <c r="AK40" s="83">
        <v>3.0498999999999999E-3</v>
      </c>
      <c r="AL40" s="83">
        <v>0.17813100000000001</v>
      </c>
      <c r="AM40" s="83">
        <v>0.141018</v>
      </c>
      <c r="AN40" s="83">
        <v>3.0498999999999999E-3</v>
      </c>
      <c r="AO40" s="83">
        <v>0.171346</v>
      </c>
      <c r="AP40" s="83">
        <v>0.13631699999999999</v>
      </c>
      <c r="AQ40" s="83">
        <v>3.0498999999999999E-3</v>
      </c>
      <c r="AR40" s="83">
        <v>0.173794</v>
      </c>
      <c r="AS40" s="83">
        <v>0.13913800000000001</v>
      </c>
      <c r="AT40" s="83">
        <v>3.0498999999999999E-3</v>
      </c>
      <c r="AU40" s="83">
        <v>0.17088100000000001</v>
      </c>
      <c r="AV40" s="83">
        <v>0.13785900000000001</v>
      </c>
      <c r="AW40" s="83">
        <v>3.0498999999999999E-3</v>
      </c>
      <c r="AX40" s="83">
        <v>0.17432</v>
      </c>
      <c r="AY40" s="83">
        <v>0.140676</v>
      </c>
      <c r="AZ40" s="83">
        <v>3.0498999999999999E-3</v>
      </c>
      <c r="BA40" s="83">
        <v>0.172435</v>
      </c>
      <c r="BB40" s="83">
        <v>0.14050699999999999</v>
      </c>
      <c r="BC40" s="83">
        <v>3.0498999999999999E-3</v>
      </c>
      <c r="BD40" s="83">
        <v>0.16943800000000001</v>
      </c>
      <c r="BE40" s="83">
        <v>0.13856399999999999</v>
      </c>
      <c r="BF40" s="83">
        <v>3.0498999999999999E-3</v>
      </c>
      <c r="BG40" s="83">
        <v>0.16644999999999999</v>
      </c>
      <c r="BH40" s="83">
        <v>0.13898099999999999</v>
      </c>
      <c r="BI40" s="83">
        <v>3.0498999999999999E-3</v>
      </c>
      <c r="BJ40" s="83">
        <v>0.16286800000000001</v>
      </c>
      <c r="BK40" s="83">
        <v>0.138741</v>
      </c>
      <c r="BL40" s="83">
        <v>3.0498999999999999E-3</v>
      </c>
      <c r="BM40" s="83">
        <v>0.15895599999999999</v>
      </c>
      <c r="BN40" s="83">
        <v>0.137543</v>
      </c>
      <c r="BO40" s="83">
        <v>3.0498999999999999E-3</v>
      </c>
      <c r="BP40" s="83">
        <v>0.15543100000000001</v>
      </c>
      <c r="BQ40" s="83">
        <v>0.13736499999999999</v>
      </c>
      <c r="BR40" s="83">
        <v>3.0498999999999999E-3</v>
      </c>
      <c r="BS40" s="83">
        <v>0.155864</v>
      </c>
      <c r="BT40" s="83">
        <v>0.141597</v>
      </c>
      <c r="BU40" s="83">
        <v>3.0498999999999999E-3</v>
      </c>
      <c r="BV40" s="83">
        <v>0.14746799999999999</v>
      </c>
      <c r="BW40" s="83">
        <v>0.13707900000000001</v>
      </c>
      <c r="BX40" s="83">
        <v>3.0498999999999999E-3</v>
      </c>
      <c r="BY40" s="83">
        <v>0.15001300000000001</v>
      </c>
      <c r="BZ40" s="83">
        <v>0.14236299999999999</v>
      </c>
      <c r="CA40" s="83">
        <v>3.0498999999999999E-3</v>
      </c>
      <c r="CB40" s="83">
        <v>0.14366399999999999</v>
      </c>
      <c r="CC40" s="83">
        <v>0.139238</v>
      </c>
      <c r="CD40" s="83">
        <v>3.0498999999999999E-3</v>
      </c>
      <c r="CE40" s="83">
        <v>0.13947799999999999</v>
      </c>
      <c r="CF40" s="83">
        <v>0.13796800000000001</v>
      </c>
      <c r="CG40" s="83">
        <v>3.0498999999999999E-3</v>
      </c>
      <c r="CH40" s="83">
        <v>0.14010900000000001</v>
      </c>
      <c r="CI40" s="83">
        <v>0.140625</v>
      </c>
      <c r="CJ40" s="83">
        <v>3.0498999999999999E-3</v>
      </c>
      <c r="CK40" s="83">
        <v>0.13650499999999999</v>
      </c>
      <c r="CL40" s="83">
        <v>0.138353</v>
      </c>
      <c r="CM40" s="83">
        <v>3.0498999999999999E-3</v>
      </c>
      <c r="CN40" s="83">
        <v>0.13301499999999999</v>
      </c>
      <c r="CO40" s="83">
        <v>0.13696900000000001</v>
      </c>
      <c r="CP40" s="83">
        <v>3.0498999999999999E-3</v>
      </c>
      <c r="CQ40" s="83">
        <v>0.13219500000000001</v>
      </c>
      <c r="CR40" s="83">
        <v>0.13755800000000001</v>
      </c>
      <c r="CS40" s="83">
        <v>3.0498999999999999E-3</v>
      </c>
      <c r="CT40" s="83">
        <v>0.133022</v>
      </c>
      <c r="CU40" s="83">
        <v>0.13938</v>
      </c>
      <c r="CV40" s="83">
        <v>3.0498999999999999E-3</v>
      </c>
      <c r="CW40" s="83">
        <v>0.131046</v>
      </c>
      <c r="CX40" s="83">
        <v>0.13889399999999999</v>
      </c>
      <c r="CY40" s="83">
        <v>3.0498999999999999E-3</v>
      </c>
      <c r="CZ40" s="83">
        <v>0.129413</v>
      </c>
      <c r="DA40" s="83">
        <v>0.13828399999999999</v>
      </c>
    </row>
    <row r="41" spans="1:105" x14ac:dyDescent="0.2">
      <c r="A41" s="83">
        <v>3.1499000000000002E-3</v>
      </c>
      <c r="B41" s="83">
        <v>0.17141200000000001</v>
      </c>
      <c r="C41" s="83">
        <v>0.129741</v>
      </c>
      <c r="D41" s="83">
        <v>3.1499000000000002E-3</v>
      </c>
      <c r="E41" s="83">
        <v>0.17579400000000001</v>
      </c>
      <c r="F41" s="83">
        <v>0.13376199999999999</v>
      </c>
      <c r="G41" s="83">
        <v>3.1499000000000002E-3</v>
      </c>
      <c r="H41" s="83">
        <v>0.177175</v>
      </c>
      <c r="I41" s="83">
        <v>0.13509399999999999</v>
      </c>
      <c r="J41" s="83">
        <v>3.1499000000000002E-3</v>
      </c>
      <c r="K41" s="83">
        <v>0.17036200000000001</v>
      </c>
      <c r="L41" s="83">
        <v>0.12998799999999999</v>
      </c>
      <c r="M41" s="83">
        <v>3.1499000000000002E-3</v>
      </c>
      <c r="N41" s="83">
        <v>0.16994799999999999</v>
      </c>
      <c r="O41" s="83">
        <v>0.13019600000000001</v>
      </c>
      <c r="P41" s="83">
        <v>3.1499000000000002E-3</v>
      </c>
      <c r="Q41" s="83">
        <v>0.168652</v>
      </c>
      <c r="R41" s="83">
        <v>0.12993399999999999</v>
      </c>
      <c r="S41" s="83">
        <v>3.1499000000000002E-3</v>
      </c>
      <c r="T41" s="83">
        <v>0.17008000000000001</v>
      </c>
      <c r="U41" s="83">
        <v>0.131656</v>
      </c>
      <c r="V41" s="83">
        <v>3.1499000000000002E-3</v>
      </c>
      <c r="W41" s="83">
        <v>0.17269200000000001</v>
      </c>
      <c r="X41" s="83">
        <v>0.13392000000000001</v>
      </c>
      <c r="Y41" s="83">
        <v>3.1499000000000002E-3</v>
      </c>
      <c r="Z41" s="83">
        <v>0.16642000000000001</v>
      </c>
      <c r="AA41" s="83">
        <v>0.12986500000000001</v>
      </c>
      <c r="AB41" s="83">
        <v>3.1499000000000002E-3</v>
      </c>
      <c r="AC41" s="83">
        <v>0.16896</v>
      </c>
      <c r="AD41" s="83">
        <v>0.13203400000000001</v>
      </c>
      <c r="AE41" s="83">
        <v>3.1499000000000002E-3</v>
      </c>
      <c r="AF41" s="83">
        <v>0.169712</v>
      </c>
      <c r="AG41" s="83">
        <v>0.13361100000000001</v>
      </c>
      <c r="AH41" s="83">
        <v>3.1499000000000002E-3</v>
      </c>
      <c r="AI41" s="83">
        <v>0.16866800000000001</v>
      </c>
      <c r="AJ41" s="83">
        <v>0.13300899999999999</v>
      </c>
      <c r="AK41" s="83">
        <v>3.1499000000000002E-3</v>
      </c>
      <c r="AL41" s="83">
        <v>0.168494</v>
      </c>
      <c r="AM41" s="83">
        <v>0.133684</v>
      </c>
      <c r="AN41" s="83">
        <v>3.1499000000000002E-3</v>
      </c>
      <c r="AO41" s="83">
        <v>0.16200000000000001</v>
      </c>
      <c r="AP41" s="83">
        <v>0.129244</v>
      </c>
      <c r="AQ41" s="83">
        <v>3.1499000000000002E-3</v>
      </c>
      <c r="AR41" s="83">
        <v>0.16458500000000001</v>
      </c>
      <c r="AS41" s="83">
        <v>0.13186300000000001</v>
      </c>
      <c r="AT41" s="83">
        <v>3.1499000000000002E-3</v>
      </c>
      <c r="AU41" s="83">
        <v>0.161852</v>
      </c>
      <c r="AV41" s="83">
        <v>0.130718</v>
      </c>
      <c r="AW41" s="83">
        <v>3.1499000000000002E-3</v>
      </c>
      <c r="AX41" s="83">
        <v>0.16453100000000001</v>
      </c>
      <c r="AY41" s="83">
        <v>0.13331799999999999</v>
      </c>
      <c r="AZ41" s="83">
        <v>3.1499000000000002E-3</v>
      </c>
      <c r="BA41" s="83">
        <v>0.16328200000000001</v>
      </c>
      <c r="BB41" s="83">
        <v>0.13318099999999999</v>
      </c>
      <c r="BC41" s="83">
        <v>3.1499000000000002E-3</v>
      </c>
      <c r="BD41" s="83">
        <v>0.15971199999999999</v>
      </c>
      <c r="BE41" s="83">
        <v>0.131329</v>
      </c>
      <c r="BF41" s="83">
        <v>3.1499000000000002E-3</v>
      </c>
      <c r="BG41" s="83">
        <v>0.15711</v>
      </c>
      <c r="BH41" s="83">
        <v>0.13173899999999999</v>
      </c>
      <c r="BI41" s="83">
        <v>3.1499000000000002E-3</v>
      </c>
      <c r="BJ41" s="83">
        <v>0.153615</v>
      </c>
      <c r="BK41" s="83">
        <v>0.13151399999999999</v>
      </c>
      <c r="BL41" s="83">
        <v>3.1499000000000002E-3</v>
      </c>
      <c r="BM41" s="83">
        <v>0.15012200000000001</v>
      </c>
      <c r="BN41" s="83">
        <v>0.130389</v>
      </c>
      <c r="BO41" s="83">
        <v>3.1499000000000002E-3</v>
      </c>
      <c r="BP41" s="83">
        <v>0.14635699999999999</v>
      </c>
      <c r="BQ41" s="83">
        <v>0.13022500000000001</v>
      </c>
      <c r="BR41" s="83">
        <v>3.1499000000000002E-3</v>
      </c>
      <c r="BS41" s="83">
        <v>0.147587</v>
      </c>
      <c r="BT41" s="83">
        <v>0.13420199999999999</v>
      </c>
      <c r="BU41" s="83">
        <v>3.1499000000000002E-3</v>
      </c>
      <c r="BV41" s="83">
        <v>0.13881399999999999</v>
      </c>
      <c r="BW41" s="83">
        <v>0.129916</v>
      </c>
      <c r="BX41" s="83">
        <v>3.1499000000000002E-3</v>
      </c>
      <c r="BY41" s="83">
        <v>0.14163400000000001</v>
      </c>
      <c r="BZ41" s="83">
        <v>0.134881</v>
      </c>
      <c r="CA41" s="83">
        <v>3.1499000000000002E-3</v>
      </c>
      <c r="CB41" s="83">
        <v>0.135625</v>
      </c>
      <c r="CC41" s="83">
        <v>0.131966</v>
      </c>
      <c r="CD41" s="83">
        <v>3.1499000000000002E-3</v>
      </c>
      <c r="CE41" s="83">
        <v>0.13145299999999999</v>
      </c>
      <c r="CF41" s="83">
        <v>0.130774</v>
      </c>
      <c r="CG41" s="83">
        <v>3.1499000000000002E-3</v>
      </c>
      <c r="CH41" s="83">
        <v>0.13223799999999999</v>
      </c>
      <c r="CI41" s="83">
        <v>0.13326299999999999</v>
      </c>
      <c r="CJ41" s="83">
        <v>3.1499000000000002E-3</v>
      </c>
      <c r="CK41" s="83">
        <v>0.12856400000000001</v>
      </c>
      <c r="CL41" s="83">
        <v>0.13115299999999999</v>
      </c>
      <c r="CM41" s="83">
        <v>3.1499000000000002E-3</v>
      </c>
      <c r="CN41" s="83">
        <v>0.125468</v>
      </c>
      <c r="CO41" s="83">
        <v>0.129832</v>
      </c>
      <c r="CP41" s="83">
        <v>3.1499000000000002E-3</v>
      </c>
      <c r="CQ41" s="83">
        <v>0.124136</v>
      </c>
      <c r="CR41" s="83">
        <v>0.130437</v>
      </c>
      <c r="CS41" s="83">
        <v>3.1499000000000002E-3</v>
      </c>
      <c r="CT41" s="83">
        <v>0.124625</v>
      </c>
      <c r="CU41" s="83">
        <v>0.1321</v>
      </c>
      <c r="CV41" s="83">
        <v>3.1499000000000002E-3</v>
      </c>
      <c r="CW41" s="83">
        <v>0.12294099999999999</v>
      </c>
      <c r="CX41" s="83">
        <v>0.131629</v>
      </c>
      <c r="CY41" s="83">
        <v>3.1499000000000002E-3</v>
      </c>
      <c r="CZ41" s="83">
        <v>0.12141100000000001</v>
      </c>
      <c r="DA41" s="83">
        <v>0.13103899999999999</v>
      </c>
    </row>
    <row r="42" spans="1:105" x14ac:dyDescent="0.2">
      <c r="A42" s="83">
        <v>3.2499E-3</v>
      </c>
      <c r="B42" s="83">
        <v>0.16264000000000001</v>
      </c>
      <c r="C42" s="83">
        <v>0.12302</v>
      </c>
      <c r="D42" s="83">
        <v>3.2499E-3</v>
      </c>
      <c r="E42" s="83">
        <v>0.16680200000000001</v>
      </c>
      <c r="F42" s="83">
        <v>0.126773</v>
      </c>
      <c r="G42" s="83">
        <v>3.2499E-3</v>
      </c>
      <c r="H42" s="83">
        <v>0.16836799999999999</v>
      </c>
      <c r="I42" s="83">
        <v>0.12803500000000001</v>
      </c>
      <c r="J42" s="83">
        <v>3.2499E-3</v>
      </c>
      <c r="K42" s="83">
        <v>0.16122700000000001</v>
      </c>
      <c r="L42" s="83">
        <v>0.12322900000000001</v>
      </c>
      <c r="M42" s="83">
        <v>3.2499E-3</v>
      </c>
      <c r="N42" s="83">
        <v>0.16098699999999999</v>
      </c>
      <c r="O42" s="83">
        <v>0.12342</v>
      </c>
      <c r="P42" s="83">
        <v>3.2499E-3</v>
      </c>
      <c r="Q42" s="83">
        <v>0.15962699999999999</v>
      </c>
      <c r="R42" s="83">
        <v>0.123223</v>
      </c>
      <c r="S42" s="83">
        <v>3.2499E-3</v>
      </c>
      <c r="T42" s="83">
        <v>0.160889</v>
      </c>
      <c r="U42" s="83">
        <v>0.12485499999999999</v>
      </c>
      <c r="V42" s="83">
        <v>3.2499E-3</v>
      </c>
      <c r="W42" s="83">
        <v>0.16339300000000001</v>
      </c>
      <c r="X42" s="83">
        <v>0.12696399999999999</v>
      </c>
      <c r="Y42" s="83">
        <v>3.2499E-3</v>
      </c>
      <c r="Z42" s="83">
        <v>0.157945</v>
      </c>
      <c r="AA42" s="83">
        <v>0.123152</v>
      </c>
      <c r="AB42" s="83">
        <v>3.2499E-3</v>
      </c>
      <c r="AC42" s="83">
        <v>0.16003200000000001</v>
      </c>
      <c r="AD42" s="83">
        <v>0.12517500000000001</v>
      </c>
      <c r="AE42" s="83">
        <v>3.2499E-3</v>
      </c>
      <c r="AF42" s="83">
        <v>0.16085099999999999</v>
      </c>
      <c r="AG42" s="83">
        <v>0.12669</v>
      </c>
      <c r="AH42" s="83">
        <v>3.2499E-3</v>
      </c>
      <c r="AI42" s="83">
        <v>0.15948100000000001</v>
      </c>
      <c r="AJ42" s="83">
        <v>0.126137</v>
      </c>
      <c r="AK42" s="83">
        <v>3.2499E-3</v>
      </c>
      <c r="AL42" s="83">
        <v>0.159274</v>
      </c>
      <c r="AM42" s="83">
        <v>0.126749</v>
      </c>
      <c r="AN42" s="83">
        <v>3.2499E-3</v>
      </c>
      <c r="AO42" s="83">
        <v>0.15318999999999999</v>
      </c>
      <c r="AP42" s="83">
        <v>0.122583</v>
      </c>
      <c r="AQ42" s="83">
        <v>3.2499E-3</v>
      </c>
      <c r="AR42" s="83">
        <v>0.15554699999999999</v>
      </c>
      <c r="AS42" s="83">
        <v>0.12506</v>
      </c>
      <c r="AT42" s="83">
        <v>3.2499E-3</v>
      </c>
      <c r="AU42" s="83">
        <v>0.15259200000000001</v>
      </c>
      <c r="AV42" s="83">
        <v>0.123989</v>
      </c>
      <c r="AW42" s="83">
        <v>3.2499E-3</v>
      </c>
      <c r="AX42" s="83">
        <v>0.15560499999999999</v>
      </c>
      <c r="AY42" s="83">
        <v>0.12640199999999999</v>
      </c>
      <c r="AZ42" s="83">
        <v>3.2499E-3</v>
      </c>
      <c r="BA42" s="83">
        <v>0.154173</v>
      </c>
      <c r="BB42" s="83">
        <v>0.12628600000000001</v>
      </c>
      <c r="BC42" s="83">
        <v>3.2499E-3</v>
      </c>
      <c r="BD42" s="83">
        <v>0.15110599999999999</v>
      </c>
      <c r="BE42" s="83">
        <v>0.124517</v>
      </c>
      <c r="BF42" s="83">
        <v>3.2499E-3</v>
      </c>
      <c r="BG42" s="83">
        <v>0.14857899999999999</v>
      </c>
      <c r="BH42" s="83">
        <v>0.124962</v>
      </c>
      <c r="BI42" s="83">
        <v>3.2499E-3</v>
      </c>
      <c r="BJ42" s="83">
        <v>0.14516100000000001</v>
      </c>
      <c r="BK42" s="83">
        <v>0.124763</v>
      </c>
      <c r="BL42" s="83">
        <v>3.2499E-3</v>
      </c>
      <c r="BM42" s="83">
        <v>0.14169999999999999</v>
      </c>
      <c r="BN42" s="83">
        <v>0.123616</v>
      </c>
      <c r="BO42" s="83">
        <v>3.2499E-3</v>
      </c>
      <c r="BP42" s="83">
        <v>0.13780600000000001</v>
      </c>
      <c r="BQ42" s="83">
        <v>0.123478</v>
      </c>
      <c r="BR42" s="83">
        <v>3.2499E-3</v>
      </c>
      <c r="BS42" s="83">
        <v>0.13921600000000001</v>
      </c>
      <c r="BT42" s="83">
        <v>0.12724299999999999</v>
      </c>
      <c r="BU42" s="83">
        <v>3.2499E-3</v>
      </c>
      <c r="BV42" s="83">
        <v>0.13055600000000001</v>
      </c>
      <c r="BW42" s="83">
        <v>0.123193</v>
      </c>
      <c r="BX42" s="83">
        <v>3.2499E-3</v>
      </c>
      <c r="BY42" s="83">
        <v>0.13353499999999999</v>
      </c>
      <c r="BZ42" s="83">
        <v>0.12790199999999999</v>
      </c>
      <c r="CA42" s="83">
        <v>3.2499E-3</v>
      </c>
      <c r="CB42" s="83">
        <v>0.12784400000000001</v>
      </c>
      <c r="CC42" s="83">
        <v>0.12512100000000001</v>
      </c>
      <c r="CD42" s="83">
        <v>3.2499E-3</v>
      </c>
      <c r="CE42" s="83">
        <v>0.123846</v>
      </c>
      <c r="CF42" s="83">
        <v>0.124004</v>
      </c>
      <c r="CG42" s="83">
        <v>3.2499E-3</v>
      </c>
      <c r="CH42" s="83">
        <v>0.124512</v>
      </c>
      <c r="CI42" s="83">
        <v>0.12634600000000001</v>
      </c>
      <c r="CJ42" s="83">
        <v>3.2499E-3</v>
      </c>
      <c r="CK42" s="83">
        <v>0.12127300000000001</v>
      </c>
      <c r="CL42" s="83">
        <v>0.124344</v>
      </c>
      <c r="CM42" s="83">
        <v>3.2499E-3</v>
      </c>
      <c r="CN42" s="83">
        <v>0.117701</v>
      </c>
      <c r="CO42" s="83">
        <v>0.123094</v>
      </c>
      <c r="CP42" s="83">
        <v>3.2499E-3</v>
      </c>
      <c r="CQ42" s="83">
        <v>0.116949</v>
      </c>
      <c r="CR42" s="83">
        <v>0.123683</v>
      </c>
      <c r="CS42" s="83">
        <v>3.2499E-3</v>
      </c>
      <c r="CT42" s="83">
        <v>0.11726</v>
      </c>
      <c r="CU42" s="83">
        <v>0.12523000000000001</v>
      </c>
      <c r="CV42" s="83">
        <v>3.2499E-3</v>
      </c>
      <c r="CW42" s="83">
        <v>0.115439</v>
      </c>
      <c r="CX42" s="83">
        <v>0.124806</v>
      </c>
      <c r="CY42" s="83">
        <v>3.2499E-3</v>
      </c>
      <c r="CZ42" s="83">
        <v>0.11377</v>
      </c>
      <c r="DA42" s="83">
        <v>0.12425700000000001</v>
      </c>
    </row>
    <row r="43" spans="1:105" x14ac:dyDescent="0.2">
      <c r="A43" s="83">
        <v>3.3498999999999998E-3</v>
      </c>
      <c r="B43" s="83">
        <v>0.15431600000000001</v>
      </c>
      <c r="C43" s="83">
        <v>0.116686</v>
      </c>
      <c r="D43" s="83">
        <v>3.3498999999999998E-3</v>
      </c>
      <c r="E43" s="83">
        <v>0.15820100000000001</v>
      </c>
      <c r="F43" s="83">
        <v>0.120215</v>
      </c>
      <c r="G43" s="83">
        <v>3.3498999999999998E-3</v>
      </c>
      <c r="H43" s="83">
        <v>0.1593</v>
      </c>
      <c r="I43" s="83">
        <v>0.12138699999999999</v>
      </c>
      <c r="J43" s="83">
        <v>3.3498999999999998E-3</v>
      </c>
      <c r="K43" s="83">
        <v>0.15262400000000001</v>
      </c>
      <c r="L43" s="83">
        <v>0.116822</v>
      </c>
      <c r="M43" s="83">
        <v>3.3498999999999998E-3</v>
      </c>
      <c r="N43" s="83">
        <v>0.15282100000000001</v>
      </c>
      <c r="O43" s="83">
        <v>0.117061</v>
      </c>
      <c r="P43" s="83">
        <v>3.3498999999999998E-3</v>
      </c>
      <c r="Q43" s="83">
        <v>0.151564</v>
      </c>
      <c r="R43" s="83">
        <v>0.116873</v>
      </c>
      <c r="S43" s="83">
        <v>3.3498999999999998E-3</v>
      </c>
      <c r="T43" s="83">
        <v>0.15245900000000001</v>
      </c>
      <c r="U43" s="83">
        <v>0.118378</v>
      </c>
      <c r="V43" s="83">
        <v>3.3498999999999998E-3</v>
      </c>
      <c r="W43" s="83">
        <v>0.15432100000000001</v>
      </c>
      <c r="X43" s="83">
        <v>0.12038699999999999</v>
      </c>
      <c r="Y43" s="83">
        <v>3.3498999999999998E-3</v>
      </c>
      <c r="Z43" s="83">
        <v>0.14946100000000001</v>
      </c>
      <c r="AA43" s="83">
        <v>0.116771</v>
      </c>
      <c r="AB43" s="83">
        <v>3.3498999999999998E-3</v>
      </c>
      <c r="AC43" s="83">
        <v>0.15143400000000001</v>
      </c>
      <c r="AD43" s="83">
        <v>0.11867800000000001</v>
      </c>
      <c r="AE43" s="83">
        <v>3.3498999999999998E-3</v>
      </c>
      <c r="AF43" s="83">
        <v>0.15220800000000001</v>
      </c>
      <c r="AG43" s="83">
        <v>0.12014900000000001</v>
      </c>
      <c r="AH43" s="83">
        <v>3.3498999999999998E-3</v>
      </c>
      <c r="AI43" s="83">
        <v>0.150951</v>
      </c>
      <c r="AJ43" s="83">
        <v>0.119605</v>
      </c>
      <c r="AK43" s="83">
        <v>3.3498999999999998E-3</v>
      </c>
      <c r="AL43" s="83">
        <v>0.15085799999999999</v>
      </c>
      <c r="AM43" s="83">
        <v>0.12020699999999999</v>
      </c>
      <c r="AN43" s="83">
        <v>3.3498999999999998E-3</v>
      </c>
      <c r="AO43" s="83">
        <v>0.14461499999999999</v>
      </c>
      <c r="AP43" s="83">
        <v>0.116256</v>
      </c>
      <c r="AQ43" s="83">
        <v>3.3498999999999998E-3</v>
      </c>
      <c r="AR43" s="83">
        <v>0.14724699999999999</v>
      </c>
      <c r="AS43" s="83">
        <v>0.118617</v>
      </c>
      <c r="AT43" s="83">
        <v>3.3498999999999998E-3</v>
      </c>
      <c r="AU43" s="83">
        <v>0.14411399999999999</v>
      </c>
      <c r="AV43" s="83">
        <v>0.117643</v>
      </c>
      <c r="AW43" s="83">
        <v>3.3498999999999998E-3</v>
      </c>
      <c r="AX43" s="83">
        <v>0.14701700000000001</v>
      </c>
      <c r="AY43" s="83">
        <v>0.119856</v>
      </c>
      <c r="AZ43" s="83">
        <v>3.3498999999999998E-3</v>
      </c>
      <c r="BA43" s="83">
        <v>0.14588200000000001</v>
      </c>
      <c r="BB43" s="83">
        <v>0.119779</v>
      </c>
      <c r="BC43" s="83">
        <v>3.3498999999999998E-3</v>
      </c>
      <c r="BD43" s="83">
        <v>0.142401</v>
      </c>
      <c r="BE43" s="83">
        <v>0.118094</v>
      </c>
      <c r="BF43" s="83">
        <v>3.3498999999999998E-3</v>
      </c>
      <c r="BG43" s="83">
        <v>0.13971</v>
      </c>
      <c r="BH43" s="83">
        <v>0.118506</v>
      </c>
      <c r="BI43" s="83">
        <v>3.3498999999999998E-3</v>
      </c>
      <c r="BJ43" s="83">
        <v>0.13709299999999999</v>
      </c>
      <c r="BK43" s="83">
        <v>0.118357</v>
      </c>
      <c r="BL43" s="83">
        <v>3.3498999999999998E-3</v>
      </c>
      <c r="BM43" s="83">
        <v>0.133575</v>
      </c>
      <c r="BN43" s="83">
        <v>0.117247</v>
      </c>
      <c r="BO43" s="83">
        <v>3.3498999999999998E-3</v>
      </c>
      <c r="BP43" s="83">
        <v>0.13029099999999999</v>
      </c>
      <c r="BQ43" s="83">
        <v>0.11712400000000001</v>
      </c>
      <c r="BR43" s="83">
        <v>3.3498999999999998E-3</v>
      </c>
      <c r="BS43" s="83">
        <v>0.13076299999999999</v>
      </c>
      <c r="BT43" s="83">
        <v>0.120687</v>
      </c>
      <c r="BU43" s="83">
        <v>3.3498999999999998E-3</v>
      </c>
      <c r="BV43" s="83">
        <v>0.12323199999999999</v>
      </c>
      <c r="BW43" s="83">
        <v>0.116851</v>
      </c>
      <c r="BX43" s="83">
        <v>3.3498999999999998E-3</v>
      </c>
      <c r="BY43" s="83">
        <v>0.126029</v>
      </c>
      <c r="BZ43" s="83">
        <v>0.121268</v>
      </c>
      <c r="CA43" s="83">
        <v>3.3498999999999998E-3</v>
      </c>
      <c r="CB43" s="83">
        <v>0.120476</v>
      </c>
      <c r="CC43" s="83">
        <v>0.118632</v>
      </c>
      <c r="CD43" s="83">
        <v>3.3498999999999998E-3</v>
      </c>
      <c r="CE43" s="83">
        <v>0.116842</v>
      </c>
      <c r="CF43" s="83">
        <v>0.11759500000000001</v>
      </c>
      <c r="CG43" s="83">
        <v>3.3498999999999998E-3</v>
      </c>
      <c r="CH43" s="83">
        <v>0.11720700000000001</v>
      </c>
      <c r="CI43" s="83">
        <v>0.11981799999999999</v>
      </c>
      <c r="CJ43" s="83">
        <v>3.3498999999999998E-3</v>
      </c>
      <c r="CK43" s="83">
        <v>0.11373</v>
      </c>
      <c r="CL43" s="83">
        <v>0.117935</v>
      </c>
      <c r="CM43" s="83">
        <v>3.3498999999999998E-3</v>
      </c>
      <c r="CN43" s="83">
        <v>0.11136699999999999</v>
      </c>
      <c r="CO43" s="83">
        <v>0.116745</v>
      </c>
      <c r="CP43" s="83">
        <v>3.3498999999999998E-3</v>
      </c>
      <c r="CQ43" s="83">
        <v>0.10974</v>
      </c>
      <c r="CR43" s="83">
        <v>0.117296</v>
      </c>
      <c r="CS43" s="83">
        <v>3.3498999999999998E-3</v>
      </c>
      <c r="CT43" s="83">
        <v>0.110041</v>
      </c>
      <c r="CU43" s="83">
        <v>0.118754</v>
      </c>
      <c r="CV43" s="83">
        <v>3.3498999999999998E-3</v>
      </c>
      <c r="CW43" s="83">
        <v>0.10871400000000001</v>
      </c>
      <c r="CX43" s="83">
        <v>0.118393</v>
      </c>
      <c r="CY43" s="83">
        <v>3.3498999999999998E-3</v>
      </c>
      <c r="CZ43" s="83">
        <v>0.107192</v>
      </c>
      <c r="DA43" s="83">
        <v>0.117811</v>
      </c>
    </row>
    <row r="44" spans="1:105" x14ac:dyDescent="0.2">
      <c r="A44" s="83">
        <v>3.4499000000000001E-3</v>
      </c>
      <c r="B44" s="83">
        <v>0.146291</v>
      </c>
      <c r="C44" s="83">
        <v>0.11070199999999999</v>
      </c>
      <c r="D44" s="83">
        <v>3.4499000000000001E-3</v>
      </c>
      <c r="E44" s="83">
        <v>0.14977099999999999</v>
      </c>
      <c r="F44" s="83">
        <v>0.11400200000000001</v>
      </c>
      <c r="G44" s="83">
        <v>3.4499000000000001E-3</v>
      </c>
      <c r="H44" s="83">
        <v>0.151032</v>
      </c>
      <c r="I44" s="83">
        <v>0.115121</v>
      </c>
      <c r="J44" s="83">
        <v>3.4499000000000001E-3</v>
      </c>
      <c r="K44" s="83">
        <v>0.14438699999999999</v>
      </c>
      <c r="L44" s="83">
        <v>0.110833</v>
      </c>
      <c r="M44" s="83">
        <v>3.4499000000000001E-3</v>
      </c>
      <c r="N44" s="83">
        <v>0.144372</v>
      </c>
      <c r="O44" s="83">
        <v>0.11103499999999999</v>
      </c>
      <c r="P44" s="83">
        <v>3.4499000000000001E-3</v>
      </c>
      <c r="Q44" s="83">
        <v>0.143703</v>
      </c>
      <c r="R44" s="83">
        <v>0.110912</v>
      </c>
      <c r="S44" s="83">
        <v>3.4499000000000001E-3</v>
      </c>
      <c r="T44" s="83">
        <v>0.144506</v>
      </c>
      <c r="U44" s="83">
        <v>0.112305</v>
      </c>
      <c r="V44" s="83">
        <v>3.4499000000000001E-3</v>
      </c>
      <c r="W44" s="83">
        <v>0.146092</v>
      </c>
      <c r="X44" s="83">
        <v>0.114178</v>
      </c>
      <c r="Y44" s="83">
        <v>3.4499000000000001E-3</v>
      </c>
      <c r="Z44" s="83">
        <v>0.14103099999999999</v>
      </c>
      <c r="AA44" s="83">
        <v>0.110794</v>
      </c>
      <c r="AB44" s="83">
        <v>3.4499000000000001E-3</v>
      </c>
      <c r="AC44" s="83">
        <v>0.14301</v>
      </c>
      <c r="AD44" s="83">
        <v>0.11257200000000001</v>
      </c>
      <c r="AE44" s="83">
        <v>3.4499000000000001E-3</v>
      </c>
      <c r="AF44" s="83">
        <v>0.144292</v>
      </c>
      <c r="AG44" s="83">
        <v>0.113981</v>
      </c>
      <c r="AH44" s="83">
        <v>3.4499000000000001E-3</v>
      </c>
      <c r="AI44" s="83">
        <v>0.14249999999999999</v>
      </c>
      <c r="AJ44" s="83">
        <v>0.113471</v>
      </c>
      <c r="AK44" s="83">
        <v>3.4499000000000001E-3</v>
      </c>
      <c r="AL44" s="83">
        <v>0.14233799999999999</v>
      </c>
      <c r="AM44" s="83">
        <v>0.11404599999999999</v>
      </c>
      <c r="AN44" s="83">
        <v>3.4499000000000001E-3</v>
      </c>
      <c r="AO44" s="83">
        <v>0.13722899999999999</v>
      </c>
      <c r="AP44" s="83">
        <v>0.110332</v>
      </c>
      <c r="AQ44" s="83">
        <v>3.4499000000000001E-3</v>
      </c>
      <c r="AR44" s="83">
        <v>0.13933499999999999</v>
      </c>
      <c r="AS44" s="83">
        <v>0.11254</v>
      </c>
      <c r="AT44" s="83">
        <v>3.4499000000000001E-3</v>
      </c>
      <c r="AU44" s="83">
        <v>0.13645699999999999</v>
      </c>
      <c r="AV44" s="83">
        <v>0.111651</v>
      </c>
      <c r="AW44" s="83">
        <v>3.4499000000000001E-3</v>
      </c>
      <c r="AX44" s="83">
        <v>0.138908</v>
      </c>
      <c r="AY44" s="83">
        <v>0.113715</v>
      </c>
      <c r="AZ44" s="83">
        <v>3.4499000000000001E-3</v>
      </c>
      <c r="BA44" s="83">
        <v>0.13738800000000001</v>
      </c>
      <c r="BB44" s="83">
        <v>0.113634</v>
      </c>
      <c r="BC44" s="83">
        <v>3.4499000000000001E-3</v>
      </c>
      <c r="BD44" s="83">
        <v>0.135099</v>
      </c>
      <c r="BE44" s="83">
        <v>0.11203200000000001</v>
      </c>
      <c r="BF44" s="83">
        <v>3.4499000000000001E-3</v>
      </c>
      <c r="BG44" s="83">
        <v>0.132161</v>
      </c>
      <c r="BH44" s="83">
        <v>0.112484</v>
      </c>
      <c r="BI44" s="83">
        <v>3.4499000000000001E-3</v>
      </c>
      <c r="BJ44" s="83">
        <v>0.12933900000000001</v>
      </c>
      <c r="BK44" s="83">
        <v>0.112329</v>
      </c>
      <c r="BL44" s="83">
        <v>3.4499000000000001E-3</v>
      </c>
      <c r="BM44" s="83">
        <v>0.126028</v>
      </c>
      <c r="BN44" s="83">
        <v>0.11125400000000001</v>
      </c>
      <c r="BO44" s="83">
        <v>3.4499000000000001E-3</v>
      </c>
      <c r="BP44" s="83">
        <v>0.12246899999999999</v>
      </c>
      <c r="BQ44" s="83">
        <v>0.11117100000000001</v>
      </c>
      <c r="BR44" s="83">
        <v>3.4499000000000001E-3</v>
      </c>
      <c r="BS44" s="83">
        <v>0.123393</v>
      </c>
      <c r="BT44" s="83">
        <v>0.114491</v>
      </c>
      <c r="BU44" s="83">
        <v>3.4499000000000001E-3</v>
      </c>
      <c r="BV44" s="83">
        <v>0.116259</v>
      </c>
      <c r="BW44" s="83">
        <v>0.11087900000000001</v>
      </c>
      <c r="BX44" s="83">
        <v>3.4499000000000001E-3</v>
      </c>
      <c r="BY44" s="83">
        <v>0.118269</v>
      </c>
      <c r="BZ44" s="83">
        <v>0.115033</v>
      </c>
      <c r="CA44" s="83">
        <v>3.4499000000000001E-3</v>
      </c>
      <c r="CB44" s="83">
        <v>0.11305999999999999</v>
      </c>
      <c r="CC44" s="83">
        <v>0.11257</v>
      </c>
      <c r="CD44" s="83">
        <v>3.4499000000000001E-3</v>
      </c>
      <c r="CE44" s="83">
        <v>0.109793</v>
      </c>
      <c r="CF44" s="83">
        <v>0.11158899999999999</v>
      </c>
      <c r="CG44" s="83">
        <v>3.4499000000000001E-3</v>
      </c>
      <c r="CH44" s="83">
        <v>0.110195</v>
      </c>
      <c r="CI44" s="83">
        <v>0.11368200000000001</v>
      </c>
      <c r="CJ44" s="83">
        <v>3.4499000000000001E-3</v>
      </c>
      <c r="CK44" s="83">
        <v>0.107081</v>
      </c>
      <c r="CL44" s="83">
        <v>0.111876</v>
      </c>
      <c r="CM44" s="83">
        <v>3.4499000000000001E-3</v>
      </c>
      <c r="CN44" s="83">
        <v>0.10405200000000001</v>
      </c>
      <c r="CO44" s="83">
        <v>0.11075</v>
      </c>
      <c r="CP44" s="83">
        <v>3.4499000000000001E-3</v>
      </c>
      <c r="CQ44" s="83">
        <v>0.103243</v>
      </c>
      <c r="CR44" s="83">
        <v>0.111306</v>
      </c>
      <c r="CS44" s="83">
        <v>3.4499000000000001E-3</v>
      </c>
      <c r="CT44" s="83">
        <v>0.10398499999999999</v>
      </c>
      <c r="CU44" s="83">
        <v>0.112647</v>
      </c>
      <c r="CV44" s="83">
        <v>3.4499000000000001E-3</v>
      </c>
      <c r="CW44" s="83">
        <v>0.102298</v>
      </c>
      <c r="CX44" s="83">
        <v>0.112312</v>
      </c>
      <c r="CY44" s="83">
        <v>3.4499000000000001E-3</v>
      </c>
      <c r="CZ44" s="83">
        <v>0.100596</v>
      </c>
      <c r="DA44" s="83">
        <v>0.11176700000000001</v>
      </c>
    </row>
    <row r="45" spans="1:105" x14ac:dyDescent="0.2">
      <c r="A45" s="83">
        <v>3.5498999999999999E-3</v>
      </c>
      <c r="B45" s="83">
        <v>0.138822</v>
      </c>
      <c r="C45" s="83">
        <v>0.105047</v>
      </c>
      <c r="D45" s="83">
        <v>3.5498999999999999E-3</v>
      </c>
      <c r="E45" s="83">
        <v>0.14239399999999999</v>
      </c>
      <c r="F45" s="83">
        <v>0.108141</v>
      </c>
      <c r="G45" s="83">
        <v>3.5498999999999999E-3</v>
      </c>
      <c r="H45" s="83">
        <v>0.14310300000000001</v>
      </c>
      <c r="I45" s="83">
        <v>0.109207</v>
      </c>
      <c r="J45" s="83">
        <v>3.5498999999999999E-3</v>
      </c>
      <c r="K45" s="83">
        <v>0.13681699999999999</v>
      </c>
      <c r="L45" s="83">
        <v>0.105139</v>
      </c>
      <c r="M45" s="83">
        <v>3.5498999999999999E-3</v>
      </c>
      <c r="N45" s="83">
        <v>0.136602</v>
      </c>
      <c r="O45" s="83">
        <v>0.105351</v>
      </c>
      <c r="P45" s="83">
        <v>3.5498999999999999E-3</v>
      </c>
      <c r="Q45" s="83">
        <v>0.13597799999999999</v>
      </c>
      <c r="R45" s="83">
        <v>0.105256</v>
      </c>
      <c r="S45" s="83">
        <v>3.5498999999999999E-3</v>
      </c>
      <c r="T45" s="83">
        <v>0.13658799999999999</v>
      </c>
      <c r="U45" s="83">
        <v>0.106556</v>
      </c>
      <c r="V45" s="83">
        <v>3.5498999999999999E-3</v>
      </c>
      <c r="W45" s="83">
        <v>0.13847699999999999</v>
      </c>
      <c r="X45" s="83">
        <v>0.108346</v>
      </c>
      <c r="Y45" s="83">
        <v>3.5498999999999999E-3</v>
      </c>
      <c r="Z45" s="83">
        <v>0.13355800000000001</v>
      </c>
      <c r="AA45" s="83">
        <v>0.105132</v>
      </c>
      <c r="AB45" s="83">
        <v>3.5498999999999999E-3</v>
      </c>
      <c r="AC45" s="83">
        <v>0.13506499999999999</v>
      </c>
      <c r="AD45" s="83">
        <v>0.106822</v>
      </c>
      <c r="AE45" s="83">
        <v>3.5498999999999999E-3</v>
      </c>
      <c r="AF45" s="83">
        <v>0.136208</v>
      </c>
      <c r="AG45" s="83">
        <v>0.108167</v>
      </c>
      <c r="AH45" s="83">
        <v>3.5498999999999999E-3</v>
      </c>
      <c r="AI45" s="83">
        <v>0.13467799999999999</v>
      </c>
      <c r="AJ45" s="83">
        <v>0.107698</v>
      </c>
      <c r="AK45" s="83">
        <v>3.5498999999999999E-3</v>
      </c>
      <c r="AL45" s="83">
        <v>0.135045</v>
      </c>
      <c r="AM45" s="83">
        <v>0.108205</v>
      </c>
      <c r="AN45" s="83">
        <v>3.5498999999999999E-3</v>
      </c>
      <c r="AO45" s="83">
        <v>0.129776</v>
      </c>
      <c r="AP45" s="83">
        <v>0.1047</v>
      </c>
      <c r="AQ45" s="83">
        <v>3.5498999999999999E-3</v>
      </c>
      <c r="AR45" s="83">
        <v>0.13151399999999999</v>
      </c>
      <c r="AS45" s="83">
        <v>0.10682800000000001</v>
      </c>
      <c r="AT45" s="83">
        <v>3.5498999999999999E-3</v>
      </c>
      <c r="AU45" s="83">
        <v>0.12884599999999999</v>
      </c>
      <c r="AV45" s="83">
        <v>0.10598200000000001</v>
      </c>
      <c r="AW45" s="83">
        <v>3.5498999999999999E-3</v>
      </c>
      <c r="AX45" s="83">
        <v>0.13097</v>
      </c>
      <c r="AY45" s="83">
        <v>0.107916</v>
      </c>
      <c r="AZ45" s="83">
        <v>3.5498999999999999E-3</v>
      </c>
      <c r="BA45" s="83">
        <v>0.13009699999999999</v>
      </c>
      <c r="BB45" s="83">
        <v>0.10786</v>
      </c>
      <c r="BC45" s="83">
        <v>3.5498999999999999E-3</v>
      </c>
      <c r="BD45" s="83">
        <v>0.12686800000000001</v>
      </c>
      <c r="BE45" s="83">
        <v>0.10629</v>
      </c>
      <c r="BF45" s="83">
        <v>3.5498999999999999E-3</v>
      </c>
      <c r="BG45" s="83">
        <v>0.12456100000000001</v>
      </c>
      <c r="BH45" s="83">
        <v>0.10673000000000001</v>
      </c>
      <c r="BI45" s="83">
        <v>3.5498999999999999E-3</v>
      </c>
      <c r="BJ45" s="83">
        <v>0.121986</v>
      </c>
      <c r="BK45" s="83">
        <v>0.10660799999999999</v>
      </c>
      <c r="BL45" s="83">
        <v>3.5498999999999999E-3</v>
      </c>
      <c r="BM45" s="83">
        <v>0.11879199999999999</v>
      </c>
      <c r="BN45" s="83">
        <v>0.105576</v>
      </c>
      <c r="BO45" s="83">
        <v>3.5498999999999999E-3</v>
      </c>
      <c r="BP45" s="83">
        <v>0.11581</v>
      </c>
      <c r="BQ45" s="83">
        <v>0.105479</v>
      </c>
      <c r="BR45" s="83">
        <v>3.5498999999999999E-3</v>
      </c>
      <c r="BS45" s="83">
        <v>0.11629</v>
      </c>
      <c r="BT45" s="83">
        <v>0.108669</v>
      </c>
      <c r="BU45" s="83">
        <v>3.5498999999999999E-3</v>
      </c>
      <c r="BV45" s="83">
        <v>0.10929999999999999</v>
      </c>
      <c r="BW45" s="83">
        <v>0.10520599999999999</v>
      </c>
      <c r="BX45" s="83">
        <v>3.5498999999999999E-3</v>
      </c>
      <c r="BY45" s="83">
        <v>0.111724</v>
      </c>
      <c r="BZ45" s="83">
        <v>0.10916099999999999</v>
      </c>
      <c r="CA45" s="83">
        <v>3.5498999999999999E-3</v>
      </c>
      <c r="CB45" s="83">
        <v>0.10667600000000001</v>
      </c>
      <c r="CC45" s="83">
        <v>0.10678600000000001</v>
      </c>
      <c r="CD45" s="83">
        <v>3.5498999999999999E-3</v>
      </c>
      <c r="CE45" s="83">
        <v>0.103092</v>
      </c>
      <c r="CF45" s="83">
        <v>0.105869</v>
      </c>
      <c r="CG45" s="83">
        <v>3.5498999999999999E-3</v>
      </c>
      <c r="CH45" s="83">
        <v>0.103197</v>
      </c>
      <c r="CI45" s="83">
        <v>0.107875</v>
      </c>
      <c r="CJ45" s="83">
        <v>3.5498999999999999E-3</v>
      </c>
      <c r="CK45" s="83">
        <v>0.10095</v>
      </c>
      <c r="CL45" s="83">
        <v>0.10617500000000001</v>
      </c>
      <c r="CM45" s="83">
        <v>3.5498999999999999E-3</v>
      </c>
      <c r="CN45" s="83">
        <v>9.8034499999999997E-2</v>
      </c>
      <c r="CO45" s="83">
        <v>0.10513</v>
      </c>
      <c r="CP45" s="83">
        <v>3.5498999999999999E-3</v>
      </c>
      <c r="CQ45" s="83">
        <v>9.7128199999999998E-2</v>
      </c>
      <c r="CR45" s="83">
        <v>0.10563500000000001</v>
      </c>
      <c r="CS45" s="83">
        <v>3.5498999999999999E-3</v>
      </c>
      <c r="CT45" s="83">
        <v>9.7711099999999995E-2</v>
      </c>
      <c r="CU45" s="83">
        <v>0.10687099999999999</v>
      </c>
      <c r="CV45" s="83">
        <v>3.5498999999999999E-3</v>
      </c>
      <c r="CW45" s="83">
        <v>9.5907699999999999E-2</v>
      </c>
      <c r="CX45" s="83">
        <v>0.106595</v>
      </c>
      <c r="CY45" s="83">
        <v>3.5498999999999999E-3</v>
      </c>
      <c r="CZ45" s="83">
        <v>9.4342499999999996E-2</v>
      </c>
      <c r="DA45" s="83">
        <v>0.10606699999999999</v>
      </c>
    </row>
    <row r="46" spans="1:105" x14ac:dyDescent="0.2">
      <c r="A46" s="83">
        <v>3.6499000000000002E-3</v>
      </c>
      <c r="B46" s="83">
        <v>0.131466</v>
      </c>
      <c r="C46" s="83">
        <v>9.9719699999999994E-2</v>
      </c>
      <c r="D46" s="83">
        <v>3.6499000000000002E-3</v>
      </c>
      <c r="E46" s="83">
        <v>0.134552</v>
      </c>
      <c r="F46" s="83">
        <v>0.102659</v>
      </c>
      <c r="G46" s="83">
        <v>3.6499000000000002E-3</v>
      </c>
      <c r="H46" s="83">
        <v>0.13546800000000001</v>
      </c>
      <c r="I46" s="83">
        <v>0.103629</v>
      </c>
      <c r="J46" s="83">
        <v>3.6499000000000002E-3</v>
      </c>
      <c r="K46" s="83">
        <v>0.12995200000000001</v>
      </c>
      <c r="L46" s="83">
        <v>9.9801399999999998E-2</v>
      </c>
      <c r="M46" s="83">
        <v>3.6499000000000002E-3</v>
      </c>
      <c r="N46" s="83">
        <v>0.129633</v>
      </c>
      <c r="O46" s="83">
        <v>0.100009</v>
      </c>
      <c r="P46" s="83">
        <v>3.6499000000000002E-3</v>
      </c>
      <c r="Q46" s="83">
        <v>0.12878700000000001</v>
      </c>
      <c r="R46" s="83">
        <v>9.9952399999999997E-2</v>
      </c>
      <c r="S46" s="83">
        <v>3.6499000000000002E-3</v>
      </c>
      <c r="T46" s="83">
        <v>0.12896099999999999</v>
      </c>
      <c r="U46" s="83">
        <v>0.101145</v>
      </c>
      <c r="V46" s="83">
        <v>3.6499000000000002E-3</v>
      </c>
      <c r="W46" s="83">
        <v>0.13086400000000001</v>
      </c>
      <c r="X46" s="83">
        <v>0.102815</v>
      </c>
      <c r="Y46" s="83">
        <v>3.6499000000000002E-3</v>
      </c>
      <c r="Z46" s="83">
        <v>0.12667800000000001</v>
      </c>
      <c r="AA46" s="83">
        <v>9.9821999999999994E-2</v>
      </c>
      <c r="AB46" s="83">
        <v>3.6499000000000002E-3</v>
      </c>
      <c r="AC46" s="83">
        <v>0.127835</v>
      </c>
      <c r="AD46" s="83">
        <v>0.101398</v>
      </c>
      <c r="AE46" s="83">
        <v>3.6499000000000002E-3</v>
      </c>
      <c r="AF46" s="83">
        <v>0.129189</v>
      </c>
      <c r="AG46" s="83">
        <v>0.10267900000000001</v>
      </c>
      <c r="AH46" s="83">
        <v>3.6499000000000002E-3</v>
      </c>
      <c r="AI46" s="83">
        <v>0.12769800000000001</v>
      </c>
      <c r="AJ46" s="83">
        <v>0.102224</v>
      </c>
      <c r="AK46" s="83">
        <v>3.6499000000000002E-3</v>
      </c>
      <c r="AL46" s="83">
        <v>0.12757599999999999</v>
      </c>
      <c r="AM46" s="83">
        <v>0.102719</v>
      </c>
      <c r="AN46" s="83">
        <v>3.6499000000000002E-3</v>
      </c>
      <c r="AO46" s="83">
        <v>0.122518</v>
      </c>
      <c r="AP46" s="83">
        <v>9.9427799999999997E-2</v>
      </c>
      <c r="AQ46" s="83">
        <v>3.6499000000000002E-3</v>
      </c>
      <c r="AR46" s="83">
        <v>0.12393800000000001</v>
      </c>
      <c r="AS46" s="83">
        <v>0.101423</v>
      </c>
      <c r="AT46" s="83">
        <v>3.6499000000000002E-3</v>
      </c>
      <c r="AU46" s="83">
        <v>0.121473</v>
      </c>
      <c r="AV46" s="83">
        <v>0.100633</v>
      </c>
      <c r="AW46" s="83">
        <v>3.6499000000000002E-3</v>
      </c>
      <c r="AX46" s="83">
        <v>0.123861</v>
      </c>
      <c r="AY46" s="83">
        <v>0.10245600000000001</v>
      </c>
      <c r="AZ46" s="83">
        <v>3.6499000000000002E-3</v>
      </c>
      <c r="BA46" s="83">
        <v>0.122681</v>
      </c>
      <c r="BB46" s="83">
        <v>0.102411</v>
      </c>
      <c r="BC46" s="83">
        <v>3.6499000000000002E-3</v>
      </c>
      <c r="BD46" s="83">
        <v>0.119993</v>
      </c>
      <c r="BE46" s="83">
        <v>0.10088900000000001</v>
      </c>
      <c r="BF46" s="83">
        <v>3.6499000000000002E-3</v>
      </c>
      <c r="BG46" s="83">
        <v>0.118104</v>
      </c>
      <c r="BH46" s="83">
        <v>0.101345</v>
      </c>
      <c r="BI46" s="83">
        <v>3.6499000000000002E-3</v>
      </c>
      <c r="BJ46" s="83">
        <v>0.11526500000000001</v>
      </c>
      <c r="BK46" s="83">
        <v>0.10120899999999999</v>
      </c>
      <c r="BL46" s="83">
        <v>3.6499000000000002E-3</v>
      </c>
      <c r="BM46" s="83">
        <v>0.111971</v>
      </c>
      <c r="BN46" s="83">
        <v>0.100242</v>
      </c>
      <c r="BO46" s="83">
        <v>3.6499000000000002E-3</v>
      </c>
      <c r="BP46" s="83">
        <v>0.10929899999999999</v>
      </c>
      <c r="BQ46" s="83">
        <v>0.100178</v>
      </c>
      <c r="BR46" s="83">
        <v>3.6499000000000002E-3</v>
      </c>
      <c r="BS46" s="83">
        <v>0.109733</v>
      </c>
      <c r="BT46" s="83">
        <v>0.103148</v>
      </c>
      <c r="BU46" s="83">
        <v>3.6499000000000002E-3</v>
      </c>
      <c r="BV46" s="83">
        <v>0.103324</v>
      </c>
      <c r="BW46" s="83">
        <v>9.98864E-2</v>
      </c>
      <c r="BX46" s="83">
        <v>3.6499000000000002E-3</v>
      </c>
      <c r="BY46" s="83">
        <v>0.105097</v>
      </c>
      <c r="BZ46" s="83">
        <v>0.10359400000000001</v>
      </c>
      <c r="CA46" s="83">
        <v>3.6499000000000002E-3</v>
      </c>
      <c r="CB46" s="83">
        <v>0.100476</v>
      </c>
      <c r="CC46" s="83">
        <v>0.101366</v>
      </c>
      <c r="CD46" s="83">
        <v>3.6499000000000002E-3</v>
      </c>
      <c r="CE46" s="83">
        <v>9.7251799999999999E-2</v>
      </c>
      <c r="CF46" s="83">
        <v>0.10052700000000001</v>
      </c>
      <c r="CG46" s="83">
        <v>3.6499000000000002E-3</v>
      </c>
      <c r="CH46" s="83">
        <v>9.6851599999999996E-2</v>
      </c>
      <c r="CI46" s="83">
        <v>0.10238</v>
      </c>
      <c r="CJ46" s="83">
        <v>3.6499000000000002E-3</v>
      </c>
      <c r="CK46" s="83">
        <v>9.4860600000000003E-2</v>
      </c>
      <c r="CL46" s="83">
        <v>0.100814</v>
      </c>
      <c r="CM46" s="83">
        <v>3.6499000000000002E-3</v>
      </c>
      <c r="CN46" s="83">
        <v>9.17631E-2</v>
      </c>
      <c r="CO46" s="83">
        <v>9.98E-2</v>
      </c>
      <c r="CP46" s="83">
        <v>3.6499000000000002E-3</v>
      </c>
      <c r="CQ46" s="83">
        <v>9.1573500000000002E-2</v>
      </c>
      <c r="CR46" s="83">
        <v>0.10027899999999999</v>
      </c>
      <c r="CS46" s="83">
        <v>3.6499000000000002E-3</v>
      </c>
      <c r="CT46" s="83">
        <v>9.1515799999999994E-2</v>
      </c>
      <c r="CU46" s="83">
        <v>0.101427</v>
      </c>
      <c r="CV46" s="83">
        <v>3.6499000000000002E-3</v>
      </c>
      <c r="CW46" s="83">
        <v>9.0179099999999998E-2</v>
      </c>
      <c r="CX46" s="83">
        <v>0.101171</v>
      </c>
      <c r="CY46" s="83">
        <v>3.6499000000000002E-3</v>
      </c>
      <c r="CZ46" s="83">
        <v>8.8785799999999998E-2</v>
      </c>
      <c r="DA46" s="83">
        <v>0.10067</v>
      </c>
    </row>
    <row r="47" spans="1:105" x14ac:dyDescent="0.2">
      <c r="A47" s="83">
        <v>3.7499E-3</v>
      </c>
      <c r="B47" s="83">
        <v>0.124658</v>
      </c>
      <c r="C47" s="83">
        <v>9.4756800000000002E-2</v>
      </c>
      <c r="D47" s="83">
        <v>3.7499E-3</v>
      </c>
      <c r="E47" s="83">
        <v>0.12779099999999999</v>
      </c>
      <c r="F47" s="83">
        <v>9.7465700000000002E-2</v>
      </c>
      <c r="G47" s="83">
        <v>3.7499E-3</v>
      </c>
      <c r="H47" s="83">
        <v>0.12825500000000001</v>
      </c>
      <c r="I47" s="83">
        <v>9.8382200000000003E-2</v>
      </c>
      <c r="J47" s="83">
        <v>3.7499E-3</v>
      </c>
      <c r="K47" s="83">
        <v>0.122784</v>
      </c>
      <c r="L47" s="83">
        <v>9.4778899999999999E-2</v>
      </c>
      <c r="M47" s="83">
        <v>3.7499E-3</v>
      </c>
      <c r="N47" s="83">
        <v>0.123112</v>
      </c>
      <c r="O47" s="83">
        <v>9.4997600000000001E-2</v>
      </c>
      <c r="P47" s="83">
        <v>3.7499E-3</v>
      </c>
      <c r="Q47" s="83">
        <v>0.122252</v>
      </c>
      <c r="R47" s="83">
        <v>9.4972899999999999E-2</v>
      </c>
      <c r="S47" s="83">
        <v>3.7499E-3</v>
      </c>
      <c r="T47" s="83">
        <v>0.122686</v>
      </c>
      <c r="U47" s="83">
        <v>9.6061400000000005E-2</v>
      </c>
      <c r="V47" s="83">
        <v>3.7499E-3</v>
      </c>
      <c r="W47" s="83">
        <v>0.124264</v>
      </c>
      <c r="X47" s="83">
        <v>9.7609899999999999E-2</v>
      </c>
      <c r="Y47" s="83">
        <v>3.7499E-3</v>
      </c>
      <c r="Z47" s="83">
        <v>0.11985</v>
      </c>
      <c r="AA47" s="83">
        <v>9.48161E-2</v>
      </c>
      <c r="AB47" s="83">
        <v>3.7499E-3</v>
      </c>
      <c r="AC47" s="83">
        <v>0.120794</v>
      </c>
      <c r="AD47" s="83">
        <v>9.6304699999999993E-2</v>
      </c>
      <c r="AE47" s="83">
        <v>3.7499E-3</v>
      </c>
      <c r="AF47" s="83">
        <v>0.122044</v>
      </c>
      <c r="AG47" s="83">
        <v>9.7504900000000005E-2</v>
      </c>
      <c r="AH47" s="83">
        <v>3.7499E-3</v>
      </c>
      <c r="AI47" s="83">
        <v>0.12074600000000001</v>
      </c>
      <c r="AJ47" s="83">
        <v>9.7082699999999994E-2</v>
      </c>
      <c r="AK47" s="83">
        <v>3.7499E-3</v>
      </c>
      <c r="AL47" s="83">
        <v>0.120422</v>
      </c>
      <c r="AM47" s="83">
        <v>9.7523600000000002E-2</v>
      </c>
      <c r="AN47" s="83">
        <v>3.7499E-3</v>
      </c>
      <c r="AO47" s="83">
        <v>0.115699</v>
      </c>
      <c r="AP47" s="83">
        <v>9.4444399999999998E-2</v>
      </c>
      <c r="AQ47" s="83">
        <v>3.7499E-3</v>
      </c>
      <c r="AR47" s="83">
        <v>0.117024</v>
      </c>
      <c r="AS47" s="83">
        <v>9.6353599999999998E-2</v>
      </c>
      <c r="AT47" s="83">
        <v>3.7499E-3</v>
      </c>
      <c r="AU47" s="83">
        <v>0.115159</v>
      </c>
      <c r="AV47" s="83">
        <v>9.5643000000000006E-2</v>
      </c>
      <c r="AW47" s="83">
        <v>3.7499E-3</v>
      </c>
      <c r="AX47" s="83">
        <v>0.116674</v>
      </c>
      <c r="AY47" s="83">
        <v>9.7291299999999997E-2</v>
      </c>
      <c r="AZ47" s="83">
        <v>3.7499E-3</v>
      </c>
      <c r="BA47" s="83">
        <v>0.115911</v>
      </c>
      <c r="BB47" s="83">
        <v>9.7250699999999995E-2</v>
      </c>
      <c r="BC47" s="83">
        <v>3.7499E-3</v>
      </c>
      <c r="BD47" s="83">
        <v>0.11337800000000001</v>
      </c>
      <c r="BE47" s="83">
        <v>9.58397E-2</v>
      </c>
      <c r="BF47" s="83">
        <v>3.7499E-3</v>
      </c>
      <c r="BG47" s="83">
        <v>0.111292</v>
      </c>
      <c r="BH47" s="83">
        <v>9.6235600000000004E-2</v>
      </c>
      <c r="BI47" s="83">
        <v>3.7499E-3</v>
      </c>
      <c r="BJ47" s="83">
        <v>0.108783</v>
      </c>
      <c r="BK47" s="83">
        <v>9.6145999999999995E-2</v>
      </c>
      <c r="BL47" s="83">
        <v>3.7499E-3</v>
      </c>
      <c r="BM47" s="83">
        <v>0.10581500000000001</v>
      </c>
      <c r="BN47" s="83">
        <v>9.5200499999999993E-2</v>
      </c>
      <c r="BO47" s="83">
        <v>3.7499E-3</v>
      </c>
      <c r="BP47" s="83">
        <v>0.103146</v>
      </c>
      <c r="BQ47" s="83">
        <v>9.5166000000000001E-2</v>
      </c>
      <c r="BR47" s="83">
        <v>3.7499E-3</v>
      </c>
      <c r="BS47" s="83">
        <v>0.103612</v>
      </c>
      <c r="BT47" s="83">
        <v>9.7948199999999999E-2</v>
      </c>
      <c r="BU47" s="83">
        <v>3.7499E-3</v>
      </c>
      <c r="BV47" s="83">
        <v>9.7046499999999994E-2</v>
      </c>
      <c r="BW47" s="83">
        <v>9.4912800000000005E-2</v>
      </c>
      <c r="BX47" s="83">
        <v>3.7499E-3</v>
      </c>
      <c r="BY47" s="83">
        <v>9.8837499999999995E-2</v>
      </c>
      <c r="BZ47" s="83">
        <v>9.8371700000000006E-2</v>
      </c>
      <c r="CA47" s="83">
        <v>3.7499E-3</v>
      </c>
      <c r="CB47" s="83">
        <v>9.4574099999999994E-2</v>
      </c>
      <c r="CC47" s="83">
        <v>9.6246399999999996E-2</v>
      </c>
      <c r="CD47" s="83">
        <v>3.7499E-3</v>
      </c>
      <c r="CE47" s="83">
        <v>9.1056499999999999E-2</v>
      </c>
      <c r="CF47" s="83">
        <v>9.5489099999999993E-2</v>
      </c>
      <c r="CG47" s="83">
        <v>3.7499E-3</v>
      </c>
      <c r="CH47" s="83">
        <v>9.1670000000000001E-2</v>
      </c>
      <c r="CI47" s="83">
        <v>9.7218200000000005E-2</v>
      </c>
      <c r="CJ47" s="83">
        <v>3.7499E-3</v>
      </c>
      <c r="CK47" s="83">
        <v>8.9137900000000006E-2</v>
      </c>
      <c r="CL47" s="83">
        <v>9.5743099999999998E-2</v>
      </c>
      <c r="CM47" s="83">
        <v>3.7499E-3</v>
      </c>
      <c r="CN47" s="83">
        <v>8.6688799999999996E-2</v>
      </c>
      <c r="CO47" s="83">
        <v>9.4795099999999993E-2</v>
      </c>
      <c r="CP47" s="83">
        <v>3.7499E-3</v>
      </c>
      <c r="CQ47" s="83">
        <v>8.5979799999999995E-2</v>
      </c>
      <c r="CR47" s="83">
        <v>9.5256400000000005E-2</v>
      </c>
      <c r="CS47" s="83">
        <v>3.7499E-3</v>
      </c>
      <c r="CT47" s="83">
        <v>8.6047100000000001E-2</v>
      </c>
      <c r="CU47" s="83">
        <v>9.6321799999999999E-2</v>
      </c>
      <c r="CV47" s="83">
        <v>3.7499E-3</v>
      </c>
      <c r="CW47" s="83">
        <v>8.5044400000000006E-2</v>
      </c>
      <c r="CX47" s="83">
        <v>9.6101699999999998E-2</v>
      </c>
      <c r="CY47" s="83">
        <v>3.7499E-3</v>
      </c>
      <c r="CZ47" s="83">
        <v>8.3471400000000001E-2</v>
      </c>
      <c r="DA47" s="83">
        <v>9.5587599999999995E-2</v>
      </c>
    </row>
    <row r="48" spans="1:105" x14ac:dyDescent="0.2">
      <c r="A48" s="83">
        <v>3.8498999999999999E-3</v>
      </c>
      <c r="B48" s="83">
        <v>0.118119</v>
      </c>
      <c r="C48" s="83">
        <v>8.9957999999999996E-2</v>
      </c>
      <c r="D48" s="83">
        <v>3.8498999999999999E-3</v>
      </c>
      <c r="E48" s="83">
        <v>0.120591</v>
      </c>
      <c r="F48" s="83">
        <v>9.2566200000000001E-2</v>
      </c>
      <c r="G48" s="83">
        <v>3.8498999999999999E-3</v>
      </c>
      <c r="H48" s="83">
        <v>0.121771</v>
      </c>
      <c r="I48" s="83">
        <v>9.3461299999999997E-2</v>
      </c>
      <c r="J48" s="83">
        <v>3.8498999999999999E-3</v>
      </c>
      <c r="K48" s="83">
        <v>0.115895</v>
      </c>
      <c r="L48" s="83">
        <v>8.9940999999999993E-2</v>
      </c>
      <c r="M48" s="83">
        <v>3.8498999999999999E-3</v>
      </c>
      <c r="N48" s="83">
        <v>0.116579</v>
      </c>
      <c r="O48" s="83">
        <v>9.0185100000000004E-2</v>
      </c>
      <c r="P48" s="83">
        <v>3.8498999999999999E-3</v>
      </c>
      <c r="Q48" s="83">
        <v>0.115562</v>
      </c>
      <c r="R48" s="83">
        <v>9.0176099999999995E-2</v>
      </c>
      <c r="S48" s="83">
        <v>3.8498999999999999E-3</v>
      </c>
      <c r="T48" s="83">
        <v>0.11613900000000001</v>
      </c>
      <c r="U48" s="83">
        <v>9.1204900000000005E-2</v>
      </c>
      <c r="V48" s="83">
        <v>3.8498999999999999E-3</v>
      </c>
      <c r="W48" s="83">
        <v>0.11720700000000001</v>
      </c>
      <c r="X48" s="83">
        <v>9.2737799999999995E-2</v>
      </c>
      <c r="Y48" s="83">
        <v>3.8498999999999999E-3</v>
      </c>
      <c r="Z48" s="83">
        <v>0.113371</v>
      </c>
      <c r="AA48" s="83">
        <v>9.00339E-2</v>
      </c>
      <c r="AB48" s="83">
        <v>3.8498999999999999E-3</v>
      </c>
      <c r="AC48" s="83">
        <v>0.114825</v>
      </c>
      <c r="AD48" s="83">
        <v>9.1469700000000001E-2</v>
      </c>
      <c r="AE48" s="83">
        <v>3.8498999999999999E-3</v>
      </c>
      <c r="AF48" s="83">
        <v>0.115439</v>
      </c>
      <c r="AG48" s="83">
        <v>9.2624100000000001E-2</v>
      </c>
      <c r="AH48" s="83">
        <v>3.8498999999999999E-3</v>
      </c>
      <c r="AI48" s="83">
        <v>0.113928</v>
      </c>
      <c r="AJ48" s="83">
        <v>9.2233999999999997E-2</v>
      </c>
      <c r="AK48" s="83">
        <v>3.8498999999999999E-3</v>
      </c>
      <c r="AL48" s="83">
        <v>0.11364299999999999</v>
      </c>
      <c r="AM48" s="83">
        <v>9.2650499999999997E-2</v>
      </c>
      <c r="AN48" s="83">
        <v>3.8498999999999999E-3</v>
      </c>
      <c r="AO48" s="83">
        <v>0.10935400000000001</v>
      </c>
      <c r="AP48" s="83">
        <v>8.9647500000000005E-2</v>
      </c>
      <c r="AQ48" s="83">
        <v>3.8498999999999999E-3</v>
      </c>
      <c r="AR48" s="83">
        <v>0.11042399999999999</v>
      </c>
      <c r="AS48" s="83">
        <v>9.1508900000000004E-2</v>
      </c>
      <c r="AT48" s="83">
        <v>3.8498999999999999E-3</v>
      </c>
      <c r="AU48" s="83">
        <v>0.108668</v>
      </c>
      <c r="AV48" s="83">
        <v>9.0853900000000001E-2</v>
      </c>
      <c r="AW48" s="83">
        <v>3.8498999999999999E-3</v>
      </c>
      <c r="AX48" s="83">
        <v>0.11006000000000001</v>
      </c>
      <c r="AY48" s="83">
        <v>9.2440700000000001E-2</v>
      </c>
      <c r="AZ48" s="83">
        <v>3.8498999999999999E-3</v>
      </c>
      <c r="BA48" s="83">
        <v>0.109151</v>
      </c>
      <c r="BB48" s="83">
        <v>9.2427499999999996E-2</v>
      </c>
      <c r="BC48" s="83">
        <v>3.8498999999999999E-3</v>
      </c>
      <c r="BD48" s="83">
        <v>0.106712</v>
      </c>
      <c r="BE48" s="83">
        <v>9.1005699999999995E-2</v>
      </c>
      <c r="BF48" s="83">
        <v>3.8498999999999999E-3</v>
      </c>
      <c r="BG48" s="83">
        <v>0.105133</v>
      </c>
      <c r="BH48" s="83">
        <v>9.1455300000000003E-2</v>
      </c>
      <c r="BI48" s="83">
        <v>3.8498999999999999E-3</v>
      </c>
      <c r="BJ48" s="83">
        <v>0.10237599999999999</v>
      </c>
      <c r="BK48" s="83">
        <v>9.1365699999999994E-2</v>
      </c>
      <c r="BL48" s="83">
        <v>3.8498999999999999E-3</v>
      </c>
      <c r="BM48" s="83">
        <v>9.9623799999999998E-2</v>
      </c>
      <c r="BN48" s="83">
        <v>9.0417300000000006E-2</v>
      </c>
      <c r="BO48" s="83">
        <v>3.8498999999999999E-3</v>
      </c>
      <c r="BP48" s="83">
        <v>9.6822099999999994E-2</v>
      </c>
      <c r="BQ48" s="83">
        <v>9.0389600000000001E-2</v>
      </c>
      <c r="BR48" s="83">
        <v>3.8498999999999999E-3</v>
      </c>
      <c r="BS48" s="83">
        <v>9.7567299999999996E-2</v>
      </c>
      <c r="BT48" s="83">
        <v>9.3105400000000005E-2</v>
      </c>
      <c r="BU48" s="83">
        <v>3.8498999999999999E-3</v>
      </c>
      <c r="BV48" s="83">
        <v>9.1185100000000005E-2</v>
      </c>
      <c r="BW48" s="83">
        <v>9.0127600000000002E-2</v>
      </c>
      <c r="BX48" s="83">
        <v>3.8498999999999999E-3</v>
      </c>
      <c r="BY48" s="83">
        <v>9.3257499999999993E-2</v>
      </c>
      <c r="BZ48" s="83">
        <v>9.3456600000000001E-2</v>
      </c>
      <c r="CA48" s="83">
        <v>3.8498999999999999E-3</v>
      </c>
      <c r="CB48" s="83">
        <v>8.8706999999999994E-2</v>
      </c>
      <c r="CC48" s="83">
        <v>9.1419200000000006E-2</v>
      </c>
      <c r="CD48" s="83">
        <v>3.8498999999999999E-3</v>
      </c>
      <c r="CE48" s="83">
        <v>8.5882700000000006E-2</v>
      </c>
      <c r="CF48" s="83">
        <v>9.0665899999999994E-2</v>
      </c>
      <c r="CG48" s="83">
        <v>3.8498999999999999E-3</v>
      </c>
      <c r="CH48" s="83">
        <v>8.6242200000000005E-2</v>
      </c>
      <c r="CI48" s="83">
        <v>9.2369599999999996E-2</v>
      </c>
      <c r="CJ48" s="83">
        <v>3.8498999999999999E-3</v>
      </c>
      <c r="CK48" s="83">
        <v>8.3858600000000005E-2</v>
      </c>
      <c r="CL48" s="83">
        <v>9.0929700000000002E-2</v>
      </c>
      <c r="CM48" s="83">
        <v>3.8498999999999999E-3</v>
      </c>
      <c r="CN48" s="83">
        <v>8.1384200000000004E-2</v>
      </c>
      <c r="CO48" s="83">
        <v>9.0009000000000006E-2</v>
      </c>
      <c r="CP48" s="83">
        <v>3.8498999999999999E-3</v>
      </c>
      <c r="CQ48" s="83">
        <v>8.0390000000000003E-2</v>
      </c>
      <c r="CR48" s="83">
        <v>9.0473200000000004E-2</v>
      </c>
      <c r="CS48" s="83">
        <v>3.8498999999999999E-3</v>
      </c>
      <c r="CT48" s="83">
        <v>8.0865400000000004E-2</v>
      </c>
      <c r="CU48" s="83">
        <v>9.1474100000000003E-2</v>
      </c>
      <c r="CV48" s="83">
        <v>3.8498999999999999E-3</v>
      </c>
      <c r="CW48" s="83">
        <v>7.9153699999999994E-2</v>
      </c>
      <c r="CX48" s="83">
        <v>9.1275499999999996E-2</v>
      </c>
      <c r="CY48" s="83">
        <v>3.8498999999999999E-3</v>
      </c>
      <c r="CZ48" s="83">
        <v>7.8020199999999998E-2</v>
      </c>
      <c r="DA48" s="83">
        <v>9.0770299999999998E-2</v>
      </c>
    </row>
    <row r="49" spans="1:105" x14ac:dyDescent="0.2">
      <c r="A49" s="83">
        <v>3.9499000000000001E-3</v>
      </c>
      <c r="B49" s="83">
        <v>0.111488</v>
      </c>
      <c r="C49" s="83">
        <v>8.5447200000000001E-2</v>
      </c>
      <c r="D49" s="83">
        <v>3.9499000000000001E-3</v>
      </c>
      <c r="E49" s="83">
        <v>0.11429300000000001</v>
      </c>
      <c r="F49" s="83">
        <v>8.7834800000000005E-2</v>
      </c>
      <c r="G49" s="83">
        <v>3.9499000000000001E-3</v>
      </c>
      <c r="H49" s="83">
        <v>0.11521199999999999</v>
      </c>
      <c r="I49" s="83">
        <v>8.8706499999999994E-2</v>
      </c>
      <c r="J49" s="83">
        <v>3.9499000000000001E-3</v>
      </c>
      <c r="K49" s="83">
        <v>0.109739</v>
      </c>
      <c r="L49" s="83">
        <v>8.5434200000000002E-2</v>
      </c>
      <c r="M49" s="83">
        <v>3.9499000000000001E-3</v>
      </c>
      <c r="N49" s="83">
        <v>0.110166</v>
      </c>
      <c r="O49" s="83">
        <v>8.5649900000000001E-2</v>
      </c>
      <c r="P49" s="83">
        <v>3.9499000000000001E-3</v>
      </c>
      <c r="Q49" s="83">
        <v>0.10892400000000001</v>
      </c>
      <c r="R49" s="83">
        <v>8.5679000000000005E-2</v>
      </c>
      <c r="S49" s="83">
        <v>3.9499000000000001E-3</v>
      </c>
      <c r="T49" s="83">
        <v>0.109233</v>
      </c>
      <c r="U49" s="83">
        <v>8.6595500000000006E-2</v>
      </c>
      <c r="V49" s="83">
        <v>3.9499000000000001E-3</v>
      </c>
      <c r="W49" s="83">
        <v>0.110752</v>
      </c>
      <c r="X49" s="83">
        <v>8.8023900000000002E-2</v>
      </c>
      <c r="Y49" s="83">
        <v>3.9499000000000001E-3</v>
      </c>
      <c r="Z49" s="83">
        <v>0.106797</v>
      </c>
      <c r="AA49" s="83">
        <v>8.5487999999999995E-2</v>
      </c>
      <c r="AB49" s="83">
        <v>3.9499000000000001E-3</v>
      </c>
      <c r="AC49" s="83">
        <v>0.10810400000000001</v>
      </c>
      <c r="AD49" s="83">
        <v>8.6836899999999995E-2</v>
      </c>
      <c r="AE49" s="83">
        <v>3.9499000000000001E-3</v>
      </c>
      <c r="AF49" s="83">
        <v>0.10888200000000001</v>
      </c>
      <c r="AG49" s="83">
        <v>8.7932700000000003E-2</v>
      </c>
      <c r="AH49" s="83">
        <v>3.9499000000000001E-3</v>
      </c>
      <c r="AI49" s="83">
        <v>0.107655</v>
      </c>
      <c r="AJ49" s="83">
        <v>8.7568999999999994E-2</v>
      </c>
      <c r="AK49" s="83">
        <v>3.9499000000000001E-3</v>
      </c>
      <c r="AL49" s="83">
        <v>0.10739700000000001</v>
      </c>
      <c r="AM49" s="83">
        <v>8.7950299999999995E-2</v>
      </c>
      <c r="AN49" s="83">
        <v>3.9499000000000001E-3</v>
      </c>
      <c r="AO49" s="83">
        <v>0.102871</v>
      </c>
      <c r="AP49" s="83">
        <v>8.5172899999999996E-2</v>
      </c>
      <c r="AQ49" s="83">
        <v>3.9499000000000001E-3</v>
      </c>
      <c r="AR49" s="83">
        <v>0.104297</v>
      </c>
      <c r="AS49" s="83">
        <v>8.6879999999999999E-2</v>
      </c>
      <c r="AT49" s="83">
        <v>3.9499000000000001E-3</v>
      </c>
      <c r="AU49" s="83">
        <v>0.102309</v>
      </c>
      <c r="AV49" s="83">
        <v>8.6340200000000006E-2</v>
      </c>
      <c r="AW49" s="83">
        <v>3.9499000000000001E-3</v>
      </c>
      <c r="AX49" s="83">
        <v>0.104142</v>
      </c>
      <c r="AY49" s="83">
        <v>8.7771799999999997E-2</v>
      </c>
      <c r="AZ49" s="83">
        <v>3.9499000000000001E-3</v>
      </c>
      <c r="BA49" s="83">
        <v>0.103052</v>
      </c>
      <c r="BB49" s="83">
        <v>8.7751700000000002E-2</v>
      </c>
      <c r="BC49" s="83">
        <v>3.9499000000000001E-3</v>
      </c>
      <c r="BD49" s="83">
        <v>0.10057099999999999</v>
      </c>
      <c r="BE49" s="83">
        <v>8.6396299999999995E-2</v>
      </c>
      <c r="BF49" s="83">
        <v>3.9499000000000001E-3</v>
      </c>
      <c r="BG49" s="83">
        <v>9.8861900000000003E-2</v>
      </c>
      <c r="BH49" s="83">
        <v>8.6846900000000005E-2</v>
      </c>
      <c r="BI49" s="83">
        <v>3.9499000000000001E-3</v>
      </c>
      <c r="BJ49" s="83">
        <v>9.6272800000000006E-2</v>
      </c>
      <c r="BK49" s="83">
        <v>8.6798299999999995E-2</v>
      </c>
      <c r="BL49" s="83">
        <v>3.9499000000000001E-3</v>
      </c>
      <c r="BM49" s="83">
        <v>9.3799599999999997E-2</v>
      </c>
      <c r="BN49" s="83">
        <v>8.5862599999999997E-2</v>
      </c>
      <c r="BO49" s="83">
        <v>3.9499000000000001E-3</v>
      </c>
      <c r="BP49" s="83">
        <v>9.1492000000000004E-2</v>
      </c>
      <c r="BQ49" s="83">
        <v>8.5884699999999994E-2</v>
      </c>
      <c r="BR49" s="83">
        <v>3.9499000000000001E-3</v>
      </c>
      <c r="BS49" s="83">
        <v>9.1520400000000002E-2</v>
      </c>
      <c r="BT49" s="83">
        <v>8.83906E-2</v>
      </c>
      <c r="BU49" s="83">
        <v>3.9499000000000001E-3</v>
      </c>
      <c r="BV49" s="83">
        <v>8.5868700000000006E-2</v>
      </c>
      <c r="BW49" s="83">
        <v>8.5635500000000003E-2</v>
      </c>
      <c r="BX49" s="83">
        <v>3.9499000000000001E-3</v>
      </c>
      <c r="BY49" s="83">
        <v>8.7788699999999997E-2</v>
      </c>
      <c r="BZ49" s="83">
        <v>8.8732000000000005E-2</v>
      </c>
      <c r="CA49" s="83">
        <v>3.9499000000000001E-3</v>
      </c>
      <c r="CB49" s="83">
        <v>8.3759700000000006E-2</v>
      </c>
      <c r="CC49" s="83">
        <v>8.6795200000000003E-2</v>
      </c>
      <c r="CD49" s="83">
        <v>3.9499000000000001E-3</v>
      </c>
      <c r="CE49" s="83">
        <v>8.0771399999999993E-2</v>
      </c>
      <c r="CF49" s="83">
        <v>8.6110199999999998E-2</v>
      </c>
      <c r="CG49" s="83">
        <v>3.9499000000000001E-3</v>
      </c>
      <c r="CH49" s="83">
        <v>8.11973E-2</v>
      </c>
      <c r="CI49" s="83">
        <v>8.7709400000000007E-2</v>
      </c>
      <c r="CJ49" s="83">
        <v>3.9499000000000001E-3</v>
      </c>
      <c r="CK49" s="83">
        <v>7.8782500000000005E-2</v>
      </c>
      <c r="CL49" s="83">
        <v>8.6338799999999993E-2</v>
      </c>
      <c r="CM49" s="83">
        <v>3.9499000000000001E-3</v>
      </c>
      <c r="CN49" s="83">
        <v>7.7003299999999997E-2</v>
      </c>
      <c r="CO49" s="83">
        <v>8.5469000000000003E-2</v>
      </c>
      <c r="CP49" s="83">
        <v>3.9499000000000001E-3</v>
      </c>
      <c r="CQ49" s="83">
        <v>7.5559899999999999E-2</v>
      </c>
      <c r="CR49" s="83">
        <v>8.5937100000000002E-2</v>
      </c>
      <c r="CS49" s="83">
        <v>3.9499000000000001E-3</v>
      </c>
      <c r="CT49" s="83">
        <v>7.5775599999999999E-2</v>
      </c>
      <c r="CU49" s="83">
        <v>8.6858900000000003E-2</v>
      </c>
      <c r="CV49" s="83">
        <v>3.9499000000000001E-3</v>
      </c>
      <c r="CW49" s="83">
        <v>7.4249499999999996E-2</v>
      </c>
      <c r="CX49" s="83">
        <v>8.6663199999999996E-2</v>
      </c>
      <c r="CY49" s="83">
        <v>3.9499000000000001E-3</v>
      </c>
      <c r="CZ49" s="83">
        <v>7.3141300000000006E-2</v>
      </c>
      <c r="DA49" s="83">
        <v>8.6190199999999995E-2</v>
      </c>
    </row>
    <row r="50" spans="1:105" x14ac:dyDescent="0.2">
      <c r="A50" s="83">
        <v>4.0499000000000004E-3</v>
      </c>
      <c r="B50" s="83">
        <v>0.105777</v>
      </c>
      <c r="C50" s="83">
        <v>8.11582E-2</v>
      </c>
      <c r="D50" s="83">
        <v>4.0499000000000004E-3</v>
      </c>
      <c r="E50" s="83">
        <v>0.10809100000000001</v>
      </c>
      <c r="F50" s="83">
        <v>8.3407999999999996E-2</v>
      </c>
      <c r="G50" s="83">
        <v>4.0499000000000004E-3</v>
      </c>
      <c r="H50" s="83">
        <v>0.10882500000000001</v>
      </c>
      <c r="I50" s="83">
        <v>8.4253300000000003E-2</v>
      </c>
      <c r="J50" s="83">
        <v>4.0499000000000004E-3</v>
      </c>
      <c r="K50" s="83">
        <v>0.103838</v>
      </c>
      <c r="L50" s="83">
        <v>8.1120700000000004E-2</v>
      </c>
      <c r="M50" s="83">
        <v>4.0499000000000004E-3</v>
      </c>
      <c r="N50" s="83">
        <v>0.104071</v>
      </c>
      <c r="O50" s="83">
        <v>8.1342300000000006E-2</v>
      </c>
      <c r="P50" s="83">
        <v>4.0499000000000004E-3</v>
      </c>
      <c r="Q50" s="83">
        <v>0.103508</v>
      </c>
      <c r="R50" s="83">
        <v>8.1401600000000005E-2</v>
      </c>
      <c r="S50" s="83">
        <v>4.0499000000000004E-3</v>
      </c>
      <c r="T50" s="83">
        <v>0.103461</v>
      </c>
      <c r="U50" s="83">
        <v>8.2240999999999995E-2</v>
      </c>
      <c r="V50" s="83">
        <v>4.0499000000000004E-3</v>
      </c>
      <c r="W50" s="83">
        <v>0.104534</v>
      </c>
      <c r="X50" s="83">
        <v>8.36118E-2</v>
      </c>
      <c r="Y50" s="83">
        <v>4.0499000000000004E-3</v>
      </c>
      <c r="Z50" s="83">
        <v>0.101058</v>
      </c>
      <c r="AA50" s="83">
        <v>8.1215499999999996E-2</v>
      </c>
      <c r="AB50" s="83">
        <v>4.0499000000000004E-3</v>
      </c>
      <c r="AC50" s="83">
        <v>0.10177</v>
      </c>
      <c r="AD50" s="83">
        <v>8.2501900000000003E-2</v>
      </c>
      <c r="AE50" s="83">
        <v>4.0499000000000004E-3</v>
      </c>
      <c r="AF50" s="83">
        <v>0.102966</v>
      </c>
      <c r="AG50" s="83">
        <v>8.3544999999999994E-2</v>
      </c>
      <c r="AH50" s="83">
        <v>4.0499000000000004E-3</v>
      </c>
      <c r="AI50" s="83">
        <v>0.10179299999999999</v>
      </c>
      <c r="AJ50" s="83">
        <v>8.3195900000000003E-2</v>
      </c>
      <c r="AK50" s="83">
        <v>4.0499000000000004E-3</v>
      </c>
      <c r="AL50" s="83">
        <v>0.101549</v>
      </c>
      <c r="AM50" s="83">
        <v>8.3559700000000001E-2</v>
      </c>
      <c r="AN50" s="83">
        <v>4.0499000000000004E-3</v>
      </c>
      <c r="AO50" s="83">
        <v>9.7408400000000006E-2</v>
      </c>
      <c r="AP50" s="83">
        <v>8.0901399999999998E-2</v>
      </c>
      <c r="AQ50" s="83">
        <v>4.0499000000000004E-3</v>
      </c>
      <c r="AR50" s="83">
        <v>9.8611900000000002E-2</v>
      </c>
      <c r="AS50" s="83">
        <v>8.2550899999999997E-2</v>
      </c>
      <c r="AT50" s="83">
        <v>4.0499000000000004E-3</v>
      </c>
      <c r="AU50" s="83">
        <v>9.6584299999999998E-2</v>
      </c>
      <c r="AV50" s="83">
        <v>8.2053100000000004E-2</v>
      </c>
      <c r="AW50" s="83">
        <v>4.0499000000000004E-3</v>
      </c>
      <c r="AX50" s="83">
        <v>9.8312200000000002E-2</v>
      </c>
      <c r="AY50" s="83">
        <v>8.3401699999999995E-2</v>
      </c>
      <c r="AZ50" s="83">
        <v>4.0499000000000004E-3</v>
      </c>
      <c r="BA50" s="83">
        <v>9.6924800000000005E-2</v>
      </c>
      <c r="BB50" s="83">
        <v>8.3373799999999998E-2</v>
      </c>
      <c r="BC50" s="83">
        <v>4.0499000000000004E-3</v>
      </c>
      <c r="BD50" s="83">
        <v>9.49932E-2</v>
      </c>
      <c r="BE50" s="83">
        <v>8.2075999999999996E-2</v>
      </c>
      <c r="BF50" s="83">
        <v>4.0499000000000004E-3</v>
      </c>
      <c r="BG50" s="83">
        <v>9.3035800000000002E-2</v>
      </c>
      <c r="BH50" s="83">
        <v>8.2538299999999995E-2</v>
      </c>
      <c r="BI50" s="83">
        <v>4.0499000000000004E-3</v>
      </c>
      <c r="BJ50" s="83">
        <v>9.1153600000000001E-2</v>
      </c>
      <c r="BK50" s="83">
        <v>8.2477999999999996E-2</v>
      </c>
      <c r="BL50" s="83">
        <v>4.0499000000000004E-3</v>
      </c>
      <c r="BM50" s="83">
        <v>8.8438199999999995E-2</v>
      </c>
      <c r="BN50" s="83">
        <v>8.1568600000000005E-2</v>
      </c>
      <c r="BO50" s="83">
        <v>4.0499000000000004E-3</v>
      </c>
      <c r="BP50" s="83">
        <v>8.6130700000000004E-2</v>
      </c>
      <c r="BQ50" s="83">
        <v>8.1604399999999994E-2</v>
      </c>
      <c r="BR50" s="83">
        <v>4.0499000000000004E-3</v>
      </c>
      <c r="BS50" s="83">
        <v>8.6104399999999998E-2</v>
      </c>
      <c r="BT50" s="83">
        <v>8.3976499999999996E-2</v>
      </c>
      <c r="BU50" s="83">
        <v>4.0499000000000004E-3</v>
      </c>
      <c r="BV50" s="83">
        <v>8.1245700000000004E-2</v>
      </c>
      <c r="BW50" s="83">
        <v>8.1341499999999997E-2</v>
      </c>
      <c r="BX50" s="83">
        <v>4.0499000000000004E-3</v>
      </c>
      <c r="BY50" s="83">
        <v>8.2720299999999997E-2</v>
      </c>
      <c r="BZ50" s="83">
        <v>8.4291599999999994E-2</v>
      </c>
      <c r="CA50" s="83">
        <v>4.0499000000000004E-3</v>
      </c>
      <c r="CB50" s="83">
        <v>7.8640600000000005E-2</v>
      </c>
      <c r="CC50" s="83">
        <v>8.2469100000000004E-2</v>
      </c>
      <c r="CD50" s="83">
        <v>4.0499000000000004E-3</v>
      </c>
      <c r="CE50" s="83">
        <v>7.5747900000000007E-2</v>
      </c>
      <c r="CF50" s="83">
        <v>8.1803500000000001E-2</v>
      </c>
      <c r="CG50" s="83">
        <v>4.0499000000000004E-3</v>
      </c>
      <c r="CH50" s="83">
        <v>7.6304700000000003E-2</v>
      </c>
      <c r="CI50" s="83">
        <v>8.33256E-2</v>
      </c>
      <c r="CJ50" s="83">
        <v>4.0499000000000004E-3</v>
      </c>
      <c r="CK50" s="83">
        <v>7.3792200000000002E-2</v>
      </c>
      <c r="CL50" s="83">
        <v>8.2034200000000002E-2</v>
      </c>
      <c r="CM50" s="83">
        <v>4.0499000000000004E-3</v>
      </c>
      <c r="CN50" s="83">
        <v>7.19857E-2</v>
      </c>
      <c r="CO50" s="83">
        <v>8.1232600000000002E-2</v>
      </c>
      <c r="CP50" s="83">
        <v>4.0499000000000004E-3</v>
      </c>
      <c r="CQ50" s="83">
        <v>7.0979799999999996E-2</v>
      </c>
      <c r="CR50" s="83">
        <v>8.1641199999999997E-2</v>
      </c>
      <c r="CS50" s="83">
        <v>4.0499000000000004E-3</v>
      </c>
      <c r="CT50" s="83">
        <v>7.1101700000000004E-2</v>
      </c>
      <c r="CU50" s="83">
        <v>8.2517099999999996E-2</v>
      </c>
      <c r="CV50" s="83">
        <v>4.0499000000000004E-3</v>
      </c>
      <c r="CW50" s="83">
        <v>7.0165500000000006E-2</v>
      </c>
      <c r="CX50" s="83">
        <v>8.2339899999999994E-2</v>
      </c>
      <c r="CY50" s="83">
        <v>4.0499000000000004E-3</v>
      </c>
      <c r="CZ50" s="83">
        <v>6.9033899999999995E-2</v>
      </c>
      <c r="DA50" s="83">
        <v>8.1861100000000006E-2</v>
      </c>
    </row>
    <row r="51" spans="1:105" x14ac:dyDescent="0.2">
      <c r="A51" s="83">
        <v>4.1498999999999998E-3</v>
      </c>
      <c r="B51" s="83">
        <v>9.9929299999999999E-2</v>
      </c>
      <c r="C51" s="83">
        <v>7.7156199999999994E-2</v>
      </c>
      <c r="D51" s="83">
        <v>4.1498999999999998E-3</v>
      </c>
      <c r="E51" s="83">
        <v>0.10227899999999999</v>
      </c>
      <c r="F51" s="83">
        <v>7.9246899999999995E-2</v>
      </c>
      <c r="G51" s="83">
        <v>4.1498999999999998E-3</v>
      </c>
      <c r="H51" s="83">
        <v>0.102677</v>
      </c>
      <c r="I51" s="83">
        <v>8.0030699999999996E-2</v>
      </c>
      <c r="J51" s="83">
        <v>4.1498999999999998E-3</v>
      </c>
      <c r="K51" s="83">
        <v>9.7760299999999994E-2</v>
      </c>
      <c r="L51" s="83">
        <v>7.7112899999999998E-2</v>
      </c>
      <c r="M51" s="83">
        <v>4.1498999999999998E-3</v>
      </c>
      <c r="N51" s="83">
        <v>9.8516099999999995E-2</v>
      </c>
      <c r="O51" s="83">
        <v>7.7332499999999998E-2</v>
      </c>
      <c r="P51" s="83">
        <v>4.1498999999999998E-3</v>
      </c>
      <c r="Q51" s="83">
        <v>9.8003699999999999E-2</v>
      </c>
      <c r="R51" s="83">
        <v>7.7371400000000007E-2</v>
      </c>
      <c r="S51" s="83">
        <v>4.1498999999999998E-3</v>
      </c>
      <c r="T51" s="83">
        <v>9.7740400000000005E-2</v>
      </c>
      <c r="U51" s="83">
        <v>7.8137499999999999E-2</v>
      </c>
      <c r="V51" s="83">
        <v>4.1498999999999998E-3</v>
      </c>
      <c r="W51" s="83">
        <v>9.8672200000000002E-2</v>
      </c>
      <c r="X51" s="83">
        <v>7.9430200000000006E-2</v>
      </c>
      <c r="Y51" s="83">
        <v>4.1498999999999998E-3</v>
      </c>
      <c r="Z51" s="83">
        <v>9.5388600000000004E-2</v>
      </c>
      <c r="AA51" s="83">
        <v>7.7216499999999993E-2</v>
      </c>
      <c r="AB51" s="83">
        <v>4.1498999999999998E-3</v>
      </c>
      <c r="AC51" s="83">
        <v>9.6562999999999996E-2</v>
      </c>
      <c r="AD51" s="83">
        <v>7.8388600000000003E-2</v>
      </c>
      <c r="AE51" s="83">
        <v>4.1498999999999998E-3</v>
      </c>
      <c r="AF51" s="83">
        <v>9.7526600000000005E-2</v>
      </c>
      <c r="AG51" s="83">
        <v>7.9394599999999996E-2</v>
      </c>
      <c r="AH51" s="83">
        <v>4.1498999999999998E-3</v>
      </c>
      <c r="AI51" s="83">
        <v>9.6074499999999993E-2</v>
      </c>
      <c r="AJ51" s="83">
        <v>7.9065099999999999E-2</v>
      </c>
      <c r="AK51" s="83">
        <v>4.1498999999999998E-3</v>
      </c>
      <c r="AL51" s="83">
        <v>9.5589999999999994E-2</v>
      </c>
      <c r="AM51" s="83">
        <v>7.9387799999999994E-2</v>
      </c>
      <c r="AN51" s="83">
        <v>4.1498999999999998E-3</v>
      </c>
      <c r="AO51" s="83">
        <v>9.2095899999999994E-2</v>
      </c>
      <c r="AP51" s="83">
        <v>7.6925900000000005E-2</v>
      </c>
      <c r="AQ51" s="83">
        <v>4.1498999999999998E-3</v>
      </c>
      <c r="AR51" s="83">
        <v>9.2863899999999999E-2</v>
      </c>
      <c r="AS51" s="83">
        <v>7.8502000000000002E-2</v>
      </c>
      <c r="AT51" s="83">
        <v>4.1498999999999998E-3</v>
      </c>
      <c r="AU51" s="83">
        <v>9.1613600000000003E-2</v>
      </c>
      <c r="AV51" s="83">
        <v>7.8036499999999995E-2</v>
      </c>
      <c r="AW51" s="83">
        <v>4.1498999999999998E-3</v>
      </c>
      <c r="AX51" s="83">
        <v>9.2626700000000006E-2</v>
      </c>
      <c r="AY51" s="83">
        <v>7.9293299999999997E-2</v>
      </c>
      <c r="AZ51" s="83">
        <v>4.1498999999999998E-3</v>
      </c>
      <c r="BA51" s="83">
        <v>9.1588900000000001E-2</v>
      </c>
      <c r="BB51" s="83">
        <v>7.92683E-2</v>
      </c>
      <c r="BC51" s="83">
        <v>4.1498999999999998E-3</v>
      </c>
      <c r="BD51" s="83">
        <v>8.9510699999999999E-2</v>
      </c>
      <c r="BE51" s="83">
        <v>7.8001799999999996E-2</v>
      </c>
      <c r="BF51" s="83">
        <v>4.1498999999999998E-3</v>
      </c>
      <c r="BG51" s="83">
        <v>8.7621699999999997E-2</v>
      </c>
      <c r="BH51" s="83">
        <v>7.84387E-2</v>
      </c>
      <c r="BI51" s="83">
        <v>4.1498999999999998E-3</v>
      </c>
      <c r="BJ51" s="83">
        <v>8.60345E-2</v>
      </c>
      <c r="BK51" s="83">
        <v>7.8407699999999997E-2</v>
      </c>
      <c r="BL51" s="83">
        <v>4.1498999999999998E-3</v>
      </c>
      <c r="BM51" s="83">
        <v>8.3088599999999999E-2</v>
      </c>
      <c r="BN51" s="83">
        <v>7.7544199999999994E-2</v>
      </c>
      <c r="BO51" s="83">
        <v>4.1498999999999998E-3</v>
      </c>
      <c r="BP51" s="83">
        <v>8.1029100000000007E-2</v>
      </c>
      <c r="BQ51" s="83">
        <v>7.7617099999999994E-2</v>
      </c>
      <c r="BR51" s="83">
        <v>4.1498999999999998E-3</v>
      </c>
      <c r="BS51" s="83">
        <v>8.1315299999999993E-2</v>
      </c>
      <c r="BT51" s="83">
        <v>7.9787999999999998E-2</v>
      </c>
      <c r="BU51" s="83">
        <v>4.1498999999999998E-3</v>
      </c>
      <c r="BV51" s="83">
        <v>7.6692899999999994E-2</v>
      </c>
      <c r="BW51" s="83">
        <v>7.7347399999999997E-2</v>
      </c>
      <c r="BX51" s="83">
        <v>4.1498999999999998E-3</v>
      </c>
      <c r="BY51" s="83">
        <v>7.7642199999999995E-2</v>
      </c>
      <c r="BZ51" s="83">
        <v>8.0083600000000005E-2</v>
      </c>
      <c r="CA51" s="83">
        <v>4.1498999999999998E-3</v>
      </c>
      <c r="CB51" s="83">
        <v>7.3847599999999999E-2</v>
      </c>
      <c r="CC51" s="83">
        <v>7.8368499999999994E-2</v>
      </c>
      <c r="CD51" s="83">
        <v>4.1498999999999998E-3</v>
      </c>
      <c r="CE51" s="83">
        <v>7.1451000000000001E-2</v>
      </c>
      <c r="CF51" s="83">
        <v>7.7763499999999999E-2</v>
      </c>
      <c r="CG51" s="83">
        <v>4.1498999999999998E-3</v>
      </c>
      <c r="CH51" s="83">
        <v>7.1400400000000003E-2</v>
      </c>
      <c r="CI51" s="83">
        <v>7.9219200000000004E-2</v>
      </c>
      <c r="CJ51" s="83">
        <v>4.1498999999999998E-3</v>
      </c>
      <c r="CK51" s="83">
        <v>6.9596900000000003E-2</v>
      </c>
      <c r="CL51" s="83">
        <v>7.7974600000000005E-2</v>
      </c>
      <c r="CM51" s="83">
        <v>4.1498999999999998E-3</v>
      </c>
      <c r="CN51" s="83">
        <v>6.7407599999999998E-2</v>
      </c>
      <c r="CO51" s="83">
        <v>7.7211199999999994E-2</v>
      </c>
      <c r="CP51" s="83">
        <v>4.1498999999999998E-3</v>
      </c>
      <c r="CQ51" s="83">
        <v>6.6438800000000006E-2</v>
      </c>
      <c r="CR51" s="83">
        <v>7.7628500000000003E-2</v>
      </c>
      <c r="CS51" s="83">
        <v>4.1498999999999998E-3</v>
      </c>
      <c r="CT51" s="83">
        <v>6.7000199999999996E-2</v>
      </c>
      <c r="CU51" s="83">
        <v>7.8411599999999998E-2</v>
      </c>
      <c r="CV51" s="83">
        <v>4.1498999999999998E-3</v>
      </c>
      <c r="CW51" s="83">
        <v>6.5794400000000003E-2</v>
      </c>
      <c r="CX51" s="83">
        <v>7.8252000000000002E-2</v>
      </c>
      <c r="CY51" s="83">
        <v>4.1498999999999998E-3</v>
      </c>
      <c r="CZ51" s="83">
        <v>6.4930399999999999E-2</v>
      </c>
      <c r="DA51" s="83">
        <v>7.7807399999999999E-2</v>
      </c>
    </row>
    <row r="52" spans="1:105" x14ac:dyDescent="0.2">
      <c r="A52" s="83">
        <v>4.2499E-3</v>
      </c>
      <c r="B52" s="83">
        <v>9.4769199999999998E-2</v>
      </c>
      <c r="C52" s="83">
        <v>7.3340799999999998E-2</v>
      </c>
      <c r="D52" s="83">
        <v>4.2499E-3</v>
      </c>
      <c r="E52" s="83">
        <v>9.7017099999999995E-2</v>
      </c>
      <c r="F52" s="83">
        <v>7.53104E-2</v>
      </c>
      <c r="G52" s="83">
        <v>4.2499E-3</v>
      </c>
      <c r="H52" s="83">
        <v>9.7672999999999996E-2</v>
      </c>
      <c r="I52" s="83">
        <v>7.6041399999999995E-2</v>
      </c>
      <c r="J52" s="83">
        <v>4.2499E-3</v>
      </c>
      <c r="K52" s="83">
        <v>9.27037E-2</v>
      </c>
      <c r="L52" s="83">
        <v>7.3257500000000003E-2</v>
      </c>
      <c r="M52" s="83">
        <v>4.2499E-3</v>
      </c>
      <c r="N52" s="83">
        <v>9.2818800000000007E-2</v>
      </c>
      <c r="O52" s="83">
        <v>7.3458499999999996E-2</v>
      </c>
      <c r="P52" s="83">
        <v>4.2499E-3</v>
      </c>
      <c r="Q52" s="83">
        <v>9.2367000000000005E-2</v>
      </c>
      <c r="R52" s="83">
        <v>7.3550099999999993E-2</v>
      </c>
      <c r="S52" s="83">
        <v>4.2499E-3</v>
      </c>
      <c r="T52" s="83">
        <v>9.2595899999999995E-2</v>
      </c>
      <c r="U52" s="83">
        <v>7.4261499999999994E-2</v>
      </c>
      <c r="V52" s="83">
        <v>4.2499E-3</v>
      </c>
      <c r="W52" s="83">
        <v>9.3539399999999995E-2</v>
      </c>
      <c r="X52" s="83">
        <v>7.5515100000000002E-2</v>
      </c>
      <c r="Y52" s="83">
        <v>4.2499E-3</v>
      </c>
      <c r="Z52" s="83">
        <v>9.0189400000000003E-2</v>
      </c>
      <c r="AA52" s="83">
        <v>7.3356199999999996E-2</v>
      </c>
      <c r="AB52" s="83">
        <v>4.2499E-3</v>
      </c>
      <c r="AC52" s="83">
        <v>9.0986899999999996E-2</v>
      </c>
      <c r="AD52" s="83">
        <v>7.4497999999999995E-2</v>
      </c>
      <c r="AE52" s="83">
        <v>4.2499E-3</v>
      </c>
      <c r="AF52" s="83">
        <v>9.2089099999999993E-2</v>
      </c>
      <c r="AG52" s="83">
        <v>7.5484399999999993E-2</v>
      </c>
      <c r="AH52" s="83">
        <v>4.2499E-3</v>
      </c>
      <c r="AI52" s="83">
        <v>9.0779600000000002E-2</v>
      </c>
      <c r="AJ52" s="83">
        <v>7.5161800000000001E-2</v>
      </c>
      <c r="AK52" s="83">
        <v>4.2499E-3</v>
      </c>
      <c r="AL52" s="83">
        <v>9.0408299999999997E-2</v>
      </c>
      <c r="AM52" s="83">
        <v>7.5464000000000003E-2</v>
      </c>
      <c r="AN52" s="83">
        <v>4.2499E-3</v>
      </c>
      <c r="AO52" s="83">
        <v>8.7035299999999996E-2</v>
      </c>
      <c r="AP52" s="83">
        <v>7.3113399999999995E-2</v>
      </c>
      <c r="AQ52" s="83">
        <v>4.2499E-3</v>
      </c>
      <c r="AR52" s="83">
        <v>8.7807200000000002E-2</v>
      </c>
      <c r="AS52" s="83">
        <v>7.4608499999999994E-2</v>
      </c>
      <c r="AT52" s="83">
        <v>4.2499E-3</v>
      </c>
      <c r="AU52" s="83">
        <v>8.6584300000000003E-2</v>
      </c>
      <c r="AV52" s="83">
        <v>7.4227899999999999E-2</v>
      </c>
      <c r="AW52" s="83">
        <v>4.2499E-3</v>
      </c>
      <c r="AX52" s="83">
        <v>8.7782899999999997E-2</v>
      </c>
      <c r="AY52" s="83">
        <v>7.5416300000000006E-2</v>
      </c>
      <c r="AZ52" s="83">
        <v>4.2499E-3</v>
      </c>
      <c r="BA52" s="83">
        <v>8.6340899999999998E-2</v>
      </c>
      <c r="BB52" s="83">
        <v>7.5341599999999995E-2</v>
      </c>
      <c r="BC52" s="83">
        <v>4.2499E-3</v>
      </c>
      <c r="BD52" s="83">
        <v>8.4518599999999999E-2</v>
      </c>
      <c r="BE52" s="83">
        <v>7.4144399999999999E-2</v>
      </c>
      <c r="BF52" s="83">
        <v>4.2499E-3</v>
      </c>
      <c r="BG52" s="83">
        <v>8.2684199999999999E-2</v>
      </c>
      <c r="BH52" s="83">
        <v>7.4542200000000003E-2</v>
      </c>
      <c r="BI52" s="83">
        <v>4.2499E-3</v>
      </c>
      <c r="BJ52" s="83">
        <v>8.0931000000000003E-2</v>
      </c>
      <c r="BK52" s="83">
        <v>7.4537599999999996E-2</v>
      </c>
      <c r="BL52" s="83">
        <v>4.2499E-3</v>
      </c>
      <c r="BM52" s="83">
        <v>7.8393299999999999E-2</v>
      </c>
      <c r="BN52" s="83">
        <v>7.3674100000000006E-2</v>
      </c>
      <c r="BO52" s="83">
        <v>4.2499E-3</v>
      </c>
      <c r="BP52" s="83">
        <v>7.6568200000000003E-2</v>
      </c>
      <c r="BQ52" s="83">
        <v>7.3830000000000007E-2</v>
      </c>
      <c r="BR52" s="83">
        <v>4.2499E-3</v>
      </c>
      <c r="BS52" s="83">
        <v>7.6504799999999998E-2</v>
      </c>
      <c r="BT52" s="83">
        <v>7.5863200000000006E-2</v>
      </c>
      <c r="BU52" s="83">
        <v>4.2499E-3</v>
      </c>
      <c r="BV52" s="83">
        <v>7.2124599999999997E-2</v>
      </c>
      <c r="BW52" s="83">
        <v>7.3502600000000001E-2</v>
      </c>
      <c r="BX52" s="83">
        <v>4.2499E-3</v>
      </c>
      <c r="BY52" s="83">
        <v>7.3310200000000006E-2</v>
      </c>
      <c r="BZ52" s="83">
        <v>7.6110899999999995E-2</v>
      </c>
      <c r="CA52" s="83">
        <v>4.2499E-3</v>
      </c>
      <c r="CB52" s="83">
        <v>6.9292900000000004E-2</v>
      </c>
      <c r="CC52" s="83">
        <v>7.4466099999999993E-2</v>
      </c>
      <c r="CD52" s="83">
        <v>4.2499E-3</v>
      </c>
      <c r="CE52" s="83">
        <v>6.7273299999999994E-2</v>
      </c>
      <c r="CF52" s="83">
        <v>7.3910000000000003E-2</v>
      </c>
      <c r="CG52" s="83">
        <v>4.2499E-3</v>
      </c>
      <c r="CH52" s="83">
        <v>6.7293000000000006E-2</v>
      </c>
      <c r="CI52" s="83">
        <v>7.5301199999999999E-2</v>
      </c>
      <c r="CJ52" s="83">
        <v>4.2499E-3</v>
      </c>
      <c r="CK52" s="83">
        <v>6.5467999999999998E-2</v>
      </c>
      <c r="CL52" s="83">
        <v>7.4110300000000004E-2</v>
      </c>
      <c r="CM52" s="83">
        <v>4.2499E-3</v>
      </c>
      <c r="CN52" s="83">
        <v>6.3604900000000006E-2</v>
      </c>
      <c r="CO52" s="83">
        <v>7.3387900000000006E-2</v>
      </c>
      <c r="CP52" s="83">
        <v>4.2499E-3</v>
      </c>
      <c r="CQ52" s="83">
        <v>6.2575500000000006E-2</v>
      </c>
      <c r="CR52" s="83">
        <v>7.3775999999999994E-2</v>
      </c>
      <c r="CS52" s="83">
        <v>4.2499E-3</v>
      </c>
      <c r="CT52" s="83">
        <v>6.3050999999999996E-2</v>
      </c>
      <c r="CU52" s="83">
        <v>7.4541499999999997E-2</v>
      </c>
      <c r="CV52" s="83">
        <v>4.2499E-3</v>
      </c>
      <c r="CW52" s="83">
        <v>6.1739700000000002E-2</v>
      </c>
      <c r="CX52" s="83">
        <v>7.4370199999999997E-2</v>
      </c>
      <c r="CY52" s="83">
        <v>4.2499E-3</v>
      </c>
      <c r="CZ52" s="83">
        <v>6.0990900000000001E-2</v>
      </c>
      <c r="DA52" s="83">
        <v>7.3937299999999997E-2</v>
      </c>
    </row>
    <row r="53" spans="1:105" x14ac:dyDescent="0.2">
      <c r="A53" s="83">
        <v>4.3499000000000003E-3</v>
      </c>
      <c r="B53" s="83">
        <v>8.9612899999999995E-2</v>
      </c>
      <c r="C53" s="83">
        <v>6.9740200000000002E-2</v>
      </c>
      <c r="D53" s="83">
        <v>4.3499000000000003E-3</v>
      </c>
      <c r="E53" s="83">
        <v>9.1765200000000005E-2</v>
      </c>
      <c r="F53" s="83">
        <v>7.1569199999999999E-2</v>
      </c>
      <c r="G53" s="83">
        <v>4.3499000000000003E-3</v>
      </c>
      <c r="H53" s="83">
        <v>9.2227699999999996E-2</v>
      </c>
      <c r="I53" s="83">
        <v>7.22777E-2</v>
      </c>
      <c r="J53" s="83">
        <v>4.3499000000000003E-3</v>
      </c>
      <c r="K53" s="83">
        <v>8.7793499999999997E-2</v>
      </c>
      <c r="L53" s="83">
        <v>6.9645200000000004E-2</v>
      </c>
      <c r="M53" s="83">
        <v>4.3499000000000003E-3</v>
      </c>
      <c r="N53" s="83">
        <v>8.7645000000000001E-2</v>
      </c>
      <c r="O53" s="83">
        <v>6.9862800000000003E-2</v>
      </c>
      <c r="P53" s="83">
        <v>4.3499000000000003E-3</v>
      </c>
      <c r="Q53" s="83">
        <v>8.6945099999999997E-2</v>
      </c>
      <c r="R53" s="83">
        <v>6.9942699999999997E-2</v>
      </c>
      <c r="S53" s="83">
        <v>4.3499000000000003E-3</v>
      </c>
      <c r="T53" s="83">
        <v>8.7418200000000001E-2</v>
      </c>
      <c r="U53" s="83">
        <v>7.0606299999999997E-2</v>
      </c>
      <c r="V53" s="83">
        <v>4.3499000000000003E-3</v>
      </c>
      <c r="W53" s="83">
        <v>8.8447600000000001E-2</v>
      </c>
      <c r="X53" s="83">
        <v>7.1778800000000004E-2</v>
      </c>
      <c r="Y53" s="83">
        <v>4.3499000000000003E-3</v>
      </c>
      <c r="Z53" s="83">
        <v>8.5027199999999997E-2</v>
      </c>
      <c r="AA53" s="83">
        <v>6.9761400000000001E-2</v>
      </c>
      <c r="AB53" s="83">
        <v>4.3499000000000003E-3</v>
      </c>
      <c r="AC53" s="83">
        <v>8.5871600000000006E-2</v>
      </c>
      <c r="AD53" s="83">
        <v>7.0863300000000004E-2</v>
      </c>
      <c r="AE53" s="83">
        <v>4.3499000000000003E-3</v>
      </c>
      <c r="AF53" s="83">
        <v>8.6952399999999999E-2</v>
      </c>
      <c r="AG53" s="83">
        <v>7.1757899999999999E-2</v>
      </c>
      <c r="AH53" s="83">
        <v>4.3499000000000003E-3</v>
      </c>
      <c r="AI53" s="83">
        <v>8.5762000000000005E-2</v>
      </c>
      <c r="AJ53" s="83">
        <v>7.1454699999999996E-2</v>
      </c>
      <c r="AK53" s="83">
        <v>4.3499000000000003E-3</v>
      </c>
      <c r="AL53" s="83">
        <v>8.5396600000000003E-2</v>
      </c>
      <c r="AM53" s="83">
        <v>7.1761800000000001E-2</v>
      </c>
      <c r="AN53" s="83">
        <v>4.3499000000000003E-3</v>
      </c>
      <c r="AO53" s="83">
        <v>8.23049E-2</v>
      </c>
      <c r="AP53" s="83">
        <v>6.9517700000000002E-2</v>
      </c>
      <c r="AQ53" s="83">
        <v>4.3499000000000003E-3</v>
      </c>
      <c r="AR53" s="83">
        <v>8.2572900000000005E-2</v>
      </c>
      <c r="AS53" s="83">
        <v>7.0948300000000006E-2</v>
      </c>
      <c r="AT53" s="83">
        <v>4.3499000000000003E-3</v>
      </c>
      <c r="AU53" s="83">
        <v>8.1613599999999994E-2</v>
      </c>
      <c r="AV53" s="83">
        <v>7.06127E-2</v>
      </c>
      <c r="AW53" s="83">
        <v>4.3499000000000003E-3</v>
      </c>
      <c r="AX53" s="83">
        <v>8.25935E-2</v>
      </c>
      <c r="AY53" s="83">
        <v>7.1721999999999994E-2</v>
      </c>
      <c r="AZ53" s="83">
        <v>4.3499000000000003E-3</v>
      </c>
      <c r="BA53" s="83">
        <v>8.1477599999999997E-2</v>
      </c>
      <c r="BB53" s="83">
        <v>7.1635500000000005E-2</v>
      </c>
      <c r="BC53" s="83">
        <v>4.3499000000000003E-3</v>
      </c>
      <c r="BD53" s="83">
        <v>7.9512700000000006E-2</v>
      </c>
      <c r="BE53" s="83">
        <v>7.0488099999999998E-2</v>
      </c>
      <c r="BF53" s="83">
        <v>4.3499000000000003E-3</v>
      </c>
      <c r="BG53" s="83">
        <v>7.8182299999999996E-2</v>
      </c>
      <c r="BH53" s="83">
        <v>7.0912299999999998E-2</v>
      </c>
      <c r="BI53" s="83">
        <v>4.3499000000000003E-3</v>
      </c>
      <c r="BJ53" s="83">
        <v>7.6282600000000006E-2</v>
      </c>
      <c r="BK53" s="83">
        <v>7.0875499999999994E-2</v>
      </c>
      <c r="BL53" s="83">
        <v>4.3499000000000003E-3</v>
      </c>
      <c r="BM53" s="83">
        <v>7.3741000000000001E-2</v>
      </c>
      <c r="BN53" s="83">
        <v>7.0078399999999999E-2</v>
      </c>
      <c r="BO53" s="83">
        <v>4.3499000000000003E-3</v>
      </c>
      <c r="BP53" s="83">
        <v>7.1988099999999999E-2</v>
      </c>
      <c r="BQ53" s="83">
        <v>7.0243100000000003E-2</v>
      </c>
      <c r="BR53" s="83">
        <v>4.3499000000000003E-3</v>
      </c>
      <c r="BS53" s="83">
        <v>7.1651199999999998E-2</v>
      </c>
      <c r="BT53" s="83">
        <v>7.2122000000000006E-2</v>
      </c>
      <c r="BU53" s="83">
        <v>4.3499000000000003E-3</v>
      </c>
      <c r="BV53" s="83">
        <v>6.7683199999999999E-2</v>
      </c>
      <c r="BW53" s="83">
        <v>6.9935300000000006E-2</v>
      </c>
      <c r="BX53" s="83">
        <v>4.3499000000000003E-3</v>
      </c>
      <c r="BY53" s="83">
        <v>6.8691000000000002E-2</v>
      </c>
      <c r="BZ53" s="83">
        <v>7.2370699999999996E-2</v>
      </c>
      <c r="CA53" s="83">
        <v>4.3499000000000003E-3</v>
      </c>
      <c r="CB53" s="83">
        <v>6.50038E-2</v>
      </c>
      <c r="CC53" s="83">
        <v>7.0819599999999996E-2</v>
      </c>
      <c r="CD53" s="83">
        <v>4.3499000000000003E-3</v>
      </c>
      <c r="CE53" s="83">
        <v>6.3269400000000003E-2</v>
      </c>
      <c r="CF53" s="83">
        <v>7.0310399999999995E-2</v>
      </c>
      <c r="CG53" s="83">
        <v>4.3499000000000003E-3</v>
      </c>
      <c r="CH53" s="83">
        <v>6.3373100000000002E-2</v>
      </c>
      <c r="CI53" s="83">
        <v>7.1582499999999993E-2</v>
      </c>
      <c r="CJ53" s="83">
        <v>4.3499000000000003E-3</v>
      </c>
      <c r="CK53" s="83">
        <v>6.0934799999999997E-2</v>
      </c>
      <c r="CL53" s="83">
        <v>7.0464799999999994E-2</v>
      </c>
      <c r="CM53" s="83">
        <v>4.3499000000000003E-3</v>
      </c>
      <c r="CN53" s="83">
        <v>5.96654E-2</v>
      </c>
      <c r="CO53" s="83">
        <v>6.9786299999999996E-2</v>
      </c>
      <c r="CP53" s="83">
        <v>4.3499000000000003E-3</v>
      </c>
      <c r="CQ53" s="83">
        <v>5.8776700000000001E-2</v>
      </c>
      <c r="CR53" s="83">
        <v>7.0196900000000007E-2</v>
      </c>
      <c r="CS53" s="83">
        <v>4.3499000000000003E-3</v>
      </c>
      <c r="CT53" s="83">
        <v>5.91408E-2</v>
      </c>
      <c r="CU53" s="83">
        <v>7.0859900000000003E-2</v>
      </c>
      <c r="CV53" s="83">
        <v>4.3499000000000003E-3</v>
      </c>
      <c r="CW53" s="83">
        <v>5.8046300000000002E-2</v>
      </c>
      <c r="CX53" s="83">
        <v>7.0730600000000005E-2</v>
      </c>
      <c r="CY53" s="83">
        <v>4.3499000000000003E-3</v>
      </c>
      <c r="CZ53" s="83">
        <v>5.71218E-2</v>
      </c>
      <c r="DA53" s="83">
        <v>7.0307400000000006E-2</v>
      </c>
    </row>
    <row r="54" spans="1:105" x14ac:dyDescent="0.2">
      <c r="A54" s="83">
        <v>4.4498999999999997E-3</v>
      </c>
      <c r="B54" s="83">
        <v>8.4769200000000003E-2</v>
      </c>
      <c r="C54" s="83">
        <v>6.6339800000000004E-2</v>
      </c>
      <c r="D54" s="83">
        <v>4.4498999999999997E-3</v>
      </c>
      <c r="E54" s="83">
        <v>8.6739800000000006E-2</v>
      </c>
      <c r="F54" s="83">
        <v>6.8052600000000005E-2</v>
      </c>
      <c r="G54" s="83">
        <v>4.4498999999999997E-3</v>
      </c>
      <c r="H54" s="83">
        <v>8.6983500000000005E-2</v>
      </c>
      <c r="I54" s="83">
        <v>6.8746500000000002E-2</v>
      </c>
      <c r="J54" s="83">
        <v>4.4498999999999997E-3</v>
      </c>
      <c r="K54" s="83">
        <v>8.3141199999999998E-2</v>
      </c>
      <c r="L54" s="83">
        <v>6.6208600000000006E-2</v>
      </c>
      <c r="M54" s="83">
        <v>4.4498999999999997E-3</v>
      </c>
      <c r="N54" s="83">
        <v>8.3234799999999998E-2</v>
      </c>
      <c r="O54" s="83">
        <v>6.6430199999999995E-2</v>
      </c>
      <c r="P54" s="83">
        <v>4.4498999999999997E-3</v>
      </c>
      <c r="Q54" s="83">
        <v>8.2605200000000004E-2</v>
      </c>
      <c r="R54" s="83">
        <v>6.65071E-2</v>
      </c>
      <c r="S54" s="83">
        <v>4.4498999999999997E-3</v>
      </c>
      <c r="T54" s="83">
        <v>8.2646700000000003E-2</v>
      </c>
      <c r="U54" s="83">
        <v>6.7140500000000006E-2</v>
      </c>
      <c r="V54" s="83">
        <v>4.4498999999999997E-3</v>
      </c>
      <c r="W54" s="83">
        <v>8.3656599999999998E-2</v>
      </c>
      <c r="X54" s="83">
        <v>6.8257300000000007E-2</v>
      </c>
      <c r="Y54" s="83">
        <v>4.4498999999999997E-3</v>
      </c>
      <c r="Z54" s="83">
        <v>8.0613199999999996E-2</v>
      </c>
      <c r="AA54" s="83">
        <v>6.6341499999999998E-2</v>
      </c>
      <c r="AB54" s="83">
        <v>4.4498999999999997E-3</v>
      </c>
      <c r="AC54" s="83">
        <v>8.1346199999999994E-2</v>
      </c>
      <c r="AD54" s="83">
        <v>6.7379900000000006E-2</v>
      </c>
      <c r="AE54" s="83">
        <v>4.4498999999999997E-3</v>
      </c>
      <c r="AF54" s="83">
        <v>8.1970000000000001E-2</v>
      </c>
      <c r="AG54" s="83">
        <v>6.8260799999999996E-2</v>
      </c>
      <c r="AH54" s="83">
        <v>4.4498999999999997E-3</v>
      </c>
      <c r="AI54" s="83">
        <v>8.0857700000000005E-2</v>
      </c>
      <c r="AJ54" s="83">
        <v>6.7964499999999997E-2</v>
      </c>
      <c r="AK54" s="83">
        <v>4.4498999999999997E-3</v>
      </c>
      <c r="AL54" s="83">
        <v>8.0347799999999997E-2</v>
      </c>
      <c r="AM54" s="83">
        <v>6.8258899999999997E-2</v>
      </c>
      <c r="AN54" s="83">
        <v>4.4498999999999997E-3</v>
      </c>
      <c r="AO54" s="83">
        <v>7.7283400000000002E-2</v>
      </c>
      <c r="AP54" s="83">
        <v>6.6130900000000006E-2</v>
      </c>
      <c r="AQ54" s="83">
        <v>4.4498999999999997E-3</v>
      </c>
      <c r="AR54" s="83">
        <v>7.8000600000000003E-2</v>
      </c>
      <c r="AS54" s="83">
        <v>6.7471799999999998E-2</v>
      </c>
      <c r="AT54" s="83">
        <v>4.4498999999999997E-3</v>
      </c>
      <c r="AU54" s="83">
        <v>7.6914399999999994E-2</v>
      </c>
      <c r="AV54" s="83">
        <v>6.7220100000000005E-2</v>
      </c>
      <c r="AW54" s="83">
        <v>4.4498999999999997E-3</v>
      </c>
      <c r="AX54" s="83">
        <v>7.7638399999999996E-2</v>
      </c>
      <c r="AY54" s="83">
        <v>6.8262000000000003E-2</v>
      </c>
      <c r="AZ54" s="83">
        <v>4.4498999999999997E-3</v>
      </c>
      <c r="BA54" s="83">
        <v>7.6712000000000002E-2</v>
      </c>
      <c r="BB54" s="83">
        <v>6.8145300000000006E-2</v>
      </c>
      <c r="BC54" s="83">
        <v>4.4498999999999997E-3</v>
      </c>
      <c r="BD54" s="83">
        <v>7.4870099999999995E-2</v>
      </c>
      <c r="BE54" s="83">
        <v>6.7033999999999996E-2</v>
      </c>
      <c r="BF54" s="83">
        <v>4.4498999999999997E-3</v>
      </c>
      <c r="BG54" s="83">
        <v>7.3315099999999994E-2</v>
      </c>
      <c r="BH54" s="83">
        <v>6.7461099999999996E-2</v>
      </c>
      <c r="BI54" s="83">
        <v>4.4498999999999997E-3</v>
      </c>
      <c r="BJ54" s="83">
        <v>7.1714200000000006E-2</v>
      </c>
      <c r="BK54" s="83">
        <v>6.7437999999999998E-2</v>
      </c>
      <c r="BL54" s="83">
        <v>4.4498999999999997E-3</v>
      </c>
      <c r="BM54" s="83">
        <v>6.9744899999999999E-2</v>
      </c>
      <c r="BN54" s="83">
        <v>6.6638900000000001E-2</v>
      </c>
      <c r="BO54" s="83">
        <v>4.4498999999999997E-3</v>
      </c>
      <c r="BP54" s="83">
        <v>6.7863099999999996E-2</v>
      </c>
      <c r="BQ54" s="83">
        <v>6.68623E-2</v>
      </c>
      <c r="BR54" s="83">
        <v>4.4498999999999997E-3</v>
      </c>
      <c r="BS54" s="83">
        <v>6.8020399999999995E-2</v>
      </c>
      <c r="BT54" s="83">
        <v>6.8605399999999997E-2</v>
      </c>
      <c r="BU54" s="83">
        <v>4.4498999999999997E-3</v>
      </c>
      <c r="BV54" s="83">
        <v>6.3521099999999997E-2</v>
      </c>
      <c r="BW54" s="83">
        <v>6.6492899999999994E-2</v>
      </c>
      <c r="BX54" s="83">
        <v>4.4498999999999997E-3</v>
      </c>
      <c r="BY54" s="83">
        <v>6.4388299999999996E-2</v>
      </c>
      <c r="BZ54" s="83">
        <v>6.8819900000000003E-2</v>
      </c>
      <c r="CA54" s="83">
        <v>4.4498999999999997E-3</v>
      </c>
      <c r="CB54" s="83">
        <v>6.1382699999999998E-2</v>
      </c>
      <c r="CC54" s="83">
        <v>6.7351900000000006E-2</v>
      </c>
      <c r="CD54" s="83">
        <v>4.4498999999999997E-3</v>
      </c>
      <c r="CE54" s="83">
        <v>5.9615099999999997E-2</v>
      </c>
      <c r="CF54" s="83">
        <v>6.6856299999999994E-2</v>
      </c>
      <c r="CG54" s="83">
        <v>4.4498999999999997E-3</v>
      </c>
      <c r="CH54" s="83">
        <v>5.9802800000000003E-2</v>
      </c>
      <c r="CI54" s="83">
        <v>6.8081500000000003E-2</v>
      </c>
      <c r="CJ54" s="83">
        <v>4.4498999999999997E-3</v>
      </c>
      <c r="CK54" s="83">
        <v>5.7561800000000003E-2</v>
      </c>
      <c r="CL54" s="83">
        <v>6.70322E-2</v>
      </c>
      <c r="CM54" s="83">
        <v>4.4498999999999997E-3</v>
      </c>
      <c r="CN54" s="83">
        <v>5.5784500000000001E-2</v>
      </c>
      <c r="CO54" s="83">
        <v>6.6394700000000001E-2</v>
      </c>
      <c r="CP54" s="83">
        <v>4.4498999999999997E-3</v>
      </c>
      <c r="CQ54" s="83">
        <v>5.5255199999999997E-2</v>
      </c>
      <c r="CR54" s="83">
        <v>6.6789600000000005E-2</v>
      </c>
      <c r="CS54" s="83">
        <v>4.4498999999999997E-3</v>
      </c>
      <c r="CT54" s="83">
        <v>5.5136900000000003E-2</v>
      </c>
      <c r="CU54" s="83">
        <v>6.7398899999999998E-2</v>
      </c>
      <c r="CV54" s="83">
        <v>4.4498999999999997E-3</v>
      </c>
      <c r="CW54" s="83">
        <v>5.4497499999999997E-2</v>
      </c>
      <c r="CX54" s="83">
        <v>6.72677E-2</v>
      </c>
      <c r="CY54" s="83">
        <v>4.4498999999999997E-3</v>
      </c>
      <c r="CZ54" s="83">
        <v>5.3701800000000001E-2</v>
      </c>
      <c r="DA54" s="83">
        <v>6.6876699999999997E-2</v>
      </c>
    </row>
    <row r="55" spans="1:105" x14ac:dyDescent="0.2">
      <c r="A55" s="83">
        <v>4.5499E-3</v>
      </c>
      <c r="B55" s="83">
        <v>8.0599299999999999E-2</v>
      </c>
      <c r="C55" s="83">
        <v>6.3119099999999997E-2</v>
      </c>
      <c r="D55" s="83">
        <v>4.5499E-3</v>
      </c>
      <c r="E55" s="83">
        <v>8.2048399999999994E-2</v>
      </c>
      <c r="F55" s="83">
        <v>6.4703899999999995E-2</v>
      </c>
      <c r="G55" s="83">
        <v>4.5499E-3</v>
      </c>
      <c r="H55" s="83">
        <v>8.2460099999999995E-2</v>
      </c>
      <c r="I55" s="83">
        <v>6.5345100000000003E-2</v>
      </c>
      <c r="J55" s="83">
        <v>4.5499E-3</v>
      </c>
      <c r="K55" s="83">
        <v>7.86607E-2</v>
      </c>
      <c r="L55" s="83">
        <v>6.2994800000000004E-2</v>
      </c>
      <c r="M55" s="83">
        <v>4.5499E-3</v>
      </c>
      <c r="N55" s="83">
        <v>7.8437999999999994E-2</v>
      </c>
      <c r="O55" s="83">
        <v>6.3203599999999999E-2</v>
      </c>
      <c r="P55" s="83">
        <v>4.5499E-3</v>
      </c>
      <c r="Q55" s="83">
        <v>7.8222399999999997E-2</v>
      </c>
      <c r="R55" s="83">
        <v>6.3288399999999995E-2</v>
      </c>
      <c r="S55" s="83">
        <v>4.5499E-3</v>
      </c>
      <c r="T55" s="83">
        <v>7.8076400000000004E-2</v>
      </c>
      <c r="U55" s="83">
        <v>6.3871899999999995E-2</v>
      </c>
      <c r="V55" s="83">
        <v>4.5499E-3</v>
      </c>
      <c r="W55" s="83">
        <v>7.8896800000000003E-2</v>
      </c>
      <c r="X55" s="83">
        <v>6.4928200000000005E-2</v>
      </c>
      <c r="Y55" s="83">
        <v>4.5499E-3</v>
      </c>
      <c r="Z55" s="83">
        <v>7.5913999999999995E-2</v>
      </c>
      <c r="AA55" s="83">
        <v>6.3123700000000005E-2</v>
      </c>
      <c r="AB55" s="83">
        <v>4.5499E-3</v>
      </c>
      <c r="AC55" s="83">
        <v>7.6768100000000006E-2</v>
      </c>
      <c r="AD55" s="83">
        <v>6.4102500000000007E-2</v>
      </c>
      <c r="AE55" s="83">
        <v>4.5499E-3</v>
      </c>
      <c r="AF55" s="83">
        <v>7.7329300000000004E-2</v>
      </c>
      <c r="AG55" s="83">
        <v>6.4932699999999996E-2</v>
      </c>
      <c r="AH55" s="83">
        <v>4.5499E-3</v>
      </c>
      <c r="AI55" s="83">
        <v>7.6277700000000004E-2</v>
      </c>
      <c r="AJ55" s="83">
        <v>6.4652000000000001E-2</v>
      </c>
      <c r="AK55" s="83">
        <v>4.5499E-3</v>
      </c>
      <c r="AL55" s="83">
        <v>7.5808700000000007E-2</v>
      </c>
      <c r="AM55" s="83">
        <v>6.4953200000000003E-2</v>
      </c>
      <c r="AN55" s="83">
        <v>4.5499E-3</v>
      </c>
      <c r="AO55" s="83">
        <v>7.3158399999999998E-2</v>
      </c>
      <c r="AP55" s="83">
        <v>6.2934599999999993E-2</v>
      </c>
      <c r="AQ55" s="83">
        <v>4.5499E-3</v>
      </c>
      <c r="AR55" s="83">
        <v>7.3736899999999994E-2</v>
      </c>
      <c r="AS55" s="83">
        <v>6.4222699999999994E-2</v>
      </c>
      <c r="AT55" s="83">
        <v>4.5499E-3</v>
      </c>
      <c r="AU55" s="83">
        <v>7.2808899999999996E-2</v>
      </c>
      <c r="AV55" s="83">
        <v>6.3983799999999993E-2</v>
      </c>
      <c r="AW55" s="83">
        <v>4.5499E-3</v>
      </c>
      <c r="AX55" s="83">
        <v>7.3366899999999999E-2</v>
      </c>
      <c r="AY55" s="83">
        <v>6.4945600000000006E-2</v>
      </c>
      <c r="AZ55" s="83">
        <v>4.5499E-3</v>
      </c>
      <c r="BA55" s="83">
        <v>7.2620199999999996E-2</v>
      </c>
      <c r="BB55" s="83">
        <v>6.4823000000000006E-2</v>
      </c>
      <c r="BC55" s="83">
        <v>4.5499E-3</v>
      </c>
      <c r="BD55" s="83">
        <v>7.0541999999999994E-2</v>
      </c>
      <c r="BE55" s="83">
        <v>6.3788899999999996E-2</v>
      </c>
      <c r="BF55" s="83">
        <v>4.5499E-3</v>
      </c>
      <c r="BG55" s="83">
        <v>6.9041599999999995E-2</v>
      </c>
      <c r="BH55" s="83">
        <v>6.4183799999999999E-2</v>
      </c>
      <c r="BI55" s="83">
        <v>4.5499E-3</v>
      </c>
      <c r="BJ55" s="83">
        <v>6.7743499999999998E-2</v>
      </c>
      <c r="BK55" s="83">
        <v>6.41626E-2</v>
      </c>
      <c r="BL55" s="83">
        <v>4.5499E-3</v>
      </c>
      <c r="BM55" s="83">
        <v>6.5608200000000005E-2</v>
      </c>
      <c r="BN55" s="83">
        <v>6.3436800000000002E-2</v>
      </c>
      <c r="BO55" s="83">
        <v>4.5499E-3</v>
      </c>
      <c r="BP55" s="83">
        <v>6.4308400000000002E-2</v>
      </c>
      <c r="BQ55" s="83">
        <v>6.3666899999999998E-2</v>
      </c>
      <c r="BR55" s="83">
        <v>4.5499E-3</v>
      </c>
      <c r="BS55" s="83">
        <v>6.3576999999999995E-2</v>
      </c>
      <c r="BT55" s="83">
        <v>6.5264600000000006E-2</v>
      </c>
      <c r="BU55" s="83">
        <v>4.5499E-3</v>
      </c>
      <c r="BV55" s="83">
        <v>5.9548400000000001E-2</v>
      </c>
      <c r="BW55" s="83">
        <v>6.3281900000000002E-2</v>
      </c>
      <c r="BX55" s="83">
        <v>4.5499E-3</v>
      </c>
      <c r="BY55" s="83">
        <v>6.0898099999999997E-2</v>
      </c>
      <c r="BZ55" s="83">
        <v>6.5462500000000007E-2</v>
      </c>
      <c r="CA55" s="83">
        <v>4.5499E-3</v>
      </c>
      <c r="CB55" s="83">
        <v>5.7863199999999997E-2</v>
      </c>
      <c r="CC55" s="83">
        <v>6.4080399999999996E-2</v>
      </c>
      <c r="CD55" s="83">
        <v>4.5499E-3</v>
      </c>
      <c r="CE55" s="83">
        <v>5.6324100000000002E-2</v>
      </c>
      <c r="CF55" s="83">
        <v>6.3626799999999997E-2</v>
      </c>
      <c r="CG55" s="83">
        <v>4.5499E-3</v>
      </c>
      <c r="CH55" s="83">
        <v>5.6068399999999997E-2</v>
      </c>
      <c r="CI55" s="83">
        <v>6.4768999999999993E-2</v>
      </c>
      <c r="CJ55" s="83">
        <v>4.5499E-3</v>
      </c>
      <c r="CK55" s="83">
        <v>5.4366499999999998E-2</v>
      </c>
      <c r="CL55" s="83">
        <v>6.3769500000000007E-2</v>
      </c>
      <c r="CM55" s="83">
        <v>4.5499E-3</v>
      </c>
      <c r="CN55" s="83">
        <v>5.2612699999999998E-2</v>
      </c>
      <c r="CO55" s="83">
        <v>6.3169199999999995E-2</v>
      </c>
      <c r="CP55" s="83">
        <v>4.5499E-3</v>
      </c>
      <c r="CQ55" s="83">
        <v>5.1909499999999997E-2</v>
      </c>
      <c r="CR55" s="83">
        <v>6.3506400000000005E-2</v>
      </c>
      <c r="CS55" s="83">
        <v>4.5499E-3</v>
      </c>
      <c r="CT55" s="83">
        <v>5.21369E-2</v>
      </c>
      <c r="CU55" s="83">
        <v>6.4144999999999994E-2</v>
      </c>
      <c r="CV55" s="83">
        <v>4.5499E-3</v>
      </c>
      <c r="CW55" s="83">
        <v>5.1190899999999998E-2</v>
      </c>
      <c r="CX55" s="83">
        <v>6.3999100000000003E-2</v>
      </c>
      <c r="CY55" s="83">
        <v>4.5499E-3</v>
      </c>
      <c r="CZ55" s="83">
        <v>5.02897E-2</v>
      </c>
      <c r="DA55" s="83">
        <v>6.36013E-2</v>
      </c>
    </row>
    <row r="56" spans="1:105" x14ac:dyDescent="0.2">
      <c r="A56" s="83">
        <v>4.6499000000000002E-3</v>
      </c>
      <c r="B56" s="83">
        <v>7.5966400000000003E-2</v>
      </c>
      <c r="C56" s="83">
        <v>6.00517E-2</v>
      </c>
      <c r="D56" s="83">
        <v>4.6499000000000002E-3</v>
      </c>
      <c r="E56" s="83">
        <v>7.7683199999999994E-2</v>
      </c>
      <c r="F56" s="83">
        <v>6.1565300000000003E-2</v>
      </c>
      <c r="G56" s="83">
        <v>4.6499000000000002E-3</v>
      </c>
      <c r="H56" s="83">
        <v>7.7706200000000003E-2</v>
      </c>
      <c r="I56" s="83">
        <v>6.21938E-2</v>
      </c>
      <c r="J56" s="83">
        <v>4.6499000000000002E-3</v>
      </c>
      <c r="K56" s="83">
        <v>7.4428300000000003E-2</v>
      </c>
      <c r="L56" s="83">
        <v>5.9924400000000003E-2</v>
      </c>
      <c r="M56" s="83">
        <v>4.6499000000000002E-3</v>
      </c>
      <c r="N56" s="83">
        <v>7.4037599999999995E-2</v>
      </c>
      <c r="O56" s="83">
        <v>6.0138200000000003E-2</v>
      </c>
      <c r="P56" s="83">
        <v>4.6499000000000002E-3</v>
      </c>
      <c r="Q56" s="83">
        <v>7.3617000000000002E-2</v>
      </c>
      <c r="R56" s="83">
        <v>6.0241500000000003E-2</v>
      </c>
      <c r="S56" s="83">
        <v>4.6499000000000002E-3</v>
      </c>
      <c r="T56" s="83">
        <v>7.3580300000000001E-2</v>
      </c>
      <c r="U56" s="83">
        <v>6.0777200000000003E-2</v>
      </c>
      <c r="V56" s="83">
        <v>4.6499000000000002E-3</v>
      </c>
      <c r="W56" s="83">
        <v>7.4463199999999993E-2</v>
      </c>
      <c r="X56" s="83">
        <v>6.17896E-2</v>
      </c>
      <c r="Y56" s="83">
        <v>4.6499000000000002E-3</v>
      </c>
      <c r="Z56" s="83">
        <v>7.1552599999999994E-2</v>
      </c>
      <c r="AA56" s="83">
        <v>6.0069999999999998E-2</v>
      </c>
      <c r="AB56" s="83">
        <v>4.6499000000000002E-3</v>
      </c>
      <c r="AC56" s="83">
        <v>7.2035699999999994E-2</v>
      </c>
      <c r="AD56" s="83">
        <v>6.0998999999999998E-2</v>
      </c>
      <c r="AE56" s="83">
        <v>4.6499000000000002E-3</v>
      </c>
      <c r="AF56" s="83">
        <v>7.3251200000000002E-2</v>
      </c>
      <c r="AG56" s="83">
        <v>6.1823299999999998E-2</v>
      </c>
      <c r="AH56" s="83">
        <v>4.6499000000000002E-3</v>
      </c>
      <c r="AI56" s="83">
        <v>7.2099899999999995E-2</v>
      </c>
      <c r="AJ56" s="83">
        <v>6.1545500000000003E-2</v>
      </c>
      <c r="AK56" s="83">
        <v>4.6499000000000002E-3</v>
      </c>
      <c r="AL56" s="83">
        <v>7.1701299999999996E-2</v>
      </c>
      <c r="AM56" s="83">
        <v>6.1803799999999999E-2</v>
      </c>
      <c r="AN56" s="83">
        <v>4.6499000000000002E-3</v>
      </c>
      <c r="AO56" s="83">
        <v>6.8814600000000004E-2</v>
      </c>
      <c r="AP56" s="83">
        <v>5.9866299999999997E-2</v>
      </c>
      <c r="AQ56" s="83">
        <v>4.6499000000000002E-3</v>
      </c>
      <c r="AR56" s="83">
        <v>6.9373599999999994E-2</v>
      </c>
      <c r="AS56" s="83">
        <v>6.1107500000000002E-2</v>
      </c>
      <c r="AT56" s="83">
        <v>4.6499000000000002E-3</v>
      </c>
      <c r="AU56" s="83">
        <v>6.8228899999999995E-2</v>
      </c>
      <c r="AV56" s="83">
        <v>6.0893000000000003E-2</v>
      </c>
      <c r="AW56" s="83">
        <v>4.6499000000000002E-3</v>
      </c>
      <c r="AX56" s="83">
        <v>6.91716E-2</v>
      </c>
      <c r="AY56" s="83">
        <v>6.1843099999999998E-2</v>
      </c>
      <c r="AZ56" s="83">
        <v>4.6499000000000002E-3</v>
      </c>
      <c r="BA56" s="83">
        <v>6.8268599999999999E-2</v>
      </c>
      <c r="BB56" s="83">
        <v>6.1709699999999999E-2</v>
      </c>
      <c r="BC56" s="83">
        <v>4.6499000000000002E-3</v>
      </c>
      <c r="BD56" s="83">
        <v>6.6350599999999996E-2</v>
      </c>
      <c r="BE56" s="83">
        <v>6.0697099999999997E-2</v>
      </c>
      <c r="BF56" s="83">
        <v>4.6499000000000002E-3</v>
      </c>
      <c r="BG56" s="83">
        <v>6.5098299999999998E-2</v>
      </c>
      <c r="BH56" s="83">
        <v>6.1095900000000002E-2</v>
      </c>
      <c r="BI56" s="83">
        <v>4.6499000000000002E-3</v>
      </c>
      <c r="BJ56" s="83">
        <v>6.3886100000000001E-2</v>
      </c>
      <c r="BK56" s="83">
        <v>6.1067799999999998E-2</v>
      </c>
      <c r="BL56" s="83">
        <v>4.6499000000000002E-3</v>
      </c>
      <c r="BM56" s="83">
        <v>6.14812E-2</v>
      </c>
      <c r="BN56" s="83">
        <v>6.0351799999999997E-2</v>
      </c>
      <c r="BO56" s="83">
        <v>4.6499000000000002E-3</v>
      </c>
      <c r="BP56" s="83">
        <v>6.0531099999999997E-2</v>
      </c>
      <c r="BQ56" s="83">
        <v>6.06142E-2</v>
      </c>
      <c r="BR56" s="83">
        <v>4.6499000000000002E-3</v>
      </c>
      <c r="BS56" s="83">
        <v>6.0276200000000002E-2</v>
      </c>
      <c r="BT56" s="83">
        <v>6.21132E-2</v>
      </c>
      <c r="BU56" s="83">
        <v>4.6499000000000002E-3</v>
      </c>
      <c r="BV56" s="83">
        <v>5.63629E-2</v>
      </c>
      <c r="BW56" s="83">
        <v>6.0208699999999997E-2</v>
      </c>
      <c r="BX56" s="83">
        <v>4.6499000000000002E-3</v>
      </c>
      <c r="BY56" s="83">
        <v>5.7491800000000003E-2</v>
      </c>
      <c r="BZ56" s="83">
        <v>6.2306199999999999E-2</v>
      </c>
      <c r="CA56" s="83">
        <v>4.6499000000000002E-3</v>
      </c>
      <c r="CB56" s="83">
        <v>5.4718700000000002E-2</v>
      </c>
      <c r="CC56" s="83">
        <v>6.0979800000000001E-2</v>
      </c>
      <c r="CD56" s="83">
        <v>4.6499000000000002E-3</v>
      </c>
      <c r="CE56" s="83">
        <v>5.2993999999999999E-2</v>
      </c>
      <c r="CF56" s="83">
        <v>6.0546700000000002E-2</v>
      </c>
      <c r="CG56" s="83">
        <v>4.6499000000000002E-3</v>
      </c>
      <c r="CH56" s="83">
        <v>5.2701199999999997E-2</v>
      </c>
      <c r="CI56" s="83">
        <v>6.1642000000000002E-2</v>
      </c>
      <c r="CJ56" s="83">
        <v>4.6499000000000002E-3</v>
      </c>
      <c r="CK56" s="83">
        <v>5.0936799999999997E-2</v>
      </c>
      <c r="CL56" s="83">
        <v>6.06738E-2</v>
      </c>
      <c r="CM56" s="83">
        <v>4.6499000000000002E-3</v>
      </c>
      <c r="CN56" s="83">
        <v>4.9454499999999998E-2</v>
      </c>
      <c r="CO56" s="83">
        <v>6.0107599999999997E-2</v>
      </c>
      <c r="CP56" s="83">
        <v>4.6499000000000002E-3</v>
      </c>
      <c r="CQ56" s="83">
        <v>4.8622400000000003E-2</v>
      </c>
      <c r="CR56" s="83">
        <v>6.0449799999999998E-2</v>
      </c>
      <c r="CS56" s="83">
        <v>4.6499000000000002E-3</v>
      </c>
      <c r="CT56" s="83">
        <v>4.9052900000000003E-2</v>
      </c>
      <c r="CU56" s="83">
        <v>6.1033700000000003E-2</v>
      </c>
      <c r="CV56" s="83">
        <v>4.6499000000000002E-3</v>
      </c>
      <c r="CW56" s="83">
        <v>4.7780700000000002E-2</v>
      </c>
      <c r="CX56" s="83">
        <v>6.0908299999999999E-2</v>
      </c>
      <c r="CY56" s="83">
        <v>4.6499000000000002E-3</v>
      </c>
      <c r="CZ56" s="83">
        <v>4.7067100000000001E-2</v>
      </c>
      <c r="DA56" s="83">
        <v>6.0509500000000001E-2</v>
      </c>
    </row>
    <row r="57" spans="1:105" x14ac:dyDescent="0.2">
      <c r="A57" s="83">
        <v>4.7498999999999996E-3</v>
      </c>
      <c r="B57" s="83">
        <v>7.1472300000000002E-2</v>
      </c>
      <c r="C57" s="83">
        <v>5.7133799999999998E-2</v>
      </c>
      <c r="D57" s="83">
        <v>4.7498999999999996E-3</v>
      </c>
      <c r="E57" s="83">
        <v>7.3069899999999993E-2</v>
      </c>
      <c r="F57" s="83">
        <v>5.8544800000000001E-2</v>
      </c>
      <c r="G57" s="83">
        <v>4.7498999999999996E-3</v>
      </c>
      <c r="H57" s="83">
        <v>7.3274599999999995E-2</v>
      </c>
      <c r="I57" s="83">
        <v>5.9150800000000003E-2</v>
      </c>
      <c r="J57" s="83">
        <v>4.7498999999999996E-3</v>
      </c>
      <c r="K57" s="83">
        <v>7.0055199999999998E-2</v>
      </c>
      <c r="L57" s="83">
        <v>5.6993799999999997E-2</v>
      </c>
      <c r="M57" s="83">
        <v>4.7498999999999996E-3</v>
      </c>
      <c r="N57" s="83">
        <v>6.9881299999999993E-2</v>
      </c>
      <c r="O57" s="83">
        <v>5.71978E-2</v>
      </c>
      <c r="P57" s="83">
        <v>4.7498999999999996E-3</v>
      </c>
      <c r="Q57" s="83">
        <v>6.9532999999999998E-2</v>
      </c>
      <c r="R57" s="83">
        <v>5.7298099999999998E-2</v>
      </c>
      <c r="S57" s="83">
        <v>4.7498999999999996E-3</v>
      </c>
      <c r="T57" s="83">
        <v>6.9701399999999997E-2</v>
      </c>
      <c r="U57" s="83">
        <v>5.7785000000000003E-2</v>
      </c>
      <c r="V57" s="83">
        <v>4.7498999999999996E-3</v>
      </c>
      <c r="W57" s="83">
        <v>7.03265E-2</v>
      </c>
      <c r="X57" s="83">
        <v>5.8774899999999998E-2</v>
      </c>
      <c r="Y57" s="83">
        <v>4.7498999999999996E-3</v>
      </c>
      <c r="Z57" s="83">
        <v>6.7507700000000004E-2</v>
      </c>
      <c r="AA57" s="83">
        <v>5.7155999999999998E-2</v>
      </c>
      <c r="AB57" s="83">
        <v>4.7498999999999996E-3</v>
      </c>
      <c r="AC57" s="83">
        <v>6.83169E-2</v>
      </c>
      <c r="AD57" s="83">
        <v>5.80332E-2</v>
      </c>
      <c r="AE57" s="83">
        <v>4.7498999999999996E-3</v>
      </c>
      <c r="AF57" s="83">
        <v>6.8772700000000006E-2</v>
      </c>
      <c r="AG57" s="83">
        <v>5.8807699999999997E-2</v>
      </c>
      <c r="AH57" s="83">
        <v>4.7498999999999996E-3</v>
      </c>
      <c r="AI57" s="83">
        <v>6.7994499999999999E-2</v>
      </c>
      <c r="AJ57" s="83">
        <v>5.8550400000000002E-2</v>
      </c>
      <c r="AK57" s="83">
        <v>4.7498999999999996E-3</v>
      </c>
      <c r="AL57" s="83">
        <v>6.8140699999999998E-2</v>
      </c>
      <c r="AM57" s="83">
        <v>5.8830199999999999E-2</v>
      </c>
      <c r="AN57" s="83">
        <v>4.7498999999999996E-3</v>
      </c>
      <c r="AO57" s="83">
        <v>6.4685699999999999E-2</v>
      </c>
      <c r="AP57" s="83">
        <v>5.6969800000000001E-2</v>
      </c>
      <c r="AQ57" s="83">
        <v>4.7498999999999996E-3</v>
      </c>
      <c r="AR57" s="83">
        <v>6.5567E-2</v>
      </c>
      <c r="AS57" s="83">
        <v>5.8141699999999998E-2</v>
      </c>
      <c r="AT57" s="83">
        <v>4.7498999999999996E-3</v>
      </c>
      <c r="AU57" s="83">
        <v>6.4385100000000001E-2</v>
      </c>
      <c r="AV57" s="83">
        <v>5.7954499999999999E-2</v>
      </c>
      <c r="AW57" s="83">
        <v>4.7498999999999996E-3</v>
      </c>
      <c r="AX57" s="83">
        <v>6.5607200000000004E-2</v>
      </c>
      <c r="AY57" s="83">
        <v>5.8870400000000003E-2</v>
      </c>
      <c r="AZ57" s="83">
        <v>4.7498999999999996E-3</v>
      </c>
      <c r="BA57" s="83">
        <v>6.4254900000000004E-2</v>
      </c>
      <c r="BB57" s="83">
        <v>5.87185E-2</v>
      </c>
      <c r="BC57" s="83">
        <v>4.7498999999999996E-3</v>
      </c>
      <c r="BD57" s="83">
        <v>6.2768599999999994E-2</v>
      </c>
      <c r="BE57" s="83">
        <v>5.7757700000000002E-2</v>
      </c>
      <c r="BF57" s="83">
        <v>4.7498999999999996E-3</v>
      </c>
      <c r="BG57" s="83">
        <v>6.2180300000000001E-2</v>
      </c>
      <c r="BH57" s="83">
        <v>5.8132999999999997E-2</v>
      </c>
      <c r="BI57" s="83">
        <v>4.7498999999999996E-3</v>
      </c>
      <c r="BJ57" s="83">
        <v>6.0466100000000002E-2</v>
      </c>
      <c r="BK57" s="83">
        <v>5.8118599999999999E-2</v>
      </c>
      <c r="BL57" s="83">
        <v>4.7498999999999996E-3</v>
      </c>
      <c r="BM57" s="83">
        <v>5.8330800000000002E-2</v>
      </c>
      <c r="BN57" s="83">
        <v>5.7414300000000001E-2</v>
      </c>
      <c r="BO57" s="83">
        <v>4.7498999999999996E-3</v>
      </c>
      <c r="BP57" s="83">
        <v>5.7388500000000002E-2</v>
      </c>
      <c r="BQ57" s="83">
        <v>5.7700099999999997E-2</v>
      </c>
      <c r="BR57" s="83">
        <v>4.7498999999999996E-3</v>
      </c>
      <c r="BS57" s="83">
        <v>5.6918799999999999E-2</v>
      </c>
      <c r="BT57" s="83">
        <v>5.91005E-2</v>
      </c>
      <c r="BU57" s="83">
        <v>4.7498999999999996E-3</v>
      </c>
      <c r="BV57" s="83">
        <v>5.32281E-2</v>
      </c>
      <c r="BW57" s="83">
        <v>5.72702E-2</v>
      </c>
      <c r="BX57" s="83">
        <v>4.7498999999999996E-3</v>
      </c>
      <c r="BY57" s="83">
        <v>5.4101200000000002E-2</v>
      </c>
      <c r="BZ57" s="83">
        <v>5.9264200000000003E-2</v>
      </c>
      <c r="CA57" s="83">
        <v>4.7498999999999996E-3</v>
      </c>
      <c r="CB57" s="83">
        <v>5.1023399999999997E-2</v>
      </c>
      <c r="CC57" s="83">
        <v>5.7997399999999998E-2</v>
      </c>
      <c r="CD57" s="83">
        <v>4.7498999999999996E-3</v>
      </c>
      <c r="CE57" s="83">
        <v>4.9622899999999998E-2</v>
      </c>
      <c r="CF57" s="83">
        <v>5.7611200000000001E-2</v>
      </c>
      <c r="CG57" s="83">
        <v>4.7498999999999996E-3</v>
      </c>
      <c r="CH57" s="83">
        <v>4.9398499999999998E-2</v>
      </c>
      <c r="CI57" s="83">
        <v>5.8654699999999997E-2</v>
      </c>
      <c r="CJ57" s="83">
        <v>4.7498999999999996E-3</v>
      </c>
      <c r="CK57" s="83">
        <v>4.7651600000000002E-2</v>
      </c>
      <c r="CL57" s="83">
        <v>5.77441E-2</v>
      </c>
      <c r="CM57" s="83">
        <v>4.7498999999999996E-3</v>
      </c>
      <c r="CN57" s="83">
        <v>4.6495500000000002E-2</v>
      </c>
      <c r="CO57" s="83">
        <v>5.7188700000000002E-2</v>
      </c>
      <c r="CP57" s="83">
        <v>4.7498999999999996E-3</v>
      </c>
      <c r="CQ57" s="83">
        <v>4.5921200000000002E-2</v>
      </c>
      <c r="CR57" s="83">
        <v>5.75279E-2</v>
      </c>
      <c r="CS57" s="83">
        <v>4.7498999999999996E-3</v>
      </c>
      <c r="CT57" s="83">
        <v>4.5998200000000003E-2</v>
      </c>
      <c r="CU57" s="83">
        <v>5.8055200000000001E-2</v>
      </c>
      <c r="CV57" s="83">
        <v>4.7498999999999996E-3</v>
      </c>
      <c r="CW57" s="83">
        <v>4.5065899999999999E-2</v>
      </c>
      <c r="CX57" s="83">
        <v>5.7949300000000002E-2</v>
      </c>
      <c r="CY57" s="83">
        <v>4.7498999999999996E-3</v>
      </c>
      <c r="CZ57" s="83">
        <v>4.4246800000000003E-2</v>
      </c>
      <c r="DA57" s="83">
        <v>5.7589599999999998E-2</v>
      </c>
    </row>
    <row r="58" spans="1:105" x14ac:dyDescent="0.2">
      <c r="A58" s="83">
        <v>4.8498999999999999E-3</v>
      </c>
      <c r="B58" s="83">
        <v>6.7780900000000005E-2</v>
      </c>
      <c r="C58" s="83">
        <v>5.4383800000000003E-2</v>
      </c>
      <c r="D58" s="83">
        <v>4.8498999999999999E-3</v>
      </c>
      <c r="E58" s="83">
        <v>6.9304199999999996E-2</v>
      </c>
      <c r="F58" s="83">
        <v>5.5709799999999997E-2</v>
      </c>
      <c r="G58" s="83">
        <v>4.8498999999999999E-3</v>
      </c>
      <c r="H58" s="83">
        <v>6.9292099999999995E-2</v>
      </c>
      <c r="I58" s="83">
        <v>5.6294299999999999E-2</v>
      </c>
      <c r="J58" s="83">
        <v>4.8498999999999999E-3</v>
      </c>
      <c r="K58" s="83">
        <v>6.6260299999999994E-2</v>
      </c>
      <c r="L58" s="83">
        <v>5.4243800000000002E-2</v>
      </c>
      <c r="M58" s="83">
        <v>4.8498999999999999E-3</v>
      </c>
      <c r="N58" s="83">
        <v>6.5764100000000006E-2</v>
      </c>
      <c r="O58" s="83">
        <v>5.44614E-2</v>
      </c>
      <c r="P58" s="83">
        <v>4.8498999999999999E-3</v>
      </c>
      <c r="Q58" s="83">
        <v>6.5738000000000005E-2</v>
      </c>
      <c r="R58" s="83">
        <v>5.45589E-2</v>
      </c>
      <c r="S58" s="83">
        <v>4.8498999999999999E-3</v>
      </c>
      <c r="T58" s="83">
        <v>6.5279500000000004E-2</v>
      </c>
      <c r="U58" s="83">
        <v>5.5008599999999998E-2</v>
      </c>
      <c r="V58" s="83">
        <v>4.8498999999999999E-3</v>
      </c>
      <c r="W58" s="83">
        <v>6.6670199999999999E-2</v>
      </c>
      <c r="X58" s="83">
        <v>5.5924300000000003E-2</v>
      </c>
      <c r="Y58" s="83">
        <v>4.8498999999999999E-3</v>
      </c>
      <c r="Z58" s="83">
        <v>6.3954999999999998E-2</v>
      </c>
      <c r="AA58" s="83">
        <v>5.4392299999999998E-2</v>
      </c>
      <c r="AB58" s="83">
        <v>4.8498999999999999E-3</v>
      </c>
      <c r="AC58" s="83">
        <v>6.4055200000000007E-2</v>
      </c>
      <c r="AD58" s="83">
        <v>5.52519E-2</v>
      </c>
      <c r="AE58" s="83">
        <v>4.8498999999999999E-3</v>
      </c>
      <c r="AF58" s="83">
        <v>6.5083199999999994E-2</v>
      </c>
      <c r="AG58" s="83">
        <v>5.5984399999999997E-2</v>
      </c>
      <c r="AH58" s="83">
        <v>4.8498999999999999E-3</v>
      </c>
      <c r="AI58" s="83">
        <v>6.3807000000000003E-2</v>
      </c>
      <c r="AJ58" s="83">
        <v>5.5744799999999997E-2</v>
      </c>
      <c r="AK58" s="83">
        <v>4.8498999999999999E-3</v>
      </c>
      <c r="AL58" s="83">
        <v>6.3992300000000002E-2</v>
      </c>
      <c r="AM58" s="83">
        <v>5.5980599999999998E-2</v>
      </c>
      <c r="AN58" s="83">
        <v>4.8498999999999999E-3</v>
      </c>
      <c r="AO58" s="83">
        <v>6.1255999999999998E-2</v>
      </c>
      <c r="AP58" s="83">
        <v>5.4259799999999997E-2</v>
      </c>
      <c r="AQ58" s="83">
        <v>4.8498999999999999E-3</v>
      </c>
      <c r="AR58" s="83">
        <v>6.18287E-2</v>
      </c>
      <c r="AS58" s="83">
        <v>5.5358499999999998E-2</v>
      </c>
      <c r="AT58" s="83">
        <v>4.8498999999999999E-3</v>
      </c>
      <c r="AU58" s="83">
        <v>6.0965199999999997E-2</v>
      </c>
      <c r="AV58" s="83">
        <v>5.5199600000000001E-2</v>
      </c>
      <c r="AW58" s="83">
        <v>4.8498999999999999E-3</v>
      </c>
      <c r="AX58" s="83">
        <v>6.1874699999999998E-2</v>
      </c>
      <c r="AY58" s="83">
        <v>5.6053100000000002E-2</v>
      </c>
      <c r="AZ58" s="83">
        <v>4.8498999999999999E-3</v>
      </c>
      <c r="BA58" s="83">
        <v>6.0592800000000002E-2</v>
      </c>
      <c r="BB58" s="83">
        <v>5.5873800000000001E-2</v>
      </c>
      <c r="BC58" s="83">
        <v>4.8498999999999999E-3</v>
      </c>
      <c r="BD58" s="83">
        <v>5.9129899999999999E-2</v>
      </c>
      <c r="BE58" s="83">
        <v>5.4968599999999999E-2</v>
      </c>
      <c r="BF58" s="83">
        <v>4.8498999999999999E-3</v>
      </c>
      <c r="BG58" s="83">
        <v>5.8311200000000001E-2</v>
      </c>
      <c r="BH58" s="83">
        <v>5.5318600000000002E-2</v>
      </c>
      <c r="BI58" s="83">
        <v>4.8498999999999999E-3</v>
      </c>
      <c r="BJ58" s="83">
        <v>5.6538400000000003E-2</v>
      </c>
      <c r="BK58" s="83">
        <v>5.5327599999999998E-2</v>
      </c>
      <c r="BL58" s="83">
        <v>4.8498999999999999E-3</v>
      </c>
      <c r="BM58" s="83">
        <v>5.5338600000000002E-2</v>
      </c>
      <c r="BN58" s="83">
        <v>5.4677000000000003E-2</v>
      </c>
      <c r="BO58" s="83">
        <v>4.8498999999999999E-3</v>
      </c>
      <c r="BP58" s="83">
        <v>5.3763499999999999E-2</v>
      </c>
      <c r="BQ58" s="83">
        <v>5.4974599999999998E-2</v>
      </c>
      <c r="BR58" s="83">
        <v>4.8498999999999999E-3</v>
      </c>
      <c r="BS58" s="83">
        <v>5.3393400000000001E-2</v>
      </c>
      <c r="BT58" s="83">
        <v>5.6238200000000002E-2</v>
      </c>
      <c r="BU58" s="83">
        <v>4.8498999999999999E-3</v>
      </c>
      <c r="BV58" s="83">
        <v>5.0286699999999997E-2</v>
      </c>
      <c r="BW58" s="83">
        <v>5.4535800000000002E-2</v>
      </c>
      <c r="BX58" s="83">
        <v>4.8498999999999999E-3</v>
      </c>
      <c r="BY58" s="83">
        <v>5.0970300000000003E-2</v>
      </c>
      <c r="BZ58" s="83">
        <v>5.6404900000000001E-2</v>
      </c>
      <c r="CA58" s="83">
        <v>4.8498999999999999E-3</v>
      </c>
      <c r="CB58" s="83">
        <v>4.8119099999999998E-2</v>
      </c>
      <c r="CC58" s="83">
        <v>5.52191E-2</v>
      </c>
      <c r="CD58" s="83">
        <v>4.8498999999999999E-3</v>
      </c>
      <c r="CE58" s="83">
        <v>4.6777199999999998E-2</v>
      </c>
      <c r="CF58" s="83">
        <v>5.4846499999999999E-2</v>
      </c>
      <c r="CG58" s="83">
        <v>4.8498999999999999E-3</v>
      </c>
      <c r="CH58" s="83">
        <v>4.6355500000000001E-2</v>
      </c>
      <c r="CI58" s="83">
        <v>5.5821700000000002E-2</v>
      </c>
      <c r="CJ58" s="83">
        <v>4.8498999999999999E-3</v>
      </c>
      <c r="CK58" s="83">
        <v>4.5651600000000001E-2</v>
      </c>
      <c r="CL58" s="83">
        <v>5.4959899999999999E-2</v>
      </c>
      <c r="CM58" s="83">
        <v>4.8498999999999999E-3</v>
      </c>
      <c r="CN58" s="83">
        <v>4.3386099999999997E-2</v>
      </c>
      <c r="CO58" s="83">
        <v>5.4426000000000002E-2</v>
      </c>
      <c r="CP58" s="83">
        <v>4.8498999999999999E-3</v>
      </c>
      <c r="CQ58" s="83">
        <v>4.2888000000000003E-2</v>
      </c>
      <c r="CR58" s="83">
        <v>5.4739799999999998E-2</v>
      </c>
      <c r="CS58" s="83">
        <v>4.8498999999999999E-3</v>
      </c>
      <c r="CT58" s="83">
        <v>4.3521700000000003E-2</v>
      </c>
      <c r="CU58" s="83">
        <v>5.5258300000000003E-2</v>
      </c>
      <c r="CV58" s="83">
        <v>4.8498999999999999E-3</v>
      </c>
      <c r="CW58" s="83">
        <v>4.2557999999999999E-2</v>
      </c>
      <c r="CX58" s="83">
        <v>5.5169000000000003E-2</v>
      </c>
      <c r="CY58" s="83">
        <v>4.8498999999999999E-3</v>
      </c>
      <c r="CZ58" s="83">
        <v>4.14811E-2</v>
      </c>
      <c r="DA58" s="83">
        <v>5.47898E-2</v>
      </c>
    </row>
    <row r="59" spans="1:105" x14ac:dyDescent="0.2">
      <c r="A59" s="83">
        <v>4.9499000000000001E-3</v>
      </c>
      <c r="B59" s="83">
        <v>6.4122700000000005E-2</v>
      </c>
      <c r="C59" s="83">
        <v>5.1780199999999998E-2</v>
      </c>
      <c r="D59" s="83">
        <v>4.9499000000000001E-3</v>
      </c>
      <c r="E59" s="83">
        <v>6.5442899999999998E-2</v>
      </c>
      <c r="F59" s="83">
        <v>5.3022300000000001E-2</v>
      </c>
      <c r="G59" s="83">
        <v>4.9499000000000001E-3</v>
      </c>
      <c r="H59" s="83">
        <v>6.5717899999999996E-2</v>
      </c>
      <c r="I59" s="83">
        <v>5.3562899999999997E-2</v>
      </c>
      <c r="J59" s="83">
        <v>4.9499000000000001E-3</v>
      </c>
      <c r="K59" s="83">
        <v>6.2664600000000001E-2</v>
      </c>
      <c r="L59" s="83">
        <v>5.1628500000000001E-2</v>
      </c>
      <c r="M59" s="83">
        <v>4.9499000000000001E-3</v>
      </c>
      <c r="N59" s="83">
        <v>6.2168399999999999E-2</v>
      </c>
      <c r="O59" s="83">
        <v>5.1843300000000002E-2</v>
      </c>
      <c r="P59" s="83">
        <v>4.9499000000000001E-3</v>
      </c>
      <c r="Q59" s="83">
        <v>6.1906000000000003E-2</v>
      </c>
      <c r="R59" s="83">
        <v>5.1924100000000001E-2</v>
      </c>
      <c r="S59" s="83">
        <v>4.9499000000000001E-3</v>
      </c>
      <c r="T59" s="83">
        <v>6.2101799999999999E-2</v>
      </c>
      <c r="U59" s="83">
        <v>5.2359200000000002E-2</v>
      </c>
      <c r="V59" s="83">
        <v>4.9499000000000001E-3</v>
      </c>
      <c r="W59" s="83">
        <v>6.2543299999999996E-2</v>
      </c>
      <c r="X59" s="83">
        <v>5.32358E-2</v>
      </c>
      <c r="Y59" s="83">
        <v>4.9499000000000001E-3</v>
      </c>
      <c r="Z59" s="83">
        <v>6.0132699999999997E-2</v>
      </c>
      <c r="AA59" s="83">
        <v>5.17986E-2</v>
      </c>
      <c r="AB59" s="83">
        <v>4.9499000000000001E-3</v>
      </c>
      <c r="AC59" s="83">
        <v>6.0924399999999997E-2</v>
      </c>
      <c r="AD59" s="83">
        <v>5.2583999999999999E-2</v>
      </c>
      <c r="AE59" s="83">
        <v>4.9499000000000001E-3</v>
      </c>
      <c r="AF59" s="83">
        <v>6.2020699999999998E-2</v>
      </c>
      <c r="AG59" s="83">
        <v>5.3291999999999999E-2</v>
      </c>
      <c r="AH59" s="83">
        <v>4.9499000000000001E-3</v>
      </c>
      <c r="AI59" s="83">
        <v>6.0584300000000001E-2</v>
      </c>
      <c r="AJ59" s="83">
        <v>5.3071899999999998E-2</v>
      </c>
      <c r="AK59" s="83">
        <v>4.9499000000000001E-3</v>
      </c>
      <c r="AL59" s="83">
        <v>6.0447399999999998E-2</v>
      </c>
      <c r="AM59" s="83">
        <v>5.3308700000000001E-2</v>
      </c>
      <c r="AN59" s="83">
        <v>4.9499000000000001E-3</v>
      </c>
      <c r="AO59" s="83">
        <v>5.7791200000000001E-2</v>
      </c>
      <c r="AP59" s="83">
        <v>5.1634800000000002E-2</v>
      </c>
      <c r="AQ59" s="83">
        <v>4.9499000000000001E-3</v>
      </c>
      <c r="AR59" s="83">
        <v>5.84596E-2</v>
      </c>
      <c r="AS59" s="83">
        <v>5.2708100000000001E-2</v>
      </c>
      <c r="AT59" s="83">
        <v>4.9499000000000001E-3</v>
      </c>
      <c r="AU59" s="83">
        <v>5.7701500000000003E-2</v>
      </c>
      <c r="AV59" s="83">
        <v>5.2561900000000002E-2</v>
      </c>
      <c r="AW59" s="83">
        <v>4.9499000000000001E-3</v>
      </c>
      <c r="AX59" s="83">
        <v>5.8341499999999998E-2</v>
      </c>
      <c r="AY59" s="83">
        <v>5.3401700000000003E-2</v>
      </c>
      <c r="AZ59" s="83">
        <v>4.9499000000000001E-3</v>
      </c>
      <c r="BA59" s="83">
        <v>5.7020500000000002E-2</v>
      </c>
      <c r="BB59" s="83">
        <v>5.3201900000000003E-2</v>
      </c>
      <c r="BC59" s="83">
        <v>4.9499000000000001E-3</v>
      </c>
      <c r="BD59" s="83">
        <v>5.5727499999999999E-2</v>
      </c>
      <c r="BE59" s="83">
        <v>5.2325099999999999E-2</v>
      </c>
      <c r="BF59" s="83">
        <v>4.9499000000000001E-3</v>
      </c>
      <c r="BG59" s="83">
        <v>5.5010400000000001E-2</v>
      </c>
      <c r="BH59" s="83">
        <v>5.2687699999999997E-2</v>
      </c>
      <c r="BI59" s="83">
        <v>4.9499000000000001E-3</v>
      </c>
      <c r="BJ59" s="83">
        <v>5.3401700000000003E-2</v>
      </c>
      <c r="BK59" s="83">
        <v>5.2692799999999998E-2</v>
      </c>
      <c r="BL59" s="83">
        <v>4.9499000000000001E-3</v>
      </c>
      <c r="BM59" s="83">
        <v>5.17156E-2</v>
      </c>
      <c r="BN59" s="83">
        <v>5.2065699999999999E-2</v>
      </c>
      <c r="BO59" s="83">
        <v>4.9499000000000001E-3</v>
      </c>
      <c r="BP59" s="83">
        <v>5.0525199999999999E-2</v>
      </c>
      <c r="BQ59" s="83">
        <v>5.2355400000000003E-2</v>
      </c>
      <c r="BR59" s="83">
        <v>4.9499000000000001E-3</v>
      </c>
      <c r="BS59" s="83">
        <v>5.06512E-2</v>
      </c>
      <c r="BT59" s="83">
        <v>5.3555600000000002E-2</v>
      </c>
      <c r="BU59" s="83">
        <v>4.9499000000000001E-3</v>
      </c>
      <c r="BV59" s="83">
        <v>4.7064000000000002E-2</v>
      </c>
      <c r="BW59" s="83">
        <v>5.1931400000000003E-2</v>
      </c>
      <c r="BX59" s="83">
        <v>4.9499000000000001E-3</v>
      </c>
      <c r="BY59" s="83">
        <v>4.8003499999999998E-2</v>
      </c>
      <c r="BZ59" s="83">
        <v>5.3695899999999998E-2</v>
      </c>
      <c r="CA59" s="83">
        <v>4.9499000000000001E-3</v>
      </c>
      <c r="CB59" s="83">
        <v>4.53847E-2</v>
      </c>
      <c r="CC59" s="83">
        <v>5.2548200000000003E-2</v>
      </c>
      <c r="CD59" s="83">
        <v>4.9499000000000001E-3</v>
      </c>
      <c r="CE59" s="83">
        <v>4.3654199999999997E-2</v>
      </c>
      <c r="CF59" s="83">
        <v>5.2200999999999997E-2</v>
      </c>
      <c r="CG59" s="83">
        <v>4.9499000000000001E-3</v>
      </c>
      <c r="CH59" s="83">
        <v>4.40918E-2</v>
      </c>
      <c r="CI59" s="83">
        <v>5.3154699999999999E-2</v>
      </c>
      <c r="CJ59" s="83">
        <v>4.9499000000000001E-3</v>
      </c>
      <c r="CK59" s="83">
        <v>4.2376200000000003E-2</v>
      </c>
      <c r="CL59" s="83">
        <v>5.2295899999999999E-2</v>
      </c>
      <c r="CM59" s="83">
        <v>4.9499000000000001E-3</v>
      </c>
      <c r="CN59" s="83">
        <v>4.0765000000000003E-2</v>
      </c>
      <c r="CO59" s="83">
        <v>5.1829300000000002E-2</v>
      </c>
      <c r="CP59" s="83">
        <v>4.9499000000000001E-3</v>
      </c>
      <c r="CQ59" s="83">
        <v>4.0206400000000003E-2</v>
      </c>
      <c r="CR59" s="83">
        <v>5.2117799999999999E-2</v>
      </c>
      <c r="CS59" s="83">
        <v>4.9499000000000001E-3</v>
      </c>
      <c r="CT59" s="83">
        <v>4.0654500000000003E-2</v>
      </c>
      <c r="CU59" s="83">
        <v>5.2602099999999999E-2</v>
      </c>
      <c r="CV59" s="83">
        <v>4.9499000000000001E-3</v>
      </c>
      <c r="CW59" s="83">
        <v>4.0030700000000002E-2</v>
      </c>
      <c r="CX59" s="83">
        <v>5.2491299999999998E-2</v>
      </c>
      <c r="CY59" s="83">
        <v>4.9499000000000001E-3</v>
      </c>
      <c r="CZ59" s="83">
        <v>3.9098300000000002E-2</v>
      </c>
      <c r="DA59" s="83">
        <v>5.2161899999999997E-2</v>
      </c>
    </row>
    <row r="60" spans="1:105" x14ac:dyDescent="0.2">
      <c r="A60" s="83">
        <v>5.0499000000000004E-3</v>
      </c>
      <c r="B60" s="83">
        <v>6.0839499999999998E-2</v>
      </c>
      <c r="C60" s="83">
        <v>4.9298799999999997E-2</v>
      </c>
      <c r="D60" s="83">
        <v>5.0499000000000004E-3</v>
      </c>
      <c r="E60" s="83">
        <v>6.1673400000000003E-2</v>
      </c>
      <c r="F60" s="83">
        <v>5.04608E-2</v>
      </c>
      <c r="G60" s="83">
        <v>5.0499000000000004E-3</v>
      </c>
      <c r="H60" s="83">
        <v>6.20128E-2</v>
      </c>
      <c r="I60" s="83">
        <v>5.09936E-2</v>
      </c>
      <c r="J60" s="83">
        <v>5.0499000000000004E-3</v>
      </c>
      <c r="K60" s="83">
        <v>5.9307199999999997E-2</v>
      </c>
      <c r="L60" s="83">
        <v>4.9160799999999998E-2</v>
      </c>
      <c r="M60" s="83">
        <v>5.0499000000000004E-3</v>
      </c>
      <c r="N60" s="83">
        <v>5.9131299999999998E-2</v>
      </c>
      <c r="O60" s="83">
        <v>4.9371600000000002E-2</v>
      </c>
      <c r="P60" s="83">
        <v>5.0499000000000004E-3</v>
      </c>
      <c r="Q60" s="83">
        <v>5.8737999999999999E-2</v>
      </c>
      <c r="R60" s="83">
        <v>4.9457300000000003E-2</v>
      </c>
      <c r="S60" s="83">
        <v>5.0499000000000004E-3</v>
      </c>
      <c r="T60" s="83">
        <v>5.84982E-2</v>
      </c>
      <c r="U60" s="83">
        <v>4.9872899999999998E-2</v>
      </c>
      <c r="V60" s="83">
        <v>5.0499000000000004E-3</v>
      </c>
      <c r="W60" s="83">
        <v>5.93343E-2</v>
      </c>
      <c r="X60" s="83">
        <v>5.0689900000000003E-2</v>
      </c>
      <c r="Y60" s="83">
        <v>5.0499000000000004E-3</v>
      </c>
      <c r="Z60" s="83">
        <v>5.7019399999999998E-2</v>
      </c>
      <c r="AA60" s="83">
        <v>4.9320000000000003E-2</v>
      </c>
      <c r="AB60" s="83">
        <v>5.0499000000000004E-3</v>
      </c>
      <c r="AC60" s="83">
        <v>5.7467299999999999E-2</v>
      </c>
      <c r="AD60" s="83">
        <v>5.0062500000000003E-2</v>
      </c>
      <c r="AE60" s="83">
        <v>5.0499000000000004E-3</v>
      </c>
      <c r="AF60" s="83">
        <v>5.8417200000000002E-2</v>
      </c>
      <c r="AG60" s="83">
        <v>5.0754000000000001E-2</v>
      </c>
      <c r="AH60" s="83">
        <v>5.0499000000000004E-3</v>
      </c>
      <c r="AI60" s="83">
        <v>5.7234699999999999E-2</v>
      </c>
      <c r="AJ60" s="83">
        <v>5.0548500000000003E-2</v>
      </c>
      <c r="AK60" s="83">
        <v>5.0499000000000004E-3</v>
      </c>
      <c r="AL60" s="83">
        <v>5.6791099999999997E-2</v>
      </c>
      <c r="AM60" s="83">
        <v>5.0756999999999997E-2</v>
      </c>
      <c r="AN60" s="83">
        <v>5.0499000000000004E-3</v>
      </c>
      <c r="AO60" s="83">
        <v>5.4593900000000001E-2</v>
      </c>
      <c r="AP60" s="83">
        <v>4.91768E-2</v>
      </c>
      <c r="AQ60" s="83">
        <v>5.0499000000000004E-3</v>
      </c>
      <c r="AR60" s="83">
        <v>5.4734999999999999E-2</v>
      </c>
      <c r="AS60" s="83">
        <v>5.01915E-2</v>
      </c>
      <c r="AT60" s="83">
        <v>5.0499000000000004E-3</v>
      </c>
      <c r="AU60" s="83">
        <v>5.4283499999999998E-2</v>
      </c>
      <c r="AV60" s="83">
        <v>5.00629E-2</v>
      </c>
      <c r="AW60" s="83">
        <v>5.0499000000000004E-3</v>
      </c>
      <c r="AX60" s="83">
        <v>5.5126700000000001E-2</v>
      </c>
      <c r="AY60" s="83">
        <v>5.0843100000000002E-2</v>
      </c>
      <c r="AZ60" s="83">
        <v>5.0499000000000004E-3</v>
      </c>
      <c r="BA60" s="83">
        <v>5.39385E-2</v>
      </c>
      <c r="BB60" s="83">
        <v>5.0664800000000003E-2</v>
      </c>
      <c r="BC60" s="83">
        <v>5.0499000000000004E-3</v>
      </c>
      <c r="BD60" s="83">
        <v>5.2475599999999997E-2</v>
      </c>
      <c r="BE60" s="83">
        <v>4.9821200000000003E-2</v>
      </c>
      <c r="BF60" s="83">
        <v>5.0499000000000004E-3</v>
      </c>
      <c r="BG60" s="83">
        <v>5.2092399999999997E-2</v>
      </c>
      <c r="BH60" s="83">
        <v>5.0163300000000001E-2</v>
      </c>
      <c r="BI60" s="83">
        <v>5.0499000000000004E-3</v>
      </c>
      <c r="BJ60" s="83">
        <v>5.0745400000000003E-2</v>
      </c>
      <c r="BK60" s="83">
        <v>5.0191899999999998E-2</v>
      </c>
      <c r="BL60" s="83">
        <v>5.0499000000000004E-3</v>
      </c>
      <c r="BM60" s="83">
        <v>4.9088600000000003E-2</v>
      </c>
      <c r="BN60" s="83">
        <v>4.9589099999999997E-2</v>
      </c>
      <c r="BO60" s="83">
        <v>5.0499000000000004E-3</v>
      </c>
      <c r="BP60" s="83">
        <v>4.7560400000000003E-2</v>
      </c>
      <c r="BQ60" s="83">
        <v>4.9884699999999997E-2</v>
      </c>
      <c r="BR60" s="83">
        <v>5.0499000000000004E-3</v>
      </c>
      <c r="BS60" s="83">
        <v>4.7545799999999999E-2</v>
      </c>
      <c r="BT60" s="83">
        <v>5.0990199999999999E-2</v>
      </c>
      <c r="BU60" s="83">
        <v>5.0499000000000004E-3</v>
      </c>
      <c r="BV60" s="83">
        <v>4.4648E-2</v>
      </c>
      <c r="BW60" s="83">
        <v>4.9411799999999999E-2</v>
      </c>
      <c r="BX60" s="83">
        <v>5.0499000000000004E-3</v>
      </c>
      <c r="BY60" s="83">
        <v>4.4679299999999998E-2</v>
      </c>
      <c r="BZ60" s="83">
        <v>5.1129500000000001E-2</v>
      </c>
      <c r="CA60" s="83">
        <v>5.0499000000000004E-3</v>
      </c>
      <c r="CB60" s="83">
        <v>4.2513599999999999E-2</v>
      </c>
      <c r="CC60" s="83">
        <v>5.0062799999999998E-2</v>
      </c>
      <c r="CD60" s="83">
        <v>5.0499000000000004E-3</v>
      </c>
      <c r="CE60" s="83">
        <v>4.1247899999999997E-2</v>
      </c>
      <c r="CF60" s="83">
        <v>4.9723499999999997E-2</v>
      </c>
      <c r="CG60" s="83">
        <v>5.0499000000000004E-3</v>
      </c>
      <c r="CH60" s="83">
        <v>4.14864E-2</v>
      </c>
      <c r="CI60" s="83">
        <v>5.0617599999999999E-2</v>
      </c>
      <c r="CJ60" s="83">
        <v>5.0499000000000004E-3</v>
      </c>
      <c r="CK60" s="83">
        <v>3.9858600000000001E-2</v>
      </c>
      <c r="CL60" s="83">
        <v>4.98095E-2</v>
      </c>
      <c r="CM60" s="83">
        <v>5.0499000000000004E-3</v>
      </c>
      <c r="CN60" s="83">
        <v>3.8044300000000003E-2</v>
      </c>
      <c r="CO60" s="83">
        <v>4.9343999999999999E-2</v>
      </c>
      <c r="CP60" s="83">
        <v>5.0499000000000004E-3</v>
      </c>
      <c r="CQ60" s="83">
        <v>3.8214199999999997E-2</v>
      </c>
      <c r="CR60" s="83">
        <v>4.9646099999999999E-2</v>
      </c>
      <c r="CS60" s="83">
        <v>5.0499000000000004E-3</v>
      </c>
      <c r="CT60" s="83">
        <v>3.8019699999999997E-2</v>
      </c>
      <c r="CU60" s="83">
        <v>5.0092299999999999E-2</v>
      </c>
      <c r="CV60" s="83">
        <v>5.0499000000000004E-3</v>
      </c>
      <c r="CW60" s="83">
        <v>3.7401799999999999E-2</v>
      </c>
      <c r="CX60" s="83">
        <v>5.0004E-2</v>
      </c>
      <c r="CY60" s="83">
        <v>5.0499000000000004E-3</v>
      </c>
      <c r="CZ60" s="83">
        <v>3.6821E-2</v>
      </c>
      <c r="DA60" s="83">
        <v>4.9677499999999999E-2</v>
      </c>
    </row>
    <row r="61" spans="1:105" x14ac:dyDescent="0.2">
      <c r="A61" s="83">
        <v>5.1498999999999998E-3</v>
      </c>
      <c r="B61" s="83">
        <v>5.7634400000000002E-2</v>
      </c>
      <c r="C61" s="83">
        <v>4.6983400000000002E-2</v>
      </c>
      <c r="D61" s="83">
        <v>5.1498999999999998E-3</v>
      </c>
      <c r="E61" s="83">
        <v>5.8532800000000003E-2</v>
      </c>
      <c r="F61" s="83">
        <v>4.8064299999999997E-2</v>
      </c>
      <c r="G61" s="83">
        <v>5.1498999999999998E-3</v>
      </c>
      <c r="H61" s="83">
        <v>5.8780399999999997E-2</v>
      </c>
      <c r="I61" s="83">
        <v>4.85639E-2</v>
      </c>
      <c r="J61" s="83">
        <v>5.1498999999999998E-3</v>
      </c>
      <c r="K61" s="83">
        <v>5.6072799999999999E-2</v>
      </c>
      <c r="L61" s="83">
        <v>4.6795499999999997E-2</v>
      </c>
      <c r="M61" s="83">
        <v>5.1498999999999998E-3</v>
      </c>
      <c r="N61" s="83">
        <v>5.6068800000000002E-2</v>
      </c>
      <c r="O61" s="83">
        <v>4.7019100000000001E-2</v>
      </c>
      <c r="P61" s="83">
        <v>5.1498999999999998E-3</v>
      </c>
      <c r="Q61" s="83">
        <v>5.57029E-2</v>
      </c>
      <c r="R61" s="83">
        <v>4.7108700000000003E-2</v>
      </c>
      <c r="S61" s="83">
        <v>5.1498999999999998E-3</v>
      </c>
      <c r="T61" s="83">
        <v>5.5582199999999998E-2</v>
      </c>
      <c r="U61" s="83">
        <v>4.7475400000000001E-2</v>
      </c>
      <c r="V61" s="83">
        <v>5.1498999999999998E-3</v>
      </c>
      <c r="W61" s="83">
        <v>5.6183900000000002E-2</v>
      </c>
      <c r="X61" s="83">
        <v>4.8282699999999998E-2</v>
      </c>
      <c r="Y61" s="83">
        <v>5.1498999999999998E-3</v>
      </c>
      <c r="Z61" s="83">
        <v>5.3722600000000002E-2</v>
      </c>
      <c r="AA61" s="83">
        <v>4.6981200000000001E-2</v>
      </c>
      <c r="AB61" s="83">
        <v>5.1498999999999998E-3</v>
      </c>
      <c r="AC61" s="83">
        <v>5.45123E-2</v>
      </c>
      <c r="AD61" s="83">
        <v>4.7688399999999999E-2</v>
      </c>
      <c r="AE61" s="83">
        <v>5.1498999999999998E-3</v>
      </c>
      <c r="AF61" s="83">
        <v>5.5007100000000003E-2</v>
      </c>
      <c r="AG61" s="83">
        <v>4.8361399999999999E-2</v>
      </c>
      <c r="AH61" s="83">
        <v>5.1498999999999998E-3</v>
      </c>
      <c r="AI61" s="83">
        <v>5.4082400000000003E-2</v>
      </c>
      <c r="AJ61" s="83">
        <v>4.81334E-2</v>
      </c>
      <c r="AK61" s="83">
        <v>5.1498999999999998E-3</v>
      </c>
      <c r="AL61" s="83">
        <v>5.35548E-2</v>
      </c>
      <c r="AM61" s="83">
        <v>4.8346800000000002E-2</v>
      </c>
      <c r="AN61" s="83">
        <v>5.1498999999999998E-3</v>
      </c>
      <c r="AO61" s="83">
        <v>5.1388799999999998E-2</v>
      </c>
      <c r="AP61" s="83">
        <v>4.68516E-2</v>
      </c>
      <c r="AQ61" s="83">
        <v>5.1498999999999998E-3</v>
      </c>
      <c r="AR61" s="83">
        <v>5.1928299999999997E-2</v>
      </c>
      <c r="AS61" s="83">
        <v>4.7792099999999997E-2</v>
      </c>
      <c r="AT61" s="83">
        <v>5.1498999999999998E-3</v>
      </c>
      <c r="AU61" s="83">
        <v>5.1734700000000002E-2</v>
      </c>
      <c r="AV61" s="83">
        <v>4.7687899999999998E-2</v>
      </c>
      <c r="AW61" s="83">
        <v>5.1498999999999998E-3</v>
      </c>
      <c r="AX61" s="83">
        <v>5.1827900000000003E-2</v>
      </c>
      <c r="AY61" s="83">
        <v>4.8475900000000002E-2</v>
      </c>
      <c r="AZ61" s="83">
        <v>5.1498999999999998E-3</v>
      </c>
      <c r="BA61" s="83">
        <v>5.1090900000000002E-2</v>
      </c>
      <c r="BB61" s="83">
        <v>4.82888E-2</v>
      </c>
      <c r="BC61" s="83">
        <v>5.1498999999999998E-3</v>
      </c>
      <c r="BD61" s="83">
        <v>4.9338899999999998E-2</v>
      </c>
      <c r="BE61" s="83">
        <v>4.7454000000000003E-2</v>
      </c>
      <c r="BF61" s="83">
        <v>5.1498999999999998E-3</v>
      </c>
      <c r="BG61" s="83">
        <v>4.86725E-2</v>
      </c>
      <c r="BH61" s="83">
        <v>4.7796100000000001E-2</v>
      </c>
      <c r="BI61" s="83">
        <v>5.1498999999999998E-3</v>
      </c>
      <c r="BJ61" s="83">
        <v>4.74505E-2</v>
      </c>
      <c r="BK61" s="83">
        <v>4.7802200000000003E-2</v>
      </c>
      <c r="BL61" s="83">
        <v>5.1498999999999998E-3</v>
      </c>
      <c r="BM61" s="83">
        <v>4.5782000000000003E-2</v>
      </c>
      <c r="BN61" s="83">
        <v>4.7235600000000003E-2</v>
      </c>
      <c r="BO61" s="83">
        <v>5.1498999999999998E-3</v>
      </c>
      <c r="BP61" s="83">
        <v>4.4700999999999998E-2</v>
      </c>
      <c r="BQ61" s="83">
        <v>4.7524400000000001E-2</v>
      </c>
      <c r="BR61" s="83">
        <v>5.1498999999999998E-3</v>
      </c>
      <c r="BS61" s="83">
        <v>4.4592699999999999E-2</v>
      </c>
      <c r="BT61" s="83">
        <v>4.85791E-2</v>
      </c>
      <c r="BU61" s="83">
        <v>5.1498999999999998E-3</v>
      </c>
      <c r="BV61" s="83">
        <v>4.1855000000000003E-2</v>
      </c>
      <c r="BW61" s="83">
        <v>4.71052E-2</v>
      </c>
      <c r="BX61" s="83">
        <v>5.1498999999999998E-3</v>
      </c>
      <c r="BY61" s="83">
        <v>4.2290700000000001E-2</v>
      </c>
      <c r="BZ61" s="83">
        <v>4.8700800000000002E-2</v>
      </c>
      <c r="CA61" s="83">
        <v>5.1498999999999998E-3</v>
      </c>
      <c r="CB61" s="83">
        <v>4.00468E-2</v>
      </c>
      <c r="CC61" s="83">
        <v>4.7662400000000001E-2</v>
      </c>
      <c r="CD61" s="83">
        <v>5.1498999999999998E-3</v>
      </c>
      <c r="CE61" s="83">
        <v>3.9099500000000002E-2</v>
      </c>
      <c r="CF61" s="83">
        <v>4.7347500000000001E-2</v>
      </c>
      <c r="CG61" s="83">
        <v>5.1498999999999998E-3</v>
      </c>
      <c r="CH61" s="83">
        <v>3.8595699999999997E-2</v>
      </c>
      <c r="CI61" s="83">
        <v>4.8193800000000002E-2</v>
      </c>
      <c r="CJ61" s="83">
        <v>5.1498999999999998E-3</v>
      </c>
      <c r="CK61" s="83">
        <v>3.7493400000000003E-2</v>
      </c>
      <c r="CL61" s="83">
        <v>4.7469699999999997E-2</v>
      </c>
      <c r="CM61" s="83">
        <v>5.1498999999999998E-3</v>
      </c>
      <c r="CN61" s="83">
        <v>3.5971999999999997E-2</v>
      </c>
      <c r="CO61" s="83">
        <v>4.70246E-2</v>
      </c>
      <c r="CP61" s="83">
        <v>5.1498999999999998E-3</v>
      </c>
      <c r="CQ61" s="83">
        <v>3.55228E-2</v>
      </c>
      <c r="CR61" s="83">
        <v>4.7289600000000001E-2</v>
      </c>
      <c r="CS61" s="83">
        <v>5.1498999999999998E-3</v>
      </c>
      <c r="CT61" s="83">
        <v>3.6111499999999998E-2</v>
      </c>
      <c r="CU61" s="83">
        <v>4.7714399999999997E-2</v>
      </c>
      <c r="CV61" s="83">
        <v>5.1498999999999998E-3</v>
      </c>
      <c r="CW61" s="83">
        <v>3.5169400000000003E-2</v>
      </c>
      <c r="CX61" s="83">
        <v>4.7623100000000002E-2</v>
      </c>
      <c r="CY61" s="83">
        <v>5.1498999999999998E-3</v>
      </c>
      <c r="CZ61" s="83">
        <v>3.4406899999999997E-2</v>
      </c>
      <c r="DA61" s="83">
        <v>4.7314200000000001E-2</v>
      </c>
    </row>
    <row r="62" spans="1:105" x14ac:dyDescent="0.2">
      <c r="A62" s="83">
        <v>5.2499000000000001E-3</v>
      </c>
      <c r="B62" s="83">
        <v>5.4407799999999999E-2</v>
      </c>
      <c r="C62" s="83">
        <v>4.4744100000000002E-2</v>
      </c>
      <c r="D62" s="83">
        <v>5.2499000000000001E-3</v>
      </c>
      <c r="E62" s="83">
        <v>5.5534699999999999E-2</v>
      </c>
      <c r="F62" s="83">
        <v>4.5751800000000002E-2</v>
      </c>
      <c r="G62" s="83">
        <v>5.2499000000000001E-3</v>
      </c>
      <c r="H62" s="83">
        <v>5.5608499999999998E-2</v>
      </c>
      <c r="I62" s="83">
        <v>4.62201E-2</v>
      </c>
      <c r="J62" s="83">
        <v>5.2499000000000001E-3</v>
      </c>
      <c r="K62" s="83">
        <v>5.3029899999999998E-2</v>
      </c>
      <c r="L62" s="83">
        <v>4.45563E-2</v>
      </c>
      <c r="M62" s="83">
        <v>5.2499000000000001E-3</v>
      </c>
      <c r="N62" s="83">
        <v>5.2865700000000002E-2</v>
      </c>
      <c r="O62" s="83">
        <v>4.4771999999999999E-2</v>
      </c>
      <c r="P62" s="83">
        <v>5.2499000000000001E-3</v>
      </c>
      <c r="Q62" s="83">
        <v>5.2361100000000001E-2</v>
      </c>
      <c r="R62" s="83">
        <v>4.4855800000000001E-2</v>
      </c>
      <c r="S62" s="83">
        <v>5.2499000000000001E-3</v>
      </c>
      <c r="T62" s="83">
        <v>5.2422099999999999E-2</v>
      </c>
      <c r="U62" s="83">
        <v>4.5224399999999998E-2</v>
      </c>
      <c r="V62" s="83">
        <v>5.2499000000000001E-3</v>
      </c>
      <c r="W62" s="83">
        <v>5.2873400000000001E-2</v>
      </c>
      <c r="X62" s="83">
        <v>4.5995599999999998E-2</v>
      </c>
      <c r="Y62" s="83">
        <v>5.2499000000000001E-3</v>
      </c>
      <c r="Z62" s="83">
        <v>5.0937400000000001E-2</v>
      </c>
      <c r="AA62" s="83">
        <v>4.4764400000000003E-2</v>
      </c>
      <c r="AB62" s="83">
        <v>5.2499000000000001E-3</v>
      </c>
      <c r="AC62" s="83">
        <v>5.1277900000000001E-2</v>
      </c>
      <c r="AD62" s="83">
        <v>4.5439399999999998E-2</v>
      </c>
      <c r="AE62" s="83">
        <v>5.2499000000000001E-3</v>
      </c>
      <c r="AF62" s="83">
        <v>5.1868400000000002E-2</v>
      </c>
      <c r="AG62" s="83">
        <v>4.6062499999999999E-2</v>
      </c>
      <c r="AH62" s="83">
        <v>5.2499000000000001E-3</v>
      </c>
      <c r="AI62" s="83">
        <v>5.1164399999999999E-2</v>
      </c>
      <c r="AJ62" s="83">
        <v>4.5862E-2</v>
      </c>
      <c r="AK62" s="83">
        <v>5.2499000000000001E-3</v>
      </c>
      <c r="AL62" s="83">
        <v>5.0746199999999998E-2</v>
      </c>
      <c r="AM62" s="83">
        <v>4.6048899999999997E-2</v>
      </c>
      <c r="AN62" s="83">
        <v>5.2499000000000001E-3</v>
      </c>
      <c r="AO62" s="83">
        <v>4.8556799999999997E-2</v>
      </c>
      <c r="AP62" s="83">
        <v>4.4634800000000002E-2</v>
      </c>
      <c r="AQ62" s="83">
        <v>5.2499000000000001E-3</v>
      </c>
      <c r="AR62" s="83">
        <v>4.8735000000000001E-2</v>
      </c>
      <c r="AS62" s="83">
        <v>4.5556699999999999E-2</v>
      </c>
      <c r="AT62" s="83">
        <v>5.2499000000000001E-3</v>
      </c>
      <c r="AU62" s="83">
        <v>4.8578499999999997E-2</v>
      </c>
      <c r="AV62" s="83">
        <v>4.5441799999999997E-2</v>
      </c>
      <c r="AW62" s="83">
        <v>5.2499000000000001E-3</v>
      </c>
      <c r="AX62" s="83">
        <v>4.8855200000000001E-2</v>
      </c>
      <c r="AY62" s="83">
        <v>4.6192700000000003E-2</v>
      </c>
      <c r="AZ62" s="83">
        <v>5.2499000000000001E-3</v>
      </c>
      <c r="BA62" s="83">
        <v>4.7794000000000003E-2</v>
      </c>
      <c r="BB62" s="83">
        <v>4.5992900000000003E-2</v>
      </c>
      <c r="BC62" s="83">
        <v>5.2499000000000001E-3</v>
      </c>
      <c r="BD62" s="83">
        <v>4.63936E-2</v>
      </c>
      <c r="BE62" s="83">
        <v>4.5221499999999998E-2</v>
      </c>
      <c r="BF62" s="83">
        <v>5.2499000000000001E-3</v>
      </c>
      <c r="BG62" s="83">
        <v>4.5936200000000003E-2</v>
      </c>
      <c r="BH62" s="83">
        <v>4.5533400000000002E-2</v>
      </c>
      <c r="BI62" s="83">
        <v>5.2499000000000001E-3</v>
      </c>
      <c r="BJ62" s="83">
        <v>4.4561799999999999E-2</v>
      </c>
      <c r="BK62" s="83">
        <v>4.5550300000000002E-2</v>
      </c>
      <c r="BL62" s="83">
        <v>5.2499000000000001E-3</v>
      </c>
      <c r="BM62" s="83">
        <v>4.3332799999999998E-2</v>
      </c>
      <c r="BN62" s="83">
        <v>4.4990500000000003E-2</v>
      </c>
      <c r="BO62" s="83">
        <v>5.2499000000000001E-3</v>
      </c>
      <c r="BP62" s="83">
        <v>4.2413899999999997E-2</v>
      </c>
      <c r="BQ62" s="83">
        <v>4.5283200000000003E-2</v>
      </c>
      <c r="BR62" s="83">
        <v>5.2499000000000001E-3</v>
      </c>
      <c r="BS62" s="83">
        <v>4.2258700000000003E-2</v>
      </c>
      <c r="BT62" s="83">
        <v>4.62792E-2</v>
      </c>
      <c r="BU62" s="83">
        <v>5.2499000000000001E-3</v>
      </c>
      <c r="BV62" s="83">
        <v>3.90386E-2</v>
      </c>
      <c r="BW62" s="83">
        <v>4.4848300000000001E-2</v>
      </c>
      <c r="BX62" s="83">
        <v>5.2499000000000001E-3</v>
      </c>
      <c r="BY62" s="83">
        <v>4.0007500000000001E-2</v>
      </c>
      <c r="BZ62" s="83">
        <v>4.63883E-2</v>
      </c>
      <c r="CA62" s="83">
        <v>5.2499000000000001E-3</v>
      </c>
      <c r="CB62" s="83">
        <v>3.7708899999999997E-2</v>
      </c>
      <c r="CC62" s="83">
        <v>4.5415299999999999E-2</v>
      </c>
      <c r="CD62" s="83">
        <v>5.2499000000000001E-3</v>
      </c>
      <c r="CE62" s="83">
        <v>3.6654199999999998E-2</v>
      </c>
      <c r="CF62" s="83">
        <v>4.5111199999999997E-2</v>
      </c>
      <c r="CG62" s="83">
        <v>5.2499000000000001E-3</v>
      </c>
      <c r="CH62" s="83">
        <v>3.6295000000000001E-2</v>
      </c>
      <c r="CI62" s="83">
        <v>4.5898899999999999E-2</v>
      </c>
      <c r="CJ62" s="83">
        <v>5.2499000000000001E-3</v>
      </c>
      <c r="CK62" s="83">
        <v>3.5217999999999999E-2</v>
      </c>
      <c r="CL62" s="83">
        <v>4.5210899999999998E-2</v>
      </c>
      <c r="CM62" s="83">
        <v>5.2499000000000001E-3</v>
      </c>
      <c r="CN62" s="83">
        <v>3.3761100000000002E-2</v>
      </c>
      <c r="CO62" s="83">
        <v>4.47766E-2</v>
      </c>
      <c r="CP62" s="83">
        <v>5.2499000000000001E-3</v>
      </c>
      <c r="CQ62" s="83">
        <v>3.3380199999999999E-2</v>
      </c>
      <c r="CR62" s="83">
        <v>4.5046500000000003E-2</v>
      </c>
      <c r="CS62" s="83">
        <v>5.2499000000000001E-3</v>
      </c>
      <c r="CT62" s="83">
        <v>3.3863499999999998E-2</v>
      </c>
      <c r="CU62" s="83">
        <v>4.5437999999999999E-2</v>
      </c>
      <c r="CV62" s="83">
        <v>5.2499000000000001E-3</v>
      </c>
      <c r="CW62" s="83">
        <v>3.2968200000000003E-2</v>
      </c>
      <c r="CX62" s="83">
        <v>4.5375100000000002E-2</v>
      </c>
      <c r="CY62" s="83">
        <v>5.2499000000000001E-3</v>
      </c>
      <c r="CZ62" s="83">
        <v>3.2293599999999999E-2</v>
      </c>
      <c r="DA62" s="83">
        <v>4.5058399999999998E-2</v>
      </c>
    </row>
    <row r="63" spans="1:105" x14ac:dyDescent="0.2">
      <c r="A63" s="83">
        <v>5.3499000000000003E-3</v>
      </c>
      <c r="B63" s="83">
        <v>5.1353200000000002E-2</v>
      </c>
      <c r="C63" s="83">
        <v>4.2611299999999998E-2</v>
      </c>
      <c r="D63" s="83">
        <v>5.3499000000000003E-3</v>
      </c>
      <c r="E63" s="83">
        <v>5.2310099999999998E-2</v>
      </c>
      <c r="F63" s="83">
        <v>4.3575999999999997E-2</v>
      </c>
      <c r="G63" s="83">
        <v>5.3499000000000003E-3</v>
      </c>
      <c r="H63" s="83">
        <v>5.2520699999999997E-2</v>
      </c>
      <c r="I63" s="83">
        <v>4.4036499999999999E-2</v>
      </c>
      <c r="J63" s="83">
        <v>5.3499000000000003E-3</v>
      </c>
      <c r="K63" s="83">
        <v>5.00455E-2</v>
      </c>
      <c r="L63" s="83">
        <v>4.2440100000000001E-2</v>
      </c>
      <c r="M63" s="83">
        <v>5.3499000000000003E-3</v>
      </c>
      <c r="N63" s="83">
        <v>5.0010199999999998E-2</v>
      </c>
      <c r="O63" s="83">
        <v>4.2650899999999999E-2</v>
      </c>
      <c r="P63" s="83">
        <v>5.3499000000000003E-3</v>
      </c>
      <c r="Q63" s="83">
        <v>4.97849E-2</v>
      </c>
      <c r="R63" s="83">
        <v>4.2727800000000003E-2</v>
      </c>
      <c r="S63" s="83">
        <v>5.3499000000000003E-3</v>
      </c>
      <c r="T63" s="83">
        <v>4.9611500000000003E-2</v>
      </c>
      <c r="U63" s="83">
        <v>4.30614E-2</v>
      </c>
      <c r="V63" s="83">
        <v>5.3499000000000003E-3</v>
      </c>
      <c r="W63" s="83">
        <v>4.9406600000000002E-2</v>
      </c>
      <c r="X63" s="83">
        <v>4.3772999999999999E-2</v>
      </c>
      <c r="Y63" s="83">
        <v>5.3499000000000003E-3</v>
      </c>
      <c r="Z63" s="83">
        <v>4.7537000000000003E-2</v>
      </c>
      <c r="AA63" s="83">
        <v>4.2607100000000002E-2</v>
      </c>
      <c r="AB63" s="83">
        <v>5.3499000000000003E-3</v>
      </c>
      <c r="AC63" s="83">
        <v>4.8346199999999999E-2</v>
      </c>
      <c r="AD63" s="83">
        <v>4.3269500000000002E-2</v>
      </c>
      <c r="AE63" s="83">
        <v>5.3499000000000003E-3</v>
      </c>
      <c r="AF63" s="83">
        <v>4.8995400000000001E-2</v>
      </c>
      <c r="AG63" s="83">
        <v>4.38809E-2</v>
      </c>
      <c r="AH63" s="83">
        <v>5.3499000000000003E-3</v>
      </c>
      <c r="AI63" s="83">
        <v>4.7832399999999997E-2</v>
      </c>
      <c r="AJ63" s="83">
        <v>4.3680299999999998E-2</v>
      </c>
      <c r="AK63" s="83">
        <v>5.3499000000000003E-3</v>
      </c>
      <c r="AL63" s="83">
        <v>4.8090000000000001E-2</v>
      </c>
      <c r="AM63" s="83">
        <v>4.38536E-2</v>
      </c>
      <c r="AN63" s="83">
        <v>5.3499000000000003E-3</v>
      </c>
      <c r="AO63" s="83">
        <v>4.57814E-2</v>
      </c>
      <c r="AP63" s="83">
        <v>4.2502999999999999E-2</v>
      </c>
      <c r="AQ63" s="83">
        <v>5.3499000000000003E-3</v>
      </c>
      <c r="AR63" s="83">
        <v>4.6172499999999998E-2</v>
      </c>
      <c r="AS63" s="83">
        <v>4.3366300000000003E-2</v>
      </c>
      <c r="AT63" s="83">
        <v>5.3499000000000003E-3</v>
      </c>
      <c r="AU63" s="83">
        <v>4.5482799999999997E-2</v>
      </c>
      <c r="AV63" s="83">
        <v>4.3310000000000001E-2</v>
      </c>
      <c r="AW63" s="83">
        <v>5.3499000000000003E-3</v>
      </c>
      <c r="AX63" s="83">
        <v>4.5909899999999997E-2</v>
      </c>
      <c r="AY63" s="83">
        <v>4.4029600000000002E-2</v>
      </c>
      <c r="AZ63" s="83">
        <v>5.3499000000000003E-3</v>
      </c>
      <c r="BA63" s="83">
        <v>4.546E-2</v>
      </c>
      <c r="BB63" s="83">
        <v>4.37986E-2</v>
      </c>
      <c r="BC63" s="83">
        <v>5.3499000000000003E-3</v>
      </c>
      <c r="BD63" s="83">
        <v>4.3936500000000003E-2</v>
      </c>
      <c r="BE63" s="83">
        <v>4.3056499999999998E-2</v>
      </c>
      <c r="BF63" s="83">
        <v>5.3499000000000003E-3</v>
      </c>
      <c r="BG63" s="83">
        <v>4.3190100000000002E-2</v>
      </c>
      <c r="BH63" s="83">
        <v>4.3365399999999998E-2</v>
      </c>
      <c r="BI63" s="83">
        <v>5.3499000000000003E-3</v>
      </c>
      <c r="BJ63" s="83">
        <v>4.2311799999999997E-2</v>
      </c>
      <c r="BK63" s="83">
        <v>4.3378399999999998E-2</v>
      </c>
      <c r="BL63" s="83">
        <v>5.3499000000000003E-3</v>
      </c>
      <c r="BM63" s="83">
        <v>4.07058E-2</v>
      </c>
      <c r="BN63" s="83">
        <v>4.2842999999999999E-2</v>
      </c>
      <c r="BO63" s="83">
        <v>5.3499000000000003E-3</v>
      </c>
      <c r="BP63" s="83">
        <v>3.9839699999999999E-2</v>
      </c>
      <c r="BQ63" s="83">
        <v>4.3124900000000001E-2</v>
      </c>
      <c r="BR63" s="83">
        <v>5.3499000000000003E-3</v>
      </c>
      <c r="BS63" s="83">
        <v>3.9563399999999999E-2</v>
      </c>
      <c r="BT63" s="83">
        <v>4.4082999999999997E-2</v>
      </c>
      <c r="BU63" s="83">
        <v>5.3499000000000003E-3</v>
      </c>
      <c r="BV63" s="83">
        <v>3.7003500000000002E-2</v>
      </c>
      <c r="BW63" s="83">
        <v>4.2726300000000002E-2</v>
      </c>
      <c r="BX63" s="83">
        <v>5.3499000000000003E-3</v>
      </c>
      <c r="BY63" s="83">
        <v>3.7632499999999999E-2</v>
      </c>
      <c r="BZ63" s="83">
        <v>4.4172400000000001E-2</v>
      </c>
      <c r="CA63" s="83">
        <v>5.3499000000000003E-3</v>
      </c>
      <c r="CB63" s="83">
        <v>3.5687400000000001E-2</v>
      </c>
      <c r="CC63" s="83">
        <v>4.3231699999999998E-2</v>
      </c>
      <c r="CD63" s="83">
        <v>5.3499000000000003E-3</v>
      </c>
      <c r="CE63" s="83">
        <v>3.4447100000000001E-2</v>
      </c>
      <c r="CF63" s="83">
        <v>4.29784E-2</v>
      </c>
      <c r="CG63" s="83">
        <v>5.3499000000000003E-3</v>
      </c>
      <c r="CH63" s="83">
        <v>3.4443399999999999E-2</v>
      </c>
      <c r="CI63" s="83">
        <v>4.3743600000000001E-2</v>
      </c>
      <c r="CJ63" s="83">
        <v>5.3499000000000003E-3</v>
      </c>
      <c r="CK63" s="83">
        <v>3.3018800000000001E-2</v>
      </c>
      <c r="CL63" s="83">
        <v>4.3047799999999997E-2</v>
      </c>
      <c r="CM63" s="83">
        <v>5.3499000000000003E-3</v>
      </c>
      <c r="CN63" s="83">
        <v>3.1808000000000003E-2</v>
      </c>
      <c r="CO63" s="83">
        <v>4.2628100000000002E-2</v>
      </c>
      <c r="CP63" s="83">
        <v>5.3499000000000003E-3</v>
      </c>
      <c r="CQ63" s="83">
        <v>3.1387999999999999E-2</v>
      </c>
      <c r="CR63" s="83">
        <v>4.2902900000000001E-2</v>
      </c>
      <c r="CS63" s="83">
        <v>5.3499000000000003E-3</v>
      </c>
      <c r="CT63" s="83">
        <v>3.1898599999999999E-2</v>
      </c>
      <c r="CU63" s="83">
        <v>4.3269099999999998E-2</v>
      </c>
      <c r="CV63" s="83">
        <v>5.3499000000000003E-3</v>
      </c>
      <c r="CW63" s="83">
        <v>3.0802199999999998E-2</v>
      </c>
      <c r="CX63" s="83">
        <v>4.3196400000000003E-2</v>
      </c>
      <c r="CY63" s="83">
        <v>5.3499000000000003E-3</v>
      </c>
      <c r="CZ63" s="83">
        <v>3.01471E-2</v>
      </c>
      <c r="DA63" s="83">
        <v>4.28884E-2</v>
      </c>
    </row>
    <row r="64" spans="1:105" x14ac:dyDescent="0.2">
      <c r="A64" s="83">
        <v>5.4498999999999997E-3</v>
      </c>
      <c r="B64" s="83">
        <v>4.8253600000000001E-2</v>
      </c>
      <c r="C64" s="83">
        <v>4.0588800000000001E-2</v>
      </c>
      <c r="D64" s="83">
        <v>5.4498999999999997E-3</v>
      </c>
      <c r="E64" s="83">
        <v>4.92808E-2</v>
      </c>
      <c r="F64" s="83">
        <v>4.1486200000000001E-2</v>
      </c>
      <c r="G64" s="83">
        <v>5.4498999999999997E-3</v>
      </c>
      <c r="H64" s="83">
        <v>4.9833200000000001E-2</v>
      </c>
      <c r="I64" s="83">
        <v>4.1933999999999999E-2</v>
      </c>
      <c r="J64" s="83">
        <v>5.4498999999999997E-3</v>
      </c>
      <c r="K64" s="83">
        <v>4.7141200000000001E-2</v>
      </c>
      <c r="L64" s="83">
        <v>4.0409800000000003E-2</v>
      </c>
      <c r="M64" s="83">
        <v>5.4498999999999997E-3</v>
      </c>
      <c r="N64" s="83">
        <v>4.6834399999999998E-2</v>
      </c>
      <c r="O64" s="83">
        <v>4.0637199999999998E-2</v>
      </c>
      <c r="P64" s="83">
        <v>5.4498999999999997E-3</v>
      </c>
      <c r="Q64" s="83">
        <v>4.6605199999999999E-2</v>
      </c>
      <c r="R64" s="83">
        <v>4.0695599999999998E-2</v>
      </c>
      <c r="S64" s="83">
        <v>5.4498999999999997E-3</v>
      </c>
      <c r="T64" s="83">
        <v>4.6773599999999999E-2</v>
      </c>
      <c r="U64" s="83">
        <v>4.1016400000000001E-2</v>
      </c>
      <c r="V64" s="83">
        <v>5.4498999999999997E-3</v>
      </c>
      <c r="W64" s="83">
        <v>4.6885099999999999E-2</v>
      </c>
      <c r="X64" s="83">
        <v>4.1719199999999998E-2</v>
      </c>
      <c r="Y64" s="83">
        <v>5.4498999999999997E-3</v>
      </c>
      <c r="Z64" s="83">
        <v>4.5243999999999999E-2</v>
      </c>
      <c r="AA64" s="83">
        <v>4.0612000000000002E-2</v>
      </c>
      <c r="AB64" s="83">
        <v>5.4498999999999997E-3</v>
      </c>
      <c r="AC64" s="83">
        <v>4.5654800000000002E-2</v>
      </c>
      <c r="AD64" s="83">
        <v>4.12304E-2</v>
      </c>
      <c r="AE64" s="83">
        <v>5.4498999999999997E-3</v>
      </c>
      <c r="AF64" s="83">
        <v>4.6321500000000002E-2</v>
      </c>
      <c r="AG64" s="83">
        <v>4.1811599999999997E-2</v>
      </c>
      <c r="AH64" s="83">
        <v>5.4498999999999997E-3</v>
      </c>
      <c r="AI64" s="83">
        <v>4.4943700000000003E-2</v>
      </c>
      <c r="AJ64" s="83">
        <v>4.1614900000000003E-2</v>
      </c>
      <c r="AK64" s="83">
        <v>5.4498999999999997E-3</v>
      </c>
      <c r="AL64" s="83">
        <v>4.5009899999999999E-2</v>
      </c>
      <c r="AM64" s="83">
        <v>4.1803800000000002E-2</v>
      </c>
      <c r="AN64" s="83">
        <v>5.4498999999999997E-3</v>
      </c>
      <c r="AO64" s="83">
        <v>4.3482600000000003E-2</v>
      </c>
      <c r="AP64" s="83">
        <v>4.0502999999999997E-2</v>
      </c>
      <c r="AQ64" s="83">
        <v>5.4498999999999997E-3</v>
      </c>
      <c r="AR64" s="83">
        <v>4.3947899999999998E-2</v>
      </c>
      <c r="AS64" s="83">
        <v>4.1310600000000003E-2</v>
      </c>
      <c r="AT64" s="83">
        <v>5.4498999999999997E-3</v>
      </c>
      <c r="AU64" s="83">
        <v>4.2857800000000001E-2</v>
      </c>
      <c r="AV64" s="83">
        <v>4.1267999999999999E-2</v>
      </c>
      <c r="AW64" s="83">
        <v>5.4498999999999997E-3</v>
      </c>
      <c r="AX64" s="83">
        <v>4.3318099999999998E-2</v>
      </c>
      <c r="AY64" s="83">
        <v>4.19437E-2</v>
      </c>
      <c r="AZ64" s="83">
        <v>5.4498999999999997E-3</v>
      </c>
      <c r="BA64" s="83">
        <v>4.2462E-2</v>
      </c>
      <c r="BB64" s="83">
        <v>4.1728300000000003E-2</v>
      </c>
      <c r="BC64" s="83">
        <v>5.4498999999999997E-3</v>
      </c>
      <c r="BD64" s="83">
        <v>4.1315400000000002E-2</v>
      </c>
      <c r="BE64" s="83">
        <v>4.1012600000000003E-2</v>
      </c>
      <c r="BF64" s="83">
        <v>5.4498999999999997E-3</v>
      </c>
      <c r="BG64" s="83">
        <v>4.0852199999999998E-2</v>
      </c>
      <c r="BH64" s="83">
        <v>4.1318599999999997E-2</v>
      </c>
      <c r="BI64" s="83">
        <v>5.4498999999999997E-3</v>
      </c>
      <c r="BJ64" s="83">
        <v>3.9720100000000001E-2</v>
      </c>
      <c r="BK64" s="83">
        <v>4.13462E-2</v>
      </c>
      <c r="BL64" s="83">
        <v>5.4498999999999997E-3</v>
      </c>
      <c r="BM64" s="83">
        <v>3.8619899999999999E-2</v>
      </c>
      <c r="BN64" s="83">
        <v>4.0841099999999998E-2</v>
      </c>
      <c r="BO64" s="83">
        <v>5.4498999999999997E-3</v>
      </c>
      <c r="BP64" s="83">
        <v>3.7214700000000003E-2</v>
      </c>
      <c r="BQ64" s="83">
        <v>4.1119099999999999E-2</v>
      </c>
      <c r="BR64" s="83">
        <v>5.4498999999999997E-3</v>
      </c>
      <c r="BS64" s="83">
        <v>3.7131699999999997E-2</v>
      </c>
      <c r="BT64" s="83">
        <v>4.1990199999999998E-2</v>
      </c>
      <c r="BU64" s="83">
        <v>5.4498999999999997E-3</v>
      </c>
      <c r="BV64" s="83">
        <v>3.5067899999999999E-2</v>
      </c>
      <c r="BW64" s="83">
        <v>4.0711600000000001E-2</v>
      </c>
      <c r="BX64" s="83">
        <v>5.4498999999999997E-3</v>
      </c>
      <c r="BY64" s="83">
        <v>3.5245699999999998E-2</v>
      </c>
      <c r="BZ64" s="83">
        <v>4.2101199999999998E-2</v>
      </c>
      <c r="CA64" s="83">
        <v>5.4498999999999997E-3</v>
      </c>
      <c r="CB64" s="83">
        <v>3.3513599999999998E-2</v>
      </c>
      <c r="CC64" s="83">
        <v>4.1184900000000003E-2</v>
      </c>
      <c r="CD64" s="83">
        <v>5.4498999999999997E-3</v>
      </c>
      <c r="CE64" s="83">
        <v>3.2245999999999997E-2</v>
      </c>
      <c r="CF64" s="83">
        <v>4.0925599999999999E-2</v>
      </c>
      <c r="CG64" s="83">
        <v>5.4498999999999997E-3</v>
      </c>
      <c r="CH64" s="83">
        <v>3.23535E-2</v>
      </c>
      <c r="CI64" s="83">
        <v>4.1639099999999998E-2</v>
      </c>
      <c r="CJ64" s="83">
        <v>5.4498999999999997E-3</v>
      </c>
      <c r="CK64" s="83">
        <v>3.1268799999999999E-2</v>
      </c>
      <c r="CL64" s="83">
        <v>4.1032199999999998E-2</v>
      </c>
      <c r="CM64" s="83">
        <v>5.4498999999999997E-3</v>
      </c>
      <c r="CN64" s="83">
        <v>3.0073599999999999E-2</v>
      </c>
      <c r="CO64" s="83">
        <v>4.0608600000000002E-2</v>
      </c>
      <c r="CP64" s="83">
        <v>5.4498999999999997E-3</v>
      </c>
      <c r="CQ64" s="83">
        <v>2.9638000000000001E-2</v>
      </c>
      <c r="CR64" s="83">
        <v>4.0882399999999999E-2</v>
      </c>
      <c r="CS64" s="83">
        <v>5.4498999999999997E-3</v>
      </c>
      <c r="CT64" s="83">
        <v>2.9900599999999999E-2</v>
      </c>
      <c r="CU64" s="83">
        <v>4.1228000000000001E-2</v>
      </c>
      <c r="CV64" s="83">
        <v>5.4498999999999997E-3</v>
      </c>
      <c r="CW64" s="83">
        <v>2.9272900000000001E-2</v>
      </c>
      <c r="CX64" s="83">
        <v>4.1140700000000002E-2</v>
      </c>
      <c r="CY64" s="83">
        <v>5.4498999999999997E-3</v>
      </c>
      <c r="CZ64" s="83">
        <v>2.8447900000000002E-2</v>
      </c>
      <c r="DA64" s="83">
        <v>4.0876700000000002E-2</v>
      </c>
    </row>
    <row r="65" spans="1:105" x14ac:dyDescent="0.2">
      <c r="A65" s="83">
        <v>5.5499E-3</v>
      </c>
      <c r="B65" s="83">
        <v>4.5741799999999999E-2</v>
      </c>
      <c r="C65" s="83">
        <v>3.8703099999999997E-2</v>
      </c>
      <c r="D65" s="83">
        <v>5.5499E-3</v>
      </c>
      <c r="E65" s="83">
        <v>4.6368699999999999E-2</v>
      </c>
      <c r="F65" s="83">
        <v>3.9558400000000001E-2</v>
      </c>
      <c r="G65" s="83">
        <v>5.5499E-3</v>
      </c>
      <c r="H65" s="83">
        <v>4.7008899999999999E-2</v>
      </c>
      <c r="I65" s="83">
        <v>3.9953500000000003E-2</v>
      </c>
      <c r="J65" s="83">
        <v>5.5499E-3</v>
      </c>
      <c r="K65" s="83">
        <v>4.39791E-2</v>
      </c>
      <c r="L65" s="83">
        <v>3.85075E-2</v>
      </c>
      <c r="M65" s="83">
        <v>5.5499E-3</v>
      </c>
      <c r="N65" s="83">
        <v>4.4148899999999998E-2</v>
      </c>
      <c r="O65" s="83">
        <v>3.8718299999999997E-2</v>
      </c>
      <c r="P65" s="83">
        <v>5.5499E-3</v>
      </c>
      <c r="Q65" s="83">
        <v>4.4136500000000002E-2</v>
      </c>
      <c r="R65" s="83">
        <v>3.8813800000000002E-2</v>
      </c>
      <c r="S65" s="83">
        <v>5.5499E-3</v>
      </c>
      <c r="T65" s="83">
        <v>4.3879099999999997E-2</v>
      </c>
      <c r="U65" s="83">
        <v>3.9107200000000002E-2</v>
      </c>
      <c r="V65" s="83">
        <v>5.5499E-3</v>
      </c>
      <c r="W65" s="83">
        <v>4.4074500000000003E-2</v>
      </c>
      <c r="X65" s="83">
        <v>3.9762199999999998E-2</v>
      </c>
      <c r="Y65" s="83">
        <v>5.5499E-3</v>
      </c>
      <c r="Z65" s="83">
        <v>4.2644399999999999E-2</v>
      </c>
      <c r="AA65" s="83">
        <v>3.8707699999999998E-2</v>
      </c>
      <c r="AB65" s="83">
        <v>5.5499E-3</v>
      </c>
      <c r="AC65" s="83">
        <v>4.2899E-2</v>
      </c>
      <c r="AD65" s="83">
        <v>3.9308599999999999E-2</v>
      </c>
      <c r="AE65" s="83">
        <v>5.5499E-3</v>
      </c>
      <c r="AF65" s="83">
        <v>4.3378199999999999E-2</v>
      </c>
      <c r="AG65" s="83">
        <v>3.9845800000000001E-2</v>
      </c>
      <c r="AH65" s="83">
        <v>5.5499E-3</v>
      </c>
      <c r="AI65" s="83">
        <v>4.2566699999999999E-2</v>
      </c>
      <c r="AJ65" s="83">
        <v>3.9653899999999999E-2</v>
      </c>
      <c r="AK65" s="83">
        <v>5.5499E-3</v>
      </c>
      <c r="AL65" s="83">
        <v>4.2597799999999998E-2</v>
      </c>
      <c r="AM65" s="83">
        <v>3.9812599999999997E-2</v>
      </c>
      <c r="AN65" s="83">
        <v>5.5499E-3</v>
      </c>
      <c r="AO65" s="83">
        <v>4.1177900000000003E-2</v>
      </c>
      <c r="AP65" s="83">
        <v>3.8600700000000002E-2</v>
      </c>
      <c r="AQ65" s="83">
        <v>5.5499E-3</v>
      </c>
      <c r="AR65" s="83">
        <v>4.0852199999999998E-2</v>
      </c>
      <c r="AS65" s="83">
        <v>3.93897E-2</v>
      </c>
      <c r="AT65" s="83">
        <v>5.5499E-3</v>
      </c>
      <c r="AU65" s="83">
        <v>4.0365600000000001E-2</v>
      </c>
      <c r="AV65" s="83">
        <v>3.9340199999999999E-2</v>
      </c>
      <c r="AW65" s="83">
        <v>5.5499E-3</v>
      </c>
      <c r="AX65" s="83">
        <v>4.08747E-2</v>
      </c>
      <c r="AY65" s="83">
        <v>3.9981799999999998E-2</v>
      </c>
      <c r="AZ65" s="83">
        <v>5.5499E-3</v>
      </c>
      <c r="BA65" s="83">
        <v>4.0059600000000001E-2</v>
      </c>
      <c r="BB65" s="83">
        <v>3.9759500000000003E-2</v>
      </c>
      <c r="BC65" s="83">
        <v>5.5499E-3</v>
      </c>
      <c r="BD65" s="83">
        <v>3.8612300000000002E-2</v>
      </c>
      <c r="BE65" s="83">
        <v>3.9103400000000003E-2</v>
      </c>
      <c r="BF65" s="83">
        <v>5.5499E-3</v>
      </c>
      <c r="BG65" s="83">
        <v>3.8303299999999998E-2</v>
      </c>
      <c r="BH65" s="83">
        <v>3.9370299999999997E-2</v>
      </c>
      <c r="BI65" s="83">
        <v>5.5499E-3</v>
      </c>
      <c r="BJ65" s="83">
        <v>3.7128300000000003E-2</v>
      </c>
      <c r="BK65" s="83">
        <v>3.94194E-2</v>
      </c>
      <c r="BL65" s="83">
        <v>5.5499E-3</v>
      </c>
      <c r="BM65" s="83">
        <v>3.6231199999999998E-2</v>
      </c>
      <c r="BN65" s="83">
        <v>3.8916300000000001E-2</v>
      </c>
      <c r="BO65" s="83">
        <v>5.5499E-3</v>
      </c>
      <c r="BP65" s="83">
        <v>3.5042799999999999E-2</v>
      </c>
      <c r="BQ65" s="83">
        <v>3.9214800000000001E-2</v>
      </c>
      <c r="BR65" s="83">
        <v>5.5499E-3</v>
      </c>
      <c r="BS65" s="83">
        <v>3.5366099999999998E-2</v>
      </c>
      <c r="BT65" s="83">
        <v>4.0023400000000001E-2</v>
      </c>
      <c r="BU65" s="83">
        <v>5.5499E-3</v>
      </c>
      <c r="BV65" s="83">
        <v>3.2884299999999998E-2</v>
      </c>
      <c r="BW65" s="83">
        <v>3.8783900000000003E-2</v>
      </c>
      <c r="BX65" s="83">
        <v>5.5499E-3</v>
      </c>
      <c r="BY65" s="83">
        <v>3.3320000000000002E-2</v>
      </c>
      <c r="BZ65" s="83">
        <v>4.0114799999999999E-2</v>
      </c>
      <c r="CA65" s="83">
        <v>5.5499E-3</v>
      </c>
      <c r="CB65" s="83">
        <v>3.1572200000000002E-2</v>
      </c>
      <c r="CC65" s="83">
        <v>3.9270800000000002E-2</v>
      </c>
      <c r="CD65" s="83">
        <v>5.5499E-3</v>
      </c>
      <c r="CE65" s="83">
        <v>3.02264E-2</v>
      </c>
      <c r="CF65" s="83">
        <v>3.8995000000000002E-2</v>
      </c>
      <c r="CG65" s="83">
        <v>5.5499E-3</v>
      </c>
      <c r="CH65" s="83">
        <v>3.0494199999999999E-2</v>
      </c>
      <c r="CI65" s="83">
        <v>3.9696700000000001E-2</v>
      </c>
      <c r="CJ65" s="83">
        <v>5.5499E-3</v>
      </c>
      <c r="CK65" s="83">
        <v>2.9489499999999998E-2</v>
      </c>
      <c r="CL65" s="83">
        <v>3.9093700000000002E-2</v>
      </c>
      <c r="CM65" s="83">
        <v>5.5499E-3</v>
      </c>
      <c r="CN65" s="83">
        <v>2.78529E-2</v>
      </c>
      <c r="CO65" s="83">
        <v>3.8729699999999999E-2</v>
      </c>
      <c r="CP65" s="83">
        <v>5.5499E-3</v>
      </c>
      <c r="CQ65" s="83">
        <v>2.7643899999999999E-2</v>
      </c>
      <c r="CR65" s="83">
        <v>3.8954700000000002E-2</v>
      </c>
      <c r="CS65" s="83">
        <v>5.5499E-3</v>
      </c>
      <c r="CT65" s="83">
        <v>2.8093900000000002E-2</v>
      </c>
      <c r="CU65" s="83">
        <v>3.9277899999999998E-2</v>
      </c>
      <c r="CV65" s="83">
        <v>5.5499E-3</v>
      </c>
      <c r="CW65" s="83">
        <v>2.76303E-2</v>
      </c>
      <c r="CX65" s="83">
        <v>3.9209099999999997E-2</v>
      </c>
      <c r="CY65" s="83">
        <v>5.5499E-3</v>
      </c>
      <c r="CZ65" s="83">
        <v>2.6762399999999999E-2</v>
      </c>
      <c r="DA65" s="83">
        <v>3.8948999999999998E-2</v>
      </c>
    </row>
    <row r="66" spans="1:105" x14ac:dyDescent="0.2">
      <c r="A66" s="83">
        <v>5.6499000000000002E-3</v>
      </c>
      <c r="B66" s="83">
        <v>4.3023100000000002E-2</v>
      </c>
      <c r="C66" s="83">
        <v>3.6869100000000002E-2</v>
      </c>
      <c r="D66" s="83">
        <v>5.6499000000000002E-3</v>
      </c>
      <c r="E66" s="83">
        <v>4.4136300000000003E-2</v>
      </c>
      <c r="F66" s="83">
        <v>3.7679499999999998E-2</v>
      </c>
      <c r="G66" s="83">
        <v>5.6499000000000002E-3</v>
      </c>
      <c r="H66" s="83">
        <v>4.4692500000000003E-2</v>
      </c>
      <c r="I66" s="83">
        <v>3.8072700000000001E-2</v>
      </c>
      <c r="J66" s="83">
        <v>5.6499000000000002E-3</v>
      </c>
      <c r="K66" s="83">
        <v>4.2135300000000001E-2</v>
      </c>
      <c r="L66" s="83">
        <v>3.6702800000000001E-2</v>
      </c>
      <c r="M66" s="83">
        <v>5.6499000000000002E-3</v>
      </c>
      <c r="N66" s="83">
        <v>4.1508299999999998E-2</v>
      </c>
      <c r="O66" s="83">
        <v>3.68823E-2</v>
      </c>
      <c r="P66" s="83">
        <v>5.6499000000000002E-3</v>
      </c>
      <c r="Q66" s="83">
        <v>4.1474400000000002E-2</v>
      </c>
      <c r="R66" s="83">
        <v>3.6981699999999999E-2</v>
      </c>
      <c r="S66" s="83">
        <v>5.6499000000000002E-3</v>
      </c>
      <c r="T66" s="83">
        <v>4.1945499999999997E-2</v>
      </c>
      <c r="U66" s="83">
        <v>3.7243999999999999E-2</v>
      </c>
      <c r="V66" s="83">
        <v>5.6499000000000002E-3</v>
      </c>
      <c r="W66" s="83">
        <v>4.2310899999999999E-2</v>
      </c>
      <c r="X66" s="83">
        <v>3.7880400000000002E-2</v>
      </c>
      <c r="Y66" s="83">
        <v>5.6499000000000002E-3</v>
      </c>
      <c r="Z66" s="83">
        <v>4.0558499999999997E-2</v>
      </c>
      <c r="AA66" s="83">
        <v>3.6903999999999999E-2</v>
      </c>
      <c r="AB66" s="83">
        <v>5.6499000000000002E-3</v>
      </c>
      <c r="AC66" s="83">
        <v>4.0471199999999999E-2</v>
      </c>
      <c r="AD66" s="83">
        <v>3.7457999999999998E-2</v>
      </c>
      <c r="AE66" s="83">
        <v>5.6499000000000002E-3</v>
      </c>
      <c r="AF66" s="83">
        <v>4.1018800000000001E-2</v>
      </c>
      <c r="AG66" s="83">
        <v>3.7989299999999997E-2</v>
      </c>
      <c r="AH66" s="83">
        <v>5.6499000000000002E-3</v>
      </c>
      <c r="AI66" s="83">
        <v>4.0219100000000001E-2</v>
      </c>
      <c r="AJ66" s="83">
        <v>3.7782900000000001E-2</v>
      </c>
      <c r="AK66" s="83">
        <v>5.6499000000000002E-3</v>
      </c>
      <c r="AL66" s="83">
        <v>4.0498199999999998E-2</v>
      </c>
      <c r="AM66" s="83">
        <v>3.79513E-2</v>
      </c>
      <c r="AN66" s="83">
        <v>5.6499000000000002E-3</v>
      </c>
      <c r="AO66" s="83">
        <v>3.8457199999999997E-2</v>
      </c>
      <c r="AP66" s="83">
        <v>3.67911E-2</v>
      </c>
      <c r="AQ66" s="83">
        <v>5.6499000000000002E-3</v>
      </c>
      <c r="AR66" s="83">
        <v>3.8426399999999999E-2</v>
      </c>
      <c r="AS66" s="83">
        <v>3.7520600000000001E-2</v>
      </c>
      <c r="AT66" s="83">
        <v>5.6499000000000002E-3</v>
      </c>
      <c r="AU66" s="83">
        <v>3.8363599999999998E-2</v>
      </c>
      <c r="AV66" s="83">
        <v>3.7505299999999998E-2</v>
      </c>
      <c r="AW66" s="83">
        <v>5.6499000000000002E-3</v>
      </c>
      <c r="AX66" s="83">
        <v>3.8312199999999998E-2</v>
      </c>
      <c r="AY66" s="83">
        <v>3.8107700000000001E-2</v>
      </c>
      <c r="AZ66" s="83">
        <v>5.6499000000000002E-3</v>
      </c>
      <c r="BA66" s="83">
        <v>3.7389699999999998E-2</v>
      </c>
      <c r="BB66" s="83">
        <v>3.7884500000000002E-2</v>
      </c>
      <c r="BC66" s="83">
        <v>5.6499000000000002E-3</v>
      </c>
      <c r="BD66" s="83">
        <v>3.6473600000000002E-2</v>
      </c>
      <c r="BE66" s="83">
        <v>3.7251800000000002E-2</v>
      </c>
      <c r="BF66" s="83">
        <v>5.6499000000000002E-3</v>
      </c>
      <c r="BG66" s="83">
        <v>3.6168600000000002E-2</v>
      </c>
      <c r="BH66" s="83">
        <v>3.7541199999999997E-2</v>
      </c>
      <c r="BI66" s="83">
        <v>5.6499000000000002E-3</v>
      </c>
      <c r="BJ66" s="83">
        <v>3.5087199999999999E-2</v>
      </c>
      <c r="BK66" s="83">
        <v>3.7562999999999999E-2</v>
      </c>
      <c r="BL66" s="83">
        <v>5.6499000000000002E-3</v>
      </c>
      <c r="BM66" s="83">
        <v>3.3873800000000003E-2</v>
      </c>
      <c r="BN66" s="83">
        <v>3.7110600000000001E-2</v>
      </c>
      <c r="BO66" s="83">
        <v>5.6499000000000002E-3</v>
      </c>
      <c r="BP66" s="83">
        <v>3.3312300000000003E-2</v>
      </c>
      <c r="BQ66" s="83">
        <v>3.7371000000000001E-2</v>
      </c>
      <c r="BR66" s="83">
        <v>5.6499000000000002E-3</v>
      </c>
      <c r="BS66" s="83">
        <v>3.3307499999999997E-2</v>
      </c>
      <c r="BT66" s="83">
        <v>3.8150299999999998E-2</v>
      </c>
      <c r="BU66" s="83">
        <v>5.6499000000000002E-3</v>
      </c>
      <c r="BV66" s="83">
        <v>3.0894100000000001E-2</v>
      </c>
      <c r="BW66" s="83">
        <v>3.6983099999999998E-2</v>
      </c>
      <c r="BX66" s="83">
        <v>5.6499000000000002E-3</v>
      </c>
      <c r="BY66" s="83">
        <v>3.1097300000000001E-2</v>
      </c>
      <c r="BZ66" s="83">
        <v>3.8233000000000003E-2</v>
      </c>
      <c r="CA66" s="83">
        <v>5.6499000000000002E-3</v>
      </c>
      <c r="CB66" s="83">
        <v>2.9904199999999999E-2</v>
      </c>
      <c r="CC66" s="83">
        <v>3.7431899999999997E-2</v>
      </c>
      <c r="CD66" s="83">
        <v>5.6499000000000002E-3</v>
      </c>
      <c r="CE66" s="83">
        <v>2.84061E-2</v>
      </c>
      <c r="CF66" s="83">
        <v>3.7170700000000001E-2</v>
      </c>
      <c r="CG66" s="83">
        <v>5.6499000000000002E-3</v>
      </c>
      <c r="CH66" s="83">
        <v>2.83086E-2</v>
      </c>
      <c r="CI66" s="83">
        <v>3.78403E-2</v>
      </c>
      <c r="CJ66" s="83">
        <v>5.6499000000000002E-3</v>
      </c>
      <c r="CK66" s="83">
        <v>2.72786E-2</v>
      </c>
      <c r="CL66" s="83">
        <v>3.7252899999999999E-2</v>
      </c>
      <c r="CM66" s="83">
        <v>5.6499000000000002E-3</v>
      </c>
      <c r="CN66" s="83">
        <v>2.6362699999999999E-2</v>
      </c>
      <c r="CO66" s="83">
        <v>3.6912300000000002E-2</v>
      </c>
      <c r="CP66" s="83">
        <v>5.6499000000000002E-3</v>
      </c>
      <c r="CQ66" s="83">
        <v>2.61458E-2</v>
      </c>
      <c r="CR66" s="83">
        <v>3.7141199999999999E-2</v>
      </c>
      <c r="CS66" s="83">
        <v>5.6499000000000002E-3</v>
      </c>
      <c r="CT66" s="83">
        <v>2.6482599999999999E-2</v>
      </c>
      <c r="CU66" s="83">
        <v>3.7434099999999998E-2</v>
      </c>
      <c r="CV66" s="83">
        <v>5.6499000000000002E-3</v>
      </c>
      <c r="CW66" s="83">
        <v>2.5864700000000001E-2</v>
      </c>
      <c r="CX66" s="83">
        <v>3.7366299999999998E-2</v>
      </c>
      <c r="CY66" s="83">
        <v>5.6499000000000002E-3</v>
      </c>
      <c r="CZ66" s="83">
        <v>2.53444E-2</v>
      </c>
      <c r="DA66" s="83">
        <v>3.71043E-2</v>
      </c>
    </row>
    <row r="67" spans="1:105" x14ac:dyDescent="0.2">
      <c r="A67" s="83">
        <v>5.7498999999999996E-3</v>
      </c>
      <c r="B67" s="83">
        <v>4.1058200000000003E-2</v>
      </c>
      <c r="C67" s="83">
        <v>3.5156199999999999E-2</v>
      </c>
      <c r="D67" s="83">
        <v>5.7498999999999996E-3</v>
      </c>
      <c r="E67" s="83">
        <v>4.1792500000000003E-2</v>
      </c>
      <c r="F67" s="83">
        <v>3.5909000000000003E-2</v>
      </c>
      <c r="G67" s="83">
        <v>5.7498999999999996E-3</v>
      </c>
      <c r="H67" s="83">
        <v>4.2016699999999997E-2</v>
      </c>
      <c r="I67" s="83">
        <v>3.6269000000000003E-2</v>
      </c>
      <c r="J67" s="83">
        <v>5.7498999999999996E-3</v>
      </c>
      <c r="K67" s="83">
        <v>3.9707600000000003E-2</v>
      </c>
      <c r="L67" s="83">
        <v>3.4967400000000003E-2</v>
      </c>
      <c r="M67" s="83">
        <v>5.7498999999999996E-3</v>
      </c>
      <c r="N67" s="83">
        <v>3.9305100000000003E-2</v>
      </c>
      <c r="O67" s="83">
        <v>3.5166500000000003E-2</v>
      </c>
      <c r="P67" s="83">
        <v>5.7498999999999996E-3</v>
      </c>
      <c r="Q67" s="83">
        <v>3.9341599999999997E-2</v>
      </c>
      <c r="R67" s="83">
        <v>3.5240500000000001E-2</v>
      </c>
      <c r="S67" s="83">
        <v>5.7498999999999996E-3</v>
      </c>
      <c r="T67" s="83">
        <v>3.9558799999999998E-2</v>
      </c>
      <c r="U67" s="83">
        <v>3.5514499999999997E-2</v>
      </c>
      <c r="V67" s="83">
        <v>5.7498999999999996E-3</v>
      </c>
      <c r="W67" s="83">
        <v>3.9320599999999997E-2</v>
      </c>
      <c r="X67" s="83">
        <v>3.6103000000000003E-2</v>
      </c>
      <c r="Y67" s="83">
        <v>5.7498999999999996E-3</v>
      </c>
      <c r="Z67" s="83">
        <v>3.8046799999999999E-2</v>
      </c>
      <c r="AA67" s="83">
        <v>3.5169600000000002E-2</v>
      </c>
      <c r="AB67" s="83">
        <v>5.7498999999999996E-3</v>
      </c>
      <c r="AC67" s="83">
        <v>3.8217300000000003E-2</v>
      </c>
      <c r="AD67" s="83">
        <v>3.5707999999999997E-2</v>
      </c>
      <c r="AE67" s="83">
        <v>5.7498999999999996E-3</v>
      </c>
      <c r="AF67" s="83">
        <v>3.8634000000000002E-2</v>
      </c>
      <c r="AG67" s="83">
        <v>3.6204100000000003E-2</v>
      </c>
      <c r="AH67" s="83">
        <v>5.7498999999999996E-3</v>
      </c>
      <c r="AI67" s="83">
        <v>3.82054E-2</v>
      </c>
      <c r="AJ67" s="83">
        <v>3.6025000000000001E-2</v>
      </c>
      <c r="AK67" s="83">
        <v>5.7498999999999996E-3</v>
      </c>
      <c r="AL67" s="83">
        <v>3.8306800000000002E-2</v>
      </c>
      <c r="AM67" s="83">
        <v>3.6178799999999997E-2</v>
      </c>
      <c r="AN67" s="83">
        <v>5.7498999999999996E-3</v>
      </c>
      <c r="AO67" s="83">
        <v>3.6226700000000001E-2</v>
      </c>
      <c r="AP67" s="83">
        <v>3.5065499999999999E-2</v>
      </c>
      <c r="AQ67" s="83">
        <v>5.7498999999999996E-3</v>
      </c>
      <c r="AR67" s="83">
        <v>3.6029899999999997E-2</v>
      </c>
      <c r="AS67" s="83">
        <v>3.5771600000000001E-2</v>
      </c>
      <c r="AT67" s="83">
        <v>5.7498999999999996E-3</v>
      </c>
      <c r="AU67" s="83">
        <v>3.6187799999999999E-2</v>
      </c>
      <c r="AV67" s="83">
        <v>3.57641E-2</v>
      </c>
      <c r="AW67" s="83">
        <v>5.7498999999999996E-3</v>
      </c>
      <c r="AX67" s="83">
        <v>3.6093500000000001E-2</v>
      </c>
      <c r="AY67" s="83">
        <v>3.6356800000000002E-2</v>
      </c>
      <c r="AZ67" s="83">
        <v>5.7498999999999996E-3</v>
      </c>
      <c r="BA67" s="83">
        <v>3.55655E-2</v>
      </c>
      <c r="BB67" s="83">
        <v>3.6124799999999999E-2</v>
      </c>
      <c r="BC67" s="83">
        <v>5.7498999999999996E-3</v>
      </c>
      <c r="BD67" s="83">
        <v>3.4622100000000003E-2</v>
      </c>
      <c r="BE67" s="83">
        <v>3.5511599999999997E-2</v>
      </c>
      <c r="BF67" s="83">
        <v>5.7498999999999996E-3</v>
      </c>
      <c r="BG67" s="83">
        <v>3.4273999999999999E-2</v>
      </c>
      <c r="BH67" s="83">
        <v>3.5771699999999997E-2</v>
      </c>
      <c r="BI67" s="83">
        <v>5.7498999999999996E-3</v>
      </c>
      <c r="BJ67" s="83">
        <v>3.3268899999999997E-2</v>
      </c>
      <c r="BK67" s="83">
        <v>3.5812999999999998E-2</v>
      </c>
      <c r="BL67" s="83">
        <v>5.7498999999999996E-3</v>
      </c>
      <c r="BM67" s="83">
        <v>3.21257E-2</v>
      </c>
      <c r="BN67" s="83">
        <v>3.5367500000000003E-2</v>
      </c>
      <c r="BO67" s="83">
        <v>5.7498999999999996E-3</v>
      </c>
      <c r="BP67" s="83">
        <v>3.1378700000000002E-2</v>
      </c>
      <c r="BQ67" s="83">
        <v>3.5651299999999997E-2</v>
      </c>
      <c r="BR67" s="83">
        <v>5.7498999999999996E-3</v>
      </c>
      <c r="BS67" s="83">
        <v>3.1262600000000001E-2</v>
      </c>
      <c r="BT67" s="83">
        <v>3.6356399999999997E-2</v>
      </c>
      <c r="BU67" s="83">
        <v>5.7498999999999996E-3</v>
      </c>
      <c r="BV67" s="83">
        <v>2.8589400000000001E-2</v>
      </c>
      <c r="BW67" s="83">
        <v>3.5242900000000001E-2</v>
      </c>
      <c r="BX67" s="83">
        <v>5.7498999999999996E-3</v>
      </c>
      <c r="BY67" s="83">
        <v>2.9013299999999999E-2</v>
      </c>
      <c r="BZ67" s="83">
        <v>3.6438100000000001E-2</v>
      </c>
      <c r="CA67" s="83">
        <v>5.7498999999999996E-3</v>
      </c>
      <c r="CB67" s="83">
        <v>2.7911999999999999E-2</v>
      </c>
      <c r="CC67" s="83">
        <v>3.5660499999999998E-2</v>
      </c>
      <c r="CD67" s="83">
        <v>5.7498999999999996E-3</v>
      </c>
      <c r="CE67" s="83">
        <v>2.68983E-2</v>
      </c>
      <c r="CF67" s="83">
        <v>3.5437299999999998E-2</v>
      </c>
      <c r="CG67" s="83">
        <v>5.7498999999999996E-3</v>
      </c>
      <c r="CH67" s="83">
        <v>2.6859399999999999E-2</v>
      </c>
      <c r="CI67" s="83">
        <v>3.6063900000000003E-2</v>
      </c>
      <c r="CJ67" s="83">
        <v>5.7498999999999996E-3</v>
      </c>
      <c r="CK67" s="83">
        <v>2.5598900000000001E-2</v>
      </c>
      <c r="CL67" s="83">
        <v>3.5528299999999999E-2</v>
      </c>
      <c r="CM67" s="83">
        <v>5.7498999999999996E-3</v>
      </c>
      <c r="CN67" s="83">
        <v>2.4839199999999999E-2</v>
      </c>
      <c r="CO67" s="83">
        <v>3.51799E-2</v>
      </c>
      <c r="CP67" s="83">
        <v>5.7498999999999996E-3</v>
      </c>
      <c r="CQ67" s="83">
        <v>2.4692700000000001E-2</v>
      </c>
      <c r="CR67" s="83">
        <v>3.5397999999999999E-2</v>
      </c>
      <c r="CS67" s="83">
        <v>5.7498999999999996E-3</v>
      </c>
      <c r="CT67" s="83">
        <v>2.4603699999999999E-2</v>
      </c>
      <c r="CU67" s="83">
        <v>3.5648899999999997E-2</v>
      </c>
      <c r="CV67" s="83">
        <v>5.7498999999999996E-3</v>
      </c>
      <c r="CW67" s="83">
        <v>2.43705E-2</v>
      </c>
      <c r="CX67" s="83">
        <v>3.5632900000000002E-2</v>
      </c>
      <c r="CY67" s="83">
        <v>5.7498999999999996E-3</v>
      </c>
      <c r="CZ67" s="83">
        <v>2.3703800000000001E-2</v>
      </c>
      <c r="DA67" s="83">
        <v>3.5365000000000001E-2</v>
      </c>
    </row>
    <row r="68" spans="1:105" x14ac:dyDescent="0.2">
      <c r="A68" s="83">
        <v>5.8498999999999999E-3</v>
      </c>
      <c r="B68" s="83">
        <v>3.8659800000000001E-2</v>
      </c>
      <c r="C68" s="83">
        <v>3.3470699999999999E-2</v>
      </c>
      <c r="D68" s="83">
        <v>5.8498999999999999E-3</v>
      </c>
      <c r="E68" s="83">
        <v>3.9800299999999997E-2</v>
      </c>
      <c r="F68" s="83">
        <v>3.4219600000000003E-2</v>
      </c>
      <c r="G68" s="83">
        <v>5.8498999999999999E-3</v>
      </c>
      <c r="H68" s="83">
        <v>3.9882000000000001E-2</v>
      </c>
      <c r="I68" s="83">
        <v>3.4576599999999999E-2</v>
      </c>
      <c r="J68" s="83">
        <v>5.8498999999999999E-3</v>
      </c>
      <c r="K68" s="83">
        <v>3.77037E-2</v>
      </c>
      <c r="L68" s="83">
        <v>3.3292599999999999E-2</v>
      </c>
      <c r="M68" s="83">
        <v>5.8498999999999999E-3</v>
      </c>
      <c r="N68" s="83">
        <v>3.7223100000000002E-2</v>
      </c>
      <c r="O68" s="83">
        <v>3.3480999999999997E-2</v>
      </c>
      <c r="P68" s="83">
        <v>5.8498999999999999E-3</v>
      </c>
      <c r="Q68" s="83">
        <v>3.7097400000000003E-2</v>
      </c>
      <c r="R68" s="83">
        <v>3.3598900000000001E-2</v>
      </c>
      <c r="S68" s="83">
        <v>5.8498999999999999E-3</v>
      </c>
      <c r="T68" s="83">
        <v>3.73596E-2</v>
      </c>
      <c r="U68" s="83">
        <v>3.3827000000000003E-2</v>
      </c>
      <c r="V68" s="83">
        <v>5.8498999999999999E-3</v>
      </c>
      <c r="W68" s="83">
        <v>3.7347999999999999E-2</v>
      </c>
      <c r="X68" s="83">
        <v>3.4409700000000001E-2</v>
      </c>
      <c r="Y68" s="83">
        <v>5.8498999999999999E-3</v>
      </c>
      <c r="Z68" s="83">
        <v>3.5611200000000003E-2</v>
      </c>
      <c r="AA68" s="83">
        <v>3.34939E-2</v>
      </c>
      <c r="AB68" s="83">
        <v>5.8498999999999999E-3</v>
      </c>
      <c r="AC68" s="83">
        <v>3.6221200000000002E-2</v>
      </c>
      <c r="AD68" s="83">
        <v>3.4042000000000003E-2</v>
      </c>
      <c r="AE68" s="83">
        <v>5.8498999999999999E-3</v>
      </c>
      <c r="AF68" s="83">
        <v>3.6382100000000001E-2</v>
      </c>
      <c r="AG68" s="83">
        <v>3.45274E-2</v>
      </c>
      <c r="AH68" s="83">
        <v>5.8498999999999999E-3</v>
      </c>
      <c r="AI68" s="83">
        <v>3.55667E-2</v>
      </c>
      <c r="AJ68" s="83">
        <v>3.4351199999999998E-2</v>
      </c>
      <c r="AK68" s="83">
        <v>5.8498999999999999E-3</v>
      </c>
      <c r="AL68" s="83">
        <v>3.5574300000000003E-2</v>
      </c>
      <c r="AM68" s="83">
        <v>3.4503100000000002E-2</v>
      </c>
      <c r="AN68" s="83">
        <v>5.8498999999999999E-3</v>
      </c>
      <c r="AO68" s="83">
        <v>3.3773600000000001E-2</v>
      </c>
      <c r="AP68" s="83">
        <v>3.34034E-2</v>
      </c>
      <c r="AQ68" s="83">
        <v>5.8498999999999999E-3</v>
      </c>
      <c r="AR68" s="83">
        <v>3.4195900000000001E-2</v>
      </c>
      <c r="AS68" s="83">
        <v>3.4089899999999999E-2</v>
      </c>
      <c r="AT68" s="83">
        <v>5.8498999999999999E-3</v>
      </c>
      <c r="AU68" s="83">
        <v>3.4199599999999997E-2</v>
      </c>
      <c r="AV68" s="83">
        <v>3.4099999999999998E-2</v>
      </c>
      <c r="AW68" s="83">
        <v>5.8498999999999999E-3</v>
      </c>
      <c r="AX68" s="83">
        <v>3.40115E-2</v>
      </c>
      <c r="AY68" s="83">
        <v>3.4655600000000002E-2</v>
      </c>
      <c r="AZ68" s="83">
        <v>5.8498999999999999E-3</v>
      </c>
      <c r="BA68" s="83">
        <v>3.3338899999999998E-2</v>
      </c>
      <c r="BB68" s="83">
        <v>3.4449899999999999E-2</v>
      </c>
      <c r="BC68" s="83">
        <v>5.8498999999999999E-3</v>
      </c>
      <c r="BD68" s="83">
        <v>3.2325199999999998E-2</v>
      </c>
      <c r="BE68" s="83">
        <v>3.3853399999999999E-2</v>
      </c>
      <c r="BF68" s="83">
        <v>5.8498999999999999E-3</v>
      </c>
      <c r="BG68" s="83">
        <v>3.1820899999999999E-2</v>
      </c>
      <c r="BH68" s="83">
        <v>3.4108600000000003E-2</v>
      </c>
      <c r="BI68" s="83">
        <v>5.8498999999999999E-3</v>
      </c>
      <c r="BJ68" s="83">
        <v>3.1282600000000001E-2</v>
      </c>
      <c r="BK68" s="83">
        <v>3.4135199999999997E-2</v>
      </c>
      <c r="BL68" s="83">
        <v>5.8498999999999999E-3</v>
      </c>
      <c r="BM68" s="83">
        <v>3.0371800000000001E-2</v>
      </c>
      <c r="BN68" s="83">
        <v>3.3683900000000003E-2</v>
      </c>
      <c r="BO68" s="83">
        <v>5.8498999999999999E-3</v>
      </c>
      <c r="BP68" s="83">
        <v>2.9542800000000001E-2</v>
      </c>
      <c r="BQ68" s="83">
        <v>3.3968699999999998E-2</v>
      </c>
      <c r="BR68" s="83">
        <v>5.8498999999999999E-3</v>
      </c>
      <c r="BS68" s="83">
        <v>2.9448100000000001E-2</v>
      </c>
      <c r="BT68" s="83">
        <v>3.4679599999999998E-2</v>
      </c>
      <c r="BU68" s="83">
        <v>5.8498999999999999E-3</v>
      </c>
      <c r="BV68" s="83">
        <v>2.7142199999999998E-2</v>
      </c>
      <c r="BW68" s="83">
        <v>3.3578799999999999E-2</v>
      </c>
      <c r="BX68" s="83">
        <v>5.8498999999999999E-3</v>
      </c>
      <c r="BY68" s="83">
        <v>2.7530900000000001E-2</v>
      </c>
      <c r="BZ68" s="83">
        <v>3.4740800000000002E-2</v>
      </c>
      <c r="CA68" s="83">
        <v>5.8498999999999999E-3</v>
      </c>
      <c r="CB68" s="83">
        <v>2.6414E-2</v>
      </c>
      <c r="CC68" s="83">
        <v>3.3985700000000001E-2</v>
      </c>
      <c r="CD68" s="83">
        <v>5.8498999999999999E-3</v>
      </c>
      <c r="CE68" s="83">
        <v>2.5704899999999999E-2</v>
      </c>
      <c r="CF68" s="83">
        <v>3.3761600000000003E-2</v>
      </c>
      <c r="CG68" s="83">
        <v>5.8498999999999999E-3</v>
      </c>
      <c r="CH68" s="83">
        <v>2.52696E-2</v>
      </c>
      <c r="CI68" s="83">
        <v>3.4387099999999997E-2</v>
      </c>
      <c r="CJ68" s="83">
        <v>5.8498999999999999E-3</v>
      </c>
      <c r="CK68" s="83">
        <v>2.41614E-2</v>
      </c>
      <c r="CL68" s="83">
        <v>3.3852500000000001E-2</v>
      </c>
      <c r="CM68" s="83">
        <v>5.8498999999999999E-3</v>
      </c>
      <c r="CN68" s="83">
        <v>2.35677E-2</v>
      </c>
      <c r="CO68" s="83">
        <v>3.3491399999999998E-2</v>
      </c>
      <c r="CP68" s="83">
        <v>5.8498999999999999E-3</v>
      </c>
      <c r="CQ68" s="83">
        <v>2.2579399999999999E-2</v>
      </c>
      <c r="CR68" s="83">
        <v>3.3708599999999998E-2</v>
      </c>
      <c r="CS68" s="83">
        <v>5.8498999999999999E-3</v>
      </c>
      <c r="CT68" s="83">
        <v>2.3158399999999999E-2</v>
      </c>
      <c r="CU68" s="83">
        <v>3.4000500000000003E-2</v>
      </c>
      <c r="CV68" s="83">
        <v>5.8498999999999999E-3</v>
      </c>
      <c r="CW68" s="83">
        <v>2.2755299999999999E-2</v>
      </c>
      <c r="CX68" s="83">
        <v>3.3938599999999999E-2</v>
      </c>
      <c r="CY68" s="83">
        <v>5.8498999999999999E-3</v>
      </c>
      <c r="CZ68" s="83">
        <v>2.2377600000000001E-2</v>
      </c>
      <c r="DA68" s="83">
        <v>3.3711699999999997E-2</v>
      </c>
    </row>
    <row r="69" spans="1:105" x14ac:dyDescent="0.2">
      <c r="A69" s="83">
        <v>5.9499000000000002E-3</v>
      </c>
      <c r="B69" s="83">
        <v>3.6034799999999999E-2</v>
      </c>
      <c r="C69" s="83">
        <v>3.1875000000000001E-2</v>
      </c>
      <c r="D69" s="83">
        <v>5.9499000000000002E-3</v>
      </c>
      <c r="E69" s="83">
        <v>3.7511299999999997E-2</v>
      </c>
      <c r="F69" s="83">
        <v>3.2566199999999997E-2</v>
      </c>
      <c r="G69" s="83">
        <v>5.9499000000000002E-3</v>
      </c>
      <c r="H69" s="83">
        <v>3.7370300000000002E-2</v>
      </c>
      <c r="I69" s="83">
        <v>3.2908600000000003E-2</v>
      </c>
      <c r="J69" s="83">
        <v>5.9499000000000002E-3</v>
      </c>
      <c r="K69" s="83">
        <v>3.5463399999999999E-2</v>
      </c>
      <c r="L69" s="83">
        <v>3.1710599999999999E-2</v>
      </c>
      <c r="M69" s="83">
        <v>5.9499000000000002E-3</v>
      </c>
      <c r="N69" s="83">
        <v>3.48305E-2</v>
      </c>
      <c r="O69" s="83">
        <v>3.1883300000000003E-2</v>
      </c>
      <c r="P69" s="83">
        <v>5.9499000000000002E-3</v>
      </c>
      <c r="Q69" s="83">
        <v>3.5117000000000002E-2</v>
      </c>
      <c r="R69" s="83">
        <v>3.1980799999999997E-2</v>
      </c>
      <c r="S69" s="83">
        <v>5.9499000000000002E-3</v>
      </c>
      <c r="T69" s="83">
        <v>3.49982E-2</v>
      </c>
      <c r="U69" s="83">
        <v>3.2213699999999998E-2</v>
      </c>
      <c r="V69" s="83">
        <v>5.9499000000000002E-3</v>
      </c>
      <c r="W69" s="83">
        <v>3.5234700000000001E-2</v>
      </c>
      <c r="X69" s="83">
        <v>3.2754400000000003E-2</v>
      </c>
      <c r="Y69" s="83">
        <v>5.9499000000000002E-3</v>
      </c>
      <c r="Z69" s="83">
        <v>3.3550700000000003E-2</v>
      </c>
      <c r="AA69" s="83">
        <v>3.19148E-2</v>
      </c>
      <c r="AB69" s="83">
        <v>5.9499000000000002E-3</v>
      </c>
      <c r="AC69" s="83">
        <v>3.4324800000000003E-2</v>
      </c>
      <c r="AD69" s="83">
        <v>3.2410099999999997E-2</v>
      </c>
      <c r="AE69" s="83">
        <v>5.9499000000000002E-3</v>
      </c>
      <c r="AF69" s="83">
        <v>3.4495400000000002E-2</v>
      </c>
      <c r="AG69" s="83">
        <v>3.2878999999999999E-2</v>
      </c>
      <c r="AH69" s="83">
        <v>5.9499000000000002E-3</v>
      </c>
      <c r="AI69" s="83">
        <v>3.3615600000000002E-2</v>
      </c>
      <c r="AJ69" s="83">
        <v>3.2691999999999999E-2</v>
      </c>
      <c r="AK69" s="83">
        <v>5.9499000000000002E-3</v>
      </c>
      <c r="AL69" s="83">
        <v>3.3519599999999997E-2</v>
      </c>
      <c r="AM69" s="83">
        <v>3.2847800000000003E-2</v>
      </c>
      <c r="AN69" s="83">
        <v>5.9499000000000002E-3</v>
      </c>
      <c r="AO69" s="83">
        <v>3.2373199999999998E-2</v>
      </c>
      <c r="AP69" s="83">
        <v>3.1835000000000002E-2</v>
      </c>
      <c r="AQ69" s="83">
        <v>5.9499000000000002E-3</v>
      </c>
      <c r="AR69" s="83">
        <v>3.2447900000000002E-2</v>
      </c>
      <c r="AS69" s="83">
        <v>3.2465899999999999E-2</v>
      </c>
      <c r="AT69" s="83">
        <v>5.9499000000000002E-3</v>
      </c>
      <c r="AU69" s="83">
        <v>3.2269899999999997E-2</v>
      </c>
      <c r="AV69" s="83">
        <v>3.2457399999999997E-2</v>
      </c>
      <c r="AW69" s="83">
        <v>5.9499000000000002E-3</v>
      </c>
      <c r="AX69" s="83">
        <v>3.1802499999999997E-2</v>
      </c>
      <c r="AY69" s="83">
        <v>3.3006199999999999E-2</v>
      </c>
      <c r="AZ69" s="83">
        <v>5.9499000000000002E-3</v>
      </c>
      <c r="BA69" s="83">
        <v>3.1774499999999997E-2</v>
      </c>
      <c r="BB69" s="83">
        <v>3.2796600000000002E-2</v>
      </c>
      <c r="BC69" s="83">
        <v>5.9499000000000002E-3</v>
      </c>
      <c r="BD69" s="83">
        <v>3.05244E-2</v>
      </c>
      <c r="BE69" s="83">
        <v>3.2211799999999999E-2</v>
      </c>
      <c r="BF69" s="83">
        <v>5.9499000000000002E-3</v>
      </c>
      <c r="BG69" s="83">
        <v>3.0250599999999999E-2</v>
      </c>
      <c r="BH69" s="83">
        <v>3.2490400000000003E-2</v>
      </c>
      <c r="BI69" s="83">
        <v>5.9499000000000002E-3</v>
      </c>
      <c r="BJ69" s="83">
        <v>2.9671199999999998E-2</v>
      </c>
      <c r="BK69" s="83">
        <v>3.2518999999999999E-2</v>
      </c>
      <c r="BL69" s="83">
        <v>5.9499000000000002E-3</v>
      </c>
      <c r="BM69" s="83">
        <v>2.8703900000000001E-2</v>
      </c>
      <c r="BN69" s="83">
        <v>3.2079400000000001E-2</v>
      </c>
      <c r="BO69" s="83">
        <v>5.9499000000000002E-3</v>
      </c>
      <c r="BP69" s="83">
        <v>2.7937300000000002E-2</v>
      </c>
      <c r="BQ69" s="83">
        <v>3.23769E-2</v>
      </c>
      <c r="BR69" s="83">
        <v>5.9499000000000002E-3</v>
      </c>
      <c r="BS69" s="83">
        <v>2.7375900000000002E-2</v>
      </c>
      <c r="BT69" s="83">
        <v>3.3021399999999999E-2</v>
      </c>
      <c r="BU69" s="83">
        <v>5.9499000000000002E-3</v>
      </c>
      <c r="BV69" s="83">
        <v>2.54547E-2</v>
      </c>
      <c r="BW69" s="83">
        <v>3.1972399999999998E-2</v>
      </c>
      <c r="BX69" s="83">
        <v>5.9499000000000002E-3</v>
      </c>
      <c r="BY69" s="83">
        <v>2.60758E-2</v>
      </c>
      <c r="BZ69" s="83">
        <v>3.3079699999999997E-2</v>
      </c>
      <c r="CA69" s="83">
        <v>5.9499000000000002E-3</v>
      </c>
      <c r="CB69" s="83">
        <v>2.47519E-2</v>
      </c>
      <c r="CC69" s="83">
        <v>3.2344999999999999E-2</v>
      </c>
      <c r="CD69" s="83">
        <v>5.9499000000000002E-3</v>
      </c>
      <c r="CE69" s="83">
        <v>2.3786999999999999E-2</v>
      </c>
      <c r="CF69" s="83">
        <v>3.2132599999999997E-2</v>
      </c>
      <c r="CG69" s="83">
        <v>5.9499000000000002E-3</v>
      </c>
      <c r="CH69" s="83">
        <v>2.3718800000000002E-2</v>
      </c>
      <c r="CI69" s="83">
        <v>3.2724099999999999E-2</v>
      </c>
      <c r="CJ69" s="83">
        <v>5.9499000000000002E-3</v>
      </c>
      <c r="CK69" s="83">
        <v>2.2813699999999999E-2</v>
      </c>
      <c r="CL69" s="83">
        <v>3.2214800000000002E-2</v>
      </c>
      <c r="CM69" s="83">
        <v>5.9499000000000002E-3</v>
      </c>
      <c r="CN69" s="83">
        <v>2.20424E-2</v>
      </c>
      <c r="CO69" s="83">
        <v>3.1887899999999997E-2</v>
      </c>
      <c r="CP69" s="83">
        <v>5.9499000000000002E-3</v>
      </c>
      <c r="CQ69" s="83">
        <v>2.15423E-2</v>
      </c>
      <c r="CR69" s="83">
        <v>3.2108999999999999E-2</v>
      </c>
      <c r="CS69" s="83">
        <v>5.9499000000000002E-3</v>
      </c>
      <c r="CT69" s="83">
        <v>2.1640800000000002E-2</v>
      </c>
      <c r="CU69" s="83">
        <v>3.2361800000000003E-2</v>
      </c>
      <c r="CV69" s="83">
        <v>5.9499000000000002E-3</v>
      </c>
      <c r="CW69" s="83">
        <v>2.1544399999999998E-2</v>
      </c>
      <c r="CX69" s="83">
        <v>3.2316499999999998E-2</v>
      </c>
      <c r="CY69" s="83">
        <v>5.9499000000000002E-3</v>
      </c>
      <c r="CZ69" s="83">
        <v>2.0553399999999999E-2</v>
      </c>
      <c r="DA69" s="83">
        <v>3.2066200000000003E-2</v>
      </c>
    </row>
    <row r="70" spans="1:105" x14ac:dyDescent="0.2">
      <c r="A70" s="83">
        <v>6.0499000000000004E-3</v>
      </c>
      <c r="B70" s="83">
        <v>3.4208599999999999E-2</v>
      </c>
      <c r="C70" s="83">
        <v>3.0409100000000001E-2</v>
      </c>
      <c r="D70" s="83">
        <v>6.0499000000000004E-3</v>
      </c>
      <c r="E70" s="83">
        <v>3.5548400000000001E-2</v>
      </c>
      <c r="F70" s="83">
        <v>3.1028199999999999E-2</v>
      </c>
      <c r="G70" s="83">
        <v>6.0499000000000004E-3</v>
      </c>
      <c r="H70" s="83">
        <v>3.5178899999999999E-2</v>
      </c>
      <c r="I70" s="83">
        <v>3.1352900000000003E-2</v>
      </c>
      <c r="J70" s="83">
        <v>6.0499000000000004E-3</v>
      </c>
      <c r="K70" s="83">
        <v>3.3332599999999997E-2</v>
      </c>
      <c r="L70" s="83">
        <v>3.0217399999999998E-2</v>
      </c>
      <c r="M70" s="83">
        <v>6.0499000000000004E-3</v>
      </c>
      <c r="N70" s="83">
        <v>3.3025800000000001E-2</v>
      </c>
      <c r="O70" s="83">
        <v>3.0381399999999999E-2</v>
      </c>
      <c r="P70" s="83">
        <v>6.0499000000000004E-3</v>
      </c>
      <c r="Q70" s="83">
        <v>3.3126700000000002E-2</v>
      </c>
      <c r="R70" s="83">
        <v>3.0476799999999998E-2</v>
      </c>
      <c r="S70" s="83">
        <v>6.0499000000000004E-3</v>
      </c>
      <c r="T70" s="83">
        <v>3.3090000000000001E-2</v>
      </c>
      <c r="U70" s="83">
        <v>3.0703899999999999E-2</v>
      </c>
      <c r="V70" s="83">
        <v>6.0499000000000004E-3</v>
      </c>
      <c r="W70" s="83">
        <v>3.3098000000000002E-2</v>
      </c>
      <c r="X70" s="83">
        <v>3.1219199999999999E-2</v>
      </c>
      <c r="Y70" s="83">
        <v>6.0499000000000004E-3</v>
      </c>
      <c r="Z70" s="83">
        <v>3.1722599999999997E-2</v>
      </c>
      <c r="AA70" s="83">
        <v>3.0411799999999999E-2</v>
      </c>
      <c r="AB70" s="83">
        <v>6.0499000000000004E-3</v>
      </c>
      <c r="AC70" s="83">
        <v>3.2033699999999998E-2</v>
      </c>
      <c r="AD70" s="83">
        <v>3.0872E-2</v>
      </c>
      <c r="AE70" s="83">
        <v>6.0499000000000004E-3</v>
      </c>
      <c r="AF70" s="83">
        <v>3.22473E-2</v>
      </c>
      <c r="AG70" s="83">
        <v>3.1322299999999997E-2</v>
      </c>
      <c r="AH70" s="83">
        <v>6.0499000000000004E-3</v>
      </c>
      <c r="AI70" s="83">
        <v>3.2041300000000002E-2</v>
      </c>
      <c r="AJ70" s="83">
        <v>3.11823E-2</v>
      </c>
      <c r="AK70" s="83">
        <v>6.0499000000000004E-3</v>
      </c>
      <c r="AL70" s="83">
        <v>3.1728600000000003E-2</v>
      </c>
      <c r="AM70" s="83">
        <v>3.1296999999999998E-2</v>
      </c>
      <c r="AN70" s="83">
        <v>6.0499000000000004E-3</v>
      </c>
      <c r="AO70" s="83">
        <v>3.0289199999999999E-2</v>
      </c>
      <c r="AP70" s="83">
        <v>3.03468E-2</v>
      </c>
      <c r="AQ70" s="83">
        <v>6.0499000000000004E-3</v>
      </c>
      <c r="AR70" s="83">
        <v>2.9934200000000001E-2</v>
      </c>
      <c r="AS70" s="83">
        <v>3.0958099999999999E-2</v>
      </c>
      <c r="AT70" s="83">
        <v>6.0499000000000004E-3</v>
      </c>
      <c r="AU70" s="83">
        <v>3.0219099999999999E-2</v>
      </c>
      <c r="AV70" s="83">
        <v>3.0954499999999999E-2</v>
      </c>
      <c r="AW70" s="83">
        <v>6.0499000000000004E-3</v>
      </c>
      <c r="AX70" s="83">
        <v>3.0202900000000001E-2</v>
      </c>
      <c r="AY70" s="83">
        <v>3.1469999999999998E-2</v>
      </c>
      <c r="AZ70" s="83">
        <v>6.0499000000000004E-3</v>
      </c>
      <c r="BA70" s="83">
        <v>2.99034E-2</v>
      </c>
      <c r="BB70" s="83">
        <v>3.12517E-2</v>
      </c>
      <c r="BC70" s="83">
        <v>6.0499000000000004E-3</v>
      </c>
      <c r="BD70" s="83">
        <v>2.8655300000000002E-2</v>
      </c>
      <c r="BE70" s="83">
        <v>3.0730299999999999E-2</v>
      </c>
      <c r="BF70" s="83">
        <v>6.0499000000000004E-3</v>
      </c>
      <c r="BG70" s="83">
        <v>2.8531899999999999E-2</v>
      </c>
      <c r="BH70" s="83">
        <v>3.09631E-2</v>
      </c>
      <c r="BI70" s="83">
        <v>6.0499000000000004E-3</v>
      </c>
      <c r="BJ70" s="83">
        <v>2.7809899999999999E-2</v>
      </c>
      <c r="BK70" s="83">
        <v>3.0986799999999998E-2</v>
      </c>
      <c r="BL70" s="83">
        <v>6.0499000000000004E-3</v>
      </c>
      <c r="BM70" s="83">
        <v>2.6965599999999999E-2</v>
      </c>
      <c r="BN70" s="83">
        <v>3.0598899999999998E-2</v>
      </c>
      <c r="BO70" s="83">
        <v>6.0499000000000004E-3</v>
      </c>
      <c r="BP70" s="83">
        <v>2.6105300000000001E-2</v>
      </c>
      <c r="BQ70" s="83">
        <v>3.0853499999999999E-2</v>
      </c>
      <c r="BR70" s="83">
        <v>6.0499000000000004E-3</v>
      </c>
      <c r="BS70" s="83">
        <v>2.6061399999999998E-2</v>
      </c>
      <c r="BT70" s="83">
        <v>3.1468700000000002E-2</v>
      </c>
      <c r="BU70" s="83">
        <v>6.0499000000000004E-3</v>
      </c>
      <c r="BV70" s="83">
        <v>2.4269099999999998E-2</v>
      </c>
      <c r="BW70" s="83">
        <v>3.0497799999999999E-2</v>
      </c>
      <c r="BX70" s="83">
        <v>6.0499000000000004E-3</v>
      </c>
      <c r="BY70" s="83">
        <v>2.42203E-2</v>
      </c>
      <c r="BZ70" s="83">
        <v>3.1514199999999999E-2</v>
      </c>
      <c r="CA70" s="83">
        <v>6.0499000000000004E-3</v>
      </c>
      <c r="CB70" s="83">
        <v>2.3374900000000001E-2</v>
      </c>
      <c r="CC70" s="83">
        <v>3.0843099999999998E-2</v>
      </c>
      <c r="CD70" s="83">
        <v>6.0499000000000004E-3</v>
      </c>
      <c r="CE70" s="83">
        <v>2.23456E-2</v>
      </c>
      <c r="CF70" s="83">
        <v>3.0653199999999999E-2</v>
      </c>
      <c r="CG70" s="83">
        <v>6.0499000000000004E-3</v>
      </c>
      <c r="CH70" s="83">
        <v>2.23555E-2</v>
      </c>
      <c r="CI70" s="83">
        <v>3.11811E-2</v>
      </c>
      <c r="CJ70" s="83">
        <v>6.0499000000000004E-3</v>
      </c>
      <c r="CK70" s="83">
        <v>2.1387900000000001E-2</v>
      </c>
      <c r="CL70" s="83">
        <v>3.0692400000000002E-2</v>
      </c>
      <c r="CM70" s="83">
        <v>6.0499000000000004E-3</v>
      </c>
      <c r="CN70" s="83">
        <v>2.0491599999999999E-2</v>
      </c>
      <c r="CO70" s="83">
        <v>3.04192E-2</v>
      </c>
      <c r="CP70" s="83">
        <v>6.0499000000000004E-3</v>
      </c>
      <c r="CQ70" s="83">
        <v>2.0681000000000001E-2</v>
      </c>
      <c r="CR70" s="83">
        <v>3.0598199999999999E-2</v>
      </c>
      <c r="CS70" s="83">
        <v>6.0499000000000004E-3</v>
      </c>
      <c r="CT70" s="83">
        <v>2.0640800000000001E-2</v>
      </c>
      <c r="CU70" s="83">
        <v>3.0829599999999999E-2</v>
      </c>
      <c r="CV70" s="83">
        <v>6.0499000000000004E-3</v>
      </c>
      <c r="CW70" s="83">
        <v>2.0114699999999999E-2</v>
      </c>
      <c r="CX70" s="83">
        <v>3.0805800000000001E-2</v>
      </c>
      <c r="CY70" s="83">
        <v>6.0499000000000004E-3</v>
      </c>
      <c r="CZ70" s="83">
        <v>1.92897E-2</v>
      </c>
      <c r="DA70" s="83">
        <v>3.0558399999999999E-2</v>
      </c>
    </row>
    <row r="71" spans="1:105" x14ac:dyDescent="0.2">
      <c r="A71" s="83">
        <v>6.1498999999999998E-3</v>
      </c>
      <c r="B71" s="83">
        <v>3.2153899999999999E-2</v>
      </c>
      <c r="C71" s="83">
        <v>2.8969700000000001E-2</v>
      </c>
      <c r="D71" s="83">
        <v>6.1498999999999998E-3</v>
      </c>
      <c r="E71" s="83">
        <v>3.2710500000000003E-2</v>
      </c>
      <c r="F71" s="83">
        <v>2.9578900000000002E-2</v>
      </c>
      <c r="G71" s="83">
        <v>6.1498999999999998E-3</v>
      </c>
      <c r="H71" s="83">
        <v>3.3173000000000001E-2</v>
      </c>
      <c r="I71" s="83">
        <v>2.98842E-2</v>
      </c>
      <c r="J71" s="83">
        <v>6.1498999999999998E-3</v>
      </c>
      <c r="K71" s="83">
        <v>3.1482999999999997E-2</v>
      </c>
      <c r="L71" s="83">
        <v>2.87789E-2</v>
      </c>
      <c r="M71" s="83">
        <v>6.1498999999999998E-3</v>
      </c>
      <c r="N71" s="83">
        <v>3.1176200000000001E-2</v>
      </c>
      <c r="O71" s="83">
        <v>2.8958500000000002E-2</v>
      </c>
      <c r="P71" s="83">
        <v>6.1498999999999998E-3</v>
      </c>
      <c r="Q71" s="83">
        <v>3.1263399999999997E-2</v>
      </c>
      <c r="R71" s="83">
        <v>2.90481E-2</v>
      </c>
      <c r="S71" s="83">
        <v>6.1498999999999998E-3</v>
      </c>
      <c r="T71" s="83">
        <v>3.1127200000000001E-2</v>
      </c>
      <c r="U71" s="83">
        <v>2.9219599999999998E-2</v>
      </c>
      <c r="V71" s="83">
        <v>6.1498999999999998E-3</v>
      </c>
      <c r="W71" s="83">
        <v>3.1043299999999999E-2</v>
      </c>
      <c r="X71" s="83">
        <v>2.97446E-2</v>
      </c>
      <c r="Y71" s="83">
        <v>6.1498999999999998E-3</v>
      </c>
      <c r="Z71" s="83">
        <v>3.00722E-2</v>
      </c>
      <c r="AA71" s="83">
        <v>2.8991900000000001E-2</v>
      </c>
      <c r="AB71" s="83">
        <v>6.1498999999999998E-3</v>
      </c>
      <c r="AC71" s="83">
        <v>2.9992700000000001E-2</v>
      </c>
      <c r="AD71" s="83">
        <v>2.94472E-2</v>
      </c>
      <c r="AE71" s="83">
        <v>6.1498999999999998E-3</v>
      </c>
      <c r="AF71" s="83">
        <v>3.0321500000000001E-2</v>
      </c>
      <c r="AG71" s="83">
        <v>2.9856500000000001E-2</v>
      </c>
      <c r="AH71" s="83">
        <v>6.1498999999999998E-3</v>
      </c>
      <c r="AI71" s="83">
        <v>2.9840200000000001E-2</v>
      </c>
      <c r="AJ71" s="83">
        <v>2.97164E-2</v>
      </c>
      <c r="AK71" s="83">
        <v>6.1498999999999998E-3</v>
      </c>
      <c r="AL71" s="83">
        <v>3.00196E-2</v>
      </c>
      <c r="AM71" s="83">
        <v>2.9863399999999998E-2</v>
      </c>
      <c r="AN71" s="83">
        <v>6.1498999999999998E-3</v>
      </c>
      <c r="AO71" s="83">
        <v>2.8492400000000001E-2</v>
      </c>
      <c r="AP71" s="83">
        <v>2.88858E-2</v>
      </c>
      <c r="AQ71" s="83">
        <v>6.1498999999999998E-3</v>
      </c>
      <c r="AR71" s="83">
        <v>2.8270099999999999E-2</v>
      </c>
      <c r="AS71" s="83">
        <v>2.95108E-2</v>
      </c>
      <c r="AT71" s="83">
        <v>6.1498999999999998E-3</v>
      </c>
      <c r="AU71" s="83">
        <v>2.8597999999999998E-2</v>
      </c>
      <c r="AV71" s="83">
        <v>2.95336E-2</v>
      </c>
      <c r="AW71" s="83">
        <v>6.1498999999999998E-3</v>
      </c>
      <c r="AX71" s="83">
        <v>2.86755E-2</v>
      </c>
      <c r="AY71" s="83">
        <v>3.0013999999999999E-2</v>
      </c>
      <c r="AZ71" s="83">
        <v>6.1498999999999998E-3</v>
      </c>
      <c r="BA71" s="83">
        <v>2.7944400000000001E-2</v>
      </c>
      <c r="BB71" s="83">
        <v>2.9805399999999999E-2</v>
      </c>
      <c r="BC71" s="83">
        <v>6.1498999999999998E-3</v>
      </c>
      <c r="BD71" s="83">
        <v>2.7170900000000001E-2</v>
      </c>
      <c r="BE71" s="83">
        <v>2.9266500000000001E-2</v>
      </c>
      <c r="BF71" s="83">
        <v>6.1498999999999998E-3</v>
      </c>
      <c r="BG71" s="83">
        <v>2.69479E-2</v>
      </c>
      <c r="BH71" s="83">
        <v>2.95178E-2</v>
      </c>
      <c r="BI71" s="83">
        <v>6.1498999999999998E-3</v>
      </c>
      <c r="BJ71" s="83">
        <v>2.6337200000000002E-2</v>
      </c>
      <c r="BK71" s="83">
        <v>2.9525800000000001E-2</v>
      </c>
      <c r="BL71" s="83">
        <v>6.1498999999999998E-3</v>
      </c>
      <c r="BM71" s="83">
        <v>2.5467500000000001E-2</v>
      </c>
      <c r="BN71" s="83">
        <v>2.91673E-2</v>
      </c>
      <c r="BO71" s="83">
        <v>6.1498999999999998E-3</v>
      </c>
      <c r="BP71" s="83">
        <v>2.4630699999999998E-2</v>
      </c>
      <c r="BQ71" s="83">
        <v>2.9427700000000001E-2</v>
      </c>
      <c r="BR71" s="83">
        <v>6.1498999999999998E-3</v>
      </c>
      <c r="BS71" s="83">
        <v>2.4502800000000002E-2</v>
      </c>
      <c r="BT71" s="83">
        <v>2.9996999999999999E-2</v>
      </c>
      <c r="BU71" s="83">
        <v>6.1498999999999998E-3</v>
      </c>
      <c r="BV71" s="83">
        <v>2.25425E-2</v>
      </c>
      <c r="BW71" s="83">
        <v>2.9058299999999999E-2</v>
      </c>
      <c r="BX71" s="83">
        <v>6.1498999999999998E-3</v>
      </c>
      <c r="BY71" s="83">
        <v>2.31735E-2</v>
      </c>
      <c r="BZ71" s="83">
        <v>3.0045499999999999E-2</v>
      </c>
      <c r="CA71" s="83">
        <v>6.1498999999999998E-3</v>
      </c>
      <c r="CB71" s="83">
        <v>2.2025300000000001E-2</v>
      </c>
      <c r="CC71" s="83">
        <v>2.9391899999999999E-2</v>
      </c>
      <c r="CD71" s="83">
        <v>6.1498999999999998E-3</v>
      </c>
      <c r="CE71" s="83">
        <v>2.0960800000000002E-2</v>
      </c>
      <c r="CF71" s="83">
        <v>2.9201999999999999E-2</v>
      </c>
      <c r="CG71" s="83">
        <v>6.1498999999999998E-3</v>
      </c>
      <c r="CH71" s="83">
        <v>2.0958999999999998E-2</v>
      </c>
      <c r="CI71" s="83">
        <v>2.97387E-2</v>
      </c>
      <c r="CJ71" s="83">
        <v>6.1498999999999998E-3</v>
      </c>
      <c r="CK71" s="83">
        <v>2.0641900000000001E-2</v>
      </c>
      <c r="CL71" s="83">
        <v>2.92695E-2</v>
      </c>
      <c r="CM71" s="83">
        <v>6.1498999999999998E-3</v>
      </c>
      <c r="CN71" s="83">
        <v>1.96478E-2</v>
      </c>
      <c r="CO71" s="83">
        <v>2.8971899999999998E-2</v>
      </c>
      <c r="CP71" s="83">
        <v>6.1498999999999998E-3</v>
      </c>
      <c r="CQ71" s="83">
        <v>1.90794E-2</v>
      </c>
      <c r="CR71" s="83">
        <v>2.91627E-2</v>
      </c>
      <c r="CS71" s="83">
        <v>6.1498999999999998E-3</v>
      </c>
      <c r="CT71" s="83">
        <v>1.9371300000000001E-2</v>
      </c>
      <c r="CU71" s="83">
        <v>2.9390199999999998E-2</v>
      </c>
      <c r="CV71" s="83">
        <v>6.1498999999999998E-3</v>
      </c>
      <c r="CW71" s="83">
        <v>1.8763100000000001E-2</v>
      </c>
      <c r="CX71" s="83">
        <v>2.93712E-2</v>
      </c>
      <c r="CY71" s="83">
        <v>6.1498999999999998E-3</v>
      </c>
      <c r="CZ71" s="83">
        <v>1.84245E-2</v>
      </c>
      <c r="DA71" s="83">
        <v>2.9148199999999999E-2</v>
      </c>
    </row>
    <row r="72" spans="1:105" x14ac:dyDescent="0.2">
      <c r="A72" s="83">
        <v>6.2499000000000001E-3</v>
      </c>
      <c r="B72" s="83">
        <v>3.0601199999999999E-2</v>
      </c>
      <c r="C72" s="83">
        <v>2.7539999999999999E-2</v>
      </c>
      <c r="D72" s="83">
        <v>6.2499000000000001E-3</v>
      </c>
      <c r="E72" s="83">
        <v>3.1052300000000001E-2</v>
      </c>
      <c r="F72" s="83">
        <v>2.8148300000000001E-2</v>
      </c>
      <c r="G72" s="83">
        <v>6.2499000000000001E-3</v>
      </c>
      <c r="H72" s="83">
        <v>3.1329200000000001E-2</v>
      </c>
      <c r="I72" s="83">
        <v>2.84389E-2</v>
      </c>
      <c r="J72" s="83">
        <v>6.2499000000000001E-3</v>
      </c>
      <c r="K72" s="83">
        <v>2.9717400000000001E-2</v>
      </c>
      <c r="L72" s="83">
        <v>2.7382500000000001E-2</v>
      </c>
      <c r="M72" s="83">
        <v>6.2499000000000001E-3</v>
      </c>
      <c r="N72" s="83">
        <v>2.94477E-2</v>
      </c>
      <c r="O72" s="83">
        <v>2.75415E-2</v>
      </c>
      <c r="P72" s="83">
        <v>6.2499000000000001E-3</v>
      </c>
      <c r="Q72" s="83">
        <v>2.9415799999999999E-2</v>
      </c>
      <c r="R72" s="83">
        <v>2.7664299999999999E-2</v>
      </c>
      <c r="S72" s="83">
        <v>6.2499000000000001E-3</v>
      </c>
      <c r="T72" s="83">
        <v>2.9761900000000001E-2</v>
      </c>
      <c r="U72" s="83">
        <v>2.78319E-2</v>
      </c>
      <c r="V72" s="83">
        <v>6.2499000000000001E-3</v>
      </c>
      <c r="W72" s="83">
        <v>2.9314799999999998E-2</v>
      </c>
      <c r="X72" s="83">
        <v>2.83091E-2</v>
      </c>
      <c r="Y72" s="83">
        <v>6.2499000000000001E-3</v>
      </c>
      <c r="Z72" s="83">
        <v>2.8062400000000001E-2</v>
      </c>
      <c r="AA72" s="83">
        <v>2.7574899999999999E-2</v>
      </c>
      <c r="AB72" s="83">
        <v>6.2499000000000001E-3</v>
      </c>
      <c r="AC72" s="83">
        <v>2.8016200000000002E-2</v>
      </c>
      <c r="AD72" s="83">
        <v>2.8018499999999998E-2</v>
      </c>
      <c r="AE72" s="83">
        <v>6.2499000000000001E-3</v>
      </c>
      <c r="AF72" s="83">
        <v>2.8932900000000001E-2</v>
      </c>
      <c r="AG72" s="83">
        <v>2.8444400000000002E-2</v>
      </c>
      <c r="AH72" s="83">
        <v>6.2499000000000001E-3</v>
      </c>
      <c r="AI72" s="83">
        <v>2.82542E-2</v>
      </c>
      <c r="AJ72" s="83">
        <v>2.8290699999999998E-2</v>
      </c>
      <c r="AK72" s="83">
        <v>6.2499000000000001E-3</v>
      </c>
      <c r="AL72" s="83">
        <v>2.8566500000000002E-2</v>
      </c>
      <c r="AM72" s="83">
        <v>2.8435700000000001E-2</v>
      </c>
      <c r="AN72" s="83">
        <v>6.2499000000000001E-3</v>
      </c>
      <c r="AO72" s="83">
        <v>2.6679899999999999E-2</v>
      </c>
      <c r="AP72" s="83">
        <v>2.74942E-2</v>
      </c>
      <c r="AQ72" s="83">
        <v>6.2499000000000001E-3</v>
      </c>
      <c r="AR72" s="83">
        <v>2.6768199999999999E-2</v>
      </c>
      <c r="AS72" s="83">
        <v>2.8086E-2</v>
      </c>
      <c r="AT72" s="83">
        <v>6.2499000000000001E-3</v>
      </c>
      <c r="AU72" s="83">
        <v>2.6578500000000001E-2</v>
      </c>
      <c r="AV72" s="83">
        <v>2.81029E-2</v>
      </c>
      <c r="AW72" s="83">
        <v>6.2499000000000001E-3</v>
      </c>
      <c r="AX72" s="83">
        <v>2.6782899999999998E-2</v>
      </c>
      <c r="AY72" s="83">
        <v>2.8589199999999999E-2</v>
      </c>
      <c r="AZ72" s="83">
        <v>6.2499000000000001E-3</v>
      </c>
      <c r="BA72" s="83">
        <v>2.6516600000000001E-2</v>
      </c>
      <c r="BB72" s="83">
        <v>2.8385500000000001E-2</v>
      </c>
      <c r="BC72" s="83">
        <v>6.2499000000000001E-3</v>
      </c>
      <c r="BD72" s="83">
        <v>2.5395500000000001E-2</v>
      </c>
      <c r="BE72" s="83">
        <v>2.7839699999999998E-2</v>
      </c>
      <c r="BF72" s="83">
        <v>6.2499000000000001E-3</v>
      </c>
      <c r="BG72" s="83">
        <v>2.52584E-2</v>
      </c>
      <c r="BH72" s="83">
        <v>2.8086099999999999E-2</v>
      </c>
      <c r="BI72" s="83">
        <v>6.2499000000000001E-3</v>
      </c>
      <c r="BJ72" s="83">
        <v>2.46263E-2</v>
      </c>
      <c r="BK72" s="83">
        <v>2.8101999999999999E-2</v>
      </c>
      <c r="BL72" s="83">
        <v>6.2499000000000001E-3</v>
      </c>
      <c r="BM72" s="83">
        <v>2.3457800000000001E-2</v>
      </c>
      <c r="BN72" s="83">
        <v>2.7743400000000001E-2</v>
      </c>
      <c r="BO72" s="83">
        <v>6.2499000000000001E-3</v>
      </c>
      <c r="BP72" s="83">
        <v>2.35701E-2</v>
      </c>
      <c r="BQ72" s="83">
        <v>2.8009699999999998E-2</v>
      </c>
      <c r="BR72" s="83">
        <v>6.2499000000000001E-3</v>
      </c>
      <c r="BS72" s="83">
        <v>2.3096599999999998E-2</v>
      </c>
      <c r="BT72" s="83">
        <v>2.85673E-2</v>
      </c>
      <c r="BU72" s="83">
        <v>6.2499000000000001E-3</v>
      </c>
      <c r="BV72" s="83">
        <v>2.1782800000000001E-2</v>
      </c>
      <c r="BW72" s="83">
        <v>2.76257E-2</v>
      </c>
      <c r="BX72" s="83">
        <v>6.2499000000000001E-3</v>
      </c>
      <c r="BY72" s="83">
        <v>2.1634400000000002E-2</v>
      </c>
      <c r="BZ72" s="83">
        <v>2.86129E-2</v>
      </c>
      <c r="CA72" s="83">
        <v>6.2499000000000001E-3</v>
      </c>
      <c r="CB72" s="83">
        <v>2.0810499999999999E-2</v>
      </c>
      <c r="CC72" s="83">
        <v>2.7970999999999999E-2</v>
      </c>
      <c r="CD72" s="83">
        <v>6.2499000000000001E-3</v>
      </c>
      <c r="CE72" s="83">
        <v>1.9812400000000001E-2</v>
      </c>
      <c r="CF72" s="83">
        <v>2.7786000000000002E-2</v>
      </c>
      <c r="CG72" s="83">
        <v>6.2499000000000001E-3</v>
      </c>
      <c r="CH72" s="83">
        <v>1.9773499999999999E-2</v>
      </c>
      <c r="CI72" s="83">
        <v>2.8291400000000001E-2</v>
      </c>
      <c r="CJ72" s="83">
        <v>6.2499000000000001E-3</v>
      </c>
      <c r="CK72" s="83">
        <v>1.9014900000000001E-2</v>
      </c>
      <c r="CL72" s="83">
        <v>2.78506E-2</v>
      </c>
      <c r="CM72" s="83">
        <v>6.2499000000000001E-3</v>
      </c>
      <c r="CN72" s="83">
        <v>1.8599000000000001E-2</v>
      </c>
      <c r="CO72" s="83">
        <v>2.7567600000000001E-2</v>
      </c>
      <c r="CP72" s="83">
        <v>6.2499000000000001E-3</v>
      </c>
      <c r="CQ72" s="83">
        <v>1.7823499999999999E-2</v>
      </c>
      <c r="CR72" s="83">
        <v>2.77623E-2</v>
      </c>
      <c r="CS72" s="83">
        <v>6.2499000000000001E-3</v>
      </c>
      <c r="CT72" s="83">
        <v>1.8013899999999999E-2</v>
      </c>
      <c r="CU72" s="83">
        <v>2.7982900000000002E-2</v>
      </c>
      <c r="CV72" s="83">
        <v>6.2499000000000001E-3</v>
      </c>
      <c r="CW72" s="83">
        <v>1.7845199999999999E-2</v>
      </c>
      <c r="CX72" s="83">
        <v>2.792E-2</v>
      </c>
      <c r="CY72" s="83">
        <v>6.2499000000000001E-3</v>
      </c>
      <c r="CZ72" s="83">
        <v>1.7522099999999999E-2</v>
      </c>
      <c r="DA72" s="83">
        <v>2.7696999999999999E-2</v>
      </c>
    </row>
    <row r="73" spans="1:105" x14ac:dyDescent="0.2">
      <c r="A73" s="83">
        <v>6.3499000000000003E-3</v>
      </c>
      <c r="B73" s="83">
        <v>2.86813E-2</v>
      </c>
      <c r="C73" s="83">
        <v>2.62802E-2</v>
      </c>
      <c r="D73" s="83">
        <v>6.3499000000000003E-3</v>
      </c>
      <c r="E73" s="83">
        <v>2.9276900000000002E-2</v>
      </c>
      <c r="F73" s="83">
        <v>2.6781099999999999E-2</v>
      </c>
      <c r="G73" s="83">
        <v>6.3499000000000003E-3</v>
      </c>
      <c r="H73" s="83">
        <v>2.9844900000000001E-2</v>
      </c>
      <c r="I73" s="83">
        <v>2.7059E-2</v>
      </c>
      <c r="J73" s="83">
        <v>6.3499000000000003E-3</v>
      </c>
      <c r="K73" s="83">
        <v>2.8521999999999999E-2</v>
      </c>
      <c r="L73" s="83">
        <v>2.60973E-2</v>
      </c>
      <c r="M73" s="83">
        <v>6.3499000000000003E-3</v>
      </c>
      <c r="N73" s="83">
        <v>2.7941899999999999E-2</v>
      </c>
      <c r="O73" s="83">
        <v>2.62603E-2</v>
      </c>
      <c r="P73" s="83">
        <v>6.3499000000000003E-3</v>
      </c>
      <c r="Q73" s="83">
        <v>2.7704800000000002E-2</v>
      </c>
      <c r="R73" s="83">
        <v>2.6361599999999999E-2</v>
      </c>
      <c r="S73" s="83">
        <v>6.3499000000000003E-3</v>
      </c>
      <c r="T73" s="83">
        <v>2.7695500000000001E-2</v>
      </c>
      <c r="U73" s="83">
        <v>2.65174E-2</v>
      </c>
      <c r="V73" s="83">
        <v>6.3499000000000003E-3</v>
      </c>
      <c r="W73" s="83">
        <v>2.7848000000000001E-2</v>
      </c>
      <c r="X73" s="83">
        <v>2.6990699999999999E-2</v>
      </c>
      <c r="Y73" s="83">
        <v>6.3499000000000003E-3</v>
      </c>
      <c r="Z73" s="83">
        <v>2.6845600000000001E-2</v>
      </c>
      <c r="AA73" s="83">
        <v>2.62937E-2</v>
      </c>
      <c r="AB73" s="83">
        <v>6.3499000000000003E-3</v>
      </c>
      <c r="AC73" s="83">
        <v>2.6576700000000002E-2</v>
      </c>
      <c r="AD73" s="83">
        <v>2.6699199999999999E-2</v>
      </c>
      <c r="AE73" s="83">
        <v>6.3499000000000003E-3</v>
      </c>
      <c r="AF73" s="83">
        <v>2.7280499999999999E-2</v>
      </c>
      <c r="AG73" s="83">
        <v>2.7085999999999999E-2</v>
      </c>
      <c r="AH73" s="83">
        <v>6.3499000000000003E-3</v>
      </c>
      <c r="AI73" s="83">
        <v>2.6492499999999999E-2</v>
      </c>
      <c r="AJ73" s="83">
        <v>2.69381E-2</v>
      </c>
      <c r="AK73" s="83">
        <v>6.3499000000000003E-3</v>
      </c>
      <c r="AL73" s="83">
        <v>2.6927900000000001E-2</v>
      </c>
      <c r="AM73" s="83">
        <v>2.7077299999999999E-2</v>
      </c>
      <c r="AN73" s="83">
        <v>6.3499000000000003E-3</v>
      </c>
      <c r="AO73" s="83">
        <v>2.5551000000000001E-2</v>
      </c>
      <c r="AP73" s="83">
        <v>2.6229599999999999E-2</v>
      </c>
      <c r="AQ73" s="83">
        <v>6.3499000000000003E-3</v>
      </c>
      <c r="AR73" s="83">
        <v>2.5336500000000001E-2</v>
      </c>
      <c r="AS73" s="83">
        <v>2.6757900000000001E-2</v>
      </c>
      <c r="AT73" s="83">
        <v>6.3499000000000003E-3</v>
      </c>
      <c r="AU73" s="83">
        <v>2.5391E-2</v>
      </c>
      <c r="AV73" s="83">
        <v>2.6784599999999999E-2</v>
      </c>
      <c r="AW73" s="83">
        <v>6.3499000000000003E-3</v>
      </c>
      <c r="AX73" s="83">
        <v>2.5267299999999999E-2</v>
      </c>
      <c r="AY73" s="83">
        <v>2.7227899999999999E-2</v>
      </c>
      <c r="AZ73" s="83">
        <v>6.3499000000000003E-3</v>
      </c>
      <c r="BA73" s="83">
        <v>2.48799E-2</v>
      </c>
      <c r="BB73" s="83">
        <v>2.7015399999999998E-2</v>
      </c>
      <c r="BC73" s="83">
        <v>6.3499000000000003E-3</v>
      </c>
      <c r="BD73" s="83">
        <v>2.3829099999999999E-2</v>
      </c>
      <c r="BE73" s="83">
        <v>2.6554500000000002E-2</v>
      </c>
      <c r="BF73" s="83">
        <v>6.3499000000000003E-3</v>
      </c>
      <c r="BG73" s="83">
        <v>2.4094399999999998E-2</v>
      </c>
      <c r="BH73" s="83">
        <v>2.6759000000000002E-2</v>
      </c>
      <c r="BI73" s="83">
        <v>6.3499000000000003E-3</v>
      </c>
      <c r="BJ73" s="83">
        <v>2.3120399999999999E-2</v>
      </c>
      <c r="BK73" s="83">
        <v>2.6780700000000001E-2</v>
      </c>
      <c r="BL73" s="83">
        <v>6.3499000000000003E-3</v>
      </c>
      <c r="BM73" s="83">
        <v>2.2274200000000001E-2</v>
      </c>
      <c r="BN73" s="83">
        <v>2.6432899999999999E-2</v>
      </c>
      <c r="BO73" s="83">
        <v>6.3499000000000003E-3</v>
      </c>
      <c r="BP73" s="83">
        <v>2.2449E-2</v>
      </c>
      <c r="BQ73" s="83">
        <v>2.6702099999999999E-2</v>
      </c>
      <c r="BR73" s="83">
        <v>6.3499000000000003E-3</v>
      </c>
      <c r="BS73" s="83">
        <v>2.1795800000000001E-2</v>
      </c>
      <c r="BT73" s="83">
        <v>2.7206000000000001E-2</v>
      </c>
      <c r="BU73" s="83">
        <v>6.3499000000000003E-3</v>
      </c>
      <c r="BV73" s="83">
        <v>2.0280800000000002E-2</v>
      </c>
      <c r="BW73" s="83">
        <v>2.6337599999999999E-2</v>
      </c>
      <c r="BX73" s="83">
        <v>6.3499000000000003E-3</v>
      </c>
      <c r="BY73" s="83">
        <v>2.0638299999999998E-2</v>
      </c>
      <c r="BZ73" s="83">
        <v>2.7239800000000002E-2</v>
      </c>
      <c r="CA73" s="83">
        <v>6.3499000000000003E-3</v>
      </c>
      <c r="CB73" s="83">
        <v>1.9437400000000001E-2</v>
      </c>
      <c r="CC73" s="83">
        <v>2.66302E-2</v>
      </c>
      <c r="CD73" s="83">
        <v>6.3499000000000003E-3</v>
      </c>
      <c r="CE73" s="83">
        <v>1.82831E-2</v>
      </c>
      <c r="CF73" s="83">
        <v>2.6484199999999999E-2</v>
      </c>
      <c r="CG73" s="83">
        <v>6.3499000000000003E-3</v>
      </c>
      <c r="CH73" s="83">
        <v>1.8654299999999999E-2</v>
      </c>
      <c r="CI73" s="83">
        <v>2.6947700000000002E-2</v>
      </c>
      <c r="CJ73" s="83">
        <v>6.3499000000000003E-3</v>
      </c>
      <c r="CK73" s="83">
        <v>1.7848900000000001E-2</v>
      </c>
      <c r="CL73" s="83">
        <v>2.6534200000000001E-2</v>
      </c>
      <c r="CM73" s="83">
        <v>6.3499000000000003E-3</v>
      </c>
      <c r="CN73" s="83">
        <v>1.7020899999999999E-2</v>
      </c>
      <c r="CO73" s="83">
        <v>2.6280499999999998E-2</v>
      </c>
      <c r="CP73" s="83">
        <v>6.3499000000000003E-3</v>
      </c>
      <c r="CQ73" s="83">
        <v>1.70364E-2</v>
      </c>
      <c r="CR73" s="83">
        <v>2.64508E-2</v>
      </c>
      <c r="CS73" s="83">
        <v>6.3499000000000003E-3</v>
      </c>
      <c r="CT73" s="83">
        <v>1.6916199999999999E-2</v>
      </c>
      <c r="CU73" s="83">
        <v>2.6653799999999998E-2</v>
      </c>
      <c r="CV73" s="83">
        <v>6.3499000000000003E-3</v>
      </c>
      <c r="CW73" s="83">
        <v>1.6804099999999999E-2</v>
      </c>
      <c r="CX73" s="83">
        <v>2.6604599999999999E-2</v>
      </c>
      <c r="CY73" s="83">
        <v>6.3499000000000003E-3</v>
      </c>
      <c r="CZ73" s="83">
        <v>1.5951799999999999E-2</v>
      </c>
      <c r="DA73" s="83">
        <v>2.6407E-2</v>
      </c>
    </row>
    <row r="74" spans="1:105" x14ac:dyDescent="0.2">
      <c r="A74" s="83">
        <v>6.4498999999999997E-3</v>
      </c>
      <c r="B74" s="83">
        <v>2.7095299999999999E-2</v>
      </c>
      <c r="C74" s="83">
        <v>2.5047799999999999E-2</v>
      </c>
      <c r="D74" s="83">
        <v>6.4498999999999997E-3</v>
      </c>
      <c r="E74" s="83">
        <v>2.73335E-2</v>
      </c>
      <c r="F74" s="83">
        <v>2.5546699999999999E-2</v>
      </c>
      <c r="G74" s="83">
        <v>6.4498999999999997E-3</v>
      </c>
      <c r="H74" s="83">
        <v>2.83605E-2</v>
      </c>
      <c r="I74" s="83">
        <v>2.5819700000000001E-2</v>
      </c>
      <c r="J74" s="83">
        <v>6.4498999999999997E-3</v>
      </c>
      <c r="K74" s="83">
        <v>2.6672399999999999E-2</v>
      </c>
      <c r="L74" s="83">
        <v>2.4886399999999999E-2</v>
      </c>
      <c r="M74" s="83">
        <v>6.4498999999999997E-3</v>
      </c>
      <c r="N74" s="83">
        <v>2.6228999999999999E-2</v>
      </c>
      <c r="O74" s="83">
        <v>2.50464E-2</v>
      </c>
      <c r="P74" s="83">
        <v>6.4498999999999997E-3</v>
      </c>
      <c r="Q74" s="83">
        <v>2.6304500000000001E-2</v>
      </c>
      <c r="R74" s="83">
        <v>2.5138000000000001E-2</v>
      </c>
      <c r="S74" s="83">
        <v>6.4498999999999997E-3</v>
      </c>
      <c r="T74" s="83">
        <v>2.6324400000000001E-2</v>
      </c>
      <c r="U74" s="83">
        <v>2.5278100000000001E-2</v>
      </c>
      <c r="V74" s="83">
        <v>6.4498999999999997E-3</v>
      </c>
      <c r="W74" s="83">
        <v>2.6054999999999998E-2</v>
      </c>
      <c r="X74" s="83">
        <v>2.5726099999999998E-2</v>
      </c>
      <c r="Y74" s="83">
        <v>6.4498999999999997E-3</v>
      </c>
      <c r="Z74" s="83">
        <v>2.4958899999999999E-2</v>
      </c>
      <c r="AA74" s="83">
        <v>2.50896E-2</v>
      </c>
      <c r="AB74" s="83">
        <v>6.4498999999999997E-3</v>
      </c>
      <c r="AC74" s="83">
        <v>2.5045499999999998E-2</v>
      </c>
      <c r="AD74" s="83">
        <v>2.54716E-2</v>
      </c>
      <c r="AE74" s="83">
        <v>6.4498999999999997E-3</v>
      </c>
      <c r="AF74" s="83">
        <v>2.5807900000000002E-2</v>
      </c>
      <c r="AG74" s="83">
        <v>2.5841800000000002E-2</v>
      </c>
      <c r="AH74" s="83">
        <v>6.4498999999999997E-3</v>
      </c>
      <c r="AI74" s="83">
        <v>2.47952E-2</v>
      </c>
      <c r="AJ74" s="83">
        <v>2.5687100000000001E-2</v>
      </c>
      <c r="AK74" s="83">
        <v>6.4498999999999997E-3</v>
      </c>
      <c r="AL74" s="83">
        <v>2.53361E-2</v>
      </c>
      <c r="AM74" s="83">
        <v>2.5821400000000001E-2</v>
      </c>
      <c r="AN74" s="83">
        <v>6.4498999999999997E-3</v>
      </c>
      <c r="AO74" s="83">
        <v>2.3904499999999999E-2</v>
      </c>
      <c r="AP74" s="83">
        <v>2.5003999999999998E-2</v>
      </c>
      <c r="AQ74" s="83">
        <v>6.4498999999999997E-3</v>
      </c>
      <c r="AR74" s="83">
        <v>2.35865E-2</v>
      </c>
      <c r="AS74" s="83">
        <v>2.5518599999999999E-2</v>
      </c>
      <c r="AT74" s="83">
        <v>6.4498999999999997E-3</v>
      </c>
      <c r="AU74" s="83">
        <v>2.3920299999999999E-2</v>
      </c>
      <c r="AV74" s="83">
        <v>2.5547299999999998E-2</v>
      </c>
      <c r="AW74" s="83">
        <v>6.4498999999999997E-3</v>
      </c>
      <c r="AX74" s="83">
        <v>2.3759499999999999E-2</v>
      </c>
      <c r="AY74" s="83">
        <v>2.5971999999999999E-2</v>
      </c>
      <c r="AZ74" s="83">
        <v>6.4498999999999997E-3</v>
      </c>
      <c r="BA74" s="83">
        <v>2.3583E-2</v>
      </c>
      <c r="BB74" s="83">
        <v>2.5759500000000001E-2</v>
      </c>
      <c r="BC74" s="83">
        <v>6.4498999999999997E-3</v>
      </c>
      <c r="BD74" s="83">
        <v>2.2868200000000002E-2</v>
      </c>
      <c r="BE74" s="83">
        <v>2.5315299999999999E-2</v>
      </c>
      <c r="BF74" s="83">
        <v>6.4498999999999997E-3</v>
      </c>
      <c r="BG74" s="83">
        <v>2.2457600000000001E-2</v>
      </c>
      <c r="BH74" s="83">
        <v>2.5521700000000001E-2</v>
      </c>
      <c r="BI74" s="83">
        <v>6.4498999999999997E-3</v>
      </c>
      <c r="BJ74" s="83">
        <v>2.20091E-2</v>
      </c>
      <c r="BK74" s="83">
        <v>2.55307E-2</v>
      </c>
      <c r="BL74" s="83">
        <v>6.4498999999999997E-3</v>
      </c>
      <c r="BM74" s="83">
        <v>2.0828900000000001E-2</v>
      </c>
      <c r="BN74" s="83">
        <v>2.5212200000000001E-2</v>
      </c>
      <c r="BO74" s="83">
        <v>6.4498999999999997E-3</v>
      </c>
      <c r="BP74" s="83">
        <v>2.13612E-2</v>
      </c>
      <c r="BQ74" s="83">
        <v>2.5479399999999999E-2</v>
      </c>
      <c r="BR74" s="83">
        <v>6.4498999999999997E-3</v>
      </c>
      <c r="BS74" s="83">
        <v>2.0760600000000001E-2</v>
      </c>
      <c r="BT74" s="83">
        <v>2.5942300000000001E-2</v>
      </c>
      <c r="BU74" s="83">
        <v>6.4498999999999997E-3</v>
      </c>
      <c r="BV74" s="83">
        <v>1.9147999999999998E-2</v>
      </c>
      <c r="BW74" s="83">
        <v>2.5129599999999998E-2</v>
      </c>
      <c r="BX74" s="83">
        <v>6.4498999999999997E-3</v>
      </c>
      <c r="BY74" s="83">
        <v>1.9210600000000001E-2</v>
      </c>
      <c r="BZ74" s="83">
        <v>2.5977099999999999E-2</v>
      </c>
      <c r="CA74" s="83">
        <v>6.4498999999999997E-3</v>
      </c>
      <c r="CB74" s="83">
        <v>1.8105400000000001E-2</v>
      </c>
      <c r="CC74" s="83">
        <v>2.5418300000000001E-2</v>
      </c>
      <c r="CD74" s="83">
        <v>6.4498999999999997E-3</v>
      </c>
      <c r="CE74" s="83">
        <v>1.7218600000000001E-2</v>
      </c>
      <c r="CF74" s="83">
        <v>2.52567E-2</v>
      </c>
      <c r="CG74" s="83">
        <v>6.4498999999999997E-3</v>
      </c>
      <c r="CH74" s="83">
        <v>1.7515699999999999E-2</v>
      </c>
      <c r="CI74" s="83">
        <v>2.5704500000000002E-2</v>
      </c>
      <c r="CJ74" s="83">
        <v>6.4498999999999997E-3</v>
      </c>
      <c r="CK74" s="83">
        <v>1.66614E-2</v>
      </c>
      <c r="CL74" s="83">
        <v>2.5293900000000001E-2</v>
      </c>
      <c r="CM74" s="83">
        <v>6.4498999999999997E-3</v>
      </c>
      <c r="CN74" s="83">
        <v>1.60795E-2</v>
      </c>
      <c r="CO74" s="83">
        <v>2.50627E-2</v>
      </c>
      <c r="CP74" s="83">
        <v>6.4498999999999997E-3</v>
      </c>
      <c r="CQ74" s="83">
        <v>1.58294E-2</v>
      </c>
      <c r="CR74" s="83">
        <v>2.5220300000000001E-2</v>
      </c>
      <c r="CS74" s="83">
        <v>6.4498999999999997E-3</v>
      </c>
      <c r="CT74" s="83">
        <v>1.5758000000000001E-2</v>
      </c>
      <c r="CU74" s="83">
        <v>2.5422400000000001E-2</v>
      </c>
      <c r="CV74" s="83">
        <v>6.4498999999999997E-3</v>
      </c>
      <c r="CW74" s="83">
        <v>1.5917400000000002E-2</v>
      </c>
      <c r="CX74" s="83">
        <v>2.53858E-2</v>
      </c>
      <c r="CY74" s="83">
        <v>6.4498999999999997E-3</v>
      </c>
      <c r="CZ74" s="83">
        <v>1.49108E-2</v>
      </c>
      <c r="DA74" s="83">
        <v>2.5187299999999999E-2</v>
      </c>
    </row>
    <row r="75" spans="1:105" x14ac:dyDescent="0.2">
      <c r="A75" s="83">
        <v>6.5499E-3</v>
      </c>
      <c r="B75" s="83">
        <v>2.5569999999999999E-2</v>
      </c>
      <c r="C75" s="83">
        <v>2.38896E-2</v>
      </c>
      <c r="D75" s="83">
        <v>6.5499E-3</v>
      </c>
      <c r="E75" s="83">
        <v>2.5815999999999999E-2</v>
      </c>
      <c r="F75" s="83">
        <v>2.4368000000000001E-2</v>
      </c>
      <c r="G75" s="83">
        <v>6.5499E-3</v>
      </c>
      <c r="H75" s="83">
        <v>2.64894E-2</v>
      </c>
      <c r="I75" s="83">
        <v>2.46029E-2</v>
      </c>
      <c r="J75" s="83">
        <v>6.5499E-3</v>
      </c>
      <c r="K75" s="83">
        <v>2.5381399999999998E-2</v>
      </c>
      <c r="L75" s="83">
        <v>2.3722300000000002E-2</v>
      </c>
      <c r="M75" s="83">
        <v>6.5499E-3</v>
      </c>
      <c r="N75" s="83">
        <v>2.4734800000000001E-2</v>
      </c>
      <c r="O75" s="83">
        <v>2.3886299999999999E-2</v>
      </c>
      <c r="P75" s="83">
        <v>6.5499E-3</v>
      </c>
      <c r="Q75" s="83">
        <v>2.4632600000000001E-2</v>
      </c>
      <c r="R75" s="83">
        <v>2.3979799999999999E-2</v>
      </c>
      <c r="S75" s="83">
        <v>6.5499E-3</v>
      </c>
      <c r="T75" s="83">
        <v>2.48928E-2</v>
      </c>
      <c r="U75" s="83">
        <v>2.40936E-2</v>
      </c>
      <c r="V75" s="83">
        <v>6.5499E-3</v>
      </c>
      <c r="W75" s="83">
        <v>2.48284E-2</v>
      </c>
      <c r="X75" s="83">
        <v>2.4545399999999998E-2</v>
      </c>
      <c r="Y75" s="83">
        <v>6.5499E-3</v>
      </c>
      <c r="Z75" s="83">
        <v>2.3658100000000001E-2</v>
      </c>
      <c r="AA75" s="83">
        <v>2.3910899999999999E-2</v>
      </c>
      <c r="AB75" s="83">
        <v>6.5499E-3</v>
      </c>
      <c r="AC75" s="83">
        <v>2.3674400000000002E-2</v>
      </c>
      <c r="AD75" s="83">
        <v>2.4287099999999999E-2</v>
      </c>
      <c r="AE75" s="83">
        <v>6.5499E-3</v>
      </c>
      <c r="AF75" s="83">
        <v>2.3942600000000001E-2</v>
      </c>
      <c r="AG75" s="83">
        <v>2.46368E-2</v>
      </c>
      <c r="AH75" s="83">
        <v>6.5499E-3</v>
      </c>
      <c r="AI75" s="83">
        <v>2.34007E-2</v>
      </c>
      <c r="AJ75" s="83">
        <v>2.4495699999999999E-2</v>
      </c>
      <c r="AK75" s="83">
        <v>6.5499E-3</v>
      </c>
      <c r="AL75" s="83">
        <v>2.3621199999999998E-2</v>
      </c>
      <c r="AM75" s="83">
        <v>2.4629000000000002E-2</v>
      </c>
      <c r="AN75" s="83">
        <v>6.5499E-3</v>
      </c>
      <c r="AO75" s="83">
        <v>2.2295100000000002E-2</v>
      </c>
      <c r="AP75" s="83">
        <v>2.3868199999999999E-2</v>
      </c>
      <c r="AQ75" s="83">
        <v>6.5499E-3</v>
      </c>
      <c r="AR75" s="83">
        <v>2.2344300000000001E-2</v>
      </c>
      <c r="AS75" s="83">
        <v>2.4352599999999999E-2</v>
      </c>
      <c r="AT75" s="83">
        <v>6.5499E-3</v>
      </c>
      <c r="AU75" s="83">
        <v>2.24671E-2</v>
      </c>
      <c r="AV75" s="83">
        <v>2.4363699999999999E-2</v>
      </c>
      <c r="AW75" s="83">
        <v>6.5499E-3</v>
      </c>
      <c r="AX75" s="83">
        <v>2.2199E-2</v>
      </c>
      <c r="AY75" s="83">
        <v>2.47835E-2</v>
      </c>
      <c r="AZ75" s="83">
        <v>6.5499E-3</v>
      </c>
      <c r="BA75" s="83">
        <v>2.2184599999999999E-2</v>
      </c>
      <c r="BB75" s="83">
        <v>2.4600299999999999E-2</v>
      </c>
      <c r="BC75" s="83">
        <v>6.5499E-3</v>
      </c>
      <c r="BD75" s="83">
        <v>2.1335E-2</v>
      </c>
      <c r="BE75" s="83">
        <v>2.4154200000000001E-2</v>
      </c>
      <c r="BF75" s="83">
        <v>6.5499E-3</v>
      </c>
      <c r="BG75" s="83">
        <v>2.0897099999999998E-2</v>
      </c>
      <c r="BH75" s="83">
        <v>2.43547E-2</v>
      </c>
      <c r="BI75" s="83">
        <v>6.5499E-3</v>
      </c>
      <c r="BJ75" s="83">
        <v>2.06771E-2</v>
      </c>
      <c r="BK75" s="83">
        <v>2.43647E-2</v>
      </c>
      <c r="BL75" s="83">
        <v>6.5499E-3</v>
      </c>
      <c r="BM75" s="83">
        <v>1.9678500000000002E-2</v>
      </c>
      <c r="BN75" s="83">
        <v>2.4053999999999999E-2</v>
      </c>
      <c r="BO75" s="83">
        <v>6.5499E-3</v>
      </c>
      <c r="BP75" s="83">
        <v>1.97635E-2</v>
      </c>
      <c r="BQ75" s="83">
        <v>2.4318300000000001E-2</v>
      </c>
      <c r="BR75" s="83">
        <v>6.5499E-3</v>
      </c>
      <c r="BS75" s="83">
        <v>1.9416900000000001E-2</v>
      </c>
      <c r="BT75" s="83">
        <v>2.4749899999999998E-2</v>
      </c>
      <c r="BU75" s="83">
        <v>6.5499E-3</v>
      </c>
      <c r="BV75" s="83">
        <v>1.7747599999999999E-2</v>
      </c>
      <c r="BW75" s="83">
        <v>2.3996799999999999E-2</v>
      </c>
      <c r="BX75" s="83">
        <v>6.5499E-3</v>
      </c>
      <c r="BY75" s="83">
        <v>1.8261400000000001E-2</v>
      </c>
      <c r="BZ75" s="83">
        <v>2.4777899999999999E-2</v>
      </c>
      <c r="CA75" s="83">
        <v>6.5499E-3</v>
      </c>
      <c r="CB75" s="83">
        <v>1.7082E-2</v>
      </c>
      <c r="CC75" s="83">
        <v>2.42483E-2</v>
      </c>
      <c r="CD75" s="83">
        <v>6.5499E-3</v>
      </c>
      <c r="CE75" s="83">
        <v>1.6386600000000001E-2</v>
      </c>
      <c r="CF75" s="83">
        <v>2.4074100000000001E-2</v>
      </c>
      <c r="CG75" s="83">
        <v>6.5499E-3</v>
      </c>
      <c r="CH75" s="83">
        <v>1.6490299999999999E-2</v>
      </c>
      <c r="CI75" s="83">
        <v>2.4524799999999999E-2</v>
      </c>
      <c r="CJ75" s="83">
        <v>6.5499E-3</v>
      </c>
      <c r="CK75" s="83">
        <v>1.57336E-2</v>
      </c>
      <c r="CL75" s="83">
        <v>2.4127900000000001E-2</v>
      </c>
      <c r="CM75" s="83">
        <v>6.5499E-3</v>
      </c>
      <c r="CN75" s="83">
        <v>1.5349E-2</v>
      </c>
      <c r="CO75" s="83">
        <v>2.3904499999999999E-2</v>
      </c>
      <c r="CP75" s="83">
        <v>6.5499E-3</v>
      </c>
      <c r="CQ75" s="83">
        <v>1.49368E-2</v>
      </c>
      <c r="CR75" s="83">
        <v>2.4067999999999999E-2</v>
      </c>
      <c r="CS75" s="83">
        <v>6.5499E-3</v>
      </c>
      <c r="CT75" s="83">
        <v>1.4648599999999999E-2</v>
      </c>
      <c r="CU75" s="83">
        <v>2.4232E-2</v>
      </c>
      <c r="CV75" s="83">
        <v>6.5499E-3</v>
      </c>
      <c r="CW75" s="83">
        <v>1.45366E-2</v>
      </c>
      <c r="CX75" s="83">
        <v>2.4188600000000001E-2</v>
      </c>
      <c r="CY75" s="83">
        <v>6.5499E-3</v>
      </c>
      <c r="CZ75" s="83">
        <v>1.41686E-2</v>
      </c>
      <c r="DA75" s="83">
        <v>2.40193E-2</v>
      </c>
    </row>
    <row r="76" spans="1:105" x14ac:dyDescent="0.2">
      <c r="A76" s="83">
        <v>6.6499000000000003E-3</v>
      </c>
      <c r="B76" s="83">
        <v>2.3814100000000001E-2</v>
      </c>
      <c r="C76" s="83">
        <v>2.2758799999999999E-2</v>
      </c>
      <c r="D76" s="83">
        <v>6.6499000000000003E-3</v>
      </c>
      <c r="E76" s="83">
        <v>2.4411700000000001E-2</v>
      </c>
      <c r="F76" s="83">
        <v>2.3226400000000001E-2</v>
      </c>
      <c r="G76" s="83">
        <v>6.6499000000000003E-3</v>
      </c>
      <c r="H76" s="83">
        <v>2.5081200000000001E-2</v>
      </c>
      <c r="I76" s="83">
        <v>2.3470100000000001E-2</v>
      </c>
      <c r="J76" s="83">
        <v>6.6499000000000003E-3</v>
      </c>
      <c r="K76" s="83">
        <v>2.36099E-2</v>
      </c>
      <c r="L76" s="83">
        <v>2.2611900000000001E-2</v>
      </c>
      <c r="M76" s="83">
        <v>6.6499000000000003E-3</v>
      </c>
      <c r="N76" s="83">
        <v>2.3191900000000001E-2</v>
      </c>
      <c r="O76" s="83">
        <v>2.2763200000000001E-2</v>
      </c>
      <c r="P76" s="83">
        <v>6.6499000000000003E-3</v>
      </c>
      <c r="Q76" s="83">
        <v>2.3161899999999999E-2</v>
      </c>
      <c r="R76" s="83">
        <v>2.2861599999999999E-2</v>
      </c>
      <c r="S76" s="83">
        <v>6.6499000000000003E-3</v>
      </c>
      <c r="T76" s="83">
        <v>2.31916E-2</v>
      </c>
      <c r="U76" s="83">
        <v>2.29696E-2</v>
      </c>
      <c r="V76" s="83">
        <v>6.6499000000000003E-3</v>
      </c>
      <c r="W76" s="83">
        <v>2.3351899999999998E-2</v>
      </c>
      <c r="X76" s="83">
        <v>2.3414600000000001E-2</v>
      </c>
      <c r="Y76" s="83">
        <v>6.6499000000000003E-3</v>
      </c>
      <c r="Z76" s="83">
        <v>2.2097599999999998E-2</v>
      </c>
      <c r="AA76" s="83">
        <v>2.2806400000000001E-2</v>
      </c>
      <c r="AB76" s="83">
        <v>6.6499000000000003E-3</v>
      </c>
      <c r="AC76" s="83">
        <v>2.2772000000000001E-2</v>
      </c>
      <c r="AD76" s="83">
        <v>2.31582E-2</v>
      </c>
      <c r="AE76" s="83">
        <v>6.6499000000000003E-3</v>
      </c>
      <c r="AF76" s="83">
        <v>2.2788300000000001E-2</v>
      </c>
      <c r="AG76" s="83">
        <v>2.3501000000000001E-2</v>
      </c>
      <c r="AH76" s="83">
        <v>6.6499000000000003E-3</v>
      </c>
      <c r="AI76" s="83">
        <v>2.14027E-2</v>
      </c>
      <c r="AJ76" s="83">
        <v>2.3370700000000001E-2</v>
      </c>
      <c r="AK76" s="83">
        <v>6.6499000000000003E-3</v>
      </c>
      <c r="AL76" s="83">
        <v>2.2248199999999999E-2</v>
      </c>
      <c r="AM76" s="83">
        <v>2.3483500000000001E-2</v>
      </c>
      <c r="AN76" s="83">
        <v>6.6499000000000003E-3</v>
      </c>
      <c r="AO76" s="83">
        <v>2.0718899999999998E-2</v>
      </c>
      <c r="AP76" s="83">
        <v>2.2752000000000001E-2</v>
      </c>
      <c r="AQ76" s="83">
        <v>6.6499000000000003E-3</v>
      </c>
      <c r="AR76" s="83">
        <v>2.0941999999999999E-2</v>
      </c>
      <c r="AS76" s="83">
        <v>2.3215900000000001E-2</v>
      </c>
      <c r="AT76" s="83">
        <v>6.6499000000000003E-3</v>
      </c>
      <c r="AU76" s="83">
        <v>2.1139000000000002E-2</v>
      </c>
      <c r="AV76" s="83">
        <v>2.3266999999999999E-2</v>
      </c>
      <c r="AW76" s="83">
        <v>6.6499000000000003E-3</v>
      </c>
      <c r="AX76" s="83">
        <v>2.10896E-2</v>
      </c>
      <c r="AY76" s="83">
        <v>2.3654600000000001E-2</v>
      </c>
      <c r="AZ76" s="83">
        <v>6.6499000000000003E-3</v>
      </c>
      <c r="BA76" s="83">
        <v>2.0665099999999999E-2</v>
      </c>
      <c r="BB76" s="83">
        <v>2.3460700000000001E-2</v>
      </c>
      <c r="BC76" s="83">
        <v>6.6499000000000003E-3</v>
      </c>
      <c r="BD76" s="83">
        <v>2.02373E-2</v>
      </c>
      <c r="BE76" s="83">
        <v>2.3024300000000001E-2</v>
      </c>
      <c r="BF76" s="83">
        <v>6.6499000000000003E-3</v>
      </c>
      <c r="BG76" s="83">
        <v>1.9861899999999998E-2</v>
      </c>
      <c r="BH76" s="83">
        <v>2.3244299999999999E-2</v>
      </c>
      <c r="BI76" s="83">
        <v>6.6499000000000003E-3</v>
      </c>
      <c r="BJ76" s="83">
        <v>1.9184900000000001E-2</v>
      </c>
      <c r="BK76" s="83">
        <v>2.3230899999999999E-2</v>
      </c>
      <c r="BL76" s="83">
        <v>6.6499000000000003E-3</v>
      </c>
      <c r="BM76" s="83">
        <v>1.8449900000000002E-2</v>
      </c>
      <c r="BN76" s="83">
        <v>2.2930900000000001E-2</v>
      </c>
      <c r="BO76" s="83">
        <v>6.6499000000000003E-3</v>
      </c>
      <c r="BP76" s="83">
        <v>1.8474399999999998E-2</v>
      </c>
      <c r="BQ76" s="83">
        <v>2.3203100000000001E-2</v>
      </c>
      <c r="BR76" s="83">
        <v>6.6499000000000003E-3</v>
      </c>
      <c r="BS76" s="83">
        <v>1.83368E-2</v>
      </c>
      <c r="BT76" s="83">
        <v>2.35947E-2</v>
      </c>
      <c r="BU76" s="83">
        <v>6.6499000000000003E-3</v>
      </c>
      <c r="BV76" s="83">
        <v>1.6198799999999999E-2</v>
      </c>
      <c r="BW76" s="83">
        <v>2.2860999999999999E-2</v>
      </c>
      <c r="BX76" s="83">
        <v>6.6499000000000003E-3</v>
      </c>
      <c r="BY76" s="83">
        <v>1.73571E-2</v>
      </c>
      <c r="BZ76" s="83">
        <v>2.36285E-2</v>
      </c>
      <c r="CA76" s="83">
        <v>6.6499000000000003E-3</v>
      </c>
      <c r="CB76" s="83">
        <v>1.5886600000000001E-2</v>
      </c>
      <c r="CC76" s="83">
        <v>2.3113600000000002E-2</v>
      </c>
      <c r="CD76" s="83">
        <v>6.6499000000000003E-3</v>
      </c>
      <c r="CE76" s="83">
        <v>1.5027199999999999E-2</v>
      </c>
      <c r="CF76" s="83">
        <v>2.2982300000000001E-2</v>
      </c>
      <c r="CG76" s="83">
        <v>6.6499000000000003E-3</v>
      </c>
      <c r="CH76" s="83">
        <v>1.55899E-2</v>
      </c>
      <c r="CI76" s="83">
        <v>2.3382300000000002E-2</v>
      </c>
      <c r="CJ76" s="83">
        <v>6.6499000000000003E-3</v>
      </c>
      <c r="CK76" s="83">
        <v>1.49094E-2</v>
      </c>
      <c r="CL76" s="83">
        <v>2.3019499999999998E-2</v>
      </c>
      <c r="CM76" s="83">
        <v>6.6499000000000003E-3</v>
      </c>
      <c r="CN76" s="83">
        <v>1.4380199999999999E-2</v>
      </c>
      <c r="CO76" s="83">
        <v>2.2795099999999999E-2</v>
      </c>
      <c r="CP76" s="83">
        <v>6.6499000000000003E-3</v>
      </c>
      <c r="CQ76" s="83">
        <v>1.4212199999999999E-2</v>
      </c>
      <c r="CR76" s="83">
        <v>2.29391E-2</v>
      </c>
      <c r="CS76" s="83">
        <v>6.6499000000000003E-3</v>
      </c>
      <c r="CT76" s="83">
        <v>1.40197E-2</v>
      </c>
      <c r="CU76" s="83">
        <v>2.3109899999999999E-2</v>
      </c>
      <c r="CV76" s="83">
        <v>6.6499000000000003E-3</v>
      </c>
      <c r="CW76" s="83">
        <v>1.3759199999999999E-2</v>
      </c>
      <c r="CX76" s="83">
        <v>2.3082100000000001E-2</v>
      </c>
      <c r="CY76" s="83">
        <v>6.6499000000000003E-3</v>
      </c>
      <c r="CZ76" s="83">
        <v>1.30905E-2</v>
      </c>
      <c r="DA76" s="83">
        <v>2.2910900000000001E-2</v>
      </c>
    </row>
    <row r="77" spans="1:105" x14ac:dyDescent="0.2">
      <c r="A77" s="83">
        <v>6.7498999999999997E-3</v>
      </c>
      <c r="B77" s="83">
        <v>2.2646099999999999E-2</v>
      </c>
      <c r="C77" s="83">
        <v>2.1729499999999999E-2</v>
      </c>
      <c r="D77" s="83">
        <v>6.7498999999999997E-3</v>
      </c>
      <c r="E77" s="83">
        <v>2.3415600000000002E-2</v>
      </c>
      <c r="F77" s="83">
        <v>2.21424E-2</v>
      </c>
      <c r="G77" s="83">
        <v>6.7498999999999997E-3</v>
      </c>
      <c r="H77" s="83">
        <v>2.3981599999999999E-2</v>
      </c>
      <c r="I77" s="83">
        <v>2.2373500000000001E-2</v>
      </c>
      <c r="J77" s="83">
        <v>6.7498999999999997E-3</v>
      </c>
      <c r="K77" s="83">
        <v>2.2346299999999999E-2</v>
      </c>
      <c r="L77" s="83">
        <v>2.15709E-2</v>
      </c>
      <c r="M77" s="83">
        <v>6.7498999999999997E-3</v>
      </c>
      <c r="N77" s="83">
        <v>2.2000499999999999E-2</v>
      </c>
      <c r="O77" s="83">
        <v>2.1702699999999998E-2</v>
      </c>
      <c r="P77" s="83">
        <v>6.7498999999999997E-3</v>
      </c>
      <c r="Q77" s="83">
        <v>2.1386499999999999E-2</v>
      </c>
      <c r="R77" s="83">
        <v>2.1814699999999999E-2</v>
      </c>
      <c r="S77" s="83">
        <v>6.7498999999999997E-3</v>
      </c>
      <c r="T77" s="83">
        <v>2.1781499999999999E-2</v>
      </c>
      <c r="U77" s="83">
        <v>2.19022E-2</v>
      </c>
      <c r="V77" s="83">
        <v>6.7498999999999997E-3</v>
      </c>
      <c r="W77" s="83">
        <v>2.1826499999999999E-2</v>
      </c>
      <c r="X77" s="83">
        <v>2.2326700000000001E-2</v>
      </c>
      <c r="Y77" s="83">
        <v>6.7498999999999997E-3</v>
      </c>
      <c r="Z77" s="83">
        <v>2.09686E-2</v>
      </c>
      <c r="AA77" s="83">
        <v>2.1740900000000001E-2</v>
      </c>
      <c r="AB77" s="83">
        <v>6.7498999999999997E-3</v>
      </c>
      <c r="AC77" s="83">
        <v>2.1311099999999999E-2</v>
      </c>
      <c r="AD77" s="83">
        <v>2.2103500000000002E-2</v>
      </c>
      <c r="AE77" s="83">
        <v>6.7498999999999997E-3</v>
      </c>
      <c r="AF77" s="83">
        <v>2.1610600000000001E-2</v>
      </c>
      <c r="AG77" s="83">
        <v>2.2419999999999999E-2</v>
      </c>
      <c r="AH77" s="83">
        <v>6.7498999999999997E-3</v>
      </c>
      <c r="AI77" s="83">
        <v>2.0781600000000001E-2</v>
      </c>
      <c r="AJ77" s="83">
        <v>2.2298499999999999E-2</v>
      </c>
      <c r="AK77" s="83">
        <v>6.7498999999999997E-3</v>
      </c>
      <c r="AL77" s="83">
        <v>2.1351700000000001E-2</v>
      </c>
      <c r="AM77" s="83">
        <v>2.2402499999999999E-2</v>
      </c>
      <c r="AN77" s="83">
        <v>6.7498999999999997E-3</v>
      </c>
      <c r="AO77" s="83">
        <v>1.98459E-2</v>
      </c>
      <c r="AP77" s="83">
        <v>2.16925E-2</v>
      </c>
      <c r="AQ77" s="83">
        <v>6.7498999999999997E-3</v>
      </c>
      <c r="AR77" s="83">
        <v>1.9957599999999999E-2</v>
      </c>
      <c r="AS77" s="83">
        <v>2.2142700000000001E-2</v>
      </c>
      <c r="AT77" s="83">
        <v>6.7498999999999997E-3</v>
      </c>
      <c r="AU77" s="83">
        <v>1.9970999999999999E-2</v>
      </c>
      <c r="AV77" s="83">
        <v>2.2175199999999999E-2</v>
      </c>
      <c r="AW77" s="83">
        <v>6.7498999999999997E-3</v>
      </c>
      <c r="AX77" s="83">
        <v>1.98943E-2</v>
      </c>
      <c r="AY77" s="83">
        <v>2.2565700000000001E-2</v>
      </c>
      <c r="AZ77" s="83">
        <v>6.7498999999999997E-3</v>
      </c>
      <c r="BA77" s="83">
        <v>1.9489300000000001E-2</v>
      </c>
      <c r="BB77" s="83">
        <v>2.2387399999999998E-2</v>
      </c>
      <c r="BC77" s="83">
        <v>6.7498999999999997E-3</v>
      </c>
      <c r="BD77" s="83">
        <v>1.8752899999999999E-2</v>
      </c>
      <c r="BE77" s="83">
        <v>2.1963699999999999E-2</v>
      </c>
      <c r="BF77" s="83">
        <v>6.7498999999999997E-3</v>
      </c>
      <c r="BG77" s="83">
        <v>1.85319E-2</v>
      </c>
      <c r="BH77" s="83">
        <v>2.2179899999999999E-2</v>
      </c>
      <c r="BI77" s="83">
        <v>6.7498999999999997E-3</v>
      </c>
      <c r="BJ77" s="83">
        <v>1.8405600000000001E-2</v>
      </c>
      <c r="BK77" s="83">
        <v>2.2144E-2</v>
      </c>
      <c r="BL77" s="83">
        <v>6.7498999999999997E-3</v>
      </c>
      <c r="BM77" s="83">
        <v>1.7389399999999999E-2</v>
      </c>
      <c r="BN77" s="83">
        <v>2.1871399999999999E-2</v>
      </c>
      <c r="BO77" s="83">
        <v>6.7498999999999997E-3</v>
      </c>
      <c r="BP77" s="83">
        <v>1.7353299999999999E-2</v>
      </c>
      <c r="BQ77" s="83">
        <v>2.2148399999999999E-2</v>
      </c>
      <c r="BR77" s="83">
        <v>6.7498999999999997E-3</v>
      </c>
      <c r="BS77" s="83">
        <v>1.6893399999999999E-2</v>
      </c>
      <c r="BT77" s="83">
        <v>2.2509700000000001E-2</v>
      </c>
      <c r="BU77" s="83">
        <v>6.7498999999999997E-3</v>
      </c>
      <c r="BV77" s="83">
        <v>1.5484E-2</v>
      </c>
      <c r="BW77" s="83">
        <v>2.1814199999999999E-2</v>
      </c>
      <c r="BX77" s="83">
        <v>6.7498999999999997E-3</v>
      </c>
      <c r="BY77" s="83">
        <v>1.6392199999999999E-2</v>
      </c>
      <c r="BZ77" s="83">
        <v>2.2523999999999999E-2</v>
      </c>
      <c r="CA77" s="83">
        <v>6.7498999999999997E-3</v>
      </c>
      <c r="CB77" s="83">
        <v>1.5624900000000001E-2</v>
      </c>
      <c r="CC77" s="83">
        <v>2.20325E-2</v>
      </c>
      <c r="CD77" s="83">
        <v>6.7498999999999997E-3</v>
      </c>
      <c r="CE77" s="83">
        <v>1.4173699999999999E-2</v>
      </c>
      <c r="CF77" s="83">
        <v>2.1912899999999999E-2</v>
      </c>
      <c r="CG77" s="83">
        <v>6.7498999999999997E-3</v>
      </c>
      <c r="CH77" s="83">
        <v>1.4451200000000001E-2</v>
      </c>
      <c r="CI77" s="83">
        <v>2.22983E-2</v>
      </c>
      <c r="CJ77" s="83">
        <v>6.7498999999999997E-3</v>
      </c>
      <c r="CK77" s="83">
        <v>1.43489E-2</v>
      </c>
      <c r="CL77" s="83">
        <v>2.19443E-2</v>
      </c>
      <c r="CM77" s="83">
        <v>6.7498999999999997E-3</v>
      </c>
      <c r="CN77" s="83">
        <v>1.38353E-2</v>
      </c>
      <c r="CO77" s="83">
        <v>2.17404E-2</v>
      </c>
      <c r="CP77" s="83">
        <v>6.7498999999999997E-3</v>
      </c>
      <c r="CQ77" s="83">
        <v>1.3575500000000001E-2</v>
      </c>
      <c r="CR77" s="83">
        <v>2.18766E-2</v>
      </c>
      <c r="CS77" s="83">
        <v>6.7498999999999997E-3</v>
      </c>
      <c r="CT77" s="83">
        <v>1.31428E-2</v>
      </c>
      <c r="CU77" s="83">
        <v>2.2029799999999999E-2</v>
      </c>
      <c r="CV77" s="83">
        <v>6.7498999999999997E-3</v>
      </c>
      <c r="CW77" s="83">
        <v>1.32768E-2</v>
      </c>
      <c r="CX77" s="83">
        <v>2.2008900000000001E-2</v>
      </c>
      <c r="CY77" s="83">
        <v>6.7498999999999997E-3</v>
      </c>
      <c r="CZ77" s="83">
        <v>1.1986999999999999E-2</v>
      </c>
      <c r="DA77" s="83">
        <v>2.18298E-2</v>
      </c>
    </row>
    <row r="78" spans="1:105" x14ac:dyDescent="0.2">
      <c r="A78" s="83">
        <v>6.8498999999999999E-3</v>
      </c>
      <c r="B78" s="83">
        <v>2.1157800000000001E-2</v>
      </c>
      <c r="C78" s="83">
        <v>2.0700199999999998E-2</v>
      </c>
      <c r="D78" s="83">
        <v>6.8498999999999999E-3</v>
      </c>
      <c r="E78" s="83">
        <v>2.1792499999999999E-2</v>
      </c>
      <c r="F78" s="83">
        <v>2.11141E-2</v>
      </c>
      <c r="G78" s="83">
        <v>6.8498999999999999E-3</v>
      </c>
      <c r="H78" s="83">
        <v>2.2131999999999999E-2</v>
      </c>
      <c r="I78" s="83">
        <v>2.1329500000000001E-2</v>
      </c>
      <c r="J78" s="83">
        <v>6.8498999999999999E-3</v>
      </c>
      <c r="K78" s="83">
        <v>2.0658800000000001E-2</v>
      </c>
      <c r="L78" s="83">
        <v>2.0530900000000001E-2</v>
      </c>
      <c r="M78" s="83">
        <v>6.8498999999999999E-3</v>
      </c>
      <c r="N78" s="83">
        <v>2.0682099999999998E-2</v>
      </c>
      <c r="O78" s="83">
        <v>2.0661599999999999E-2</v>
      </c>
      <c r="P78" s="83">
        <v>6.8498999999999999E-3</v>
      </c>
      <c r="Q78" s="83">
        <v>2.0468500000000001E-2</v>
      </c>
      <c r="R78" s="83">
        <v>2.0787400000000001E-2</v>
      </c>
      <c r="S78" s="83">
        <v>6.8498999999999999E-3</v>
      </c>
      <c r="T78" s="83">
        <v>2.0910399999999999E-2</v>
      </c>
      <c r="U78" s="83">
        <v>2.0870900000000001E-2</v>
      </c>
      <c r="V78" s="83">
        <v>6.8498999999999999E-3</v>
      </c>
      <c r="W78" s="83">
        <v>2.0742500000000001E-2</v>
      </c>
      <c r="X78" s="83">
        <v>2.12661E-2</v>
      </c>
      <c r="Y78" s="83">
        <v>6.8498999999999999E-3</v>
      </c>
      <c r="Z78" s="83">
        <v>1.9712799999999999E-2</v>
      </c>
      <c r="AA78" s="83">
        <v>2.07146E-2</v>
      </c>
      <c r="AB78" s="83">
        <v>6.8498999999999999E-3</v>
      </c>
      <c r="AC78" s="83">
        <v>1.9963399999999999E-2</v>
      </c>
      <c r="AD78" s="83">
        <v>2.1042000000000002E-2</v>
      </c>
      <c r="AE78" s="83">
        <v>6.8498999999999999E-3</v>
      </c>
      <c r="AF78" s="83">
        <v>2.0264899999999999E-2</v>
      </c>
      <c r="AG78" s="83">
        <v>2.1390699999999999E-2</v>
      </c>
      <c r="AH78" s="83">
        <v>6.8498999999999999E-3</v>
      </c>
      <c r="AI78" s="83">
        <v>1.9703399999999999E-2</v>
      </c>
      <c r="AJ78" s="83">
        <v>2.1238900000000002E-2</v>
      </c>
      <c r="AK78" s="83">
        <v>6.8498999999999999E-3</v>
      </c>
      <c r="AL78" s="83">
        <v>2.0554800000000002E-2</v>
      </c>
      <c r="AM78" s="83">
        <v>2.1378100000000001E-2</v>
      </c>
      <c r="AN78" s="83">
        <v>6.8498999999999999E-3</v>
      </c>
      <c r="AO78" s="83">
        <v>1.8560699999999999E-2</v>
      </c>
      <c r="AP78" s="83">
        <v>2.0669E-2</v>
      </c>
      <c r="AQ78" s="83">
        <v>6.8498999999999999E-3</v>
      </c>
      <c r="AR78" s="83">
        <v>1.8404899999999998E-2</v>
      </c>
      <c r="AS78" s="83">
        <v>2.1102599999999999E-2</v>
      </c>
      <c r="AT78" s="83">
        <v>6.8498999999999999E-3</v>
      </c>
      <c r="AU78" s="83">
        <v>1.8904600000000001E-2</v>
      </c>
      <c r="AV78" s="83">
        <v>2.11557E-2</v>
      </c>
      <c r="AW78" s="83">
        <v>6.8498999999999999E-3</v>
      </c>
      <c r="AX78" s="83">
        <v>1.8849399999999999E-2</v>
      </c>
      <c r="AY78" s="83">
        <v>2.1544299999999999E-2</v>
      </c>
      <c r="AZ78" s="83">
        <v>6.8498999999999999E-3</v>
      </c>
      <c r="BA78" s="83">
        <v>1.8520499999999999E-2</v>
      </c>
      <c r="BB78" s="83">
        <v>2.1346400000000001E-2</v>
      </c>
      <c r="BC78" s="83">
        <v>6.8498999999999999E-3</v>
      </c>
      <c r="BD78" s="83">
        <v>1.7868200000000001E-2</v>
      </c>
      <c r="BE78" s="83">
        <v>2.0921700000000001E-2</v>
      </c>
      <c r="BF78" s="83">
        <v>6.8498999999999999E-3</v>
      </c>
      <c r="BG78" s="83">
        <v>1.7526E-2</v>
      </c>
      <c r="BH78" s="83">
        <v>2.11281E-2</v>
      </c>
      <c r="BI78" s="83">
        <v>6.8498999999999999E-3</v>
      </c>
      <c r="BJ78" s="83">
        <v>1.7071599999999999E-2</v>
      </c>
      <c r="BK78" s="83">
        <v>2.1125499999999998E-2</v>
      </c>
      <c r="BL78" s="83">
        <v>6.8498999999999999E-3</v>
      </c>
      <c r="BM78" s="83">
        <v>1.65457E-2</v>
      </c>
      <c r="BN78" s="83">
        <v>2.08343E-2</v>
      </c>
      <c r="BO78" s="83">
        <v>6.8498999999999999E-3</v>
      </c>
      <c r="BP78" s="83">
        <v>1.6353300000000001E-2</v>
      </c>
      <c r="BQ78" s="83">
        <v>2.1130800000000002E-2</v>
      </c>
      <c r="BR78" s="83">
        <v>6.8498999999999999E-3</v>
      </c>
      <c r="BS78" s="83">
        <v>1.5635599999999999E-2</v>
      </c>
      <c r="BT78" s="83">
        <v>2.1464799999999999E-2</v>
      </c>
      <c r="BU78" s="83">
        <v>6.8498999999999999E-3</v>
      </c>
      <c r="BV78" s="83">
        <v>1.43961E-2</v>
      </c>
      <c r="BW78" s="83">
        <v>2.0778999999999999E-2</v>
      </c>
      <c r="BX78" s="83">
        <v>6.8498999999999999E-3</v>
      </c>
      <c r="BY78" s="83">
        <v>1.4845300000000001E-2</v>
      </c>
      <c r="BZ78" s="83">
        <v>2.1484900000000001E-2</v>
      </c>
      <c r="CA78" s="83">
        <v>6.8498999999999999E-3</v>
      </c>
      <c r="CB78" s="83">
        <v>1.48906E-2</v>
      </c>
      <c r="CC78" s="83">
        <v>2.0993499999999998E-2</v>
      </c>
      <c r="CD78" s="83">
        <v>6.8498999999999999E-3</v>
      </c>
      <c r="CE78" s="83">
        <v>1.36288E-2</v>
      </c>
      <c r="CF78" s="83">
        <v>2.0883599999999999E-2</v>
      </c>
      <c r="CG78" s="83">
        <v>6.8498999999999999E-3</v>
      </c>
      <c r="CH78" s="83">
        <v>1.34004E-2</v>
      </c>
      <c r="CI78" s="83">
        <v>2.12573E-2</v>
      </c>
      <c r="CJ78" s="83">
        <v>6.8498999999999999E-3</v>
      </c>
      <c r="CK78" s="83">
        <v>1.3206300000000001E-2</v>
      </c>
      <c r="CL78" s="83">
        <v>2.0909199999999999E-2</v>
      </c>
      <c r="CM78" s="83">
        <v>6.8498999999999999E-3</v>
      </c>
      <c r="CN78" s="83">
        <v>1.2841200000000001E-2</v>
      </c>
      <c r="CO78" s="83">
        <v>2.0705299999999999E-2</v>
      </c>
      <c r="CP78" s="83">
        <v>6.8498999999999999E-3</v>
      </c>
      <c r="CQ78" s="83">
        <v>1.27435E-2</v>
      </c>
      <c r="CR78" s="83">
        <v>2.08238E-2</v>
      </c>
      <c r="CS78" s="83">
        <v>6.8498999999999999E-3</v>
      </c>
      <c r="CT78" s="83">
        <v>1.2578300000000001E-2</v>
      </c>
      <c r="CU78" s="83">
        <v>2.0991699999999999E-2</v>
      </c>
      <c r="CV78" s="83">
        <v>6.8498999999999999E-3</v>
      </c>
      <c r="CW78" s="83">
        <v>1.24213E-2</v>
      </c>
      <c r="CX78" s="83">
        <v>2.09669E-2</v>
      </c>
      <c r="CY78" s="83">
        <v>6.8498999999999999E-3</v>
      </c>
      <c r="CZ78" s="83">
        <v>1.15339E-2</v>
      </c>
      <c r="DA78" s="83">
        <v>2.0809299999999999E-2</v>
      </c>
    </row>
    <row r="79" spans="1:105" x14ac:dyDescent="0.2">
      <c r="A79" s="83">
        <v>6.9499000000000002E-3</v>
      </c>
      <c r="B79" s="83">
        <v>2.00895E-2</v>
      </c>
      <c r="C79" s="83">
        <v>1.97343E-2</v>
      </c>
      <c r="D79" s="83">
        <v>6.9499000000000002E-3</v>
      </c>
      <c r="E79" s="83">
        <v>2.0120699999999998E-2</v>
      </c>
      <c r="F79" s="83">
        <v>2.0125799999999999E-2</v>
      </c>
      <c r="G79" s="83">
        <v>6.9499000000000002E-3</v>
      </c>
      <c r="H79" s="83">
        <v>2.08214E-2</v>
      </c>
      <c r="I79" s="83">
        <v>2.0313899999999999E-2</v>
      </c>
      <c r="J79" s="83">
        <v>6.9499000000000002E-3</v>
      </c>
      <c r="K79" s="83">
        <v>1.9721300000000001E-2</v>
      </c>
      <c r="L79" s="83">
        <v>1.9538699999999999E-2</v>
      </c>
      <c r="M79" s="83">
        <v>6.9499000000000002E-3</v>
      </c>
      <c r="N79" s="83">
        <v>1.9025799999999999E-2</v>
      </c>
      <c r="O79" s="83">
        <v>1.9700700000000002E-2</v>
      </c>
      <c r="P79" s="83">
        <v>6.9499000000000002E-3</v>
      </c>
      <c r="Q79" s="83">
        <v>1.9402099999999999E-2</v>
      </c>
      <c r="R79" s="83">
        <v>1.9803000000000001E-2</v>
      </c>
      <c r="S79" s="83">
        <v>6.9499000000000002E-3</v>
      </c>
      <c r="T79" s="83">
        <v>1.92248E-2</v>
      </c>
      <c r="U79" s="83">
        <v>1.9895300000000001E-2</v>
      </c>
      <c r="V79" s="83">
        <v>6.9499000000000002E-3</v>
      </c>
      <c r="W79" s="83">
        <v>1.9607699999999999E-2</v>
      </c>
      <c r="X79" s="83">
        <v>2.0262200000000001E-2</v>
      </c>
      <c r="Y79" s="83">
        <v>6.9499000000000002E-3</v>
      </c>
      <c r="Z79" s="83">
        <v>1.8870999999999999E-2</v>
      </c>
      <c r="AA79" s="83">
        <v>1.97302E-2</v>
      </c>
      <c r="AB79" s="83">
        <v>6.9499000000000002E-3</v>
      </c>
      <c r="AC79" s="83">
        <v>1.8787700000000001E-2</v>
      </c>
      <c r="AD79" s="83">
        <v>2.0050800000000001E-2</v>
      </c>
      <c r="AE79" s="83">
        <v>6.9499000000000002E-3</v>
      </c>
      <c r="AF79" s="83">
        <v>1.8925000000000001E-2</v>
      </c>
      <c r="AG79" s="83">
        <v>2.03663E-2</v>
      </c>
      <c r="AH79" s="83">
        <v>6.9499000000000002E-3</v>
      </c>
      <c r="AI79" s="83">
        <v>1.84437E-2</v>
      </c>
      <c r="AJ79" s="83">
        <v>2.0251600000000002E-2</v>
      </c>
      <c r="AK79" s="83">
        <v>6.9499000000000002E-3</v>
      </c>
      <c r="AL79" s="83">
        <v>1.9365400000000001E-2</v>
      </c>
      <c r="AM79" s="83">
        <v>2.034E-2</v>
      </c>
      <c r="AN79" s="83">
        <v>6.9499000000000002E-3</v>
      </c>
      <c r="AO79" s="83">
        <v>1.7423999999999999E-2</v>
      </c>
      <c r="AP79" s="83">
        <v>1.97003E-2</v>
      </c>
      <c r="AQ79" s="83">
        <v>6.9499000000000002E-3</v>
      </c>
      <c r="AR79" s="83">
        <v>1.75494E-2</v>
      </c>
      <c r="AS79" s="83">
        <v>2.0123100000000001E-2</v>
      </c>
      <c r="AT79" s="83">
        <v>6.9499000000000002E-3</v>
      </c>
      <c r="AU79" s="83">
        <v>1.7775699999999998E-2</v>
      </c>
      <c r="AV79" s="83">
        <v>2.01537E-2</v>
      </c>
      <c r="AW79" s="83">
        <v>6.9499000000000002E-3</v>
      </c>
      <c r="AX79" s="83">
        <v>1.7913800000000001E-2</v>
      </c>
      <c r="AY79" s="83">
        <v>2.0513E-2</v>
      </c>
      <c r="AZ79" s="83">
        <v>6.9499000000000002E-3</v>
      </c>
      <c r="BA79" s="83">
        <v>1.7526400000000001E-2</v>
      </c>
      <c r="BB79" s="83">
        <v>2.03289E-2</v>
      </c>
      <c r="BC79" s="83">
        <v>6.9499000000000002E-3</v>
      </c>
      <c r="BD79" s="83">
        <v>1.6426799999999998E-2</v>
      </c>
      <c r="BE79" s="83">
        <v>1.9920799999999999E-2</v>
      </c>
      <c r="BF79" s="83">
        <v>6.9499000000000002E-3</v>
      </c>
      <c r="BG79" s="83">
        <v>1.6477200000000001E-2</v>
      </c>
      <c r="BH79" s="83">
        <v>2.01408E-2</v>
      </c>
      <c r="BI79" s="83">
        <v>6.9499000000000002E-3</v>
      </c>
      <c r="BJ79" s="83">
        <v>1.5907600000000001E-2</v>
      </c>
      <c r="BK79" s="83">
        <v>2.0109800000000001E-2</v>
      </c>
      <c r="BL79" s="83">
        <v>6.9499000000000002E-3</v>
      </c>
      <c r="BM79" s="83">
        <v>1.55339E-2</v>
      </c>
      <c r="BN79" s="83">
        <v>1.98499E-2</v>
      </c>
      <c r="BO79" s="83">
        <v>6.9499000000000002E-3</v>
      </c>
      <c r="BP79" s="83">
        <v>1.53455E-2</v>
      </c>
      <c r="BQ79" s="83">
        <v>2.0130800000000001E-2</v>
      </c>
      <c r="BR79" s="83">
        <v>6.9499000000000002E-3</v>
      </c>
      <c r="BS79" s="83">
        <v>1.47802E-2</v>
      </c>
      <c r="BT79" s="83">
        <v>2.04423E-2</v>
      </c>
      <c r="BU79" s="83">
        <v>6.9499000000000002E-3</v>
      </c>
      <c r="BV79" s="83">
        <v>1.3798400000000001E-2</v>
      </c>
      <c r="BW79" s="83">
        <v>1.9808300000000001E-2</v>
      </c>
      <c r="BX79" s="83">
        <v>6.9499000000000002E-3</v>
      </c>
      <c r="BY79" s="83">
        <v>1.4257499999999999E-2</v>
      </c>
      <c r="BZ79" s="83">
        <v>2.04762E-2</v>
      </c>
      <c r="CA79" s="83">
        <v>6.9499000000000002E-3</v>
      </c>
      <c r="CB79" s="83">
        <v>1.3732299999999999E-2</v>
      </c>
      <c r="CC79" s="83">
        <v>1.9996400000000001E-2</v>
      </c>
      <c r="CD79" s="83">
        <v>6.9499000000000002E-3</v>
      </c>
      <c r="CE79" s="83">
        <v>1.2552600000000001E-2</v>
      </c>
      <c r="CF79" s="83">
        <v>1.9902199999999998E-2</v>
      </c>
      <c r="CG79" s="83">
        <v>6.9499000000000002E-3</v>
      </c>
      <c r="CH79" s="83">
        <v>1.27715E-2</v>
      </c>
      <c r="CI79" s="83">
        <v>2.02455E-2</v>
      </c>
      <c r="CJ79" s="83">
        <v>6.9499000000000002E-3</v>
      </c>
      <c r="CK79" s="83">
        <v>1.23704E-2</v>
      </c>
      <c r="CL79" s="83">
        <v>1.99189E-2</v>
      </c>
      <c r="CM79" s="83">
        <v>6.9499000000000002E-3</v>
      </c>
      <c r="CN79" s="83">
        <v>1.2268899999999999E-2</v>
      </c>
      <c r="CO79" s="83">
        <v>1.97238E-2</v>
      </c>
      <c r="CP79" s="83">
        <v>6.9499000000000002E-3</v>
      </c>
      <c r="CQ79" s="83">
        <v>1.2011000000000001E-2</v>
      </c>
      <c r="CR79" s="83">
        <v>1.9859000000000002E-2</v>
      </c>
      <c r="CS79" s="83">
        <v>6.9499000000000002E-3</v>
      </c>
      <c r="CT79" s="83">
        <v>1.14123E-2</v>
      </c>
      <c r="CU79" s="83">
        <v>1.99966E-2</v>
      </c>
      <c r="CV79" s="83">
        <v>6.9499000000000002E-3</v>
      </c>
      <c r="CW79" s="83">
        <v>1.17377E-2</v>
      </c>
      <c r="CX79" s="83">
        <v>1.99679E-2</v>
      </c>
      <c r="CY79" s="83">
        <v>6.9499000000000002E-3</v>
      </c>
      <c r="CZ79" s="83">
        <v>1.08874E-2</v>
      </c>
      <c r="DA79" s="83">
        <v>1.9809299999999998E-2</v>
      </c>
    </row>
    <row r="80" spans="1:105" x14ac:dyDescent="0.2">
      <c r="A80" s="83">
        <v>7.0498999999999996E-3</v>
      </c>
      <c r="B80" s="83">
        <v>1.8946899999999999E-2</v>
      </c>
      <c r="C80" s="83">
        <v>1.88164E-2</v>
      </c>
      <c r="D80" s="83">
        <v>7.0498999999999996E-3</v>
      </c>
      <c r="E80" s="83">
        <v>1.9212400000000001E-2</v>
      </c>
      <c r="F80" s="83">
        <v>1.91659E-2</v>
      </c>
      <c r="G80" s="83">
        <v>7.0498999999999996E-3</v>
      </c>
      <c r="H80" s="83">
        <v>1.9704200000000002E-2</v>
      </c>
      <c r="I80" s="83">
        <v>1.9357800000000001E-2</v>
      </c>
      <c r="J80" s="83">
        <v>7.0498999999999996E-3</v>
      </c>
      <c r="K80" s="83">
        <v>1.85162E-2</v>
      </c>
      <c r="L80" s="83">
        <v>1.86412E-2</v>
      </c>
      <c r="M80" s="83">
        <v>7.0498999999999996E-3</v>
      </c>
      <c r="N80" s="83">
        <v>1.7986800000000001E-2</v>
      </c>
      <c r="O80" s="83">
        <v>1.8788599999999999E-2</v>
      </c>
      <c r="P80" s="83">
        <v>7.0498999999999996E-3</v>
      </c>
      <c r="Q80" s="83">
        <v>1.8025200000000002E-2</v>
      </c>
      <c r="R80" s="83">
        <v>1.8898700000000001E-2</v>
      </c>
      <c r="S80" s="83">
        <v>7.0498999999999996E-3</v>
      </c>
      <c r="T80" s="83">
        <v>1.8330300000000001E-2</v>
      </c>
      <c r="U80" s="83">
        <v>1.8952E-2</v>
      </c>
      <c r="V80" s="83">
        <v>7.0498999999999996E-3</v>
      </c>
      <c r="W80" s="83">
        <v>1.8500300000000001E-2</v>
      </c>
      <c r="X80" s="83">
        <v>1.9320799999999999E-2</v>
      </c>
      <c r="Y80" s="83">
        <v>7.0498999999999996E-3</v>
      </c>
      <c r="Z80" s="83">
        <v>1.7579999999999998E-2</v>
      </c>
      <c r="AA80" s="83">
        <v>1.8821000000000001E-2</v>
      </c>
      <c r="AB80" s="83">
        <v>7.0498999999999996E-3</v>
      </c>
      <c r="AC80" s="83">
        <v>1.7488799999999999E-2</v>
      </c>
      <c r="AD80" s="83">
        <v>1.9132799999999998E-2</v>
      </c>
      <c r="AE80" s="83">
        <v>7.0498999999999996E-3</v>
      </c>
      <c r="AF80" s="83">
        <v>1.7876199999999998E-2</v>
      </c>
      <c r="AG80" s="83">
        <v>1.9415100000000001E-2</v>
      </c>
      <c r="AH80" s="83">
        <v>7.0498999999999996E-3</v>
      </c>
      <c r="AI80" s="83">
        <v>1.7529599999999999E-2</v>
      </c>
      <c r="AJ80" s="83">
        <v>1.9300399999999999E-2</v>
      </c>
      <c r="AK80" s="83">
        <v>7.0498999999999996E-3</v>
      </c>
      <c r="AL80" s="83">
        <v>1.81954E-2</v>
      </c>
      <c r="AM80" s="83">
        <v>1.9403400000000001E-2</v>
      </c>
      <c r="AN80" s="83">
        <v>7.0498999999999996E-3</v>
      </c>
      <c r="AO80" s="83">
        <v>1.6326299999999998E-2</v>
      </c>
      <c r="AP80" s="83">
        <v>1.8782299999999998E-2</v>
      </c>
      <c r="AQ80" s="83">
        <v>7.0498999999999996E-3</v>
      </c>
      <c r="AR80" s="83">
        <v>1.6389299999999999E-2</v>
      </c>
      <c r="AS80" s="83">
        <v>1.9185600000000001E-2</v>
      </c>
      <c r="AT80" s="83">
        <v>7.0498999999999996E-3</v>
      </c>
      <c r="AU80" s="83">
        <v>1.6426099999999999E-2</v>
      </c>
      <c r="AV80" s="83">
        <v>1.9213299999999999E-2</v>
      </c>
      <c r="AW80" s="83">
        <v>7.0498999999999996E-3</v>
      </c>
      <c r="AX80" s="83">
        <v>1.6784899999999998E-2</v>
      </c>
      <c r="AY80" s="83">
        <v>1.9581399999999999E-2</v>
      </c>
      <c r="AZ80" s="83">
        <v>7.0498999999999996E-3</v>
      </c>
      <c r="BA80" s="83">
        <v>1.6170899999999998E-2</v>
      </c>
      <c r="BB80" s="83">
        <v>1.93796E-2</v>
      </c>
      <c r="BC80" s="83">
        <v>7.0498999999999996E-3</v>
      </c>
      <c r="BD80" s="83">
        <v>1.5709999999999998E-2</v>
      </c>
      <c r="BE80" s="83">
        <v>1.9012600000000001E-2</v>
      </c>
      <c r="BF80" s="83">
        <v>7.0498999999999996E-3</v>
      </c>
      <c r="BG80" s="83">
        <v>1.58131E-2</v>
      </c>
      <c r="BH80" s="83">
        <v>1.9199399999999998E-2</v>
      </c>
      <c r="BI80" s="83">
        <v>7.0498999999999996E-3</v>
      </c>
      <c r="BJ80" s="83">
        <v>1.4610700000000001E-2</v>
      </c>
      <c r="BK80" s="83">
        <v>1.9171400000000002E-2</v>
      </c>
      <c r="BL80" s="83">
        <v>7.0498999999999996E-3</v>
      </c>
      <c r="BM80" s="83">
        <v>1.4416699999999999E-2</v>
      </c>
      <c r="BN80" s="83">
        <v>1.8926999999999999E-2</v>
      </c>
      <c r="BO80" s="83">
        <v>7.0498999999999996E-3</v>
      </c>
      <c r="BP80" s="83">
        <v>1.4619E-2</v>
      </c>
      <c r="BQ80" s="83">
        <v>1.9214800000000001E-2</v>
      </c>
      <c r="BR80" s="83">
        <v>7.0498999999999996E-3</v>
      </c>
      <c r="BS80" s="83">
        <v>1.4284099999999999E-2</v>
      </c>
      <c r="BT80" s="83">
        <v>1.9492099999999998E-2</v>
      </c>
      <c r="BU80" s="83">
        <v>7.0498999999999996E-3</v>
      </c>
      <c r="BV80" s="83">
        <v>1.3218300000000001E-2</v>
      </c>
      <c r="BW80" s="83">
        <v>1.8905999999999999E-2</v>
      </c>
      <c r="BX80" s="83">
        <v>7.0498999999999996E-3</v>
      </c>
      <c r="BY80" s="83">
        <v>1.3358999999999999E-2</v>
      </c>
      <c r="BZ80" s="83">
        <v>1.9502499999999999E-2</v>
      </c>
      <c r="CA80" s="83">
        <v>7.0498999999999996E-3</v>
      </c>
      <c r="CB80" s="83">
        <v>1.2884700000000001E-2</v>
      </c>
      <c r="CC80" s="83">
        <v>1.9071600000000001E-2</v>
      </c>
      <c r="CD80" s="83">
        <v>7.0498999999999996E-3</v>
      </c>
      <c r="CE80" s="83">
        <v>1.1997900000000001E-2</v>
      </c>
      <c r="CF80" s="83">
        <v>1.8955900000000001E-2</v>
      </c>
      <c r="CG80" s="83">
        <v>7.0498999999999996E-3</v>
      </c>
      <c r="CH80" s="83">
        <v>1.13028E-2</v>
      </c>
      <c r="CI80" s="83">
        <v>1.93002E-2</v>
      </c>
      <c r="CJ80" s="83">
        <v>7.0498999999999996E-3</v>
      </c>
      <c r="CK80" s="83">
        <v>1.12161E-2</v>
      </c>
      <c r="CL80" s="83">
        <v>1.8987299999999999E-2</v>
      </c>
      <c r="CM80" s="83">
        <v>7.0498999999999996E-3</v>
      </c>
      <c r="CN80" s="83">
        <v>1.1446700000000001E-2</v>
      </c>
      <c r="CO80" s="83">
        <v>1.8803899999999998E-2</v>
      </c>
      <c r="CP80" s="83">
        <v>7.0498999999999996E-3</v>
      </c>
      <c r="CQ80" s="83">
        <v>1.1059899999999999E-2</v>
      </c>
      <c r="CR80" s="83">
        <v>1.8918600000000001E-2</v>
      </c>
      <c r="CS80" s="83">
        <v>7.0498999999999996E-3</v>
      </c>
      <c r="CT80" s="83">
        <v>1.10002E-2</v>
      </c>
      <c r="CU80" s="83">
        <v>1.90806E-2</v>
      </c>
      <c r="CV80" s="83">
        <v>7.0498999999999996E-3</v>
      </c>
      <c r="CW80" s="83">
        <v>1.1116600000000001E-2</v>
      </c>
      <c r="CX80" s="83">
        <v>1.9039199999999999E-2</v>
      </c>
      <c r="CY80" s="83">
        <v>7.0498999999999996E-3</v>
      </c>
      <c r="CZ80" s="83">
        <v>1.0237E-2</v>
      </c>
      <c r="DA80" s="83">
        <v>1.8893299999999998E-2</v>
      </c>
    </row>
    <row r="81" spans="1:105" x14ac:dyDescent="0.2">
      <c r="A81" s="83">
        <v>7.1498999999999998E-3</v>
      </c>
      <c r="B81" s="83">
        <v>1.7550400000000001E-2</v>
      </c>
      <c r="C81" s="83">
        <v>1.79238E-2</v>
      </c>
      <c r="D81" s="83">
        <v>7.1498999999999998E-3</v>
      </c>
      <c r="E81" s="83">
        <v>1.82007E-2</v>
      </c>
      <c r="F81" s="83">
        <v>1.8262500000000001E-2</v>
      </c>
      <c r="G81" s="83">
        <v>7.1498999999999998E-3</v>
      </c>
      <c r="H81" s="83">
        <v>1.8645700000000001E-2</v>
      </c>
      <c r="I81" s="83">
        <v>1.8453500000000001E-2</v>
      </c>
      <c r="J81" s="83">
        <v>7.1498999999999998E-3</v>
      </c>
      <c r="K81" s="83">
        <v>1.77486E-2</v>
      </c>
      <c r="L81" s="83">
        <v>1.77789E-2</v>
      </c>
      <c r="M81" s="83">
        <v>7.1498999999999998E-3</v>
      </c>
      <c r="N81" s="83">
        <v>1.6691899999999999E-2</v>
      </c>
      <c r="O81" s="83">
        <v>1.7914599999999999E-2</v>
      </c>
      <c r="P81" s="83">
        <v>7.1498999999999998E-3</v>
      </c>
      <c r="Q81" s="83">
        <v>1.7072E-2</v>
      </c>
      <c r="R81" s="83">
        <v>1.80149E-2</v>
      </c>
      <c r="S81" s="83">
        <v>7.1498999999999998E-3</v>
      </c>
      <c r="T81" s="83">
        <v>1.72619E-2</v>
      </c>
      <c r="U81" s="83">
        <v>1.8106299999999999E-2</v>
      </c>
      <c r="V81" s="83">
        <v>7.1498999999999998E-3</v>
      </c>
      <c r="W81" s="83">
        <v>1.7769799999999999E-2</v>
      </c>
      <c r="X81" s="83">
        <v>1.8438E-2</v>
      </c>
      <c r="Y81" s="83">
        <v>7.1498999999999998E-3</v>
      </c>
      <c r="Z81" s="83">
        <v>1.6392500000000001E-2</v>
      </c>
      <c r="AA81" s="83">
        <v>1.79665E-2</v>
      </c>
      <c r="AB81" s="83">
        <v>7.1498999999999998E-3</v>
      </c>
      <c r="AC81" s="83">
        <v>1.6852099999999998E-2</v>
      </c>
      <c r="AD81" s="83">
        <v>1.82265E-2</v>
      </c>
      <c r="AE81" s="83">
        <v>7.1498999999999998E-3</v>
      </c>
      <c r="AF81" s="83">
        <v>1.66438E-2</v>
      </c>
      <c r="AG81" s="83">
        <v>1.8526399999999998E-2</v>
      </c>
      <c r="AH81" s="83">
        <v>7.1498999999999998E-3</v>
      </c>
      <c r="AI81" s="83">
        <v>1.61409E-2</v>
      </c>
      <c r="AJ81" s="83">
        <v>1.8386400000000001E-2</v>
      </c>
      <c r="AK81" s="83">
        <v>7.1498999999999998E-3</v>
      </c>
      <c r="AL81" s="83">
        <v>1.65919E-2</v>
      </c>
      <c r="AM81" s="83">
        <v>1.8506999999999999E-2</v>
      </c>
      <c r="AN81" s="83">
        <v>7.1498999999999998E-3</v>
      </c>
      <c r="AO81" s="83">
        <v>1.5630999999999999E-2</v>
      </c>
      <c r="AP81" s="83">
        <v>1.7934599999999998E-2</v>
      </c>
      <c r="AQ81" s="83">
        <v>7.1498999999999998E-3</v>
      </c>
      <c r="AR81" s="83">
        <v>1.5709600000000001E-2</v>
      </c>
      <c r="AS81" s="83">
        <v>1.8292099999999999E-2</v>
      </c>
      <c r="AT81" s="83">
        <v>7.1498999999999998E-3</v>
      </c>
      <c r="AU81" s="83">
        <v>1.52914E-2</v>
      </c>
      <c r="AV81" s="83">
        <v>1.8317799999999999E-2</v>
      </c>
      <c r="AW81" s="83">
        <v>7.1498999999999998E-3</v>
      </c>
      <c r="AX81" s="83">
        <v>1.5597400000000001E-2</v>
      </c>
      <c r="AY81" s="83">
        <v>1.8682899999999999E-2</v>
      </c>
      <c r="AZ81" s="83">
        <v>7.1498999999999998E-3</v>
      </c>
      <c r="BA81" s="83">
        <v>1.55342E-2</v>
      </c>
      <c r="BB81" s="83">
        <v>1.8486099999999998E-2</v>
      </c>
      <c r="BC81" s="83">
        <v>7.1498999999999998E-3</v>
      </c>
      <c r="BD81" s="83">
        <v>1.4792E-2</v>
      </c>
      <c r="BE81" s="83">
        <v>1.8122900000000001E-2</v>
      </c>
      <c r="BF81" s="83">
        <v>7.1498999999999998E-3</v>
      </c>
      <c r="BG81" s="83">
        <v>1.43932E-2</v>
      </c>
      <c r="BH81" s="83">
        <v>1.83029E-2</v>
      </c>
      <c r="BI81" s="83">
        <v>7.1498999999999998E-3</v>
      </c>
      <c r="BJ81" s="83">
        <v>1.3800099999999999E-2</v>
      </c>
      <c r="BK81" s="83">
        <v>1.8287600000000001E-2</v>
      </c>
      <c r="BL81" s="83">
        <v>7.1498999999999998E-3</v>
      </c>
      <c r="BM81" s="83">
        <v>1.3805400000000001E-2</v>
      </c>
      <c r="BN81" s="83">
        <v>1.8048100000000001E-2</v>
      </c>
      <c r="BO81" s="83">
        <v>7.1498999999999998E-3</v>
      </c>
      <c r="BP81" s="83">
        <v>1.4273299999999999E-2</v>
      </c>
      <c r="BQ81" s="83">
        <v>1.8309499999999999E-2</v>
      </c>
      <c r="BR81" s="83">
        <v>7.1498999999999998E-3</v>
      </c>
      <c r="BS81" s="83">
        <v>1.3262599999999999E-2</v>
      </c>
      <c r="BT81" s="83">
        <v>1.8614200000000001E-2</v>
      </c>
      <c r="BU81" s="83">
        <v>7.1498999999999998E-3</v>
      </c>
      <c r="BV81" s="83">
        <v>1.2357E-2</v>
      </c>
      <c r="BW81" s="83">
        <v>1.80173E-2</v>
      </c>
      <c r="BX81" s="83">
        <v>7.1498999999999998E-3</v>
      </c>
      <c r="BY81" s="83">
        <v>1.2216400000000001E-2</v>
      </c>
      <c r="BZ81" s="83">
        <v>1.86178E-2</v>
      </c>
      <c r="CA81" s="83">
        <v>7.1498999999999998E-3</v>
      </c>
      <c r="CB81" s="83">
        <v>1.2087799999999999E-2</v>
      </c>
      <c r="CC81" s="83">
        <v>1.8182899999999998E-2</v>
      </c>
      <c r="CD81" s="83">
        <v>7.1498999999999998E-3</v>
      </c>
      <c r="CE81" s="83">
        <v>1.1091699999999999E-2</v>
      </c>
      <c r="CF81" s="83">
        <v>1.8085799999999999E-2</v>
      </c>
      <c r="CG81" s="83">
        <v>7.1498999999999998E-3</v>
      </c>
      <c r="CH81" s="83">
        <v>1.1253900000000001E-2</v>
      </c>
      <c r="CI81" s="83">
        <v>1.8405700000000001E-2</v>
      </c>
      <c r="CJ81" s="83">
        <v>7.1498999999999998E-3</v>
      </c>
      <c r="CK81" s="83">
        <v>1.0421100000000001E-2</v>
      </c>
      <c r="CL81" s="83">
        <v>1.8109400000000001E-2</v>
      </c>
      <c r="CM81" s="83">
        <v>7.1498999999999998E-3</v>
      </c>
      <c r="CN81" s="83">
        <v>1.07455E-2</v>
      </c>
      <c r="CO81" s="83">
        <v>1.7946500000000001E-2</v>
      </c>
      <c r="CP81" s="83">
        <v>7.1498999999999998E-3</v>
      </c>
      <c r="CQ81" s="83">
        <v>1.0515E-2</v>
      </c>
      <c r="CR81" s="83">
        <v>1.8067E-2</v>
      </c>
      <c r="CS81" s="83">
        <v>7.1498999999999998E-3</v>
      </c>
      <c r="CT81" s="83">
        <v>1.0056799999999999E-2</v>
      </c>
      <c r="CU81" s="83">
        <v>1.8174300000000001E-2</v>
      </c>
      <c r="CV81" s="83">
        <v>7.1498999999999998E-3</v>
      </c>
      <c r="CW81" s="83">
        <v>1.0364699999999999E-2</v>
      </c>
      <c r="CX81" s="83">
        <v>1.8166100000000001E-2</v>
      </c>
      <c r="CY81" s="83">
        <v>7.1498999999999998E-3</v>
      </c>
      <c r="CZ81" s="83">
        <v>9.4752699999999992E-3</v>
      </c>
      <c r="DA81" s="83">
        <v>1.8007599999999999E-2</v>
      </c>
    </row>
    <row r="82" spans="1:105" x14ac:dyDescent="0.2">
      <c r="A82" s="83">
        <v>7.2499000000000001E-3</v>
      </c>
      <c r="B82" s="83">
        <v>1.65328E-2</v>
      </c>
      <c r="C82" s="83">
        <v>1.70966E-2</v>
      </c>
      <c r="D82" s="83">
        <v>7.2499000000000001E-3</v>
      </c>
      <c r="E82" s="83">
        <v>1.7132399999999999E-2</v>
      </c>
      <c r="F82" s="83">
        <v>1.7424599999999998E-2</v>
      </c>
      <c r="G82" s="83">
        <v>7.2499000000000001E-3</v>
      </c>
      <c r="H82" s="83">
        <v>1.78566E-2</v>
      </c>
      <c r="I82" s="83">
        <v>1.7588300000000001E-2</v>
      </c>
      <c r="J82" s="83">
        <v>7.2499000000000001E-3</v>
      </c>
      <c r="K82" s="83">
        <v>1.6619700000000001E-2</v>
      </c>
      <c r="L82" s="83">
        <v>1.6962499999999998E-2</v>
      </c>
      <c r="M82" s="83">
        <v>7.2499000000000001E-3</v>
      </c>
      <c r="N82" s="83">
        <v>1.5738700000000001E-2</v>
      </c>
      <c r="O82" s="83">
        <v>1.7072799999999999E-2</v>
      </c>
      <c r="P82" s="83">
        <v>7.2499000000000001E-3</v>
      </c>
      <c r="Q82" s="83">
        <v>1.6003699999999999E-2</v>
      </c>
      <c r="R82" s="83">
        <v>1.7175099999999999E-2</v>
      </c>
      <c r="S82" s="83">
        <v>7.2499000000000001E-3</v>
      </c>
      <c r="T82" s="83">
        <v>1.6179900000000001E-2</v>
      </c>
      <c r="U82" s="83">
        <v>1.7254700000000001E-2</v>
      </c>
      <c r="V82" s="83">
        <v>7.2499000000000001E-3</v>
      </c>
      <c r="W82" s="83">
        <v>1.6486600000000001E-2</v>
      </c>
      <c r="X82" s="83">
        <v>1.7559100000000001E-2</v>
      </c>
      <c r="Y82" s="83">
        <v>7.2499000000000001E-3</v>
      </c>
      <c r="Z82" s="83">
        <v>1.50507E-2</v>
      </c>
      <c r="AA82" s="83">
        <v>1.7120799999999999E-2</v>
      </c>
      <c r="AB82" s="83">
        <v>7.2499000000000001E-3</v>
      </c>
      <c r="AC82" s="83">
        <v>1.6049399999999998E-2</v>
      </c>
      <c r="AD82" s="83">
        <v>1.73974E-2</v>
      </c>
      <c r="AE82" s="83">
        <v>7.2499000000000001E-3</v>
      </c>
      <c r="AF82" s="83">
        <v>1.5788300000000002E-2</v>
      </c>
      <c r="AG82" s="83">
        <v>1.7676799999999999E-2</v>
      </c>
      <c r="AH82" s="83">
        <v>7.2499000000000001E-3</v>
      </c>
      <c r="AI82" s="83">
        <v>1.55335E-2</v>
      </c>
      <c r="AJ82" s="83">
        <v>1.75563E-2</v>
      </c>
      <c r="AK82" s="83">
        <v>7.2499000000000001E-3</v>
      </c>
      <c r="AL82" s="83">
        <v>1.5339999999999999E-2</v>
      </c>
      <c r="AM82" s="83">
        <v>1.7655400000000002E-2</v>
      </c>
      <c r="AN82" s="83">
        <v>7.2499000000000001E-3</v>
      </c>
      <c r="AO82" s="83">
        <v>1.4705299999999999E-2</v>
      </c>
      <c r="AP82" s="83">
        <v>1.7079199999999999E-2</v>
      </c>
      <c r="AQ82" s="83">
        <v>7.2499000000000001E-3</v>
      </c>
      <c r="AR82" s="83">
        <v>1.43932E-2</v>
      </c>
      <c r="AS82" s="83">
        <v>1.7470800000000002E-2</v>
      </c>
      <c r="AT82" s="83">
        <v>7.2499000000000001E-3</v>
      </c>
      <c r="AU82" s="83">
        <v>1.4945699999999999E-2</v>
      </c>
      <c r="AV82" s="83">
        <v>1.7481799999999999E-2</v>
      </c>
      <c r="AW82" s="83">
        <v>7.2499000000000001E-3</v>
      </c>
      <c r="AX82" s="83">
        <v>1.43337E-2</v>
      </c>
      <c r="AY82" s="83">
        <v>1.78216E-2</v>
      </c>
      <c r="AZ82" s="83">
        <v>7.2499000000000001E-3</v>
      </c>
      <c r="BA82" s="83">
        <v>1.48057E-2</v>
      </c>
      <c r="BB82" s="83">
        <v>1.7646200000000001E-2</v>
      </c>
      <c r="BC82" s="83">
        <v>7.2499000000000001E-3</v>
      </c>
      <c r="BD82" s="83">
        <v>1.36025E-2</v>
      </c>
      <c r="BE82" s="83">
        <v>1.7293800000000002E-2</v>
      </c>
      <c r="BF82" s="83">
        <v>7.2499000000000001E-3</v>
      </c>
      <c r="BG82" s="83">
        <v>1.37389E-2</v>
      </c>
      <c r="BH82" s="83">
        <v>1.7481699999999999E-2</v>
      </c>
      <c r="BI82" s="83">
        <v>7.2499000000000001E-3</v>
      </c>
      <c r="BJ82" s="83">
        <v>1.3321599999999999E-2</v>
      </c>
      <c r="BK82" s="83">
        <v>1.7461399999999998E-2</v>
      </c>
      <c r="BL82" s="83">
        <v>7.2499000000000001E-3</v>
      </c>
      <c r="BM82" s="83">
        <v>1.2940200000000001E-2</v>
      </c>
      <c r="BN82" s="83">
        <v>1.7215100000000001E-2</v>
      </c>
      <c r="BO82" s="83">
        <v>7.2499000000000001E-3</v>
      </c>
      <c r="BP82" s="83">
        <v>1.30799E-2</v>
      </c>
      <c r="BQ82" s="83">
        <v>1.74833E-2</v>
      </c>
      <c r="BR82" s="83">
        <v>7.2499000000000001E-3</v>
      </c>
      <c r="BS82" s="83">
        <v>1.2481300000000001E-2</v>
      </c>
      <c r="BT82" s="83">
        <v>1.77333E-2</v>
      </c>
      <c r="BU82" s="83">
        <v>7.2499000000000001E-3</v>
      </c>
      <c r="BV82" s="83">
        <v>1.13004E-2</v>
      </c>
      <c r="BW82" s="83">
        <v>1.71784E-2</v>
      </c>
      <c r="BX82" s="83">
        <v>7.2499000000000001E-3</v>
      </c>
      <c r="BY82" s="83">
        <v>1.2066E-2</v>
      </c>
      <c r="BZ82" s="83">
        <v>1.7740800000000001E-2</v>
      </c>
      <c r="CA82" s="83">
        <v>7.2499000000000001E-3</v>
      </c>
      <c r="CB82" s="83">
        <v>1.133E-2</v>
      </c>
      <c r="CC82" s="83">
        <v>1.7347000000000001E-2</v>
      </c>
      <c r="CD82" s="83">
        <v>7.2499000000000001E-3</v>
      </c>
      <c r="CE82" s="83">
        <v>1.0671699999999999E-2</v>
      </c>
      <c r="CF82" s="83">
        <v>1.72362E-2</v>
      </c>
      <c r="CG82" s="83">
        <v>7.2499000000000001E-3</v>
      </c>
      <c r="CH82" s="83">
        <v>1.05176E-2</v>
      </c>
      <c r="CI82" s="83">
        <v>1.75786E-2</v>
      </c>
      <c r="CJ82" s="83">
        <v>7.2499000000000001E-3</v>
      </c>
      <c r="CK82" s="83">
        <v>9.9133399999999997E-3</v>
      </c>
      <c r="CL82" s="83">
        <v>1.72754E-2</v>
      </c>
      <c r="CM82" s="83">
        <v>7.2499000000000001E-3</v>
      </c>
      <c r="CN82" s="83">
        <v>1.0192700000000001E-2</v>
      </c>
      <c r="CO82" s="83">
        <v>1.71135E-2</v>
      </c>
      <c r="CP82" s="83">
        <v>7.2499000000000001E-3</v>
      </c>
      <c r="CQ82" s="83">
        <v>9.4036199999999997E-3</v>
      </c>
      <c r="CR82" s="83">
        <v>1.7229100000000001E-2</v>
      </c>
      <c r="CS82" s="83">
        <v>7.2499000000000001E-3</v>
      </c>
      <c r="CT82" s="83">
        <v>9.7208899999999994E-3</v>
      </c>
      <c r="CU82" s="83">
        <v>1.7336399999999998E-2</v>
      </c>
      <c r="CV82" s="83">
        <v>7.2499000000000001E-3</v>
      </c>
      <c r="CW82" s="83">
        <v>9.4428099999999994E-3</v>
      </c>
      <c r="CX82" s="83">
        <v>1.7326299999999999E-2</v>
      </c>
      <c r="CY82" s="83">
        <v>7.2499000000000001E-3</v>
      </c>
      <c r="CZ82" s="83">
        <v>9.1022299999999993E-3</v>
      </c>
      <c r="DA82" s="83">
        <v>1.7167700000000001E-2</v>
      </c>
    </row>
    <row r="83" spans="1:105" x14ac:dyDescent="0.2">
      <c r="A83" s="83">
        <v>7.3499000000000004E-3</v>
      </c>
      <c r="B83" s="83">
        <v>1.5486E-2</v>
      </c>
      <c r="C83" s="83">
        <v>1.6317399999999999E-2</v>
      </c>
      <c r="D83" s="83">
        <v>7.3499000000000004E-3</v>
      </c>
      <c r="E83" s="83">
        <v>1.6159699999999999E-2</v>
      </c>
      <c r="F83" s="83">
        <v>1.66258E-2</v>
      </c>
      <c r="G83" s="83">
        <v>7.3499000000000004E-3</v>
      </c>
      <c r="H83" s="83">
        <v>1.65871E-2</v>
      </c>
      <c r="I83" s="83">
        <v>1.6779700000000002E-2</v>
      </c>
      <c r="J83" s="83">
        <v>7.3499000000000004E-3</v>
      </c>
      <c r="K83" s="83">
        <v>1.54185E-2</v>
      </c>
      <c r="L83" s="83">
        <v>1.6186200000000001E-2</v>
      </c>
      <c r="M83" s="83">
        <v>7.3499000000000004E-3</v>
      </c>
      <c r="N83" s="83">
        <v>1.4629400000000001E-2</v>
      </c>
      <c r="O83" s="83">
        <v>1.62945E-2</v>
      </c>
      <c r="P83" s="83">
        <v>7.3499000000000004E-3</v>
      </c>
      <c r="Q83" s="83">
        <v>1.55193E-2</v>
      </c>
      <c r="R83" s="83">
        <v>1.6386999999999999E-2</v>
      </c>
      <c r="S83" s="83">
        <v>7.3499000000000004E-3</v>
      </c>
      <c r="T83" s="83">
        <v>1.52482E-2</v>
      </c>
      <c r="U83" s="83">
        <v>1.6445100000000001E-2</v>
      </c>
      <c r="V83" s="83">
        <v>7.3499000000000004E-3</v>
      </c>
      <c r="W83" s="83">
        <v>1.55765E-2</v>
      </c>
      <c r="X83" s="83">
        <v>1.67583E-2</v>
      </c>
      <c r="Y83" s="83">
        <v>7.3499000000000004E-3</v>
      </c>
      <c r="Z83" s="83">
        <v>1.4704999999999999E-2</v>
      </c>
      <c r="AA83" s="83">
        <v>1.6328800000000001E-2</v>
      </c>
      <c r="AB83" s="83">
        <v>7.3499000000000004E-3</v>
      </c>
      <c r="AC83" s="83">
        <v>1.4879399999999999E-2</v>
      </c>
      <c r="AD83" s="83">
        <v>1.6595700000000001E-2</v>
      </c>
      <c r="AE83" s="83">
        <v>7.3499000000000004E-3</v>
      </c>
      <c r="AF83" s="83">
        <v>1.49114E-2</v>
      </c>
      <c r="AG83" s="83">
        <v>1.68682E-2</v>
      </c>
      <c r="AH83" s="83">
        <v>7.3499000000000004E-3</v>
      </c>
      <c r="AI83" s="83">
        <v>1.45784E-2</v>
      </c>
      <c r="AJ83" s="83">
        <v>1.6736000000000001E-2</v>
      </c>
      <c r="AK83" s="83">
        <v>7.3499000000000004E-3</v>
      </c>
      <c r="AL83" s="83">
        <v>1.46017E-2</v>
      </c>
      <c r="AM83" s="83">
        <v>1.6837000000000001E-2</v>
      </c>
      <c r="AN83" s="83">
        <v>7.3499000000000004E-3</v>
      </c>
      <c r="AO83" s="83">
        <v>1.35002E-2</v>
      </c>
      <c r="AP83" s="83">
        <v>1.6329199999999999E-2</v>
      </c>
      <c r="AQ83" s="83">
        <v>7.3499000000000004E-3</v>
      </c>
      <c r="AR83" s="83">
        <v>1.3885399999999999E-2</v>
      </c>
      <c r="AS83" s="83">
        <v>1.6632899999999999E-2</v>
      </c>
      <c r="AT83" s="83">
        <v>7.3499000000000004E-3</v>
      </c>
      <c r="AU83" s="83">
        <v>1.3424200000000001E-2</v>
      </c>
      <c r="AV83" s="83">
        <v>1.6697699999999999E-2</v>
      </c>
      <c r="AW83" s="83">
        <v>7.3499000000000004E-3</v>
      </c>
      <c r="AX83" s="83">
        <v>1.35154E-2</v>
      </c>
      <c r="AY83" s="83">
        <v>1.70013E-2</v>
      </c>
      <c r="AZ83" s="83">
        <v>7.3499000000000004E-3</v>
      </c>
      <c r="BA83" s="83">
        <v>1.3969799999999999E-2</v>
      </c>
      <c r="BB83" s="83">
        <v>1.6828900000000001E-2</v>
      </c>
      <c r="BC83" s="83">
        <v>7.3499000000000004E-3</v>
      </c>
      <c r="BD83" s="83">
        <v>1.2752899999999999E-2</v>
      </c>
      <c r="BE83" s="83">
        <v>1.6504700000000001E-2</v>
      </c>
      <c r="BF83" s="83">
        <v>7.3499000000000004E-3</v>
      </c>
      <c r="BG83" s="83">
        <v>1.3025999999999999E-2</v>
      </c>
      <c r="BH83" s="83">
        <v>1.6685800000000001E-2</v>
      </c>
      <c r="BI83" s="83">
        <v>7.3499000000000004E-3</v>
      </c>
      <c r="BJ83" s="83">
        <v>1.25618E-2</v>
      </c>
      <c r="BK83" s="83">
        <v>1.66538E-2</v>
      </c>
      <c r="BL83" s="83">
        <v>7.3499000000000004E-3</v>
      </c>
      <c r="BM83" s="83">
        <v>1.23132E-2</v>
      </c>
      <c r="BN83" s="83">
        <v>1.6427000000000001E-2</v>
      </c>
      <c r="BO83" s="83">
        <v>7.3499000000000004E-3</v>
      </c>
      <c r="BP83" s="83">
        <v>1.26033E-2</v>
      </c>
      <c r="BQ83" s="83">
        <v>1.66923E-2</v>
      </c>
      <c r="BR83" s="83">
        <v>7.3499000000000004E-3</v>
      </c>
      <c r="BS83" s="83">
        <v>1.1989100000000001E-2</v>
      </c>
      <c r="BT83" s="83">
        <v>1.6934500000000002E-2</v>
      </c>
      <c r="BU83" s="83">
        <v>7.3499000000000004E-3</v>
      </c>
      <c r="BV83" s="83">
        <v>1.0679299999999999E-2</v>
      </c>
      <c r="BW83" s="83">
        <v>1.6386399999999999E-2</v>
      </c>
      <c r="BX83" s="83">
        <v>7.3499000000000004E-3</v>
      </c>
      <c r="BY83" s="83">
        <v>1.1347299999999999E-2</v>
      </c>
      <c r="BZ83" s="83">
        <v>1.6912699999999999E-2</v>
      </c>
      <c r="CA83" s="83">
        <v>7.3499000000000004E-3</v>
      </c>
      <c r="CB83" s="83">
        <v>1.10195E-2</v>
      </c>
      <c r="CC83" s="83">
        <v>1.6548199999999999E-2</v>
      </c>
      <c r="CD83" s="83">
        <v>7.3499000000000004E-3</v>
      </c>
      <c r="CE83" s="83">
        <v>9.6951799999999994E-3</v>
      </c>
      <c r="CF83" s="83">
        <v>1.6449999999999999E-2</v>
      </c>
      <c r="CG83" s="83">
        <v>7.3499000000000004E-3</v>
      </c>
      <c r="CH83" s="83">
        <v>1.02325E-2</v>
      </c>
      <c r="CI83" s="83">
        <v>1.67426E-2</v>
      </c>
      <c r="CJ83" s="83">
        <v>7.3499000000000004E-3</v>
      </c>
      <c r="CK83" s="83">
        <v>9.5051300000000005E-3</v>
      </c>
      <c r="CL83" s="83">
        <v>1.6477499999999999E-2</v>
      </c>
      <c r="CM83" s="83">
        <v>7.3499000000000004E-3</v>
      </c>
      <c r="CN83" s="83">
        <v>9.9427500000000002E-3</v>
      </c>
      <c r="CO83" s="83">
        <v>1.6316600000000001E-2</v>
      </c>
      <c r="CP83" s="83">
        <v>7.3499000000000004E-3</v>
      </c>
      <c r="CQ83" s="83">
        <v>9.2610399999999999E-3</v>
      </c>
      <c r="CR83" s="83">
        <v>1.6424399999999999E-2</v>
      </c>
      <c r="CS83" s="83">
        <v>7.3499000000000004E-3</v>
      </c>
      <c r="CT83" s="83">
        <v>9.00018E-3</v>
      </c>
      <c r="CU83" s="83">
        <v>1.6523900000000001E-2</v>
      </c>
      <c r="CV83" s="83">
        <v>7.3499000000000004E-3</v>
      </c>
      <c r="CW83" s="83">
        <v>9.0385099999999996E-3</v>
      </c>
      <c r="CX83" s="83">
        <v>1.6513799999999999E-2</v>
      </c>
      <c r="CY83" s="83">
        <v>7.3499000000000004E-3</v>
      </c>
      <c r="CZ83" s="83">
        <v>8.5143400000000004E-3</v>
      </c>
      <c r="DA83" s="83">
        <v>1.63816E-2</v>
      </c>
    </row>
    <row r="84" spans="1:105" x14ac:dyDescent="0.2">
      <c r="A84" s="83">
        <v>7.4498999999999998E-3</v>
      </c>
      <c r="B84" s="83">
        <v>1.47067E-2</v>
      </c>
      <c r="C84" s="83">
        <v>1.55595E-2</v>
      </c>
      <c r="D84" s="83">
        <v>7.4498999999999998E-3</v>
      </c>
      <c r="E84" s="83">
        <v>1.5163599999999999E-2</v>
      </c>
      <c r="F84" s="83">
        <v>1.58377E-2</v>
      </c>
      <c r="G84" s="83">
        <v>7.4498999999999998E-3</v>
      </c>
      <c r="H84" s="83">
        <v>1.5764799999999999E-2</v>
      </c>
      <c r="I84" s="83">
        <v>1.6018000000000001E-2</v>
      </c>
      <c r="J84" s="83">
        <v>7.4498999999999998E-3</v>
      </c>
      <c r="K84" s="83">
        <v>1.4781799999999999E-2</v>
      </c>
      <c r="L84" s="83">
        <v>1.54264E-2</v>
      </c>
      <c r="M84" s="83">
        <v>7.4498999999999998E-3</v>
      </c>
      <c r="N84" s="83">
        <v>1.3986800000000001E-2</v>
      </c>
      <c r="O84" s="83">
        <v>1.55181E-2</v>
      </c>
      <c r="P84" s="83">
        <v>7.4498999999999998E-3</v>
      </c>
      <c r="Q84" s="83">
        <v>1.4177500000000001E-2</v>
      </c>
      <c r="R84" s="83">
        <v>1.5609700000000001E-2</v>
      </c>
      <c r="S84" s="83">
        <v>7.4498999999999998E-3</v>
      </c>
      <c r="T84" s="83">
        <v>1.46818E-2</v>
      </c>
      <c r="U84" s="83">
        <v>1.5701E-2</v>
      </c>
      <c r="V84" s="83">
        <v>7.4498999999999998E-3</v>
      </c>
      <c r="W84" s="83">
        <v>1.46488E-2</v>
      </c>
      <c r="X84" s="83">
        <v>1.5989799999999998E-2</v>
      </c>
      <c r="Y84" s="83">
        <v>7.4498999999999998E-3</v>
      </c>
      <c r="Z84" s="83">
        <v>1.40077E-2</v>
      </c>
      <c r="AA84" s="83">
        <v>1.55788E-2</v>
      </c>
      <c r="AB84" s="83">
        <v>7.4498999999999998E-3</v>
      </c>
      <c r="AC84" s="83">
        <v>1.3731E-2</v>
      </c>
      <c r="AD84" s="83">
        <v>1.5828100000000001E-2</v>
      </c>
      <c r="AE84" s="83">
        <v>7.4498999999999998E-3</v>
      </c>
      <c r="AF84" s="83">
        <v>1.39563E-2</v>
      </c>
      <c r="AG84" s="83">
        <v>1.60889E-2</v>
      </c>
      <c r="AH84" s="83">
        <v>7.4498999999999998E-3</v>
      </c>
      <c r="AI84" s="83">
        <v>1.32464E-2</v>
      </c>
      <c r="AJ84" s="83">
        <v>1.5976199999999999E-2</v>
      </c>
      <c r="AK84" s="83">
        <v>7.4498999999999998E-3</v>
      </c>
      <c r="AL84" s="83">
        <v>1.3791100000000001E-2</v>
      </c>
      <c r="AM84" s="83">
        <v>1.6070399999999999E-2</v>
      </c>
      <c r="AN84" s="83">
        <v>7.4498999999999998E-3</v>
      </c>
      <c r="AO84" s="83">
        <v>1.27931E-2</v>
      </c>
      <c r="AP84" s="83">
        <v>1.5560600000000001E-2</v>
      </c>
      <c r="AQ84" s="83">
        <v>7.4498999999999998E-3</v>
      </c>
      <c r="AR84" s="83">
        <v>1.31217E-2</v>
      </c>
      <c r="AS84" s="83">
        <v>1.5873100000000001E-2</v>
      </c>
      <c r="AT84" s="83">
        <v>7.4498999999999998E-3</v>
      </c>
      <c r="AU84" s="83">
        <v>1.30843E-2</v>
      </c>
      <c r="AV84" s="83">
        <v>1.5895900000000001E-2</v>
      </c>
      <c r="AW84" s="83">
        <v>7.4498999999999998E-3</v>
      </c>
      <c r="AX84" s="83">
        <v>1.2968500000000001E-2</v>
      </c>
      <c r="AY84" s="83">
        <v>1.6241499999999999E-2</v>
      </c>
      <c r="AZ84" s="83">
        <v>7.4498999999999998E-3</v>
      </c>
      <c r="BA84" s="83">
        <v>1.30323E-2</v>
      </c>
      <c r="BB84" s="83">
        <v>1.60398E-2</v>
      </c>
      <c r="BC84" s="83">
        <v>7.4498999999999998E-3</v>
      </c>
      <c r="BD84" s="83">
        <v>1.18154E-2</v>
      </c>
      <c r="BE84" s="83">
        <v>1.5718599999999999E-2</v>
      </c>
      <c r="BF84" s="83">
        <v>7.4498999999999998E-3</v>
      </c>
      <c r="BG84" s="83">
        <v>1.2153000000000001E-2</v>
      </c>
      <c r="BH84" s="83">
        <v>1.5905499999999999E-2</v>
      </c>
      <c r="BI84" s="83">
        <v>7.4498999999999998E-3</v>
      </c>
      <c r="BJ84" s="83">
        <v>1.2167300000000001E-2</v>
      </c>
      <c r="BK84" s="83">
        <v>1.5879399999999998E-2</v>
      </c>
      <c r="BL84" s="83">
        <v>7.4498999999999998E-3</v>
      </c>
      <c r="BM84" s="83">
        <v>1.11707E-2</v>
      </c>
      <c r="BN84" s="83">
        <v>1.56946E-2</v>
      </c>
      <c r="BO84" s="83">
        <v>7.4498999999999998E-3</v>
      </c>
      <c r="BP84" s="83">
        <v>1.1855299999999999E-2</v>
      </c>
      <c r="BQ84" s="83">
        <v>1.5919900000000001E-2</v>
      </c>
      <c r="BR84" s="83">
        <v>7.4498999999999998E-3</v>
      </c>
      <c r="BS84" s="83">
        <v>1.1559399999999999E-2</v>
      </c>
      <c r="BT84" s="83">
        <v>1.6162099999999999E-2</v>
      </c>
      <c r="BU84" s="83">
        <v>7.4498999999999998E-3</v>
      </c>
      <c r="BV84" s="83">
        <v>9.8179400000000007E-3</v>
      </c>
      <c r="BW84" s="83">
        <v>1.56472E-2</v>
      </c>
      <c r="BX84" s="83">
        <v>7.4498999999999998E-3</v>
      </c>
      <c r="BY84" s="83">
        <v>1.0474300000000001E-2</v>
      </c>
      <c r="BZ84" s="83">
        <v>1.61402E-2</v>
      </c>
      <c r="CA84" s="83">
        <v>7.4498999999999998E-3</v>
      </c>
      <c r="CB84" s="83">
        <v>1.03613E-2</v>
      </c>
      <c r="CC84" s="83">
        <v>1.5797200000000001E-2</v>
      </c>
      <c r="CD84" s="83">
        <v>7.4498999999999998E-3</v>
      </c>
      <c r="CE84" s="83">
        <v>9.2127600000000004E-3</v>
      </c>
      <c r="CF84" s="83">
        <v>1.5687300000000001E-2</v>
      </c>
      <c r="CG84" s="83">
        <v>7.4498999999999998E-3</v>
      </c>
      <c r="CH84" s="83">
        <v>9.5469100000000005E-3</v>
      </c>
      <c r="CI84" s="83">
        <v>1.5977999999999999E-2</v>
      </c>
      <c r="CJ84" s="83">
        <v>7.4498999999999998E-3</v>
      </c>
      <c r="CK84" s="83">
        <v>9.33521E-3</v>
      </c>
      <c r="CL84" s="83">
        <v>1.57168E-2</v>
      </c>
      <c r="CM84" s="83">
        <v>7.4498999999999998E-3</v>
      </c>
      <c r="CN84" s="83">
        <v>9.2786899999999992E-3</v>
      </c>
      <c r="CO84" s="83">
        <v>1.55783E-2</v>
      </c>
      <c r="CP84" s="83">
        <v>7.4498999999999998E-3</v>
      </c>
      <c r="CQ84" s="83">
        <v>8.6438599999999997E-3</v>
      </c>
      <c r="CR84" s="83">
        <v>1.56705E-2</v>
      </c>
      <c r="CS84" s="83">
        <v>7.4498999999999998E-3</v>
      </c>
      <c r="CT84" s="83">
        <v>8.6447199999999998E-3</v>
      </c>
      <c r="CU84" s="83">
        <v>1.5784699999999999E-2</v>
      </c>
      <c r="CV84" s="83">
        <v>7.4498999999999998E-3</v>
      </c>
      <c r="CW84" s="83">
        <v>8.6459399999999995E-3</v>
      </c>
      <c r="CX84" s="83">
        <v>1.5756900000000001E-2</v>
      </c>
      <c r="CY84" s="83">
        <v>7.4498999999999998E-3</v>
      </c>
      <c r="CZ84" s="83">
        <v>7.8092600000000002E-3</v>
      </c>
      <c r="DA84" s="83">
        <v>1.5630600000000001E-2</v>
      </c>
    </row>
    <row r="85" spans="1:105" x14ac:dyDescent="0.2">
      <c r="A85" s="83">
        <v>7.5499E-3</v>
      </c>
      <c r="B85" s="83">
        <v>1.38707E-2</v>
      </c>
      <c r="C85" s="83">
        <v>1.4844700000000001E-2</v>
      </c>
      <c r="D85" s="83">
        <v>7.5499E-3</v>
      </c>
      <c r="E85" s="83">
        <v>1.4403900000000001E-2</v>
      </c>
      <c r="F85" s="83">
        <v>1.51121E-2</v>
      </c>
      <c r="G85" s="83">
        <v>7.5499E-3</v>
      </c>
      <c r="H85" s="83">
        <v>1.4253099999999999E-2</v>
      </c>
      <c r="I85" s="83">
        <v>1.5269E-2</v>
      </c>
      <c r="J85" s="83">
        <v>7.5499E-3</v>
      </c>
      <c r="K85" s="83">
        <v>1.3729099999999999E-2</v>
      </c>
      <c r="L85" s="83">
        <v>1.4695E-2</v>
      </c>
      <c r="M85" s="83">
        <v>7.5499E-3</v>
      </c>
      <c r="N85" s="83">
        <v>1.3063E-2</v>
      </c>
      <c r="O85" s="83">
        <v>1.48218E-2</v>
      </c>
      <c r="P85" s="83">
        <v>7.5499E-3</v>
      </c>
      <c r="Q85" s="83">
        <v>1.3386500000000001E-2</v>
      </c>
      <c r="R85" s="83">
        <v>1.4892900000000001E-2</v>
      </c>
      <c r="S85" s="83">
        <v>7.5499E-3</v>
      </c>
      <c r="T85" s="83">
        <v>1.36174E-2</v>
      </c>
      <c r="U85" s="83">
        <v>1.49783E-2</v>
      </c>
      <c r="V85" s="83">
        <v>7.5499E-3</v>
      </c>
      <c r="W85" s="83">
        <v>1.3557E-2</v>
      </c>
      <c r="X85" s="83">
        <v>1.52427E-2</v>
      </c>
      <c r="Y85" s="83">
        <v>7.5499E-3</v>
      </c>
      <c r="Z85" s="83">
        <v>1.30604E-2</v>
      </c>
      <c r="AA85" s="83">
        <v>1.4862999999999999E-2</v>
      </c>
      <c r="AB85" s="83">
        <v>7.5499E-3</v>
      </c>
      <c r="AC85" s="83">
        <v>1.32271E-2</v>
      </c>
      <c r="AD85" s="83">
        <v>1.5092700000000001E-2</v>
      </c>
      <c r="AE85" s="83">
        <v>7.5499E-3</v>
      </c>
      <c r="AF85" s="83">
        <v>1.3553900000000001E-2</v>
      </c>
      <c r="AG85" s="83">
        <v>1.5325200000000001E-2</v>
      </c>
      <c r="AH85" s="83">
        <v>7.5499E-3</v>
      </c>
      <c r="AI85" s="83">
        <v>1.2701499999999999E-2</v>
      </c>
      <c r="AJ85" s="83">
        <v>1.5235E-2</v>
      </c>
      <c r="AK85" s="83">
        <v>7.5499E-3</v>
      </c>
      <c r="AL85" s="83">
        <v>1.29435E-2</v>
      </c>
      <c r="AM85" s="83">
        <v>1.5298000000000001E-2</v>
      </c>
      <c r="AN85" s="83">
        <v>7.5499E-3</v>
      </c>
      <c r="AO85" s="83">
        <v>1.21838E-2</v>
      </c>
      <c r="AP85" s="83">
        <v>1.4840900000000001E-2</v>
      </c>
      <c r="AQ85" s="83">
        <v>7.5499E-3</v>
      </c>
      <c r="AR85" s="83">
        <v>1.2485E-2</v>
      </c>
      <c r="AS85" s="83">
        <v>1.5148500000000001E-2</v>
      </c>
      <c r="AT85" s="83">
        <v>7.5499E-3</v>
      </c>
      <c r="AU85" s="83">
        <v>1.22816E-2</v>
      </c>
      <c r="AV85" s="83">
        <v>1.5179099999999999E-2</v>
      </c>
      <c r="AW85" s="83">
        <v>7.5499E-3</v>
      </c>
      <c r="AX85" s="83">
        <v>1.23982E-2</v>
      </c>
      <c r="AY85" s="83">
        <v>1.54857E-2</v>
      </c>
      <c r="AZ85" s="83">
        <v>7.5499E-3</v>
      </c>
      <c r="BA85" s="83">
        <v>1.2256899999999999E-2</v>
      </c>
      <c r="BB85" s="83">
        <v>1.5298600000000001E-2</v>
      </c>
      <c r="BC85" s="83">
        <v>7.5499E-3</v>
      </c>
      <c r="BD85" s="83">
        <v>1.15459E-2</v>
      </c>
      <c r="BE85" s="83">
        <v>1.4998900000000001E-2</v>
      </c>
      <c r="BF85" s="83">
        <v>7.5499E-3</v>
      </c>
      <c r="BG85" s="83">
        <v>1.12584E-2</v>
      </c>
      <c r="BH85" s="83">
        <v>1.5185799999999999E-2</v>
      </c>
      <c r="BI85" s="83">
        <v>7.5499E-3</v>
      </c>
      <c r="BJ85" s="83">
        <v>1.1196599999999999E-2</v>
      </c>
      <c r="BK85" s="83">
        <v>1.5146E-2</v>
      </c>
      <c r="BL85" s="83">
        <v>7.5499E-3</v>
      </c>
      <c r="BM85" s="83">
        <v>1.08132E-2</v>
      </c>
      <c r="BN85" s="83">
        <v>1.49593E-2</v>
      </c>
      <c r="BO85" s="83">
        <v>7.5499E-3</v>
      </c>
      <c r="BP85" s="83">
        <v>1.08006E-2</v>
      </c>
      <c r="BQ85" s="83">
        <v>1.51865E-2</v>
      </c>
      <c r="BR85" s="83">
        <v>7.5499E-3</v>
      </c>
      <c r="BS85" s="83">
        <v>1.07157E-2</v>
      </c>
      <c r="BT85" s="83">
        <v>1.54208E-2</v>
      </c>
      <c r="BU85" s="83">
        <v>7.5499E-3</v>
      </c>
      <c r="BV85" s="83">
        <v>9.3042699999999999E-3</v>
      </c>
      <c r="BW85" s="83">
        <v>1.4926500000000001E-2</v>
      </c>
      <c r="BX85" s="83">
        <v>7.5499E-3</v>
      </c>
      <c r="BY85" s="83">
        <v>1.01774E-2</v>
      </c>
      <c r="BZ85" s="83">
        <v>1.54088E-2</v>
      </c>
      <c r="CA85" s="83">
        <v>7.5499E-3</v>
      </c>
      <c r="CB85" s="83">
        <v>1.0025299999999999E-2</v>
      </c>
      <c r="CC85" s="83">
        <v>1.50384E-2</v>
      </c>
      <c r="CD85" s="83">
        <v>7.5499E-3</v>
      </c>
      <c r="CE85" s="83">
        <v>8.7830700000000005E-3</v>
      </c>
      <c r="CF85" s="83">
        <v>1.49491E-2</v>
      </c>
      <c r="CG85" s="83">
        <v>7.5499E-3</v>
      </c>
      <c r="CH85" s="83">
        <v>8.7031599999999997E-3</v>
      </c>
      <c r="CI85" s="83">
        <v>1.52455E-2</v>
      </c>
      <c r="CJ85" s="83">
        <v>7.5499E-3</v>
      </c>
      <c r="CK85" s="83">
        <v>8.7336500000000008E-3</v>
      </c>
      <c r="CL85" s="83">
        <v>1.4983399999999999E-2</v>
      </c>
      <c r="CM85" s="83">
        <v>7.5499E-3</v>
      </c>
      <c r="CN85" s="83">
        <v>8.4622800000000008E-3</v>
      </c>
      <c r="CO85" s="83">
        <v>1.4843E-2</v>
      </c>
      <c r="CP85" s="83">
        <v>7.5499E-3</v>
      </c>
      <c r="CQ85" s="83">
        <v>8.3587000000000002E-3</v>
      </c>
      <c r="CR85" s="83">
        <v>1.49254E-2</v>
      </c>
      <c r="CS85" s="83">
        <v>7.5499E-3</v>
      </c>
      <c r="CT85" s="83">
        <v>8.2247899999999992E-3</v>
      </c>
      <c r="CU85" s="83">
        <v>1.5038599999999999E-2</v>
      </c>
      <c r="CV85" s="83">
        <v>7.5499E-3</v>
      </c>
      <c r="CW85" s="83">
        <v>8.1166399999999996E-3</v>
      </c>
      <c r="CX85" s="83">
        <v>1.50323E-2</v>
      </c>
      <c r="CY85" s="83">
        <v>7.5499E-3</v>
      </c>
      <c r="CZ85" s="83">
        <v>7.4244899999999997E-3</v>
      </c>
      <c r="DA85" s="83">
        <v>1.48904E-2</v>
      </c>
    </row>
    <row r="86" spans="1:105" x14ac:dyDescent="0.2">
      <c r="A86" s="83">
        <v>7.6499000000000003E-3</v>
      </c>
      <c r="B86" s="83">
        <v>1.3136399999999999E-2</v>
      </c>
      <c r="C86" s="83">
        <v>1.41435E-2</v>
      </c>
      <c r="D86" s="83">
        <v>7.6499000000000003E-3</v>
      </c>
      <c r="E86" s="83">
        <v>1.34488E-2</v>
      </c>
      <c r="F86" s="83">
        <v>1.4378699999999999E-2</v>
      </c>
      <c r="G86" s="83">
        <v>7.6499000000000003E-3</v>
      </c>
      <c r="H86" s="83">
        <v>1.3372200000000001E-2</v>
      </c>
      <c r="I86" s="83">
        <v>1.45463E-2</v>
      </c>
      <c r="J86" s="83">
        <v>7.6499000000000003E-3</v>
      </c>
      <c r="K86" s="83">
        <v>1.2807199999999999E-2</v>
      </c>
      <c r="L86" s="83">
        <v>1.4007500000000001E-2</v>
      </c>
      <c r="M86" s="83">
        <v>7.6499000000000003E-3</v>
      </c>
      <c r="N86" s="83">
        <v>1.2260200000000001E-2</v>
      </c>
      <c r="O86" s="83">
        <v>1.4119700000000001E-2</v>
      </c>
      <c r="P86" s="83">
        <v>7.6499000000000003E-3</v>
      </c>
      <c r="Q86" s="83">
        <v>1.26345E-2</v>
      </c>
      <c r="R86" s="83">
        <v>1.4198499999999999E-2</v>
      </c>
      <c r="S86" s="83">
        <v>7.6499000000000003E-3</v>
      </c>
      <c r="T86" s="83">
        <v>1.27619E-2</v>
      </c>
      <c r="U86" s="83">
        <v>1.42801E-2</v>
      </c>
      <c r="V86" s="83">
        <v>7.6499000000000003E-3</v>
      </c>
      <c r="W86" s="83">
        <v>1.3223E-2</v>
      </c>
      <c r="X86" s="83">
        <v>1.45308E-2</v>
      </c>
      <c r="Y86" s="83">
        <v>7.6499000000000003E-3</v>
      </c>
      <c r="Z86" s="83">
        <v>1.2037000000000001E-2</v>
      </c>
      <c r="AA86" s="83">
        <v>1.4169599999999999E-2</v>
      </c>
      <c r="AB86" s="83">
        <v>7.6499000000000003E-3</v>
      </c>
      <c r="AC86" s="83">
        <v>1.24244E-2</v>
      </c>
      <c r="AD86" s="83">
        <v>1.43984E-2</v>
      </c>
      <c r="AE86" s="83">
        <v>7.6499000000000003E-3</v>
      </c>
      <c r="AF86" s="83">
        <v>1.23137E-2</v>
      </c>
      <c r="AG86" s="83">
        <v>1.4615299999999999E-2</v>
      </c>
      <c r="AH86" s="83">
        <v>7.6499000000000003E-3</v>
      </c>
      <c r="AI86" s="83">
        <v>1.22132E-2</v>
      </c>
      <c r="AJ86" s="83">
        <v>1.4527999999999999E-2</v>
      </c>
      <c r="AK86" s="83">
        <v>7.6499000000000003E-3</v>
      </c>
      <c r="AL86" s="83">
        <v>1.2484500000000001E-2</v>
      </c>
      <c r="AM86" s="83">
        <v>1.4621200000000001E-2</v>
      </c>
      <c r="AN86" s="83">
        <v>7.6499000000000003E-3</v>
      </c>
      <c r="AO86" s="83">
        <v>1.14787E-2</v>
      </c>
      <c r="AP86" s="83">
        <v>1.413E-2</v>
      </c>
      <c r="AQ86" s="83">
        <v>7.6499000000000003E-3</v>
      </c>
      <c r="AR86" s="83">
        <v>1.16607E-2</v>
      </c>
      <c r="AS86" s="83">
        <v>1.4448300000000001E-2</v>
      </c>
      <c r="AT86" s="83">
        <v>7.6499000000000003E-3</v>
      </c>
      <c r="AU86" s="83">
        <v>1.16078E-2</v>
      </c>
      <c r="AV86" s="83">
        <v>1.4487699999999999E-2</v>
      </c>
      <c r="AW86" s="83">
        <v>7.6499000000000003E-3</v>
      </c>
      <c r="AX86" s="83">
        <v>1.19001E-2</v>
      </c>
      <c r="AY86" s="83">
        <v>1.4763E-2</v>
      </c>
      <c r="AZ86" s="83">
        <v>7.6499000000000003E-3</v>
      </c>
      <c r="BA86" s="83">
        <v>1.1417E-2</v>
      </c>
      <c r="BB86" s="83">
        <v>1.46208E-2</v>
      </c>
      <c r="BC86" s="83">
        <v>7.6499000000000003E-3</v>
      </c>
      <c r="BD86" s="83">
        <v>1.07939E-2</v>
      </c>
      <c r="BE86" s="83">
        <v>1.4312399999999999E-2</v>
      </c>
      <c r="BF86" s="83">
        <v>7.6499000000000003E-3</v>
      </c>
      <c r="BG86" s="83">
        <v>1.086E-2</v>
      </c>
      <c r="BH86" s="83">
        <v>1.44738E-2</v>
      </c>
      <c r="BI86" s="83">
        <v>7.6499000000000003E-3</v>
      </c>
      <c r="BJ86" s="83">
        <v>1.0555999999999999E-2</v>
      </c>
      <c r="BK86" s="83">
        <v>1.4444800000000001E-2</v>
      </c>
      <c r="BL86" s="83">
        <v>7.6499000000000003E-3</v>
      </c>
      <c r="BM86" s="83">
        <v>1.0012399999999999E-2</v>
      </c>
      <c r="BN86" s="83">
        <v>1.4253200000000001E-2</v>
      </c>
      <c r="BO86" s="83">
        <v>7.6499000000000003E-3</v>
      </c>
      <c r="BP86" s="83">
        <v>1.0210800000000001E-2</v>
      </c>
      <c r="BQ86" s="83">
        <v>1.45107E-2</v>
      </c>
      <c r="BR86" s="83">
        <v>7.6499000000000003E-3</v>
      </c>
      <c r="BS86" s="83">
        <v>1.02977E-2</v>
      </c>
      <c r="BT86" s="83">
        <v>1.4688400000000001E-2</v>
      </c>
      <c r="BU86" s="83">
        <v>7.6499000000000003E-3</v>
      </c>
      <c r="BV86" s="83">
        <v>8.8355199999999995E-3</v>
      </c>
      <c r="BW86" s="83">
        <v>1.42214E-2</v>
      </c>
      <c r="BX86" s="83">
        <v>7.6499000000000003E-3</v>
      </c>
      <c r="BY86" s="83">
        <v>9.8199600000000008E-3</v>
      </c>
      <c r="BZ86" s="83">
        <v>1.46803E-2</v>
      </c>
      <c r="CA86" s="83">
        <v>7.6499000000000003E-3</v>
      </c>
      <c r="CB86" s="83">
        <v>9.4589099999999992E-3</v>
      </c>
      <c r="CC86" s="83">
        <v>1.4363600000000001E-2</v>
      </c>
      <c r="CD86" s="83">
        <v>7.6499000000000003E-3</v>
      </c>
      <c r="CE86" s="83">
        <v>7.8826799999999995E-3</v>
      </c>
      <c r="CF86" s="83">
        <v>1.42723E-2</v>
      </c>
      <c r="CG86" s="83">
        <v>7.6499000000000003E-3</v>
      </c>
      <c r="CH86" s="83">
        <v>8.3047199999999998E-3</v>
      </c>
      <c r="CI86" s="83">
        <v>1.4524799999999999E-2</v>
      </c>
      <c r="CJ86" s="83">
        <v>7.6499000000000003E-3</v>
      </c>
      <c r="CK86" s="83">
        <v>8.12037E-3</v>
      </c>
      <c r="CL86" s="83">
        <v>1.4278300000000001E-2</v>
      </c>
      <c r="CM86" s="83">
        <v>7.6499000000000003E-3</v>
      </c>
      <c r="CN86" s="83">
        <v>7.9447000000000007E-3</v>
      </c>
      <c r="CO86" s="83">
        <v>1.41408E-2</v>
      </c>
      <c r="CP86" s="83">
        <v>7.6499000000000003E-3</v>
      </c>
      <c r="CQ86" s="83">
        <v>7.8040100000000001E-3</v>
      </c>
      <c r="CR86" s="83">
        <v>1.42369E-2</v>
      </c>
      <c r="CS86" s="83">
        <v>7.6499000000000003E-3</v>
      </c>
      <c r="CT86" s="83">
        <v>7.5568199999999997E-3</v>
      </c>
      <c r="CU86" s="83">
        <v>1.43257E-2</v>
      </c>
      <c r="CV86" s="83">
        <v>7.6499000000000003E-3</v>
      </c>
      <c r="CW86" s="83">
        <v>7.5424200000000002E-3</v>
      </c>
      <c r="CX86" s="83">
        <v>1.4334100000000001E-2</v>
      </c>
      <c r="CY86" s="83">
        <v>7.6499000000000003E-3</v>
      </c>
      <c r="CZ86" s="83">
        <v>6.8912899999999996E-3</v>
      </c>
      <c r="DA86" s="83">
        <v>1.42048E-2</v>
      </c>
    </row>
    <row r="87" spans="1:105" x14ac:dyDescent="0.2">
      <c r="A87" s="83">
        <v>7.7498999999999997E-3</v>
      </c>
      <c r="B87" s="83">
        <v>1.20739E-2</v>
      </c>
      <c r="C87" s="83">
        <v>1.34834E-2</v>
      </c>
      <c r="D87" s="83">
        <v>7.7498999999999997E-3</v>
      </c>
      <c r="E87" s="83">
        <v>1.23882E-2</v>
      </c>
      <c r="F87" s="83">
        <v>1.3727400000000001E-2</v>
      </c>
      <c r="G87" s="83">
        <v>7.7498999999999997E-3</v>
      </c>
      <c r="H87" s="83">
        <v>1.2799899999999999E-2</v>
      </c>
      <c r="I87" s="83">
        <v>1.3852E-2</v>
      </c>
      <c r="J87" s="83">
        <v>7.7498999999999997E-3</v>
      </c>
      <c r="K87" s="83">
        <v>1.22174E-2</v>
      </c>
      <c r="L87" s="83">
        <v>1.33405E-2</v>
      </c>
      <c r="M87" s="83">
        <v>7.7498999999999997E-3</v>
      </c>
      <c r="N87" s="83">
        <v>1.15239E-2</v>
      </c>
      <c r="O87" s="83">
        <v>1.3479E-2</v>
      </c>
      <c r="P87" s="83">
        <v>7.7498999999999997E-3</v>
      </c>
      <c r="Q87" s="83">
        <v>1.18396E-2</v>
      </c>
      <c r="R87" s="83">
        <v>1.3529599999999999E-2</v>
      </c>
      <c r="S87" s="83">
        <v>7.7498999999999997E-3</v>
      </c>
      <c r="T87" s="83">
        <v>1.2174000000000001E-2</v>
      </c>
      <c r="U87" s="83">
        <v>1.3599399999999999E-2</v>
      </c>
      <c r="V87" s="83">
        <v>7.7498999999999997E-3</v>
      </c>
      <c r="W87" s="83">
        <v>1.21761E-2</v>
      </c>
      <c r="X87" s="83">
        <v>1.3852099999999999E-2</v>
      </c>
      <c r="Y87" s="83">
        <v>7.7498999999999997E-3</v>
      </c>
      <c r="Z87" s="83">
        <v>1.16913E-2</v>
      </c>
      <c r="AA87" s="83">
        <v>1.3509500000000001E-2</v>
      </c>
      <c r="AB87" s="83">
        <v>7.7498999999999997E-3</v>
      </c>
      <c r="AC87" s="83">
        <v>1.14127E-2</v>
      </c>
      <c r="AD87" s="83">
        <v>1.37275E-2</v>
      </c>
      <c r="AE87" s="83">
        <v>7.7498999999999997E-3</v>
      </c>
      <c r="AF87" s="83">
        <v>1.1936799999999999E-2</v>
      </c>
      <c r="AG87" s="83">
        <v>1.39463E-2</v>
      </c>
      <c r="AH87" s="83">
        <v>7.7498999999999997E-3</v>
      </c>
      <c r="AI87" s="83">
        <v>1.1461300000000001E-2</v>
      </c>
      <c r="AJ87" s="83">
        <v>1.3860000000000001E-2</v>
      </c>
      <c r="AK87" s="83">
        <v>7.7498999999999997E-3</v>
      </c>
      <c r="AL87" s="83">
        <v>1.1986399999999999E-2</v>
      </c>
      <c r="AM87" s="83">
        <v>1.39308E-2</v>
      </c>
      <c r="AN87" s="83">
        <v>7.7498999999999997E-3</v>
      </c>
      <c r="AO87" s="83">
        <v>1.0676E-2</v>
      </c>
      <c r="AP87" s="83">
        <v>1.34854E-2</v>
      </c>
      <c r="AQ87" s="83">
        <v>7.7498999999999997E-3</v>
      </c>
      <c r="AR87" s="83">
        <v>1.07799E-2</v>
      </c>
      <c r="AS87" s="83">
        <v>1.37774E-2</v>
      </c>
      <c r="AT87" s="83">
        <v>7.7498999999999997E-3</v>
      </c>
      <c r="AU87" s="83">
        <v>1.08656E-2</v>
      </c>
      <c r="AV87" s="83">
        <v>1.38031E-2</v>
      </c>
      <c r="AW87" s="83">
        <v>7.7498999999999997E-3</v>
      </c>
      <c r="AX87" s="83">
        <v>1.1007599999999999E-2</v>
      </c>
      <c r="AY87" s="83">
        <v>1.4087199999999999E-2</v>
      </c>
      <c r="AZ87" s="83">
        <v>7.7498999999999997E-3</v>
      </c>
      <c r="BA87" s="83">
        <v>1.1028400000000001E-2</v>
      </c>
      <c r="BB87" s="83">
        <v>1.39119E-2</v>
      </c>
      <c r="BC87" s="83">
        <v>7.7498999999999997E-3</v>
      </c>
      <c r="BD87" s="83">
        <v>1.02197E-2</v>
      </c>
      <c r="BE87" s="83">
        <v>1.36258E-2</v>
      </c>
      <c r="BF87" s="83">
        <v>7.7498999999999997E-3</v>
      </c>
      <c r="BG87" s="83">
        <v>1.0084600000000001E-2</v>
      </c>
      <c r="BH87" s="83">
        <v>1.3801000000000001E-2</v>
      </c>
      <c r="BI87" s="83">
        <v>7.7498999999999997E-3</v>
      </c>
      <c r="BJ87" s="83">
        <v>9.8118500000000004E-3</v>
      </c>
      <c r="BK87" s="83">
        <v>1.3771E-2</v>
      </c>
      <c r="BL87" s="83">
        <v>7.7498999999999997E-3</v>
      </c>
      <c r="BM87" s="83">
        <v>9.2272900000000008E-3</v>
      </c>
      <c r="BN87" s="83">
        <v>1.35999E-2</v>
      </c>
      <c r="BO87" s="83">
        <v>7.7498999999999997E-3</v>
      </c>
      <c r="BP87" s="83">
        <v>1.00213E-2</v>
      </c>
      <c r="BQ87" s="83">
        <v>1.3809500000000001E-2</v>
      </c>
      <c r="BR87" s="83">
        <v>7.7498999999999997E-3</v>
      </c>
      <c r="BS87" s="83">
        <v>9.5184299999999996E-3</v>
      </c>
      <c r="BT87" s="83">
        <v>1.4022400000000001E-2</v>
      </c>
      <c r="BU87" s="83">
        <v>7.7498999999999997E-3</v>
      </c>
      <c r="BV87" s="83">
        <v>8.5484099999999993E-3</v>
      </c>
      <c r="BW87" s="83">
        <v>1.3561200000000001E-2</v>
      </c>
      <c r="BX87" s="83">
        <v>7.7498999999999997E-3</v>
      </c>
      <c r="BY87" s="83">
        <v>8.7418300000000008E-3</v>
      </c>
      <c r="BZ87" s="83">
        <v>1.40035E-2</v>
      </c>
      <c r="CA87" s="83">
        <v>7.7498999999999997E-3</v>
      </c>
      <c r="CB87" s="83">
        <v>8.5565699999999995E-3</v>
      </c>
      <c r="CC87" s="83">
        <v>1.3698500000000001E-2</v>
      </c>
      <c r="CD87" s="83">
        <v>7.7498999999999997E-3</v>
      </c>
      <c r="CE87" s="83">
        <v>7.6404899999999998E-3</v>
      </c>
      <c r="CF87" s="83">
        <v>1.3578E-2</v>
      </c>
      <c r="CG87" s="83">
        <v>7.7498999999999997E-3</v>
      </c>
      <c r="CH87" s="83">
        <v>7.2226900000000004E-3</v>
      </c>
      <c r="CI87" s="83">
        <v>1.3847099999999999E-2</v>
      </c>
      <c r="CJ87" s="83">
        <v>7.7498999999999997E-3</v>
      </c>
      <c r="CK87" s="83">
        <v>7.1457600000000001E-3</v>
      </c>
      <c r="CL87" s="83">
        <v>1.36113E-2</v>
      </c>
      <c r="CM87" s="83">
        <v>7.7498999999999997E-3</v>
      </c>
      <c r="CN87" s="83">
        <v>7.3060299999999998E-3</v>
      </c>
      <c r="CO87" s="83">
        <v>1.34865E-2</v>
      </c>
      <c r="CP87" s="83">
        <v>7.7498999999999997E-3</v>
      </c>
      <c r="CQ87" s="83">
        <v>7.6926800000000004E-3</v>
      </c>
      <c r="CR87" s="83">
        <v>1.3562100000000001E-2</v>
      </c>
      <c r="CS87" s="83">
        <v>7.7498999999999997E-3</v>
      </c>
      <c r="CT87" s="83">
        <v>6.96307E-3</v>
      </c>
      <c r="CU87" s="83">
        <v>1.36568E-2</v>
      </c>
      <c r="CV87" s="83">
        <v>7.7498999999999997E-3</v>
      </c>
      <c r="CW87" s="83">
        <v>7.3412499999999997E-3</v>
      </c>
      <c r="CX87" s="83">
        <v>1.36661E-2</v>
      </c>
      <c r="CY87" s="83">
        <v>7.7498999999999997E-3</v>
      </c>
      <c r="CZ87" s="83">
        <v>6.5729300000000003E-3</v>
      </c>
      <c r="DA87" s="83">
        <v>1.3543700000000001E-2</v>
      </c>
    </row>
    <row r="88" spans="1:105" x14ac:dyDescent="0.2">
      <c r="A88" s="83">
        <v>7.8498999999999999E-3</v>
      </c>
      <c r="B88" s="83">
        <v>1.19801E-2</v>
      </c>
      <c r="C88" s="83">
        <v>1.28506E-2</v>
      </c>
      <c r="D88" s="83">
        <v>7.8498999999999999E-3</v>
      </c>
      <c r="E88" s="83">
        <v>1.1655799999999999E-2</v>
      </c>
      <c r="F88" s="83">
        <v>1.3064299999999999E-2</v>
      </c>
      <c r="G88" s="83">
        <v>7.8498999999999999E-3</v>
      </c>
      <c r="H88" s="83">
        <v>1.22101E-2</v>
      </c>
      <c r="I88" s="83">
        <v>1.3207399999999999E-2</v>
      </c>
      <c r="J88" s="83">
        <v>7.8498999999999999E-3</v>
      </c>
      <c r="K88" s="83">
        <v>1.14713E-2</v>
      </c>
      <c r="L88" s="83">
        <v>1.2704699999999999E-2</v>
      </c>
      <c r="M88" s="83">
        <v>7.8498999999999999E-3</v>
      </c>
      <c r="N88" s="83">
        <v>1.0648899999999999E-2</v>
      </c>
      <c r="O88" s="83">
        <v>1.28101E-2</v>
      </c>
      <c r="P88" s="83">
        <v>7.8498999999999999E-3</v>
      </c>
      <c r="Q88" s="83">
        <v>1.1210700000000001E-2</v>
      </c>
      <c r="R88" s="83">
        <v>1.28792E-2</v>
      </c>
      <c r="S88" s="83">
        <v>7.8498999999999999E-3</v>
      </c>
      <c r="T88" s="83">
        <v>1.1072500000000001E-2</v>
      </c>
      <c r="U88" s="83">
        <v>1.2952999999999999E-2</v>
      </c>
      <c r="V88" s="83">
        <v>7.8498999999999999E-3</v>
      </c>
      <c r="W88" s="83">
        <v>1.17698E-2</v>
      </c>
      <c r="X88" s="83">
        <v>1.3212399999999999E-2</v>
      </c>
      <c r="Y88" s="83">
        <v>7.8498999999999999E-3</v>
      </c>
      <c r="Z88" s="83">
        <v>1.08944E-2</v>
      </c>
      <c r="AA88" s="83">
        <v>1.2871799999999999E-2</v>
      </c>
      <c r="AB88" s="83">
        <v>7.8498999999999999E-3</v>
      </c>
      <c r="AC88" s="83">
        <v>1.0813E-2</v>
      </c>
      <c r="AD88" s="83">
        <v>1.3063399999999999E-2</v>
      </c>
      <c r="AE88" s="83">
        <v>7.8498999999999999E-3</v>
      </c>
      <c r="AF88" s="83">
        <v>1.09289E-2</v>
      </c>
      <c r="AG88" s="83">
        <v>1.3304699999999999E-2</v>
      </c>
      <c r="AH88" s="83">
        <v>7.8498999999999999E-3</v>
      </c>
      <c r="AI88" s="83">
        <v>1.06605E-2</v>
      </c>
      <c r="AJ88" s="83">
        <v>1.3205700000000001E-2</v>
      </c>
      <c r="AK88" s="83">
        <v>7.8498999999999999E-3</v>
      </c>
      <c r="AL88" s="83">
        <v>1.14083E-2</v>
      </c>
      <c r="AM88" s="83">
        <v>1.32823E-2</v>
      </c>
      <c r="AN88" s="83">
        <v>7.8498999999999999E-3</v>
      </c>
      <c r="AO88" s="83">
        <v>1.02092E-2</v>
      </c>
      <c r="AP88" s="83">
        <v>1.2845799999999999E-2</v>
      </c>
      <c r="AQ88" s="83">
        <v>7.8498999999999999E-3</v>
      </c>
      <c r="AR88" s="83">
        <v>1.0069E-2</v>
      </c>
      <c r="AS88" s="83">
        <v>1.31456E-2</v>
      </c>
      <c r="AT88" s="83">
        <v>7.8498999999999999E-3</v>
      </c>
      <c r="AU88" s="83">
        <v>1.0203500000000001E-2</v>
      </c>
      <c r="AV88" s="83">
        <v>1.3158599999999999E-2</v>
      </c>
      <c r="AW88" s="83">
        <v>7.8498999999999999E-3</v>
      </c>
      <c r="AX88" s="83">
        <v>1.04099E-2</v>
      </c>
      <c r="AY88" s="83">
        <v>1.34661E-2</v>
      </c>
      <c r="AZ88" s="83">
        <v>7.8498999999999999E-3</v>
      </c>
      <c r="BA88" s="83">
        <v>1.04405E-2</v>
      </c>
      <c r="BB88" s="83">
        <v>1.3264400000000001E-2</v>
      </c>
      <c r="BC88" s="83">
        <v>7.8498999999999999E-3</v>
      </c>
      <c r="BD88" s="83">
        <v>9.4619200000000004E-3</v>
      </c>
      <c r="BE88" s="83">
        <v>1.29862E-2</v>
      </c>
      <c r="BF88" s="83">
        <v>7.8498999999999999E-3</v>
      </c>
      <c r="BG88" s="83">
        <v>9.2603800000000003E-3</v>
      </c>
      <c r="BH88" s="83">
        <v>1.3146700000000001E-2</v>
      </c>
      <c r="BI88" s="83">
        <v>7.8498999999999999E-3</v>
      </c>
      <c r="BJ88" s="83">
        <v>9.2747400000000001E-3</v>
      </c>
      <c r="BK88" s="83">
        <v>1.3130299999999999E-2</v>
      </c>
      <c r="BL88" s="83">
        <v>7.8498999999999999E-3</v>
      </c>
      <c r="BM88" s="83">
        <v>9.0183099999999999E-3</v>
      </c>
      <c r="BN88" s="83">
        <v>1.2974899999999999E-2</v>
      </c>
      <c r="BO88" s="83">
        <v>7.8498999999999999E-3</v>
      </c>
      <c r="BP88" s="83">
        <v>9.5388899999999995E-3</v>
      </c>
      <c r="BQ88" s="83">
        <v>1.3162099999999999E-2</v>
      </c>
      <c r="BR88" s="83">
        <v>7.8498999999999999E-3</v>
      </c>
      <c r="BS88" s="83">
        <v>8.9676500000000006E-3</v>
      </c>
      <c r="BT88" s="83">
        <v>1.33574E-2</v>
      </c>
      <c r="BU88" s="83">
        <v>7.8498999999999999E-3</v>
      </c>
      <c r="BV88" s="83">
        <v>8.1187199999999994E-3</v>
      </c>
      <c r="BW88" s="83">
        <v>1.2906900000000001E-2</v>
      </c>
      <c r="BX88" s="83">
        <v>7.8498999999999999E-3</v>
      </c>
      <c r="BY88" s="83">
        <v>8.4508199999999995E-3</v>
      </c>
      <c r="BZ88" s="83">
        <v>1.3356E-2</v>
      </c>
      <c r="CA88" s="83">
        <v>7.8498999999999999E-3</v>
      </c>
      <c r="CB88" s="83">
        <v>7.6522700000000001E-3</v>
      </c>
      <c r="CC88" s="83">
        <v>1.30335E-2</v>
      </c>
      <c r="CD88" s="83">
        <v>7.8498999999999999E-3</v>
      </c>
      <c r="CE88" s="83">
        <v>7.1951799999999998E-3</v>
      </c>
      <c r="CF88" s="83">
        <v>1.29432E-2</v>
      </c>
      <c r="CG88" s="83">
        <v>7.8498999999999999E-3</v>
      </c>
      <c r="CH88" s="83">
        <v>7.1679999999999999E-3</v>
      </c>
      <c r="CI88" s="83">
        <v>1.3206499999999999E-2</v>
      </c>
      <c r="CJ88" s="83">
        <v>7.8498999999999999E-3</v>
      </c>
      <c r="CK88" s="83">
        <v>6.7258400000000003E-3</v>
      </c>
      <c r="CL88" s="83">
        <v>1.2971699999999999E-2</v>
      </c>
      <c r="CM88" s="83">
        <v>7.8498999999999999E-3</v>
      </c>
      <c r="CN88" s="83">
        <v>7.2493899999999997E-3</v>
      </c>
      <c r="CO88" s="83">
        <v>1.28488E-2</v>
      </c>
      <c r="CP88" s="83">
        <v>7.8498999999999999E-3</v>
      </c>
      <c r="CQ88" s="83">
        <v>6.8040100000000001E-3</v>
      </c>
      <c r="CR88" s="83">
        <v>1.2926399999999999E-2</v>
      </c>
      <c r="CS88" s="83">
        <v>7.8498999999999999E-3</v>
      </c>
      <c r="CT88" s="83">
        <v>6.7911999999999998E-3</v>
      </c>
      <c r="CU88" s="83">
        <v>1.30239E-2</v>
      </c>
      <c r="CV88" s="83">
        <v>7.8498999999999999E-3</v>
      </c>
      <c r="CW88" s="83">
        <v>7.0111699999999997E-3</v>
      </c>
      <c r="CX88" s="83">
        <v>1.3003000000000001E-2</v>
      </c>
      <c r="CY88" s="83">
        <v>7.8498999999999999E-3</v>
      </c>
      <c r="CZ88" s="83">
        <v>6.66863E-3</v>
      </c>
      <c r="DA88" s="83">
        <v>1.28884E-2</v>
      </c>
    </row>
    <row r="89" spans="1:105" x14ac:dyDescent="0.2">
      <c r="A89" s="83">
        <v>7.9498999999999993E-3</v>
      </c>
      <c r="B89" s="83">
        <v>1.1148099999999999E-2</v>
      </c>
      <c r="C89" s="83">
        <v>1.22431E-2</v>
      </c>
      <c r="D89" s="83">
        <v>7.9498999999999993E-3</v>
      </c>
      <c r="E89" s="83">
        <v>1.0802300000000001E-2</v>
      </c>
      <c r="F89" s="83">
        <v>1.2441199999999999E-2</v>
      </c>
      <c r="G89" s="83">
        <v>7.9498999999999993E-3</v>
      </c>
      <c r="H89" s="83">
        <v>1.16886E-2</v>
      </c>
      <c r="I89" s="83">
        <v>1.2560999999999999E-2</v>
      </c>
      <c r="J89" s="83">
        <v>7.9498999999999993E-3</v>
      </c>
      <c r="K89" s="83">
        <v>1.0943899999999999E-2</v>
      </c>
      <c r="L89" s="83">
        <v>1.2101199999999999E-2</v>
      </c>
      <c r="M89" s="83">
        <v>7.9498999999999993E-3</v>
      </c>
      <c r="N89" s="83">
        <v>1.0449699999999999E-2</v>
      </c>
      <c r="O89" s="83">
        <v>1.2222200000000001E-2</v>
      </c>
      <c r="P89" s="83">
        <v>7.9498999999999993E-3</v>
      </c>
      <c r="Q89" s="83">
        <v>1.04861E-2</v>
      </c>
      <c r="R89" s="83">
        <v>1.2266900000000001E-2</v>
      </c>
      <c r="S89" s="83">
        <v>7.9498999999999993E-3</v>
      </c>
      <c r="T89" s="83">
        <v>1.06877E-2</v>
      </c>
      <c r="U89" s="83">
        <v>1.2347500000000001E-2</v>
      </c>
      <c r="V89" s="83">
        <v>7.9498999999999993E-3</v>
      </c>
      <c r="W89" s="83">
        <v>1.0924100000000001E-2</v>
      </c>
      <c r="X89" s="83">
        <v>1.25708E-2</v>
      </c>
      <c r="Y89" s="83">
        <v>7.9498999999999993E-3</v>
      </c>
      <c r="Z89" s="83">
        <v>1.0289E-2</v>
      </c>
      <c r="AA89" s="83">
        <v>1.22595E-2</v>
      </c>
      <c r="AB89" s="83">
        <v>7.9498999999999993E-3</v>
      </c>
      <c r="AC89" s="83">
        <v>1.0506400000000001E-2</v>
      </c>
      <c r="AD89" s="83">
        <v>1.24648E-2</v>
      </c>
      <c r="AE89" s="83">
        <v>7.9498999999999993E-3</v>
      </c>
      <c r="AF89" s="83">
        <v>1.0333200000000001E-2</v>
      </c>
      <c r="AG89" s="83">
        <v>1.2658300000000001E-2</v>
      </c>
      <c r="AH89" s="83">
        <v>7.9498999999999993E-3</v>
      </c>
      <c r="AI89" s="83">
        <v>1.0408499999999999E-2</v>
      </c>
      <c r="AJ89" s="83">
        <v>1.2574800000000001E-2</v>
      </c>
      <c r="AK89" s="83">
        <v>7.9498999999999993E-3</v>
      </c>
      <c r="AL89" s="83">
        <v>1.0279399999999999E-2</v>
      </c>
      <c r="AM89" s="83">
        <v>1.26652E-2</v>
      </c>
      <c r="AN89" s="83">
        <v>7.9498999999999993E-3</v>
      </c>
      <c r="AO89" s="83">
        <v>9.9337699999999998E-3</v>
      </c>
      <c r="AP89" s="83">
        <v>1.22139E-2</v>
      </c>
      <c r="AQ89" s="83">
        <v>7.9498999999999993E-3</v>
      </c>
      <c r="AR89" s="83">
        <v>9.6802799999999994E-3</v>
      </c>
      <c r="AS89" s="83">
        <v>1.24981E-2</v>
      </c>
      <c r="AT89" s="83">
        <v>7.9498999999999993E-3</v>
      </c>
      <c r="AU89" s="83">
        <v>9.7503499999999996E-3</v>
      </c>
      <c r="AV89" s="83">
        <v>1.25443E-2</v>
      </c>
      <c r="AW89" s="83">
        <v>7.9498999999999993E-3</v>
      </c>
      <c r="AX89" s="83">
        <v>9.9938900000000001E-3</v>
      </c>
      <c r="AY89" s="83">
        <v>1.28109E-2</v>
      </c>
      <c r="AZ89" s="83">
        <v>7.9498999999999993E-3</v>
      </c>
      <c r="BA89" s="83">
        <v>9.54203E-3</v>
      </c>
      <c r="BB89" s="83">
        <v>1.2649199999999999E-2</v>
      </c>
      <c r="BC89" s="83">
        <v>7.9498999999999993E-3</v>
      </c>
      <c r="BD89" s="83">
        <v>8.8837900000000008E-3</v>
      </c>
      <c r="BE89" s="83">
        <v>1.23573E-2</v>
      </c>
      <c r="BF89" s="83">
        <v>7.9498999999999993E-3</v>
      </c>
      <c r="BG89" s="83">
        <v>8.9869400000000006E-3</v>
      </c>
      <c r="BH89" s="83">
        <v>1.2517800000000001E-2</v>
      </c>
      <c r="BI89" s="83">
        <v>7.9498999999999993E-3</v>
      </c>
      <c r="BJ89" s="83">
        <v>8.8763000000000002E-3</v>
      </c>
      <c r="BK89" s="83">
        <v>1.24946E-2</v>
      </c>
      <c r="BL89" s="83">
        <v>7.9498999999999993E-3</v>
      </c>
      <c r="BM89" s="83">
        <v>8.3796400000000007E-3</v>
      </c>
      <c r="BN89" s="83">
        <v>1.2335199999999999E-2</v>
      </c>
      <c r="BO89" s="83">
        <v>7.9498999999999993E-3</v>
      </c>
      <c r="BP89" s="83">
        <v>9.0154499999999995E-3</v>
      </c>
      <c r="BQ89" s="83">
        <v>1.25527E-2</v>
      </c>
      <c r="BR89" s="83">
        <v>7.9498999999999993E-3</v>
      </c>
      <c r="BS89" s="83">
        <v>8.34851E-3</v>
      </c>
      <c r="BT89" s="83">
        <v>1.2727499999999999E-2</v>
      </c>
      <c r="BU89" s="83">
        <v>7.9498999999999993E-3</v>
      </c>
      <c r="BV89" s="83">
        <v>7.5796600000000002E-3</v>
      </c>
      <c r="BW89" s="83">
        <v>1.23015E-2</v>
      </c>
      <c r="BX89" s="83">
        <v>7.9498999999999993E-3</v>
      </c>
      <c r="BY89" s="83">
        <v>8.1558900000000007E-3</v>
      </c>
      <c r="BZ89" s="83">
        <v>1.2705599999999999E-2</v>
      </c>
      <c r="CA89" s="83">
        <v>7.9498999999999993E-3</v>
      </c>
      <c r="CB89" s="83">
        <v>7.5878200000000003E-3</v>
      </c>
      <c r="CC89" s="83">
        <v>1.2426100000000001E-2</v>
      </c>
      <c r="CD89" s="83">
        <v>7.9498999999999993E-3</v>
      </c>
      <c r="CE89" s="83">
        <v>6.8826800000000004E-3</v>
      </c>
      <c r="CF89" s="83">
        <v>1.23543E-2</v>
      </c>
      <c r="CG89" s="83">
        <v>7.9498999999999993E-3</v>
      </c>
      <c r="CH89" s="83">
        <v>6.8750299999999999E-3</v>
      </c>
      <c r="CI89" s="83">
        <v>1.25737E-2</v>
      </c>
      <c r="CJ89" s="83">
        <v>7.9498999999999993E-3</v>
      </c>
      <c r="CK89" s="83">
        <v>6.4856000000000002E-3</v>
      </c>
      <c r="CL89" s="83">
        <v>1.2363300000000001E-2</v>
      </c>
      <c r="CM89" s="83">
        <v>7.9498999999999993E-3</v>
      </c>
      <c r="CN89" s="83">
        <v>6.7298599999999998E-3</v>
      </c>
      <c r="CO89" s="83">
        <v>1.2217E-2</v>
      </c>
      <c r="CP89" s="83">
        <v>7.9498999999999993E-3</v>
      </c>
      <c r="CQ89" s="83">
        <v>6.3547899999999999E-3</v>
      </c>
      <c r="CR89" s="83">
        <v>1.23062E-2</v>
      </c>
      <c r="CS89" s="83">
        <v>7.9498999999999993E-3</v>
      </c>
      <c r="CT89" s="83">
        <v>6.3380700000000003E-3</v>
      </c>
      <c r="CU89" s="83">
        <v>1.2390200000000001E-2</v>
      </c>
      <c r="CV89" s="83">
        <v>7.9498999999999993E-3</v>
      </c>
      <c r="CW89" s="83">
        <v>6.3119500000000002E-3</v>
      </c>
      <c r="CX89" s="83">
        <v>1.2381E-2</v>
      </c>
      <c r="CY89" s="83">
        <v>7.9498999999999993E-3</v>
      </c>
      <c r="CZ89" s="83">
        <v>5.9049599999999999E-3</v>
      </c>
      <c r="DA89" s="83">
        <v>1.22898E-2</v>
      </c>
    </row>
    <row r="90" spans="1:105" x14ac:dyDescent="0.2">
      <c r="A90" s="83">
        <v>8.0499000000000005E-3</v>
      </c>
      <c r="B90" s="83">
        <v>1.0419599999999999E-2</v>
      </c>
      <c r="C90" s="83">
        <v>1.16679E-2</v>
      </c>
      <c r="D90" s="83">
        <v>8.0499000000000005E-3</v>
      </c>
      <c r="E90" s="83">
        <v>1.0210500000000001E-2</v>
      </c>
      <c r="F90" s="83">
        <v>1.18475E-2</v>
      </c>
      <c r="G90" s="83">
        <v>8.0499000000000005E-3</v>
      </c>
      <c r="H90" s="83">
        <v>1.08273E-2</v>
      </c>
      <c r="I90" s="83">
        <v>1.1972099999999999E-2</v>
      </c>
      <c r="J90" s="83">
        <v>8.0499000000000005E-3</v>
      </c>
      <c r="K90" s="83">
        <v>1.01431E-2</v>
      </c>
      <c r="L90" s="83">
        <v>1.1535800000000001E-2</v>
      </c>
      <c r="M90" s="83">
        <v>8.0499000000000005E-3</v>
      </c>
      <c r="N90" s="83">
        <v>9.7094299999999998E-3</v>
      </c>
      <c r="O90" s="83">
        <v>1.1652900000000001E-2</v>
      </c>
      <c r="P90" s="83">
        <v>8.0499000000000005E-3</v>
      </c>
      <c r="Q90" s="83">
        <v>9.9763300000000003E-3</v>
      </c>
      <c r="R90" s="83">
        <v>1.16819E-2</v>
      </c>
      <c r="S90" s="83">
        <v>8.0499000000000005E-3</v>
      </c>
      <c r="T90" s="83">
        <v>9.97872E-3</v>
      </c>
      <c r="U90" s="83">
        <v>1.1758599999999999E-2</v>
      </c>
      <c r="V90" s="83">
        <v>8.0499000000000005E-3</v>
      </c>
      <c r="W90" s="83">
        <v>1.00413E-2</v>
      </c>
      <c r="X90" s="83">
        <v>1.1997600000000001E-2</v>
      </c>
      <c r="Y90" s="83">
        <v>8.0499000000000005E-3</v>
      </c>
      <c r="Z90" s="83">
        <v>9.7538E-3</v>
      </c>
      <c r="AA90" s="83">
        <v>1.1668700000000001E-2</v>
      </c>
      <c r="AB90" s="83">
        <v>8.0499000000000005E-3</v>
      </c>
      <c r="AC90" s="83">
        <v>1.0041599999999999E-2</v>
      </c>
      <c r="AD90" s="83">
        <v>1.18672E-2</v>
      </c>
      <c r="AE90" s="83">
        <v>8.0499000000000005E-3</v>
      </c>
      <c r="AF90" s="83">
        <v>1.00012E-2</v>
      </c>
      <c r="AG90" s="83">
        <v>1.2066500000000001E-2</v>
      </c>
      <c r="AH90" s="83">
        <v>8.0499000000000005E-3</v>
      </c>
      <c r="AI90" s="83">
        <v>9.6018900000000001E-3</v>
      </c>
      <c r="AJ90" s="83">
        <v>1.19782E-2</v>
      </c>
      <c r="AK90" s="83">
        <v>8.0499000000000005E-3</v>
      </c>
      <c r="AL90" s="83">
        <v>9.6173000000000005E-3</v>
      </c>
      <c r="AM90" s="83">
        <v>1.2060700000000001E-2</v>
      </c>
      <c r="AN90" s="83">
        <v>8.0499000000000005E-3</v>
      </c>
      <c r="AO90" s="83">
        <v>8.9982199999999995E-3</v>
      </c>
      <c r="AP90" s="83">
        <v>1.1676799999999999E-2</v>
      </c>
      <c r="AQ90" s="83">
        <v>8.0499000000000005E-3</v>
      </c>
      <c r="AR90" s="83">
        <v>8.8892599999999995E-3</v>
      </c>
      <c r="AS90" s="83">
        <v>1.19229E-2</v>
      </c>
      <c r="AT90" s="83">
        <v>8.0499000000000005E-3</v>
      </c>
      <c r="AU90" s="83">
        <v>8.9437100000000005E-3</v>
      </c>
      <c r="AV90" s="83">
        <v>1.1949599999999999E-2</v>
      </c>
      <c r="AW90" s="83">
        <v>8.0499000000000005E-3</v>
      </c>
      <c r="AX90" s="83">
        <v>9.1345100000000002E-3</v>
      </c>
      <c r="AY90" s="83">
        <v>1.22054E-2</v>
      </c>
      <c r="AZ90" s="83">
        <v>8.0499000000000005E-3</v>
      </c>
      <c r="BA90" s="83">
        <v>8.7666399999999992E-3</v>
      </c>
      <c r="BB90" s="83">
        <v>1.2040800000000001E-2</v>
      </c>
      <c r="BC90" s="83">
        <v>8.0499000000000005E-3</v>
      </c>
      <c r="BD90" s="83">
        <v>8.6396500000000005E-3</v>
      </c>
      <c r="BE90" s="83">
        <v>1.17967E-2</v>
      </c>
      <c r="BF90" s="83">
        <v>8.0499000000000005E-3</v>
      </c>
      <c r="BG90" s="83">
        <v>8.4849899999999995E-3</v>
      </c>
      <c r="BH90" s="83">
        <v>1.19279E-2</v>
      </c>
      <c r="BI90" s="83">
        <v>8.0499000000000005E-3</v>
      </c>
      <c r="BJ90" s="83">
        <v>8.4036500000000004E-3</v>
      </c>
      <c r="BK90" s="83">
        <v>1.19135E-2</v>
      </c>
      <c r="BL90" s="83">
        <v>8.0499000000000005E-3</v>
      </c>
      <c r="BM90" s="83">
        <v>7.9675300000000004E-3</v>
      </c>
      <c r="BN90" s="83">
        <v>1.17473E-2</v>
      </c>
      <c r="BO90" s="83">
        <v>8.0499000000000005E-3</v>
      </c>
      <c r="BP90" s="83">
        <v>7.69318E-3</v>
      </c>
      <c r="BQ90" s="83">
        <v>1.1957000000000001E-2</v>
      </c>
      <c r="BR90" s="83">
        <v>8.0499000000000005E-3</v>
      </c>
      <c r="BS90" s="83">
        <v>8.0106199999999995E-3</v>
      </c>
      <c r="BT90" s="83">
        <v>1.2119100000000001E-2</v>
      </c>
      <c r="BU90" s="83">
        <v>8.0499000000000005E-3</v>
      </c>
      <c r="BV90" s="83">
        <v>7.2027000000000002E-3</v>
      </c>
      <c r="BW90" s="83">
        <v>1.17331E-2</v>
      </c>
      <c r="BX90" s="83">
        <v>8.0499000000000005E-3</v>
      </c>
      <c r="BY90" s="83">
        <v>7.4820700000000004E-3</v>
      </c>
      <c r="BZ90" s="83">
        <v>1.21119E-2</v>
      </c>
      <c r="CA90" s="83">
        <v>8.0499000000000005E-3</v>
      </c>
      <c r="CB90" s="83">
        <v>7.2850800000000002E-3</v>
      </c>
      <c r="CC90" s="83">
        <v>1.1828399999999999E-2</v>
      </c>
      <c r="CD90" s="83">
        <v>8.0499000000000005E-3</v>
      </c>
      <c r="CE90" s="83">
        <v>6.4568999999999998E-3</v>
      </c>
      <c r="CF90" s="83">
        <v>1.1755699999999999E-2</v>
      </c>
      <c r="CG90" s="83">
        <v>8.0499000000000005E-3</v>
      </c>
      <c r="CH90" s="83">
        <v>6.16214E-3</v>
      </c>
      <c r="CI90" s="83">
        <v>1.19702E-2</v>
      </c>
      <c r="CJ90" s="83">
        <v>8.0499000000000005E-3</v>
      </c>
      <c r="CK90" s="83">
        <v>6.0090400000000002E-3</v>
      </c>
      <c r="CL90" s="83">
        <v>1.17695E-2</v>
      </c>
      <c r="CM90" s="83">
        <v>8.0499000000000005E-3</v>
      </c>
      <c r="CN90" s="83">
        <v>6.29431E-3</v>
      </c>
      <c r="CO90" s="83">
        <v>1.16545E-2</v>
      </c>
      <c r="CP90" s="83">
        <v>8.0499000000000005E-3</v>
      </c>
      <c r="CQ90" s="83">
        <v>6.1380000000000002E-3</v>
      </c>
      <c r="CR90" s="83">
        <v>1.1733E-2</v>
      </c>
      <c r="CS90" s="83">
        <v>8.0499000000000005E-3</v>
      </c>
      <c r="CT90" s="83">
        <v>6.2853400000000004E-3</v>
      </c>
      <c r="CU90" s="83">
        <v>1.1798400000000001E-2</v>
      </c>
      <c r="CV90" s="83">
        <v>8.0499000000000005E-3</v>
      </c>
      <c r="CW90" s="83">
        <v>6.1146899999999999E-3</v>
      </c>
      <c r="CX90" s="83">
        <v>1.18204E-2</v>
      </c>
      <c r="CY90" s="83">
        <v>8.0499000000000005E-3</v>
      </c>
      <c r="CZ90" s="83">
        <v>5.7604300000000004E-3</v>
      </c>
      <c r="DA90" s="83">
        <v>1.17039E-2</v>
      </c>
    </row>
    <row r="91" spans="1:105" x14ac:dyDescent="0.2">
      <c r="A91" s="83">
        <v>8.1498999999999999E-3</v>
      </c>
      <c r="B91" s="83">
        <v>9.5523799999999992E-3</v>
      </c>
      <c r="C91" s="83">
        <v>1.1114199999999999E-2</v>
      </c>
      <c r="D91" s="83">
        <v>8.1498999999999999E-3</v>
      </c>
      <c r="E91" s="83">
        <v>9.6128399999999992E-3</v>
      </c>
      <c r="F91" s="83">
        <v>1.1288899999999999E-2</v>
      </c>
      <c r="G91" s="83">
        <v>8.1498999999999999E-3</v>
      </c>
      <c r="H91" s="83">
        <v>1.01359E-2</v>
      </c>
      <c r="I91" s="83">
        <v>1.14018E-2</v>
      </c>
      <c r="J91" s="83">
        <v>8.1498999999999999E-3</v>
      </c>
      <c r="K91" s="83">
        <v>9.3032900000000005E-3</v>
      </c>
      <c r="L91" s="83">
        <v>1.0981100000000001E-2</v>
      </c>
      <c r="M91" s="83">
        <v>8.1498999999999999E-3</v>
      </c>
      <c r="N91" s="83">
        <v>9.4164699999999997E-3</v>
      </c>
      <c r="O91" s="83">
        <v>1.1112800000000001E-2</v>
      </c>
      <c r="P91" s="83">
        <v>8.1498999999999999E-3</v>
      </c>
      <c r="Q91" s="83">
        <v>9.2165600000000004E-3</v>
      </c>
      <c r="R91" s="83">
        <v>1.1139899999999999E-2</v>
      </c>
      <c r="S91" s="83">
        <v>8.1498999999999999E-3</v>
      </c>
      <c r="T91" s="83">
        <v>9.3048899999999997E-3</v>
      </c>
      <c r="U91" s="83">
        <v>1.11795E-2</v>
      </c>
      <c r="V91" s="83">
        <v>8.1498999999999999E-3</v>
      </c>
      <c r="W91" s="83">
        <v>9.6018800000000001E-3</v>
      </c>
      <c r="X91" s="83">
        <v>1.1425299999999999E-2</v>
      </c>
      <c r="Y91" s="83">
        <v>8.1498999999999999E-3</v>
      </c>
      <c r="Z91" s="83">
        <v>9.1717699999999992E-3</v>
      </c>
      <c r="AA91" s="83">
        <v>1.11325E-2</v>
      </c>
      <c r="AB91" s="83">
        <v>8.1498999999999999E-3</v>
      </c>
      <c r="AC91" s="83">
        <v>9.3892200000000002E-3</v>
      </c>
      <c r="AD91" s="83">
        <v>1.1331000000000001E-2</v>
      </c>
      <c r="AE91" s="83">
        <v>8.1498999999999999E-3</v>
      </c>
      <c r="AF91" s="83">
        <v>9.0148799999999994E-3</v>
      </c>
      <c r="AG91" s="83">
        <v>1.14903E-2</v>
      </c>
      <c r="AH91" s="83">
        <v>8.1498999999999999E-3</v>
      </c>
      <c r="AI91" s="83">
        <v>9.08431E-3</v>
      </c>
      <c r="AJ91" s="83">
        <v>1.1406899999999999E-2</v>
      </c>
      <c r="AK91" s="83">
        <v>8.1498999999999999E-3</v>
      </c>
      <c r="AL91" s="83">
        <v>9.1700400000000008E-3</v>
      </c>
      <c r="AM91" s="83">
        <v>1.14777E-2</v>
      </c>
      <c r="AN91" s="83">
        <v>8.1498999999999999E-3</v>
      </c>
      <c r="AO91" s="83">
        <v>8.4435399999999994E-3</v>
      </c>
      <c r="AP91" s="83">
        <v>1.1122099999999999E-2</v>
      </c>
      <c r="AQ91" s="83">
        <v>8.1498999999999999E-3</v>
      </c>
      <c r="AR91" s="83">
        <v>8.5513700000000008E-3</v>
      </c>
      <c r="AS91" s="83">
        <v>1.1349700000000001E-2</v>
      </c>
      <c r="AT91" s="83">
        <v>8.1498999999999999E-3</v>
      </c>
      <c r="AU91" s="83">
        <v>8.4124600000000001E-3</v>
      </c>
      <c r="AV91" s="83">
        <v>1.1397900000000001E-2</v>
      </c>
      <c r="AW91" s="83">
        <v>8.1498999999999999E-3</v>
      </c>
      <c r="AX91" s="83">
        <v>8.8259199999999993E-3</v>
      </c>
      <c r="AY91" s="83">
        <v>1.1640899999999999E-2</v>
      </c>
      <c r="AZ91" s="83">
        <v>8.1498999999999999E-3</v>
      </c>
      <c r="BA91" s="83">
        <v>8.4502399999999995E-3</v>
      </c>
      <c r="BB91" s="83">
        <v>1.14929E-2</v>
      </c>
      <c r="BC91" s="83">
        <v>8.1498999999999999E-3</v>
      </c>
      <c r="BD91" s="83">
        <v>7.5361300000000003E-3</v>
      </c>
      <c r="BE91" s="83">
        <v>1.1226399999999999E-2</v>
      </c>
      <c r="BF91" s="83">
        <v>8.1498999999999999E-3</v>
      </c>
      <c r="BG91" s="83">
        <v>7.40881E-3</v>
      </c>
      <c r="BH91" s="83">
        <v>1.13645E-2</v>
      </c>
      <c r="BI91" s="83">
        <v>8.1498999999999999E-3</v>
      </c>
      <c r="BJ91" s="83">
        <v>8.0677100000000005E-3</v>
      </c>
      <c r="BK91" s="83">
        <v>1.13589E-2</v>
      </c>
      <c r="BL91" s="83">
        <v>8.1498999999999999E-3</v>
      </c>
      <c r="BM91" s="83">
        <v>7.6276800000000004E-3</v>
      </c>
      <c r="BN91" s="83">
        <v>1.1197500000000001E-2</v>
      </c>
      <c r="BO91" s="83">
        <v>8.1498999999999999E-3</v>
      </c>
      <c r="BP91" s="83">
        <v>7.4881100000000001E-3</v>
      </c>
      <c r="BQ91" s="83">
        <v>1.1416900000000001E-2</v>
      </c>
      <c r="BR91" s="83">
        <v>8.1498999999999999E-3</v>
      </c>
      <c r="BS91" s="83">
        <v>7.4032000000000004E-3</v>
      </c>
      <c r="BT91" s="83">
        <v>1.15605E-2</v>
      </c>
      <c r="BU91" s="83">
        <v>8.1498999999999999E-3</v>
      </c>
      <c r="BV91" s="83">
        <v>6.8316100000000001E-3</v>
      </c>
      <c r="BW91" s="83">
        <v>1.11921E-2</v>
      </c>
      <c r="BX91" s="83">
        <v>8.1498999999999999E-3</v>
      </c>
      <c r="BY91" s="83">
        <v>7.0113600000000003E-3</v>
      </c>
      <c r="BZ91" s="83">
        <v>1.1535699999999999E-2</v>
      </c>
      <c r="CA91" s="83">
        <v>8.1498999999999999E-3</v>
      </c>
      <c r="CB91" s="83">
        <v>7.0409399999999999E-3</v>
      </c>
      <c r="CC91" s="83">
        <v>1.1282500000000001E-2</v>
      </c>
      <c r="CD91" s="83">
        <v>8.1498999999999999E-3</v>
      </c>
      <c r="CE91" s="83">
        <v>6.2615800000000001E-3</v>
      </c>
      <c r="CF91" s="83">
        <v>1.1202E-2</v>
      </c>
      <c r="CG91" s="83">
        <v>8.1498999999999999E-3</v>
      </c>
      <c r="CH91" s="83">
        <v>6.1152699999999999E-3</v>
      </c>
      <c r="CI91" s="83">
        <v>1.1414499999999999E-2</v>
      </c>
      <c r="CJ91" s="83">
        <v>8.1498999999999999E-3</v>
      </c>
      <c r="CK91" s="83">
        <v>5.9621600000000002E-3</v>
      </c>
      <c r="CL91" s="83">
        <v>1.1203100000000001E-2</v>
      </c>
      <c r="CM91" s="83">
        <v>8.1498999999999999E-3</v>
      </c>
      <c r="CN91" s="83">
        <v>5.8275100000000002E-3</v>
      </c>
      <c r="CO91" s="83">
        <v>1.11174E-2</v>
      </c>
      <c r="CP91" s="83">
        <v>8.1498999999999999E-3</v>
      </c>
      <c r="CQ91" s="83">
        <v>5.8489299999999996E-3</v>
      </c>
      <c r="CR91" s="83">
        <v>1.1177299999999999E-2</v>
      </c>
      <c r="CS91" s="83">
        <v>8.1498999999999999E-3</v>
      </c>
      <c r="CT91" s="83">
        <v>6.1330000000000004E-3</v>
      </c>
      <c r="CU91" s="83">
        <v>1.12417E-2</v>
      </c>
      <c r="CV91" s="83">
        <v>8.1498999999999999E-3</v>
      </c>
      <c r="CW91" s="83">
        <v>5.8978900000000003E-3</v>
      </c>
      <c r="CX91" s="83">
        <v>1.1244199999999999E-2</v>
      </c>
      <c r="CY91" s="83">
        <v>8.1498999999999999E-3</v>
      </c>
      <c r="CZ91" s="83">
        <v>5.3639400000000002E-3</v>
      </c>
      <c r="DA91" s="83">
        <v>1.11296E-2</v>
      </c>
    </row>
    <row r="92" spans="1:105" x14ac:dyDescent="0.2">
      <c r="A92" s="83">
        <v>8.2498999999999992E-3</v>
      </c>
      <c r="B92" s="83">
        <v>9.2594099999999992E-3</v>
      </c>
      <c r="C92" s="83">
        <v>1.05732E-2</v>
      </c>
      <c r="D92" s="83">
        <v>8.2498999999999992E-3</v>
      </c>
      <c r="E92" s="83">
        <v>9.11089E-3</v>
      </c>
      <c r="F92" s="83">
        <v>1.0751800000000001E-2</v>
      </c>
      <c r="G92" s="83">
        <v>8.2498999999999992E-3</v>
      </c>
      <c r="H92" s="83">
        <v>9.5772900000000005E-3</v>
      </c>
      <c r="I92" s="83">
        <v>1.0874399999999999E-2</v>
      </c>
      <c r="J92" s="83">
        <v>8.2498999999999992E-3</v>
      </c>
      <c r="K92" s="83">
        <v>8.8384499999999994E-3</v>
      </c>
      <c r="L92" s="83">
        <v>1.0474300000000001E-2</v>
      </c>
      <c r="M92" s="83">
        <v>8.2498999999999992E-3</v>
      </c>
      <c r="N92" s="83">
        <v>8.5316999999999997E-3</v>
      </c>
      <c r="O92" s="83">
        <v>1.0614800000000001E-2</v>
      </c>
      <c r="P92" s="83">
        <v>8.2498999999999992E-3</v>
      </c>
      <c r="Q92" s="83">
        <v>8.3103099999999996E-3</v>
      </c>
      <c r="R92" s="83">
        <v>1.06214E-2</v>
      </c>
      <c r="S92" s="83">
        <v>8.2498999999999992E-3</v>
      </c>
      <c r="T92" s="83">
        <v>8.4416100000000004E-3</v>
      </c>
      <c r="U92" s="83">
        <v>1.06727E-2</v>
      </c>
      <c r="V92" s="83">
        <v>8.2498999999999992E-3</v>
      </c>
      <c r="W92" s="83">
        <v>9.0354700000000003E-3</v>
      </c>
      <c r="X92" s="83">
        <v>1.08921E-2</v>
      </c>
      <c r="Y92" s="83">
        <v>8.2498999999999992E-3</v>
      </c>
      <c r="Z92" s="83">
        <v>8.7987299999999994E-3</v>
      </c>
      <c r="AA92" s="83">
        <v>1.06286E-2</v>
      </c>
      <c r="AB92" s="83">
        <v>8.2498999999999992E-3</v>
      </c>
      <c r="AC92" s="83">
        <v>8.3345299999999997E-3</v>
      </c>
      <c r="AD92" s="83">
        <v>1.0775399999999999E-2</v>
      </c>
      <c r="AE92" s="83">
        <v>8.2498999999999992E-3</v>
      </c>
      <c r="AF92" s="83">
        <v>8.5363699999999997E-3</v>
      </c>
      <c r="AG92" s="83">
        <v>1.09581E-2</v>
      </c>
      <c r="AH92" s="83">
        <v>8.2498999999999992E-3</v>
      </c>
      <c r="AI92" s="83">
        <v>8.6721999999999997E-3</v>
      </c>
      <c r="AJ92" s="83">
        <v>1.0884400000000001E-2</v>
      </c>
      <c r="AK92" s="83">
        <v>8.2498999999999992E-3</v>
      </c>
      <c r="AL92" s="83">
        <v>8.6641800000000005E-3</v>
      </c>
      <c r="AM92" s="83">
        <v>1.09572E-2</v>
      </c>
      <c r="AN92" s="83">
        <v>8.2498999999999992E-3</v>
      </c>
      <c r="AO92" s="83">
        <v>8.1251799999999992E-3</v>
      </c>
      <c r="AP92" s="83">
        <v>1.05948E-2</v>
      </c>
      <c r="AQ92" s="83">
        <v>8.2498999999999992E-3</v>
      </c>
      <c r="AR92" s="83">
        <v>8.3482499999999998E-3</v>
      </c>
      <c r="AS92" s="83">
        <v>1.0836E-2</v>
      </c>
      <c r="AT92" s="83">
        <v>8.2498999999999992E-3</v>
      </c>
      <c r="AU92" s="83">
        <v>7.7601099999999998E-3</v>
      </c>
      <c r="AV92" s="83">
        <v>1.0868600000000001E-2</v>
      </c>
      <c r="AW92" s="83">
        <v>8.2498999999999992E-3</v>
      </c>
      <c r="AX92" s="83">
        <v>8.2595099999999994E-3</v>
      </c>
      <c r="AY92" s="83">
        <v>1.1083300000000001E-2</v>
      </c>
      <c r="AZ92" s="83">
        <v>8.2498999999999992E-3</v>
      </c>
      <c r="BA92" s="83">
        <v>7.7432000000000004E-3</v>
      </c>
      <c r="BB92" s="83">
        <v>1.0931400000000001E-2</v>
      </c>
      <c r="BC92" s="83">
        <v>8.2498999999999992E-3</v>
      </c>
      <c r="BD92" s="83">
        <v>7.3915999999999999E-3</v>
      </c>
      <c r="BE92" s="83">
        <v>1.07069E-2</v>
      </c>
      <c r="BF92" s="83">
        <v>8.2498999999999992E-3</v>
      </c>
      <c r="BG92" s="83">
        <v>7.2838099999999999E-3</v>
      </c>
      <c r="BH92" s="83">
        <v>1.0844899999999999E-2</v>
      </c>
      <c r="BI92" s="83">
        <v>8.2498999999999992E-3</v>
      </c>
      <c r="BJ92" s="83">
        <v>7.4602899999999996E-3</v>
      </c>
      <c r="BK92" s="83">
        <v>1.08159E-2</v>
      </c>
      <c r="BL92" s="83">
        <v>8.2498999999999992E-3</v>
      </c>
      <c r="BM92" s="83">
        <v>6.6843199999999997E-3</v>
      </c>
      <c r="BN92" s="83">
        <v>1.06692E-2</v>
      </c>
      <c r="BO92" s="83">
        <v>8.2498999999999992E-3</v>
      </c>
      <c r="BP92" s="83">
        <v>7.1150600000000003E-3</v>
      </c>
      <c r="BQ92" s="83">
        <v>1.0850500000000001E-2</v>
      </c>
      <c r="BR92" s="83">
        <v>8.2498999999999992E-3</v>
      </c>
      <c r="BS92" s="83">
        <v>6.9168700000000003E-3</v>
      </c>
      <c r="BT92" s="83">
        <v>1.10156E-2</v>
      </c>
      <c r="BU92" s="83">
        <v>8.2498999999999992E-3</v>
      </c>
      <c r="BV92" s="83">
        <v>6.3316099999999997E-3</v>
      </c>
      <c r="BW92" s="83">
        <v>1.0658900000000001E-2</v>
      </c>
      <c r="BX92" s="83">
        <v>8.2498999999999992E-3</v>
      </c>
      <c r="BY92" s="83">
        <v>6.8941699999999998E-3</v>
      </c>
      <c r="BZ92" s="83">
        <v>1.09967E-2</v>
      </c>
      <c r="CA92" s="83">
        <v>8.2498999999999992E-3</v>
      </c>
      <c r="CB92" s="83">
        <v>6.4354700000000004E-3</v>
      </c>
      <c r="CC92" s="83">
        <v>1.0750300000000001E-2</v>
      </c>
      <c r="CD92" s="83">
        <v>8.2498999999999992E-3</v>
      </c>
      <c r="CE92" s="83">
        <v>5.6502599999999998E-3</v>
      </c>
      <c r="CF92" s="83">
        <v>1.0674599999999999E-2</v>
      </c>
      <c r="CG92" s="83">
        <v>8.2498999999999992E-3</v>
      </c>
      <c r="CH92" s="83">
        <v>5.5039399999999997E-3</v>
      </c>
      <c r="CI92" s="83">
        <v>1.0885199999999999E-2</v>
      </c>
      <c r="CJ92" s="83">
        <v>8.2498999999999992E-3</v>
      </c>
      <c r="CK92" s="83">
        <v>5.8176299999999998E-3</v>
      </c>
      <c r="CL92" s="83">
        <v>1.0696300000000001E-2</v>
      </c>
      <c r="CM92" s="83">
        <v>8.2498999999999992E-3</v>
      </c>
      <c r="CN92" s="83">
        <v>5.4134500000000002E-3</v>
      </c>
      <c r="CO92" s="83">
        <v>1.05871E-2</v>
      </c>
      <c r="CP92" s="83">
        <v>8.2498999999999992E-3</v>
      </c>
      <c r="CQ92" s="83">
        <v>5.5364300000000002E-3</v>
      </c>
      <c r="CR92" s="83">
        <v>1.06529E-2</v>
      </c>
      <c r="CS92" s="83">
        <v>8.2498999999999992E-3</v>
      </c>
      <c r="CT92" s="83">
        <v>5.6701099999999999E-3</v>
      </c>
      <c r="CU92" s="83">
        <v>1.0722199999999999E-2</v>
      </c>
      <c r="CV92" s="83">
        <v>8.2498999999999992E-3</v>
      </c>
      <c r="CW92" s="83">
        <v>5.6361700000000002E-3</v>
      </c>
      <c r="CX92" s="83">
        <v>1.0717900000000001E-2</v>
      </c>
      <c r="CY92" s="83">
        <v>8.2498999999999992E-3</v>
      </c>
      <c r="CZ92" s="83">
        <v>5.1334800000000002E-3</v>
      </c>
      <c r="DA92" s="83">
        <v>1.0626699999999999E-2</v>
      </c>
    </row>
    <row r="93" spans="1:105" x14ac:dyDescent="0.2">
      <c r="A93" s="83">
        <v>8.3499000000000004E-3</v>
      </c>
      <c r="B93" s="83">
        <v>9.0992599999999996E-3</v>
      </c>
      <c r="C93" s="83">
        <v>1.00879E-2</v>
      </c>
      <c r="D93" s="83">
        <v>8.3499000000000004E-3</v>
      </c>
      <c r="E93" s="83">
        <v>8.5757300000000002E-3</v>
      </c>
      <c r="F93" s="83">
        <v>1.02557E-2</v>
      </c>
      <c r="G93" s="83">
        <v>8.3499000000000004E-3</v>
      </c>
      <c r="H93" s="83">
        <v>8.8897899999999998E-3</v>
      </c>
      <c r="I93" s="83">
        <v>1.0355899999999999E-2</v>
      </c>
      <c r="J93" s="83">
        <v>8.3499000000000004E-3</v>
      </c>
      <c r="K93" s="83">
        <v>8.5962599999999997E-3</v>
      </c>
      <c r="L93" s="83">
        <v>9.9781599999999998E-3</v>
      </c>
      <c r="M93" s="83">
        <v>8.3499000000000004E-3</v>
      </c>
      <c r="N93" s="83">
        <v>7.9438100000000008E-3</v>
      </c>
      <c r="O93" s="83">
        <v>1.0110900000000001E-2</v>
      </c>
      <c r="P93" s="83">
        <v>8.3499000000000004E-3</v>
      </c>
      <c r="Q93" s="83">
        <v>8.0153900000000007E-3</v>
      </c>
      <c r="R93" s="83">
        <v>1.0130200000000001E-2</v>
      </c>
      <c r="S93" s="83">
        <v>8.3499000000000004E-3</v>
      </c>
      <c r="T93" s="83">
        <v>8.1798900000000004E-3</v>
      </c>
      <c r="U93" s="83">
        <v>1.01785E-2</v>
      </c>
      <c r="V93" s="83">
        <v>8.3499000000000004E-3</v>
      </c>
      <c r="W93" s="83">
        <v>8.8596899999999999E-3</v>
      </c>
      <c r="X93" s="83">
        <v>1.0387199999999999E-2</v>
      </c>
      <c r="Y93" s="83">
        <v>8.3499000000000004E-3</v>
      </c>
      <c r="Z93" s="83">
        <v>8.2772399999999999E-3</v>
      </c>
      <c r="AA93" s="83">
        <v>1.01247E-2</v>
      </c>
      <c r="AB93" s="83">
        <v>8.3499000000000004E-3</v>
      </c>
      <c r="AC93" s="83">
        <v>8.3091399999999996E-3</v>
      </c>
      <c r="AD93" s="83">
        <v>1.0271499999999999E-2</v>
      </c>
      <c r="AE93" s="83">
        <v>8.3499000000000004E-3</v>
      </c>
      <c r="AF93" s="83">
        <v>8.0441799999999997E-3</v>
      </c>
      <c r="AG93" s="83">
        <v>1.04551E-2</v>
      </c>
      <c r="AH93" s="83">
        <v>8.3499000000000004E-3</v>
      </c>
      <c r="AI93" s="83">
        <v>7.9983699999999994E-3</v>
      </c>
      <c r="AJ93" s="83">
        <v>1.03698E-2</v>
      </c>
      <c r="AK93" s="83">
        <v>8.3499000000000004E-3</v>
      </c>
      <c r="AL93" s="83">
        <v>8.2696499999999999E-3</v>
      </c>
      <c r="AM93" s="83">
        <v>1.0444500000000001E-2</v>
      </c>
      <c r="AN93" s="83">
        <v>8.3499000000000004E-3</v>
      </c>
      <c r="AO93" s="83">
        <v>7.7755699999999999E-3</v>
      </c>
      <c r="AP93" s="83">
        <v>1.00968E-2</v>
      </c>
      <c r="AQ93" s="83">
        <v>8.3499000000000004E-3</v>
      </c>
      <c r="AR93" s="83">
        <v>7.8580100000000003E-3</v>
      </c>
      <c r="AS93" s="83">
        <v>1.0326200000000001E-2</v>
      </c>
      <c r="AT93" s="83">
        <v>8.3499000000000004E-3</v>
      </c>
      <c r="AU93" s="83">
        <v>7.51792E-3</v>
      </c>
      <c r="AV93" s="83">
        <v>1.0356799999999999E-2</v>
      </c>
      <c r="AW93" s="83">
        <v>8.3499000000000004E-3</v>
      </c>
      <c r="AX93" s="83">
        <v>7.8415399999999993E-3</v>
      </c>
      <c r="AY93" s="83">
        <v>1.0582299999999999E-2</v>
      </c>
      <c r="AZ93" s="83">
        <v>8.3499000000000004E-3</v>
      </c>
      <c r="BA93" s="83">
        <v>8.2060999999999992E-3</v>
      </c>
      <c r="BB93" s="83">
        <v>1.04314E-2</v>
      </c>
      <c r="BC93" s="83">
        <v>8.3499000000000004E-3</v>
      </c>
      <c r="BD93" s="83">
        <v>7.0790999999999996E-3</v>
      </c>
      <c r="BE93" s="83">
        <v>1.02059E-2</v>
      </c>
      <c r="BF93" s="83">
        <v>8.3499000000000004E-3</v>
      </c>
      <c r="BG93" s="83">
        <v>7.10022E-3</v>
      </c>
      <c r="BH93" s="83">
        <v>1.0323499999999999E-2</v>
      </c>
      <c r="BI93" s="83">
        <v>8.3499000000000004E-3</v>
      </c>
      <c r="BJ93" s="83">
        <v>6.9153599999999997E-3</v>
      </c>
      <c r="BK93" s="83">
        <v>1.0302199999999999E-2</v>
      </c>
      <c r="BL93" s="83">
        <v>8.3499000000000004E-3</v>
      </c>
      <c r="BM93" s="83">
        <v>6.4890099999999999E-3</v>
      </c>
      <c r="BN93" s="83">
        <v>1.0170200000000001E-2</v>
      </c>
      <c r="BO93" s="83">
        <v>8.3499000000000004E-3</v>
      </c>
      <c r="BP93" s="83">
        <v>6.65607E-3</v>
      </c>
      <c r="BQ93" s="83">
        <v>1.0346599999999999E-2</v>
      </c>
      <c r="BR93" s="83">
        <v>8.3499000000000004E-3</v>
      </c>
      <c r="BS93" s="83">
        <v>6.3192099999999996E-3</v>
      </c>
      <c r="BT93" s="83">
        <v>1.04951E-2</v>
      </c>
      <c r="BU93" s="83">
        <v>8.3499000000000004E-3</v>
      </c>
      <c r="BV93" s="83">
        <v>6.1636399999999997E-3</v>
      </c>
      <c r="BW93" s="83">
        <v>1.0155000000000001E-2</v>
      </c>
      <c r="BX93" s="83">
        <v>8.3499000000000004E-3</v>
      </c>
      <c r="BY93" s="83">
        <v>6.3121399999999999E-3</v>
      </c>
      <c r="BZ93" s="83">
        <v>1.04928E-2</v>
      </c>
      <c r="CA93" s="83">
        <v>8.3499000000000004E-3</v>
      </c>
      <c r="CB93" s="83">
        <v>6.0780499999999998E-3</v>
      </c>
      <c r="CC93" s="83">
        <v>1.02503E-2</v>
      </c>
      <c r="CD93" s="83">
        <v>8.3499000000000004E-3</v>
      </c>
      <c r="CE93" s="83">
        <v>5.3592400000000004E-3</v>
      </c>
      <c r="CF93" s="83">
        <v>1.01815E-2</v>
      </c>
      <c r="CG93" s="83">
        <v>8.3499000000000004E-3</v>
      </c>
      <c r="CH93" s="83">
        <v>5.3886999999999997E-3</v>
      </c>
      <c r="CI93" s="83">
        <v>1.03569E-2</v>
      </c>
      <c r="CJ93" s="83">
        <v>8.3499000000000004E-3</v>
      </c>
      <c r="CK93" s="83">
        <v>5.4172400000000002E-3</v>
      </c>
      <c r="CL93" s="83">
        <v>1.01709E-2</v>
      </c>
      <c r="CM93" s="83">
        <v>8.3499000000000004E-3</v>
      </c>
      <c r="CN93" s="83">
        <v>5.3138400000000002E-3</v>
      </c>
      <c r="CO93" s="83">
        <v>1.00774E-2</v>
      </c>
      <c r="CP93" s="83">
        <v>8.3499000000000004E-3</v>
      </c>
      <c r="CQ93" s="83">
        <v>5.6321399999999999E-3</v>
      </c>
      <c r="CR93" s="83">
        <v>1.0138299999999999E-2</v>
      </c>
      <c r="CS93" s="83">
        <v>8.3499000000000004E-3</v>
      </c>
      <c r="CT93" s="83">
        <v>5.1330000000000004E-3</v>
      </c>
      <c r="CU93" s="83">
        <v>1.023E-2</v>
      </c>
      <c r="CV93" s="83">
        <v>8.3499000000000004E-3</v>
      </c>
      <c r="CW93" s="83">
        <v>5.0638999999999997E-3</v>
      </c>
      <c r="CX93" s="83">
        <v>1.02159E-2</v>
      </c>
      <c r="CY93" s="83">
        <v>8.3499000000000004E-3</v>
      </c>
      <c r="CZ93" s="83">
        <v>4.9967600000000003E-3</v>
      </c>
      <c r="DA93" s="83">
        <v>1.0128699999999999E-2</v>
      </c>
    </row>
    <row r="94" spans="1:105" x14ac:dyDescent="0.2">
      <c r="A94" s="83">
        <v>8.4498999999999998E-3</v>
      </c>
      <c r="B94" s="83">
        <v>8.5601900000000005E-3</v>
      </c>
      <c r="C94" s="83">
        <v>9.6093399999999992E-3</v>
      </c>
      <c r="D94" s="83">
        <v>8.4498999999999998E-3</v>
      </c>
      <c r="E94" s="83">
        <v>8.0855000000000007E-3</v>
      </c>
      <c r="F94" s="83">
        <v>9.7537500000000003E-3</v>
      </c>
      <c r="G94" s="83">
        <v>8.4498999999999998E-3</v>
      </c>
      <c r="H94" s="83">
        <v>8.4444800000000007E-3</v>
      </c>
      <c r="I94" s="83">
        <v>9.8568500000000003E-3</v>
      </c>
      <c r="J94" s="83">
        <v>8.4498999999999998E-3</v>
      </c>
      <c r="K94" s="83">
        <v>8.0435300000000001E-3</v>
      </c>
      <c r="L94" s="83">
        <v>9.5064799999999994E-3</v>
      </c>
      <c r="M94" s="83">
        <v>8.4498999999999998E-3</v>
      </c>
      <c r="N94" s="83">
        <v>7.6645100000000002E-3</v>
      </c>
      <c r="O94" s="83">
        <v>9.6137900000000005E-3</v>
      </c>
      <c r="P94" s="83">
        <v>8.4498999999999998E-3</v>
      </c>
      <c r="Q94" s="83">
        <v>7.6111E-3</v>
      </c>
      <c r="R94" s="83">
        <v>9.6330900000000004E-3</v>
      </c>
      <c r="S94" s="83">
        <v>8.4498999999999998E-3</v>
      </c>
      <c r="T94" s="83">
        <v>7.8380900000000007E-3</v>
      </c>
      <c r="U94" s="83">
        <v>9.6756099999999994E-3</v>
      </c>
      <c r="V94" s="83">
        <v>8.4498999999999998E-3</v>
      </c>
      <c r="W94" s="83">
        <v>8.2542199999999996E-3</v>
      </c>
      <c r="X94" s="83">
        <v>9.8794E-3</v>
      </c>
      <c r="Y94" s="83">
        <v>8.4498999999999998E-3</v>
      </c>
      <c r="Z94" s="83">
        <v>7.4764599999999999E-3</v>
      </c>
      <c r="AA94" s="83">
        <v>9.6374200000000007E-3</v>
      </c>
      <c r="AB94" s="83">
        <v>8.4498999999999998E-3</v>
      </c>
      <c r="AC94" s="83">
        <v>7.6978100000000002E-3</v>
      </c>
      <c r="AD94" s="83">
        <v>9.7968399999999994E-3</v>
      </c>
      <c r="AE94" s="83">
        <v>8.4498999999999998E-3</v>
      </c>
      <c r="AF94" s="83">
        <v>7.20434E-3</v>
      </c>
      <c r="AG94" s="83">
        <v>9.9756299999999992E-3</v>
      </c>
      <c r="AH94" s="83">
        <v>8.4498999999999998E-3</v>
      </c>
      <c r="AI94" s="83">
        <v>7.3850900000000004E-3</v>
      </c>
      <c r="AJ94" s="83">
        <v>9.8785499999999998E-3</v>
      </c>
      <c r="AK94" s="83">
        <v>8.4498999999999998E-3</v>
      </c>
      <c r="AL94" s="83">
        <v>7.8106599999999997E-3</v>
      </c>
      <c r="AM94" s="83">
        <v>9.9532500000000003E-3</v>
      </c>
      <c r="AN94" s="83">
        <v>8.4498999999999998E-3</v>
      </c>
      <c r="AO94" s="83">
        <v>6.9611100000000004E-3</v>
      </c>
      <c r="AP94" s="83">
        <v>9.6319100000000005E-3</v>
      </c>
      <c r="AQ94" s="83">
        <v>8.4498999999999998E-3</v>
      </c>
      <c r="AR94" s="83">
        <v>7.5806700000000003E-3</v>
      </c>
      <c r="AS94" s="83">
        <v>9.8506600000000007E-3</v>
      </c>
      <c r="AT94" s="83">
        <v>8.4498999999999998E-3</v>
      </c>
      <c r="AU94" s="83">
        <v>7.3265200000000004E-3</v>
      </c>
      <c r="AV94" s="83">
        <v>9.8695399999999996E-3</v>
      </c>
      <c r="AW94" s="83">
        <v>8.4498999999999998E-3</v>
      </c>
      <c r="AX94" s="83">
        <v>7.4157600000000004E-3</v>
      </c>
      <c r="AY94" s="83">
        <v>1.0086299999999999E-2</v>
      </c>
      <c r="AZ94" s="83">
        <v>8.4498999999999998E-3</v>
      </c>
      <c r="BA94" s="83">
        <v>7.2061E-3</v>
      </c>
      <c r="BB94" s="83">
        <v>9.9518999999999996E-3</v>
      </c>
      <c r="BC94" s="83">
        <v>8.4498999999999998E-3</v>
      </c>
      <c r="BD94" s="83">
        <v>6.5224599999999999E-3</v>
      </c>
      <c r="BE94" s="83">
        <v>9.7225200000000001E-3</v>
      </c>
      <c r="BF94" s="83">
        <v>8.4498999999999998E-3</v>
      </c>
      <c r="BG94" s="83">
        <v>6.53967E-3</v>
      </c>
      <c r="BH94" s="83">
        <v>9.8605600000000009E-3</v>
      </c>
      <c r="BI94" s="83">
        <v>8.4498999999999998E-3</v>
      </c>
      <c r="BJ94" s="83">
        <v>6.1341099999999999E-3</v>
      </c>
      <c r="BK94" s="83">
        <v>9.8363900000000004E-3</v>
      </c>
      <c r="BL94" s="83">
        <v>8.4498999999999998E-3</v>
      </c>
      <c r="BM94" s="83">
        <v>6.1315900000000001E-3</v>
      </c>
      <c r="BN94" s="83">
        <v>9.6926600000000005E-3</v>
      </c>
      <c r="BO94" s="83">
        <v>8.4498999999999998E-3</v>
      </c>
      <c r="BP94" s="83">
        <v>6.7107599999999996E-3</v>
      </c>
      <c r="BQ94" s="83">
        <v>9.8720200000000004E-3</v>
      </c>
      <c r="BR94" s="83">
        <v>8.4498999999999998E-3</v>
      </c>
      <c r="BS94" s="83">
        <v>5.8836699999999997E-3</v>
      </c>
      <c r="BT94" s="83">
        <v>1.0008700000000001E-2</v>
      </c>
      <c r="BU94" s="83">
        <v>8.4498999999999998E-3</v>
      </c>
      <c r="BV94" s="83">
        <v>5.75349E-3</v>
      </c>
      <c r="BW94" s="83">
        <v>9.6793999999999995E-3</v>
      </c>
      <c r="BX94" s="83">
        <v>8.4498999999999998E-3</v>
      </c>
      <c r="BY94" s="83">
        <v>5.9430000000000004E-3</v>
      </c>
      <c r="BZ94" s="83">
        <v>9.9966599999999992E-3</v>
      </c>
      <c r="CA94" s="83">
        <v>8.4498999999999998E-3</v>
      </c>
      <c r="CB94" s="83">
        <v>5.7694599999999997E-3</v>
      </c>
      <c r="CC94" s="83">
        <v>9.7669000000000002E-3</v>
      </c>
      <c r="CD94" s="83">
        <v>8.4498999999999998E-3</v>
      </c>
      <c r="CE94" s="83">
        <v>5.0330699999999997E-3</v>
      </c>
      <c r="CF94" s="83">
        <v>9.6922199999999997E-3</v>
      </c>
      <c r="CG94" s="83">
        <v>8.4498999999999998E-3</v>
      </c>
      <c r="CH94" s="83">
        <v>4.8496399999999997E-3</v>
      </c>
      <c r="CI94" s="83">
        <v>9.8724999999999993E-3</v>
      </c>
      <c r="CJ94" s="83">
        <v>8.4498999999999998E-3</v>
      </c>
      <c r="CK94" s="83">
        <v>5.49732E-3</v>
      </c>
      <c r="CL94" s="83">
        <v>9.7089600000000009E-3</v>
      </c>
      <c r="CM94" s="83">
        <v>8.4498999999999998E-3</v>
      </c>
      <c r="CN94" s="83">
        <v>5.2767300000000003E-3</v>
      </c>
      <c r="CO94" s="83">
        <v>9.6154499999999993E-3</v>
      </c>
      <c r="CP94" s="83">
        <v>8.4498999999999998E-3</v>
      </c>
      <c r="CQ94" s="83">
        <v>5.3450299999999997E-3</v>
      </c>
      <c r="CR94" s="83">
        <v>9.6646500000000003E-3</v>
      </c>
      <c r="CS94" s="83">
        <v>8.4498999999999998E-3</v>
      </c>
      <c r="CT94" s="83">
        <v>4.8283099999999997E-3</v>
      </c>
      <c r="CU94" s="83">
        <v>9.7212099999999992E-3</v>
      </c>
      <c r="CV94" s="83">
        <v>8.4498999999999998E-3</v>
      </c>
      <c r="CW94" s="83">
        <v>4.97797E-3</v>
      </c>
      <c r="CX94" s="83">
        <v>9.7413099999999996E-3</v>
      </c>
      <c r="CY94" s="83">
        <v>8.4498999999999998E-3</v>
      </c>
      <c r="CZ94" s="83">
        <v>4.5748799999999999E-3</v>
      </c>
      <c r="DA94" s="83">
        <v>9.6374500000000005E-3</v>
      </c>
    </row>
    <row r="95" spans="1:105" x14ac:dyDescent="0.2">
      <c r="A95" s="83">
        <v>8.5498999999999992E-3</v>
      </c>
      <c r="B95" s="83">
        <v>7.4176099999999998E-3</v>
      </c>
      <c r="C95" s="83">
        <v>9.1620799999999995E-3</v>
      </c>
      <c r="D95" s="83">
        <v>8.5498999999999992E-3</v>
      </c>
      <c r="E95" s="83">
        <v>7.6597100000000001E-3</v>
      </c>
      <c r="F95" s="83">
        <v>9.2986700000000002E-3</v>
      </c>
      <c r="G95" s="83">
        <v>8.5498999999999992E-3</v>
      </c>
      <c r="H95" s="83">
        <v>7.5987800000000003E-3</v>
      </c>
      <c r="I95" s="83">
        <v>9.3968899999999998E-3</v>
      </c>
      <c r="J95" s="83">
        <v>8.5498999999999992E-3</v>
      </c>
      <c r="K95" s="83">
        <v>7.3814199999999996E-3</v>
      </c>
      <c r="L95" s="83">
        <v>9.0279599999999998E-3</v>
      </c>
      <c r="M95" s="83">
        <v>8.5498999999999992E-3</v>
      </c>
      <c r="N95" s="83">
        <v>7.2895099999999999E-3</v>
      </c>
      <c r="O95" s="83">
        <v>9.1675000000000003E-3</v>
      </c>
      <c r="P95" s="83">
        <v>8.5498999999999992E-3</v>
      </c>
      <c r="Q95" s="83">
        <v>6.8454700000000002E-3</v>
      </c>
      <c r="R95" s="83">
        <v>9.1838800000000002E-3</v>
      </c>
      <c r="S95" s="83">
        <v>8.5498999999999992E-3</v>
      </c>
      <c r="T95" s="83">
        <v>7.2287200000000001E-3</v>
      </c>
      <c r="U95" s="83">
        <v>9.2146699999999995E-3</v>
      </c>
      <c r="V95" s="83">
        <v>8.5498999999999992E-3</v>
      </c>
      <c r="W95" s="83">
        <v>7.7893800000000003E-3</v>
      </c>
      <c r="X95" s="83">
        <v>9.4194399999999994E-3</v>
      </c>
      <c r="Y95" s="83">
        <v>8.5498999999999992E-3</v>
      </c>
      <c r="Z95" s="83">
        <v>7.37099E-3</v>
      </c>
      <c r="AA95" s="83">
        <v>9.1891799999999999E-3</v>
      </c>
      <c r="AB95" s="83">
        <v>8.5498999999999992E-3</v>
      </c>
      <c r="AC95" s="83">
        <v>7.2915599999999999E-3</v>
      </c>
      <c r="AD95" s="83">
        <v>9.3378599999999999E-3</v>
      </c>
      <c r="AE95" s="83">
        <v>8.5498999999999992E-3</v>
      </c>
      <c r="AF95" s="83">
        <v>6.9699599999999999E-3</v>
      </c>
      <c r="AG95" s="83">
        <v>9.4902800000000002E-3</v>
      </c>
      <c r="AH95" s="83">
        <v>8.5498999999999992E-3</v>
      </c>
      <c r="AI95" s="83">
        <v>6.9182899999999997E-3</v>
      </c>
      <c r="AJ95" s="83">
        <v>9.4195700000000004E-3</v>
      </c>
      <c r="AK95" s="83">
        <v>8.5498999999999992E-3</v>
      </c>
      <c r="AL95" s="83">
        <v>7.0919099999999999E-3</v>
      </c>
      <c r="AM95" s="83">
        <v>9.4718000000000007E-3</v>
      </c>
      <c r="AN95" s="83">
        <v>8.5498999999999992E-3</v>
      </c>
      <c r="AO95" s="83">
        <v>7.0743999999999998E-3</v>
      </c>
      <c r="AP95" s="83">
        <v>9.1573000000000002E-3</v>
      </c>
      <c r="AQ95" s="83">
        <v>8.5498999999999992E-3</v>
      </c>
      <c r="AR95" s="83">
        <v>6.9673900000000004E-3</v>
      </c>
      <c r="AS95" s="83">
        <v>9.3682399999999999E-3</v>
      </c>
      <c r="AT95" s="83">
        <v>8.5498999999999992E-3</v>
      </c>
      <c r="AU95" s="83">
        <v>6.3558199999999999E-3</v>
      </c>
      <c r="AV95" s="83">
        <v>9.4261799999999993E-3</v>
      </c>
      <c r="AW95" s="83">
        <v>8.5498999999999992E-3</v>
      </c>
      <c r="AX95" s="83">
        <v>6.9099000000000001E-3</v>
      </c>
      <c r="AY95" s="83">
        <v>9.6194599999999998E-3</v>
      </c>
      <c r="AZ95" s="83">
        <v>8.5498999999999992E-3</v>
      </c>
      <c r="BA95" s="83">
        <v>6.8428100000000004E-3</v>
      </c>
      <c r="BB95" s="83">
        <v>9.4792499999999998E-3</v>
      </c>
      <c r="BC95" s="83">
        <v>8.5498999999999992E-3</v>
      </c>
      <c r="BD95" s="83">
        <v>6.2665999999999998E-3</v>
      </c>
      <c r="BE95" s="83">
        <v>9.2586500000000002E-3</v>
      </c>
      <c r="BF95" s="83">
        <v>8.5498999999999992E-3</v>
      </c>
      <c r="BG95" s="83">
        <v>6.2427999999999997E-3</v>
      </c>
      <c r="BH95" s="83">
        <v>9.3888800000000005E-3</v>
      </c>
      <c r="BI95" s="83">
        <v>8.5498999999999992E-3</v>
      </c>
      <c r="BJ95" s="83">
        <v>5.8860700000000002E-3</v>
      </c>
      <c r="BK95" s="83">
        <v>9.3656899999999994E-3</v>
      </c>
      <c r="BL95" s="83">
        <v>8.5498999999999992E-3</v>
      </c>
      <c r="BM95" s="83">
        <v>5.7741700000000003E-3</v>
      </c>
      <c r="BN95" s="83">
        <v>9.2434400000000003E-3</v>
      </c>
      <c r="BO95" s="83">
        <v>8.5498999999999992E-3</v>
      </c>
      <c r="BP95" s="83">
        <v>6.1072499999999998E-3</v>
      </c>
      <c r="BQ95" s="83">
        <v>9.4062E-3</v>
      </c>
      <c r="BR95" s="83">
        <v>8.5498999999999992E-3</v>
      </c>
      <c r="BS95" s="83">
        <v>5.7781999999999998E-3</v>
      </c>
      <c r="BT95" s="83">
        <v>9.5312000000000001E-3</v>
      </c>
      <c r="BU95" s="83">
        <v>8.5498999999999992E-3</v>
      </c>
      <c r="BV95" s="83">
        <v>5.2280900000000003E-3</v>
      </c>
      <c r="BW95" s="83">
        <v>9.2223700000000006E-3</v>
      </c>
      <c r="BX95" s="83">
        <v>8.5498999999999992E-3</v>
      </c>
      <c r="BY95" s="83">
        <v>5.4176099999999998E-3</v>
      </c>
      <c r="BZ95" s="83">
        <v>9.5240099999999994E-3</v>
      </c>
      <c r="CA95" s="83">
        <v>8.5498999999999992E-3</v>
      </c>
      <c r="CB95" s="83">
        <v>5.4921099999999997E-3</v>
      </c>
      <c r="CC95" s="83">
        <v>9.2942500000000004E-3</v>
      </c>
      <c r="CD95" s="83">
        <v>8.5498999999999992E-3</v>
      </c>
      <c r="CE95" s="83">
        <v>4.8768199999999996E-3</v>
      </c>
      <c r="CF95" s="83">
        <v>9.2371399999999996E-3</v>
      </c>
      <c r="CG95" s="83">
        <v>8.5498999999999992E-3</v>
      </c>
      <c r="CH95" s="83">
        <v>4.8496399999999997E-3</v>
      </c>
      <c r="CI95" s="83">
        <v>9.4115599999999994E-3</v>
      </c>
      <c r="CJ95" s="83">
        <v>8.5498999999999992E-3</v>
      </c>
      <c r="CK95" s="83">
        <v>4.5617699999999997E-3</v>
      </c>
      <c r="CL95" s="83">
        <v>9.2480300000000008E-3</v>
      </c>
      <c r="CM95" s="83">
        <v>8.5498999999999992E-3</v>
      </c>
      <c r="CN95" s="83">
        <v>4.7532900000000003E-3</v>
      </c>
      <c r="CO95" s="83">
        <v>9.1584200000000004E-3</v>
      </c>
      <c r="CP95" s="83">
        <v>8.5498999999999992E-3</v>
      </c>
      <c r="CQ95" s="83">
        <v>4.5520600000000001E-3</v>
      </c>
      <c r="CR95" s="83">
        <v>9.2115200000000008E-3</v>
      </c>
      <c r="CS95" s="83">
        <v>8.5498999999999992E-3</v>
      </c>
      <c r="CT95" s="83">
        <v>4.4513599999999997E-3</v>
      </c>
      <c r="CU95" s="83">
        <v>9.2905499999999999E-3</v>
      </c>
      <c r="CV95" s="83">
        <v>8.5498999999999992E-3</v>
      </c>
      <c r="CW95" s="83">
        <v>4.5658599999999997E-3</v>
      </c>
      <c r="CX95" s="83">
        <v>9.2823200000000002E-3</v>
      </c>
      <c r="CY95" s="83">
        <v>8.5498999999999992E-3</v>
      </c>
      <c r="CZ95" s="83">
        <v>4.2448E-3</v>
      </c>
      <c r="DA95" s="83">
        <v>9.1716300000000001E-3</v>
      </c>
    </row>
    <row r="96" spans="1:105" x14ac:dyDescent="0.2">
      <c r="A96" s="83">
        <v>8.6499000000000003E-3</v>
      </c>
      <c r="B96" s="83">
        <v>7.4508200000000004E-3</v>
      </c>
      <c r="C96" s="83">
        <v>8.7470399999999993E-3</v>
      </c>
      <c r="D96" s="83">
        <v>8.6499000000000003E-3</v>
      </c>
      <c r="E96" s="83">
        <v>6.6675299999999996E-3</v>
      </c>
      <c r="F96" s="83">
        <v>8.8367600000000008E-3</v>
      </c>
      <c r="G96" s="83">
        <v>8.6499000000000003E-3</v>
      </c>
      <c r="H96" s="83">
        <v>7.3097199999999996E-3</v>
      </c>
      <c r="I96" s="83">
        <v>8.9349700000000004E-3</v>
      </c>
      <c r="J96" s="83">
        <v>8.6499000000000003E-3</v>
      </c>
      <c r="K96" s="83">
        <v>7.01814E-3</v>
      </c>
      <c r="L96" s="83">
        <v>8.5992499999999993E-3</v>
      </c>
      <c r="M96" s="83">
        <v>8.6499000000000003E-3</v>
      </c>
      <c r="N96" s="83">
        <v>6.77584E-3</v>
      </c>
      <c r="O96" s="83">
        <v>8.7514900000000007E-3</v>
      </c>
      <c r="P96" s="83">
        <v>8.6499000000000003E-3</v>
      </c>
      <c r="Q96" s="83">
        <v>6.81031E-3</v>
      </c>
      <c r="R96" s="83">
        <v>8.7454000000000004E-3</v>
      </c>
      <c r="S96" s="83">
        <v>8.6499000000000003E-3</v>
      </c>
      <c r="T96" s="83">
        <v>6.8810599999999996E-3</v>
      </c>
      <c r="U96" s="83">
        <v>8.7801000000000008E-3</v>
      </c>
      <c r="V96" s="83">
        <v>8.6499000000000003E-3</v>
      </c>
      <c r="W96" s="83">
        <v>7.3792199999999997E-3</v>
      </c>
      <c r="X96" s="83">
        <v>8.9741300000000003E-3</v>
      </c>
      <c r="Y96" s="83">
        <v>8.6499000000000003E-3</v>
      </c>
      <c r="Z96" s="83">
        <v>6.8612300000000003E-3</v>
      </c>
      <c r="AA96" s="83">
        <v>8.7526500000000007E-3</v>
      </c>
      <c r="AB96" s="83">
        <v>8.6499000000000003E-3</v>
      </c>
      <c r="AC96" s="83">
        <v>6.8521099999999998E-3</v>
      </c>
      <c r="AD96" s="83">
        <v>8.8876600000000004E-3</v>
      </c>
      <c r="AE96" s="83">
        <v>8.6499000000000003E-3</v>
      </c>
      <c r="AF96" s="83">
        <v>6.6184E-3</v>
      </c>
      <c r="AG96" s="83">
        <v>9.0381300000000001E-3</v>
      </c>
      <c r="AH96" s="83">
        <v>8.6499000000000003E-3</v>
      </c>
      <c r="AI96" s="83">
        <v>6.7659499999999997E-3</v>
      </c>
      <c r="AJ96" s="83">
        <v>8.9683999999999996E-3</v>
      </c>
      <c r="AK96" s="83">
        <v>8.6499000000000003E-3</v>
      </c>
      <c r="AL96" s="83">
        <v>6.4395700000000004E-3</v>
      </c>
      <c r="AM96" s="83">
        <v>9.0284400000000004E-3</v>
      </c>
      <c r="AN96" s="83">
        <v>8.6499000000000003E-3</v>
      </c>
      <c r="AO96" s="83">
        <v>6.4728299999999997E-3</v>
      </c>
      <c r="AP96" s="83">
        <v>8.7481199999999999E-3</v>
      </c>
      <c r="AQ96" s="83">
        <v>8.6499000000000003E-3</v>
      </c>
      <c r="AR96" s="83">
        <v>6.4908300000000004E-3</v>
      </c>
      <c r="AS96" s="83">
        <v>8.9121900000000004E-3</v>
      </c>
      <c r="AT96" s="83">
        <v>8.6499000000000003E-3</v>
      </c>
      <c r="AU96" s="83">
        <v>6.0804199999999996E-3</v>
      </c>
      <c r="AV96" s="83">
        <v>8.9701299999999998E-3</v>
      </c>
      <c r="AW96" s="83">
        <v>8.6499000000000003E-3</v>
      </c>
      <c r="AX96" s="83">
        <v>6.5388099999999999E-3</v>
      </c>
      <c r="AY96" s="83">
        <v>9.1594999999999992E-3</v>
      </c>
      <c r="AZ96" s="83">
        <v>8.6499000000000003E-3</v>
      </c>
      <c r="BA96" s="83">
        <v>6.0732800000000003E-3</v>
      </c>
      <c r="BB96" s="83">
        <v>9.0144000000000005E-3</v>
      </c>
      <c r="BC96" s="83">
        <v>8.6499000000000003E-3</v>
      </c>
      <c r="BD96" s="83">
        <v>5.4814499999999997E-3</v>
      </c>
      <c r="BE96" s="83">
        <v>8.8299399999999997E-3</v>
      </c>
      <c r="BF96" s="83">
        <v>8.6499000000000003E-3</v>
      </c>
      <c r="BG96" s="83">
        <v>6.0591999999999998E-3</v>
      </c>
      <c r="BH96" s="83">
        <v>8.95431E-3</v>
      </c>
      <c r="BI96" s="83">
        <v>8.6499000000000003E-3</v>
      </c>
      <c r="BJ96" s="83">
        <v>5.5540399999999997E-3</v>
      </c>
      <c r="BK96" s="83">
        <v>8.9281900000000008E-3</v>
      </c>
      <c r="BL96" s="83">
        <v>8.6499000000000003E-3</v>
      </c>
      <c r="BM96" s="83">
        <v>5.4265099999999998E-3</v>
      </c>
      <c r="BN96" s="83">
        <v>8.8166800000000004E-3</v>
      </c>
      <c r="BO96" s="83">
        <v>8.6499000000000003E-3</v>
      </c>
      <c r="BP96" s="83">
        <v>5.7283400000000002E-3</v>
      </c>
      <c r="BQ96" s="83">
        <v>8.97651E-3</v>
      </c>
      <c r="BR96" s="83">
        <v>8.6499000000000003E-3</v>
      </c>
      <c r="BS96" s="83">
        <v>5.6160899999999998E-3</v>
      </c>
      <c r="BT96" s="83">
        <v>9.0927200000000003E-3</v>
      </c>
      <c r="BU96" s="83">
        <v>8.6499000000000003E-3</v>
      </c>
      <c r="BV96" s="83">
        <v>4.8667700000000003E-3</v>
      </c>
      <c r="BW96" s="83">
        <v>8.8004899999999994E-3</v>
      </c>
      <c r="BX96" s="83">
        <v>8.6499000000000003E-3</v>
      </c>
      <c r="BY96" s="83">
        <v>5.25941E-3</v>
      </c>
      <c r="BZ96" s="83">
        <v>9.0699100000000005E-3</v>
      </c>
      <c r="CA96" s="83">
        <v>8.6499000000000003E-3</v>
      </c>
      <c r="CB96" s="83">
        <v>5.2069600000000001E-3</v>
      </c>
      <c r="CC96" s="83">
        <v>8.8528400000000007E-3</v>
      </c>
      <c r="CD96" s="83">
        <v>8.6499000000000003E-3</v>
      </c>
      <c r="CE96" s="83">
        <v>4.2889299999999998E-3</v>
      </c>
      <c r="CF96" s="83">
        <v>8.8006200000000003E-3</v>
      </c>
      <c r="CG96" s="83">
        <v>8.6499000000000003E-3</v>
      </c>
      <c r="CH96" s="83">
        <v>4.6269900000000001E-3</v>
      </c>
      <c r="CI96" s="83">
        <v>8.9750400000000001E-3</v>
      </c>
      <c r="CJ96" s="83">
        <v>8.6499000000000003E-3</v>
      </c>
      <c r="CK96" s="83">
        <v>4.5246599999999998E-3</v>
      </c>
      <c r="CL96" s="83">
        <v>8.8144299999999998E-3</v>
      </c>
      <c r="CM96" s="83">
        <v>8.6499000000000003E-3</v>
      </c>
      <c r="CN96" s="83">
        <v>4.4778999999999999E-3</v>
      </c>
      <c r="CO96" s="83">
        <v>8.7433800000000002E-3</v>
      </c>
      <c r="CP96" s="83">
        <v>8.6499000000000003E-3</v>
      </c>
      <c r="CQ96" s="83">
        <v>4.0950300000000004E-3</v>
      </c>
      <c r="CR96" s="83">
        <v>8.7906200000000007E-3</v>
      </c>
      <c r="CS96" s="83">
        <v>8.6499000000000003E-3</v>
      </c>
      <c r="CT96" s="83">
        <v>4.4064300000000002E-3</v>
      </c>
      <c r="CU96" s="83">
        <v>8.8383999999999997E-3</v>
      </c>
      <c r="CV96" s="83">
        <v>8.6499000000000003E-3</v>
      </c>
      <c r="CW96" s="83">
        <v>4.2650800000000001E-3</v>
      </c>
      <c r="CX96" s="83">
        <v>8.8428699999999992E-3</v>
      </c>
      <c r="CY96" s="83">
        <v>8.6499000000000003E-3</v>
      </c>
      <c r="CZ96" s="83">
        <v>4.1725399999999998E-3</v>
      </c>
      <c r="DA96" s="83">
        <v>8.7399899999999996E-3</v>
      </c>
    </row>
    <row r="97" spans="1:105" x14ac:dyDescent="0.2">
      <c r="A97" s="83">
        <v>8.7498999999999997E-3</v>
      </c>
      <c r="B97" s="83">
        <v>6.7906599999999996E-3</v>
      </c>
      <c r="C97" s="83">
        <v>8.3114899999999995E-3</v>
      </c>
      <c r="D97" s="83">
        <v>8.7498999999999997E-3</v>
      </c>
      <c r="E97" s="83">
        <v>6.5776799999999998E-3</v>
      </c>
      <c r="F97" s="83">
        <v>8.4393000000000003E-3</v>
      </c>
      <c r="G97" s="83">
        <v>8.7498999999999997E-3</v>
      </c>
      <c r="H97" s="83">
        <v>6.6847199999999999E-3</v>
      </c>
      <c r="I97" s="83">
        <v>8.5140800000000003E-3</v>
      </c>
      <c r="J97" s="83">
        <v>8.7498999999999997E-3</v>
      </c>
      <c r="K97" s="83">
        <v>6.3208700000000001E-3</v>
      </c>
      <c r="L97" s="83">
        <v>8.2164400000000002E-3</v>
      </c>
      <c r="M97" s="83">
        <v>8.7498999999999997E-3</v>
      </c>
      <c r="N97" s="83">
        <v>6.2387299999999996E-3</v>
      </c>
      <c r="O97" s="83">
        <v>8.3393800000000004E-3</v>
      </c>
      <c r="P97" s="83">
        <v>8.7498999999999997E-3</v>
      </c>
      <c r="Q97" s="83">
        <v>6.0993799999999997E-3</v>
      </c>
      <c r="R97" s="83">
        <v>8.3430599999999994E-3</v>
      </c>
      <c r="S97" s="83">
        <v>8.7498999999999997E-3</v>
      </c>
      <c r="T97" s="83">
        <v>6.1212999999999997E-3</v>
      </c>
      <c r="U97" s="83">
        <v>8.3797100000000003E-3</v>
      </c>
      <c r="V97" s="83">
        <v>8.7498999999999997E-3</v>
      </c>
      <c r="W97" s="83">
        <v>6.7659399999999998E-3</v>
      </c>
      <c r="X97" s="83">
        <v>8.5512799999999996E-3</v>
      </c>
      <c r="Y97" s="83">
        <v>8.7498999999999997E-3</v>
      </c>
      <c r="Z97" s="83">
        <v>6.3631800000000004E-3</v>
      </c>
      <c r="AA97" s="83">
        <v>8.3376200000000004E-3</v>
      </c>
      <c r="AB97" s="83">
        <v>8.7498999999999997E-3</v>
      </c>
      <c r="AC97" s="83">
        <v>6.2603099999999998E-3</v>
      </c>
      <c r="AD97" s="83">
        <v>8.4599299999999992E-3</v>
      </c>
      <c r="AE97" s="83">
        <v>8.7498999999999997E-3</v>
      </c>
      <c r="AF97" s="83">
        <v>6.3625399999999999E-3</v>
      </c>
      <c r="AG97" s="83">
        <v>8.6211399999999994E-3</v>
      </c>
      <c r="AH97" s="83">
        <v>8.7498999999999997E-3</v>
      </c>
      <c r="AI97" s="83">
        <v>6.58626E-3</v>
      </c>
      <c r="AJ97" s="83">
        <v>8.5474999999999995E-3</v>
      </c>
      <c r="AK97" s="83">
        <v>8.7498999999999997E-3</v>
      </c>
      <c r="AL97" s="83">
        <v>6.2989400000000003E-3</v>
      </c>
      <c r="AM97" s="83">
        <v>8.6046100000000004E-3</v>
      </c>
      <c r="AN97" s="83">
        <v>8.7498999999999997E-3</v>
      </c>
      <c r="AO97" s="83">
        <v>5.6036899999999997E-3</v>
      </c>
      <c r="AP97" s="83">
        <v>8.3252699999999992E-3</v>
      </c>
      <c r="AQ97" s="83">
        <v>8.7498999999999997E-3</v>
      </c>
      <c r="AR97" s="83">
        <v>6.1939500000000002E-3</v>
      </c>
      <c r="AS97" s="83">
        <v>8.5147299999999999E-3</v>
      </c>
      <c r="AT97" s="83">
        <v>8.7498999999999997E-3</v>
      </c>
      <c r="AU97" s="83">
        <v>5.8773000000000002E-3</v>
      </c>
      <c r="AV97" s="83">
        <v>8.5638799999999994E-3</v>
      </c>
      <c r="AW97" s="83">
        <v>8.7498999999999997E-3</v>
      </c>
      <c r="AX97" s="83">
        <v>6.0895899999999998E-3</v>
      </c>
      <c r="AY97" s="83">
        <v>8.7376199999999998E-3</v>
      </c>
      <c r="AZ97" s="83">
        <v>8.7498999999999997E-3</v>
      </c>
      <c r="BA97" s="83">
        <v>6.0205500000000004E-3</v>
      </c>
      <c r="BB97" s="83">
        <v>8.5974099999999998E-3</v>
      </c>
      <c r="BC97" s="83">
        <v>8.7498999999999997E-3</v>
      </c>
      <c r="BD97" s="83">
        <v>5.30176E-3</v>
      </c>
      <c r="BE97" s="83">
        <v>8.4119699999999995E-3</v>
      </c>
      <c r="BF97" s="83">
        <v>8.7498999999999997E-3</v>
      </c>
      <c r="BG97" s="83">
        <v>5.3658400000000002E-3</v>
      </c>
      <c r="BH97" s="83">
        <v>8.5148600000000008E-3</v>
      </c>
      <c r="BI97" s="83">
        <v>8.7498999999999997E-3</v>
      </c>
      <c r="BJ97" s="83">
        <v>5.4251300000000002E-3</v>
      </c>
      <c r="BK97" s="83">
        <v>8.4955699999999992E-3</v>
      </c>
      <c r="BL97" s="83">
        <v>8.7498999999999997E-3</v>
      </c>
      <c r="BM97" s="83">
        <v>5.1472100000000002E-3</v>
      </c>
      <c r="BN97" s="83">
        <v>8.3879699999999998E-3</v>
      </c>
      <c r="BO97" s="83">
        <v>8.7498999999999997E-3</v>
      </c>
      <c r="BP97" s="83">
        <v>5.1990400000000003E-3</v>
      </c>
      <c r="BQ97" s="83">
        <v>8.5204600000000005E-3</v>
      </c>
      <c r="BR97" s="83">
        <v>8.7498999999999997E-3</v>
      </c>
      <c r="BS97" s="83">
        <v>5.4090600000000003E-3</v>
      </c>
      <c r="BT97" s="83">
        <v>8.6552199999999999E-3</v>
      </c>
      <c r="BU97" s="83">
        <v>8.7498999999999997E-3</v>
      </c>
      <c r="BV97" s="83">
        <v>4.55427E-3</v>
      </c>
      <c r="BW97" s="83">
        <v>8.3805700000000004E-3</v>
      </c>
      <c r="BX97" s="83">
        <v>8.7498999999999997E-3</v>
      </c>
      <c r="BY97" s="83">
        <v>4.9781599999999997E-3</v>
      </c>
      <c r="BZ97" s="83">
        <v>8.6421699999999994E-3</v>
      </c>
      <c r="CA97" s="83">
        <v>8.7498999999999997E-3</v>
      </c>
      <c r="CB97" s="83">
        <v>5.1092999999999998E-3</v>
      </c>
      <c r="CC97" s="83">
        <v>8.4231500000000008E-3</v>
      </c>
      <c r="CD97" s="83">
        <v>8.7498999999999997E-3</v>
      </c>
      <c r="CE97" s="83">
        <v>4.5447899999999999E-3</v>
      </c>
      <c r="CF97" s="83">
        <v>8.3806999999999996E-3</v>
      </c>
      <c r="CG97" s="83">
        <v>8.7498999999999997E-3</v>
      </c>
      <c r="CH97" s="83">
        <v>4.0703500000000004E-3</v>
      </c>
      <c r="CI97" s="83">
        <v>8.5385099999999992E-3</v>
      </c>
      <c r="CJ97" s="83">
        <v>8.7498999999999997E-3</v>
      </c>
      <c r="CK97" s="83">
        <v>4.7336499999999998E-3</v>
      </c>
      <c r="CL97" s="83">
        <v>8.3945100000000009E-3</v>
      </c>
      <c r="CM97" s="83">
        <v>8.7498999999999997E-3</v>
      </c>
      <c r="CN97" s="83">
        <v>4.6595400000000002E-3</v>
      </c>
      <c r="CO97" s="83">
        <v>8.3302900000000006E-3</v>
      </c>
      <c r="CP97" s="83">
        <v>8.7498999999999997E-3</v>
      </c>
      <c r="CQ97" s="83">
        <v>3.87433E-3</v>
      </c>
      <c r="CR97" s="83">
        <v>8.3658199999999995E-3</v>
      </c>
      <c r="CS97" s="83">
        <v>8.7498999999999997E-3</v>
      </c>
      <c r="CT97" s="83">
        <v>4.4220600000000002E-3</v>
      </c>
      <c r="CU97" s="83">
        <v>8.4184800000000008E-3</v>
      </c>
      <c r="CV97" s="83">
        <v>8.7498999999999997E-3</v>
      </c>
      <c r="CW97" s="83">
        <v>4.1439800000000002E-3</v>
      </c>
      <c r="CX97" s="83">
        <v>8.4122099999999998E-3</v>
      </c>
      <c r="CY97" s="83">
        <v>8.7498999999999997E-3</v>
      </c>
      <c r="CZ97" s="83">
        <v>3.8268400000000002E-3</v>
      </c>
      <c r="DA97" s="83">
        <v>8.3308099999999993E-3</v>
      </c>
    </row>
    <row r="98" spans="1:105" x14ac:dyDescent="0.2">
      <c r="A98" s="83">
        <v>8.8499000000000008E-3</v>
      </c>
      <c r="B98" s="83">
        <v>6.4762099999999996E-3</v>
      </c>
      <c r="C98" s="83">
        <v>7.9296599999999998E-3</v>
      </c>
      <c r="D98" s="83">
        <v>8.8499000000000008E-3</v>
      </c>
      <c r="E98" s="83">
        <v>6.1655700000000004E-3</v>
      </c>
      <c r="F98" s="83">
        <v>8.0213300000000001E-3</v>
      </c>
      <c r="G98" s="83">
        <v>8.8499000000000008E-3</v>
      </c>
      <c r="H98" s="83">
        <v>6.4210400000000003E-3</v>
      </c>
      <c r="I98" s="83">
        <v>8.0961100000000001E-3</v>
      </c>
      <c r="J98" s="83">
        <v>8.8499000000000008E-3</v>
      </c>
      <c r="K98" s="83">
        <v>5.9751700000000001E-3</v>
      </c>
      <c r="L98" s="83">
        <v>7.8199500000000009E-3</v>
      </c>
      <c r="M98" s="83">
        <v>8.8499000000000008E-3</v>
      </c>
      <c r="N98" s="83">
        <v>6.0121699999999998E-3</v>
      </c>
      <c r="O98" s="83">
        <v>7.9370299999999994E-3</v>
      </c>
      <c r="P98" s="83">
        <v>8.8499000000000008E-3</v>
      </c>
      <c r="Q98" s="83">
        <v>5.94117E-3</v>
      </c>
      <c r="R98" s="83">
        <v>7.9387599999999996E-3</v>
      </c>
      <c r="S98" s="83">
        <v>8.8499000000000008E-3</v>
      </c>
      <c r="T98" s="83">
        <v>5.8361400000000001E-3</v>
      </c>
      <c r="U98" s="83">
        <v>7.9812700000000004E-3</v>
      </c>
      <c r="V98" s="83">
        <v>8.8499000000000008E-3</v>
      </c>
      <c r="W98" s="83">
        <v>6.13117E-3</v>
      </c>
      <c r="X98" s="83">
        <v>8.1342900000000006E-3</v>
      </c>
      <c r="Y98" s="83">
        <v>8.8499000000000008E-3</v>
      </c>
      <c r="Z98" s="83">
        <v>6.2518499999999998E-3</v>
      </c>
      <c r="AA98" s="83">
        <v>7.93723E-3</v>
      </c>
      <c r="AB98" s="83">
        <v>8.8499000000000008E-3</v>
      </c>
      <c r="AC98" s="83">
        <v>6.1353099999999997E-3</v>
      </c>
      <c r="AD98" s="83">
        <v>8.0566100000000005E-3</v>
      </c>
      <c r="AE98" s="83">
        <v>8.8499000000000008E-3</v>
      </c>
      <c r="AF98" s="83">
        <v>5.9641E-3</v>
      </c>
      <c r="AG98" s="83">
        <v>8.2021999999999998E-3</v>
      </c>
      <c r="AH98" s="83">
        <v>8.8499000000000008E-3</v>
      </c>
      <c r="AI98" s="83">
        <v>5.5569599999999997E-3</v>
      </c>
      <c r="AJ98" s="83">
        <v>8.1490599999999996E-3</v>
      </c>
      <c r="AK98" s="83">
        <v>8.8499000000000008E-3</v>
      </c>
      <c r="AL98" s="83">
        <v>6.0958200000000001E-3</v>
      </c>
      <c r="AM98" s="83">
        <v>8.2003200000000005E-3</v>
      </c>
      <c r="AN98" s="83">
        <v>8.8499000000000008E-3</v>
      </c>
      <c r="AO98" s="83">
        <v>5.24041E-3</v>
      </c>
      <c r="AP98" s="83">
        <v>7.9268299999999993E-3</v>
      </c>
      <c r="AQ98" s="83">
        <v>8.8499000000000008E-3</v>
      </c>
      <c r="AR98" s="83">
        <v>5.8658299999999998E-3</v>
      </c>
      <c r="AS98" s="83">
        <v>8.11629E-3</v>
      </c>
      <c r="AT98" s="83">
        <v>8.8499000000000008E-3</v>
      </c>
      <c r="AU98" s="83">
        <v>5.6839400000000002E-3</v>
      </c>
      <c r="AV98" s="83">
        <v>8.1517699999999992E-3</v>
      </c>
      <c r="AW98" s="83">
        <v>8.8499000000000008E-3</v>
      </c>
      <c r="AX98" s="83">
        <v>5.8063899999999998E-3</v>
      </c>
      <c r="AY98" s="83">
        <v>8.3128200000000003E-3</v>
      </c>
      <c r="AZ98" s="83">
        <v>8.8499000000000008E-3</v>
      </c>
      <c r="BA98" s="83">
        <v>5.2959399999999998E-3</v>
      </c>
      <c r="BB98" s="83">
        <v>8.1911599999999994E-3</v>
      </c>
      <c r="BC98" s="83">
        <v>8.8499000000000008E-3</v>
      </c>
      <c r="BD98" s="83">
        <v>5.2451199999999998E-3</v>
      </c>
      <c r="BE98" s="83">
        <v>8.0184200000000001E-3</v>
      </c>
      <c r="BF98" s="83">
        <v>8.8499000000000008E-3</v>
      </c>
      <c r="BG98" s="83">
        <v>4.7662399999999997E-3</v>
      </c>
      <c r="BH98" s="83">
        <v>8.1222800000000008E-3</v>
      </c>
      <c r="BI98" s="83">
        <v>8.8499000000000008E-3</v>
      </c>
      <c r="BJ98" s="83">
        <v>5.1184899999999998E-3</v>
      </c>
      <c r="BK98" s="83">
        <v>8.1137399999999995E-3</v>
      </c>
      <c r="BL98" s="83">
        <v>8.8499000000000008E-3</v>
      </c>
      <c r="BM98" s="83">
        <v>4.7253399999999997E-3</v>
      </c>
      <c r="BN98" s="83">
        <v>7.9895299999999999E-3</v>
      </c>
      <c r="BO98" s="83">
        <v>8.8499000000000008E-3</v>
      </c>
      <c r="BP98" s="83">
        <v>4.7146699999999998E-3</v>
      </c>
      <c r="BQ98" s="83">
        <v>8.1493599999999996E-3</v>
      </c>
      <c r="BR98" s="83">
        <v>8.8499000000000008E-3</v>
      </c>
      <c r="BS98" s="83">
        <v>4.4852299999999998E-3</v>
      </c>
      <c r="BT98" s="83">
        <v>8.2616700000000005E-3</v>
      </c>
      <c r="BU98" s="83">
        <v>8.8499000000000008E-3</v>
      </c>
      <c r="BV98" s="83">
        <v>4.2534900000000004E-3</v>
      </c>
      <c r="BW98" s="83">
        <v>7.9782299999999994E-3</v>
      </c>
      <c r="BX98" s="83">
        <v>8.8499000000000008E-3</v>
      </c>
      <c r="BY98" s="83">
        <v>4.4078499999999996E-3</v>
      </c>
      <c r="BZ98" s="83">
        <v>8.2320099999999997E-3</v>
      </c>
      <c r="CA98" s="83">
        <v>8.8499000000000008E-3</v>
      </c>
      <c r="CB98" s="83">
        <v>4.3846900000000001E-3</v>
      </c>
      <c r="CC98" s="83">
        <v>8.0256900000000003E-3</v>
      </c>
      <c r="CD98" s="83">
        <v>8.8499000000000008E-3</v>
      </c>
      <c r="CE98" s="83">
        <v>4.0486899999999998E-3</v>
      </c>
      <c r="CF98" s="83">
        <v>7.9969099999999994E-3</v>
      </c>
      <c r="CG98" s="83">
        <v>8.8499000000000008E-3</v>
      </c>
      <c r="CH98" s="83">
        <v>4.2812800000000002E-3</v>
      </c>
      <c r="CI98" s="83">
        <v>8.1283599999999994E-3</v>
      </c>
      <c r="CJ98" s="83">
        <v>8.8499000000000008E-3</v>
      </c>
      <c r="CK98" s="83">
        <v>4.0871600000000003E-3</v>
      </c>
      <c r="CL98" s="83">
        <v>8.0029100000000002E-3</v>
      </c>
      <c r="CM98" s="83">
        <v>8.8499000000000008E-3</v>
      </c>
      <c r="CN98" s="83">
        <v>3.8372800000000002E-3</v>
      </c>
      <c r="CO98" s="83">
        <v>7.9123200000000005E-3</v>
      </c>
      <c r="CP98" s="83">
        <v>8.8499000000000008E-3</v>
      </c>
      <c r="CQ98" s="83">
        <v>3.8606500000000002E-3</v>
      </c>
      <c r="CR98" s="83">
        <v>7.9683600000000007E-3</v>
      </c>
      <c r="CS98" s="83">
        <v>8.8499000000000008E-3</v>
      </c>
      <c r="CT98" s="83">
        <v>3.7130700000000002E-3</v>
      </c>
      <c r="CU98" s="83">
        <v>8.0268800000000001E-3</v>
      </c>
      <c r="CV98" s="83">
        <v>8.8499000000000008E-3</v>
      </c>
      <c r="CW98" s="83">
        <v>3.8685899999999999E-3</v>
      </c>
      <c r="CX98" s="83">
        <v>8.0098600000000006E-3</v>
      </c>
      <c r="CY98" s="83">
        <v>8.8499000000000008E-3</v>
      </c>
      <c r="CZ98" s="83">
        <v>3.6627700000000001E-3</v>
      </c>
      <c r="DA98" s="83">
        <v>7.9343299999999999E-3</v>
      </c>
    </row>
    <row r="99" spans="1:105" x14ac:dyDescent="0.2">
      <c r="A99" s="83">
        <v>8.9499000000000002E-3</v>
      </c>
      <c r="B99" s="83">
        <v>6.0641000000000002E-3</v>
      </c>
      <c r="C99" s="83">
        <v>7.5360999999999996E-3</v>
      </c>
      <c r="D99" s="83">
        <v>8.9499000000000002E-3</v>
      </c>
      <c r="E99" s="83">
        <v>5.81206E-3</v>
      </c>
      <c r="F99" s="83">
        <v>7.6316800000000001E-3</v>
      </c>
      <c r="G99" s="83">
        <v>8.9499000000000002E-3</v>
      </c>
      <c r="H99" s="83">
        <v>5.8819800000000002E-3</v>
      </c>
      <c r="I99" s="83">
        <v>7.7220800000000001E-3</v>
      </c>
      <c r="J99" s="83">
        <v>8.9499000000000002E-3</v>
      </c>
      <c r="K99" s="83">
        <v>5.7271199999999996E-3</v>
      </c>
      <c r="L99" s="83">
        <v>7.42445E-3</v>
      </c>
      <c r="M99" s="83">
        <v>8.9499000000000002E-3</v>
      </c>
      <c r="N99" s="83">
        <v>5.5063100000000004E-3</v>
      </c>
      <c r="O99" s="83">
        <v>7.5386000000000003E-3</v>
      </c>
      <c r="P99" s="83">
        <v>8.9499000000000002E-3</v>
      </c>
      <c r="Q99" s="83">
        <v>5.7204700000000001E-3</v>
      </c>
      <c r="R99" s="83">
        <v>7.5549700000000003E-3</v>
      </c>
      <c r="S99" s="83">
        <v>8.9499000000000002E-3</v>
      </c>
      <c r="T99" s="83">
        <v>5.3459099999999997E-3</v>
      </c>
      <c r="U99" s="83">
        <v>7.5916200000000003E-3</v>
      </c>
      <c r="V99" s="83">
        <v>8.9499000000000002E-3</v>
      </c>
      <c r="W99" s="83">
        <v>5.8128099999999999E-3</v>
      </c>
      <c r="X99" s="83">
        <v>7.7651500000000002E-3</v>
      </c>
      <c r="Y99" s="83">
        <v>8.9499000000000002E-3</v>
      </c>
      <c r="Z99" s="83">
        <v>5.58583E-3</v>
      </c>
      <c r="AA99" s="83">
        <v>7.5368299999999996E-3</v>
      </c>
      <c r="AB99" s="83">
        <v>8.9499000000000002E-3</v>
      </c>
      <c r="AC99" s="83">
        <v>5.7700700000000004E-3</v>
      </c>
      <c r="AD99" s="83">
        <v>7.6923499999999997E-3</v>
      </c>
      <c r="AE99" s="83">
        <v>8.9499000000000002E-3</v>
      </c>
      <c r="AF99" s="83">
        <v>5.4269899999999996E-3</v>
      </c>
      <c r="AG99" s="83">
        <v>7.8066899999999998E-3</v>
      </c>
      <c r="AH99" s="83">
        <v>8.9499000000000002E-3</v>
      </c>
      <c r="AI99" s="83">
        <v>5.66439E-3</v>
      </c>
      <c r="AJ99" s="83">
        <v>7.7740600000000002E-3</v>
      </c>
      <c r="AK99" s="83">
        <v>8.9499000000000002E-3</v>
      </c>
      <c r="AL99" s="83">
        <v>5.6055899999999997E-3</v>
      </c>
      <c r="AM99" s="83">
        <v>7.8184799999999992E-3</v>
      </c>
      <c r="AN99" s="83">
        <v>8.9499000000000002E-3</v>
      </c>
      <c r="AO99" s="83">
        <v>5.0138500000000003E-3</v>
      </c>
      <c r="AP99" s="83">
        <v>7.5615999999999999E-3</v>
      </c>
      <c r="AQ99" s="83">
        <v>8.9499000000000002E-3</v>
      </c>
      <c r="AR99" s="83">
        <v>5.3502000000000003E-3</v>
      </c>
      <c r="AS99" s="83">
        <v>7.7110099999999999E-3</v>
      </c>
      <c r="AT99" s="83">
        <v>8.9499000000000002E-3</v>
      </c>
      <c r="AU99" s="83">
        <v>4.9456600000000002E-3</v>
      </c>
      <c r="AV99" s="83">
        <v>7.7357499999999996E-3</v>
      </c>
      <c r="AW99" s="83">
        <v>8.9499000000000002E-3</v>
      </c>
      <c r="AX99" s="83">
        <v>5.5192799999999997E-3</v>
      </c>
      <c r="AY99" s="83">
        <v>7.9378199999999999E-3</v>
      </c>
      <c r="AZ99" s="83">
        <v>8.9499000000000002E-3</v>
      </c>
      <c r="BA99" s="83">
        <v>5.4912499999999996E-3</v>
      </c>
      <c r="BB99" s="83">
        <v>7.7888200000000001E-3</v>
      </c>
      <c r="BC99" s="83">
        <v>8.9499000000000002E-3</v>
      </c>
      <c r="BD99" s="83">
        <v>4.8955099999999996E-3</v>
      </c>
      <c r="BE99" s="83">
        <v>7.6189999999999999E-3</v>
      </c>
      <c r="BF99" s="83">
        <v>8.9499000000000002E-3</v>
      </c>
      <c r="BG99" s="83">
        <v>4.5904500000000003E-3</v>
      </c>
      <c r="BH99" s="83">
        <v>7.7628999999999997E-3</v>
      </c>
      <c r="BI99" s="83">
        <v>8.9499000000000002E-3</v>
      </c>
      <c r="BJ99" s="83">
        <v>4.7532499999999997E-3</v>
      </c>
      <c r="BK99" s="83">
        <v>7.7143200000000002E-3</v>
      </c>
      <c r="BL99" s="83">
        <v>8.9499000000000002E-3</v>
      </c>
      <c r="BM99" s="83">
        <v>4.3815900000000003E-3</v>
      </c>
      <c r="BN99" s="83">
        <v>7.6008600000000001E-3</v>
      </c>
      <c r="BO99" s="83">
        <v>8.9499000000000002E-3</v>
      </c>
      <c r="BP99" s="83">
        <v>4.4744299999999997E-3</v>
      </c>
      <c r="BQ99" s="83">
        <v>7.7313900000000003E-3</v>
      </c>
      <c r="BR99" s="83">
        <v>8.9499000000000002E-3</v>
      </c>
      <c r="BS99" s="83">
        <v>4.1336699999999999E-3</v>
      </c>
      <c r="BT99" s="83">
        <v>7.8798300000000009E-3</v>
      </c>
      <c r="BU99" s="83">
        <v>8.9499000000000002E-3</v>
      </c>
      <c r="BV99" s="83">
        <v>4.0210599999999999E-3</v>
      </c>
      <c r="BW99" s="83">
        <v>7.5905299999999998E-3</v>
      </c>
      <c r="BX99" s="83">
        <v>8.9499000000000002E-3</v>
      </c>
      <c r="BY99" s="83">
        <v>4.5133200000000004E-3</v>
      </c>
      <c r="BZ99" s="83">
        <v>7.8433400000000007E-3</v>
      </c>
      <c r="CA99" s="83">
        <v>8.9499000000000002E-3</v>
      </c>
      <c r="CB99" s="83">
        <v>4.1405499999999998E-3</v>
      </c>
      <c r="CC99" s="83">
        <v>7.6379999999999998E-3</v>
      </c>
      <c r="CD99" s="83">
        <v>8.9499000000000002E-3</v>
      </c>
      <c r="CE99" s="83">
        <v>3.99987E-3</v>
      </c>
      <c r="CF99" s="83">
        <v>7.60628E-3</v>
      </c>
      <c r="CG99" s="83">
        <v>8.9499000000000002E-3</v>
      </c>
      <c r="CH99" s="83">
        <v>3.6191700000000001E-3</v>
      </c>
      <c r="CI99" s="83">
        <v>7.7308999999999998E-3</v>
      </c>
      <c r="CJ99" s="83">
        <v>8.9499000000000002E-3</v>
      </c>
      <c r="CK99" s="83">
        <v>4.0637299999999998E-3</v>
      </c>
      <c r="CL99" s="83">
        <v>7.6171700000000004E-3</v>
      </c>
      <c r="CM99" s="83">
        <v>8.9499000000000002E-3</v>
      </c>
      <c r="CN99" s="83">
        <v>3.62634E-3</v>
      </c>
      <c r="CO99" s="83">
        <v>7.5343900000000002E-3</v>
      </c>
      <c r="CP99" s="83">
        <v>8.9499000000000002E-3</v>
      </c>
      <c r="CQ99" s="83">
        <v>3.88018E-3</v>
      </c>
      <c r="CR99" s="83">
        <v>7.5855499999999999E-3</v>
      </c>
      <c r="CS99" s="83">
        <v>8.9499000000000002E-3</v>
      </c>
      <c r="CT99" s="83">
        <v>3.4142500000000002E-3</v>
      </c>
      <c r="CU99" s="83">
        <v>7.6343000000000001E-3</v>
      </c>
      <c r="CV99" s="83">
        <v>8.9499000000000002E-3</v>
      </c>
      <c r="CW99" s="83">
        <v>4.0463299999999999E-3</v>
      </c>
      <c r="CX99" s="83">
        <v>7.6348600000000003E-3</v>
      </c>
      <c r="CY99" s="83">
        <v>8.9499000000000002E-3</v>
      </c>
      <c r="CZ99" s="83">
        <v>3.4908999999999999E-3</v>
      </c>
      <c r="DA99" s="83">
        <v>7.5573799999999998E-3</v>
      </c>
    </row>
    <row r="100" spans="1:105" x14ac:dyDescent="0.2">
      <c r="A100" s="83">
        <v>9.0498999999999996E-3</v>
      </c>
      <c r="B100" s="83">
        <v>6.1168300000000002E-3</v>
      </c>
      <c r="C100" s="83">
        <v>7.1884499999999999E-3</v>
      </c>
      <c r="D100" s="83">
        <v>9.0498999999999996E-3</v>
      </c>
      <c r="E100" s="83">
        <v>5.7417500000000003E-3</v>
      </c>
      <c r="F100" s="83">
        <v>7.2635099999999999E-3</v>
      </c>
      <c r="G100" s="83">
        <v>9.0498999999999996E-3</v>
      </c>
      <c r="H100" s="83">
        <v>5.4347199999999997E-3</v>
      </c>
      <c r="I100" s="83">
        <v>7.3343899999999997E-3</v>
      </c>
      <c r="J100" s="83">
        <v>9.0498999999999996E-3</v>
      </c>
      <c r="K100" s="83">
        <v>5.3091500000000003E-3</v>
      </c>
      <c r="L100" s="83">
        <v>7.0494499999999996E-3</v>
      </c>
      <c r="M100" s="83">
        <v>9.0498999999999996E-3</v>
      </c>
      <c r="N100" s="83">
        <v>5.3168599999999996E-3</v>
      </c>
      <c r="O100" s="83">
        <v>7.1889900000000001E-3</v>
      </c>
      <c r="P100" s="83">
        <v>9.0498999999999996E-3</v>
      </c>
      <c r="Q100" s="83">
        <v>5.1149999999999998E-3</v>
      </c>
      <c r="R100" s="83">
        <v>7.19559E-3</v>
      </c>
      <c r="S100" s="83">
        <v>9.0498999999999996E-3</v>
      </c>
      <c r="T100" s="83">
        <v>5.3927799999999998E-3</v>
      </c>
      <c r="U100" s="83">
        <v>7.22932E-3</v>
      </c>
      <c r="V100" s="83">
        <v>9.0498999999999996E-3</v>
      </c>
      <c r="W100" s="83">
        <v>5.8225799999999999E-3</v>
      </c>
      <c r="X100" s="83">
        <v>7.3706099999999997E-3</v>
      </c>
      <c r="Y100" s="83">
        <v>9.0498999999999996E-3</v>
      </c>
      <c r="Z100" s="83">
        <v>5.6620100000000003E-3</v>
      </c>
      <c r="AA100" s="83">
        <v>7.1813700000000003E-3</v>
      </c>
      <c r="AB100" s="83">
        <v>9.0498999999999996E-3</v>
      </c>
      <c r="AC100" s="83">
        <v>5.2739800000000002E-3</v>
      </c>
      <c r="AD100" s="83">
        <v>7.2968399999999997E-3</v>
      </c>
      <c r="AE100" s="83">
        <v>9.0498999999999996E-3</v>
      </c>
      <c r="AF100" s="83">
        <v>4.9797299999999999E-3</v>
      </c>
      <c r="AG100" s="83">
        <v>7.41802E-3</v>
      </c>
      <c r="AH100" s="83">
        <v>9.0498999999999996E-3</v>
      </c>
      <c r="AI100" s="83">
        <v>5.3831399999999998E-3</v>
      </c>
      <c r="AJ100" s="83">
        <v>7.4000400000000001E-3</v>
      </c>
      <c r="AK100" s="83">
        <v>9.0498999999999996E-3</v>
      </c>
      <c r="AL100" s="83">
        <v>5.3594899999999997E-3</v>
      </c>
      <c r="AM100" s="83">
        <v>7.4190699999999998E-3</v>
      </c>
      <c r="AN100" s="83">
        <v>9.0498999999999996E-3</v>
      </c>
      <c r="AO100" s="83">
        <v>5.0197100000000001E-3</v>
      </c>
      <c r="AP100" s="83">
        <v>7.16316E-3</v>
      </c>
      <c r="AQ100" s="83">
        <v>9.0498999999999996E-3</v>
      </c>
      <c r="AR100" s="83">
        <v>5.0474700000000001E-3</v>
      </c>
      <c r="AS100" s="83">
        <v>7.35945E-3</v>
      </c>
      <c r="AT100" s="83">
        <v>9.0498999999999996E-3</v>
      </c>
      <c r="AU100" s="83">
        <v>4.8128499999999996E-3</v>
      </c>
      <c r="AV100" s="83">
        <v>7.3841899999999997E-3</v>
      </c>
      <c r="AW100" s="83">
        <v>9.0498999999999996E-3</v>
      </c>
      <c r="AX100" s="83">
        <v>5.2731799999999997E-3</v>
      </c>
      <c r="AY100" s="83">
        <v>7.5510999999999998E-3</v>
      </c>
      <c r="AZ100" s="83">
        <v>9.0498999999999996E-3</v>
      </c>
      <c r="BA100" s="83">
        <v>4.8916400000000001E-3</v>
      </c>
      <c r="BB100" s="83">
        <v>7.4128400000000004E-3</v>
      </c>
      <c r="BC100" s="83">
        <v>9.0498999999999996E-3</v>
      </c>
      <c r="BD100" s="83">
        <v>4.6357400000000002E-3</v>
      </c>
      <c r="BE100" s="83">
        <v>7.2508399999999997E-3</v>
      </c>
      <c r="BF100" s="83">
        <v>9.0498999999999996E-3</v>
      </c>
      <c r="BG100" s="83">
        <v>4.7877199999999996E-3</v>
      </c>
      <c r="BH100" s="83">
        <v>7.3693500000000002E-3</v>
      </c>
      <c r="BI100" s="83">
        <v>9.0498999999999996E-3</v>
      </c>
      <c r="BJ100" s="83">
        <v>4.3606799999999996E-3</v>
      </c>
      <c r="BK100" s="83">
        <v>7.3530000000000002E-3</v>
      </c>
      <c r="BL100" s="83">
        <v>9.0498999999999996E-3</v>
      </c>
      <c r="BM100" s="83">
        <v>4.1472100000000001E-3</v>
      </c>
      <c r="BN100" s="83">
        <v>7.2512499999999999E-3</v>
      </c>
      <c r="BO100" s="83">
        <v>9.0498999999999996E-3</v>
      </c>
      <c r="BP100" s="83">
        <v>4.5174000000000004E-3</v>
      </c>
      <c r="BQ100" s="83">
        <v>7.3554199999999997E-3</v>
      </c>
      <c r="BR100" s="83">
        <v>9.0498999999999996E-3</v>
      </c>
      <c r="BS100" s="83">
        <v>3.6492899999999999E-3</v>
      </c>
      <c r="BT100" s="83">
        <v>7.4706499999999997E-3</v>
      </c>
      <c r="BU100" s="83">
        <v>9.0498999999999996E-3</v>
      </c>
      <c r="BV100" s="83">
        <v>3.9956699999999998E-3</v>
      </c>
      <c r="BW100" s="83">
        <v>7.2243200000000002E-3</v>
      </c>
      <c r="BX100" s="83">
        <v>9.0498999999999996E-3</v>
      </c>
      <c r="BY100" s="83">
        <v>4.3121399999999999E-3</v>
      </c>
      <c r="BZ100" s="83">
        <v>7.4449099999999999E-3</v>
      </c>
      <c r="CA100" s="83">
        <v>9.0498999999999996E-3</v>
      </c>
      <c r="CB100" s="83">
        <v>4.0175100000000002E-3</v>
      </c>
      <c r="CC100" s="83">
        <v>7.2922899999999999E-3</v>
      </c>
      <c r="CD100" s="83">
        <v>9.0498999999999996E-3</v>
      </c>
      <c r="CE100" s="83">
        <v>3.3729099999999998E-3</v>
      </c>
      <c r="CF100" s="83">
        <v>7.24495E-3</v>
      </c>
      <c r="CG100" s="83">
        <v>9.0498999999999996E-3</v>
      </c>
      <c r="CH100" s="83">
        <v>3.1426100000000001E-3</v>
      </c>
      <c r="CI100" s="83">
        <v>7.39203E-3</v>
      </c>
      <c r="CJ100" s="83">
        <v>9.0498999999999996E-3</v>
      </c>
      <c r="CK100" s="83">
        <v>3.89771E-3</v>
      </c>
      <c r="CL100" s="83">
        <v>7.2451E-3</v>
      </c>
      <c r="CM100" s="83">
        <v>9.0498999999999996E-3</v>
      </c>
      <c r="CN100" s="83">
        <v>3.3978300000000001E-3</v>
      </c>
      <c r="CO100" s="83">
        <v>7.1574400000000002E-3</v>
      </c>
      <c r="CP100" s="83">
        <v>9.0498999999999996E-3</v>
      </c>
      <c r="CQ100" s="83">
        <v>3.3215900000000001E-3</v>
      </c>
      <c r="CR100" s="83">
        <v>7.2144499999999999E-3</v>
      </c>
      <c r="CS100" s="83">
        <v>9.0498999999999996E-3</v>
      </c>
      <c r="CT100" s="83">
        <v>3.4083899999999999E-3</v>
      </c>
      <c r="CU100" s="83">
        <v>7.28176E-3</v>
      </c>
      <c r="CV100" s="83">
        <v>9.0498999999999996E-3</v>
      </c>
      <c r="CW100" s="83">
        <v>3.1908599999999998E-3</v>
      </c>
      <c r="CX100" s="83">
        <v>7.2579100000000002E-3</v>
      </c>
      <c r="CY100" s="83">
        <v>9.0498999999999996E-3</v>
      </c>
      <c r="CZ100" s="83">
        <v>3.50848E-3</v>
      </c>
      <c r="DA100" s="83">
        <v>7.1882400000000003E-3</v>
      </c>
    </row>
    <row r="101" spans="1:105" x14ac:dyDescent="0.2">
      <c r="A101" s="83">
        <v>9.1499000000000007E-3</v>
      </c>
      <c r="B101" s="83">
        <v>5.5465200000000001E-3</v>
      </c>
      <c r="C101" s="83">
        <v>6.82126E-3</v>
      </c>
      <c r="D101" s="83">
        <v>9.1499000000000007E-3</v>
      </c>
      <c r="E101" s="83">
        <v>5.1753399999999996E-3</v>
      </c>
      <c r="F101" s="83">
        <v>6.89633E-3</v>
      </c>
      <c r="G101" s="83">
        <v>9.1499000000000007E-3</v>
      </c>
      <c r="H101" s="83">
        <v>5.1104999999999996E-3</v>
      </c>
      <c r="I101" s="83">
        <v>6.9769699999999999E-3</v>
      </c>
      <c r="J101" s="83">
        <v>9.1499000000000007E-3</v>
      </c>
      <c r="K101" s="83">
        <v>4.9400099999999999E-3</v>
      </c>
      <c r="L101" s="83">
        <v>6.7154600000000004E-3</v>
      </c>
      <c r="M101" s="83">
        <v>9.1499000000000007E-3</v>
      </c>
      <c r="N101" s="83">
        <v>5.0981100000000003E-3</v>
      </c>
      <c r="O101" s="83">
        <v>6.8579299999999999E-3</v>
      </c>
      <c r="P101" s="83">
        <v>9.1499000000000007E-3</v>
      </c>
      <c r="Q101" s="83">
        <v>4.9861000000000003E-3</v>
      </c>
      <c r="R101" s="83">
        <v>6.8489099999999997E-3</v>
      </c>
      <c r="S101" s="83">
        <v>9.1499000000000007E-3</v>
      </c>
      <c r="T101" s="83">
        <v>4.9494200000000004E-3</v>
      </c>
      <c r="U101" s="83">
        <v>6.8767799999999999E-3</v>
      </c>
      <c r="V101" s="83">
        <v>9.1499000000000007E-3</v>
      </c>
      <c r="W101" s="83">
        <v>5.1761000000000003E-3</v>
      </c>
      <c r="X101" s="83">
        <v>7.0180700000000004E-3</v>
      </c>
      <c r="Y101" s="83">
        <v>9.1499000000000007E-3</v>
      </c>
      <c r="Z101" s="83">
        <v>5.1346600000000001E-3</v>
      </c>
      <c r="AA101" s="83">
        <v>6.8434799999999999E-3</v>
      </c>
      <c r="AB101" s="83">
        <v>9.1499000000000007E-3</v>
      </c>
      <c r="AC101" s="83">
        <v>5.0884299999999997E-3</v>
      </c>
      <c r="AD101" s="83">
        <v>6.97067E-3</v>
      </c>
      <c r="AE101" s="83">
        <v>9.1499000000000007E-3</v>
      </c>
      <c r="AF101" s="83">
        <v>4.9406700000000003E-3</v>
      </c>
      <c r="AG101" s="83">
        <v>7.0703600000000004E-3</v>
      </c>
      <c r="AH101" s="83">
        <v>9.1499000000000007E-3</v>
      </c>
      <c r="AI101" s="83">
        <v>5.2288400000000002E-3</v>
      </c>
      <c r="AJ101" s="83">
        <v>7.0260100000000001E-3</v>
      </c>
      <c r="AK101" s="83">
        <v>9.1499000000000007E-3</v>
      </c>
      <c r="AL101" s="83">
        <v>5.0059800000000002E-3</v>
      </c>
      <c r="AM101" s="83">
        <v>7.0909399999999996E-3</v>
      </c>
      <c r="AN101" s="83">
        <v>9.1499000000000007E-3</v>
      </c>
      <c r="AO101" s="83">
        <v>4.7423600000000002E-3</v>
      </c>
      <c r="AP101" s="83">
        <v>6.8643300000000001E-3</v>
      </c>
      <c r="AQ101" s="83">
        <v>9.1499000000000007E-3</v>
      </c>
      <c r="AR101" s="83">
        <v>4.5005899999999996E-3</v>
      </c>
      <c r="AS101" s="83">
        <v>7.0000799999999997E-3</v>
      </c>
      <c r="AT101" s="83">
        <v>9.1499000000000007E-3</v>
      </c>
      <c r="AU101" s="83">
        <v>4.1995699999999997E-3</v>
      </c>
      <c r="AV101" s="83">
        <v>7.0336000000000001E-3</v>
      </c>
      <c r="AW101" s="83">
        <v>9.1499000000000007E-3</v>
      </c>
      <c r="AX101" s="83">
        <v>4.63256E-3</v>
      </c>
      <c r="AY101" s="83">
        <v>7.1770699999999998E-3</v>
      </c>
      <c r="AZ101" s="83">
        <v>9.1499000000000007E-3</v>
      </c>
      <c r="BA101" s="83">
        <v>4.3955499999999998E-3</v>
      </c>
      <c r="BB101" s="83">
        <v>7.0612799999999996E-3</v>
      </c>
      <c r="BC101" s="83">
        <v>9.1499000000000007E-3</v>
      </c>
      <c r="BD101" s="83">
        <v>4.20215E-3</v>
      </c>
      <c r="BE101" s="83">
        <v>6.9031800000000001E-3</v>
      </c>
      <c r="BF101" s="83">
        <v>9.1499000000000007E-3</v>
      </c>
      <c r="BG101" s="83">
        <v>4.4927999999999999E-3</v>
      </c>
      <c r="BH101" s="83">
        <v>7.0128999999999999E-3</v>
      </c>
      <c r="BI101" s="83">
        <v>9.1499000000000007E-3</v>
      </c>
      <c r="BJ101" s="83">
        <v>4.0638000000000002E-3</v>
      </c>
      <c r="BK101" s="83">
        <v>6.9916700000000002E-3</v>
      </c>
      <c r="BL101" s="83">
        <v>9.1499000000000007E-3</v>
      </c>
      <c r="BM101" s="83">
        <v>3.9108900000000002E-3</v>
      </c>
      <c r="BN101" s="83">
        <v>6.9016399999999997E-3</v>
      </c>
      <c r="BO101" s="83">
        <v>9.1499000000000007E-3</v>
      </c>
      <c r="BP101" s="83">
        <v>4.1502199999999996E-3</v>
      </c>
      <c r="BQ101" s="83">
        <v>7.0194799999999998E-3</v>
      </c>
      <c r="BR101" s="83">
        <v>9.1499000000000007E-3</v>
      </c>
      <c r="BS101" s="83">
        <v>4.2059300000000001E-3</v>
      </c>
      <c r="BT101" s="83">
        <v>7.1161599999999998E-3</v>
      </c>
      <c r="BU101" s="83">
        <v>9.1499000000000007E-3</v>
      </c>
      <c r="BV101" s="83">
        <v>3.5816099999999998E-3</v>
      </c>
      <c r="BW101" s="83">
        <v>6.8795899999999997E-3</v>
      </c>
      <c r="BX101" s="83">
        <v>9.1499000000000007E-3</v>
      </c>
      <c r="BY101" s="83">
        <v>3.9566699999999998E-3</v>
      </c>
      <c r="BZ101" s="83">
        <v>7.1206899999999998E-3</v>
      </c>
      <c r="CA101" s="83">
        <v>9.1499000000000007E-3</v>
      </c>
      <c r="CB101" s="83">
        <v>3.7499299999999998E-3</v>
      </c>
      <c r="CC101" s="83">
        <v>6.94073E-3</v>
      </c>
      <c r="CD101" s="83">
        <v>9.1499000000000007E-3</v>
      </c>
      <c r="CE101" s="83">
        <v>2.8729099999999998E-3</v>
      </c>
      <c r="CF101" s="83">
        <v>6.8904600000000002E-3</v>
      </c>
      <c r="CG101" s="83">
        <v>9.1499000000000007E-3</v>
      </c>
      <c r="CH101" s="83">
        <v>3.0664400000000001E-3</v>
      </c>
      <c r="CI101" s="83">
        <v>7.0336299999999999E-3</v>
      </c>
      <c r="CJ101" s="83">
        <v>9.1499000000000007E-3</v>
      </c>
      <c r="CK101" s="83">
        <v>3.35279E-3</v>
      </c>
      <c r="CL101" s="83">
        <v>6.88377E-3</v>
      </c>
      <c r="CM101" s="83">
        <v>9.1499000000000007E-3</v>
      </c>
      <c r="CN101" s="83">
        <v>3.22595E-3</v>
      </c>
      <c r="CO101" s="83">
        <v>6.8117400000000002E-3</v>
      </c>
      <c r="CP101" s="83">
        <v>9.1499000000000007E-3</v>
      </c>
      <c r="CQ101" s="83">
        <v>3.39581E-3</v>
      </c>
      <c r="CR101" s="83">
        <v>6.8541000000000001E-3</v>
      </c>
      <c r="CS101" s="83">
        <v>9.1499000000000007E-3</v>
      </c>
      <c r="CT101" s="83">
        <v>3.3830000000000002E-3</v>
      </c>
      <c r="CU101" s="83">
        <v>6.9175E-3</v>
      </c>
      <c r="CV101" s="83">
        <v>9.1499000000000007E-3</v>
      </c>
      <c r="CW101" s="83">
        <v>3.04828E-3</v>
      </c>
      <c r="CX101" s="83">
        <v>6.9102499999999997E-3</v>
      </c>
      <c r="CY101" s="83">
        <v>9.1499000000000007E-3</v>
      </c>
      <c r="CZ101" s="83">
        <v>3.00848E-3</v>
      </c>
      <c r="DA101" s="83">
        <v>6.8317899999999999E-3</v>
      </c>
    </row>
    <row r="102" spans="1:105" x14ac:dyDescent="0.2">
      <c r="A102" s="83">
        <v>9.2499000000000001E-3</v>
      </c>
      <c r="B102" s="83">
        <v>5.2476900000000002E-3</v>
      </c>
      <c r="C102" s="83">
        <v>6.4853200000000001E-3</v>
      </c>
      <c r="D102" s="83">
        <v>9.2499000000000001E-3</v>
      </c>
      <c r="E102" s="83">
        <v>4.7476100000000002E-3</v>
      </c>
      <c r="F102" s="83">
        <v>6.5808999999999998E-3</v>
      </c>
      <c r="G102" s="83">
        <v>9.2499000000000001E-3</v>
      </c>
      <c r="H102" s="83">
        <v>4.97768E-3</v>
      </c>
      <c r="I102" s="83">
        <v>6.6371199999999998E-3</v>
      </c>
      <c r="J102" s="83">
        <v>9.2499000000000001E-3</v>
      </c>
      <c r="K102" s="83">
        <v>4.5239900000000003E-3</v>
      </c>
      <c r="L102" s="83">
        <v>6.40589E-3</v>
      </c>
      <c r="M102" s="83">
        <v>9.2499000000000001E-3</v>
      </c>
      <c r="N102" s="83">
        <v>5.0043600000000002E-3</v>
      </c>
      <c r="O102" s="83">
        <v>6.5180899999999998E-3</v>
      </c>
      <c r="P102" s="83">
        <v>9.2499000000000001E-3</v>
      </c>
      <c r="Q102" s="83">
        <v>4.5251600000000003E-3</v>
      </c>
      <c r="R102" s="83">
        <v>6.5237200000000002E-3</v>
      </c>
      <c r="S102" s="83">
        <v>9.2499000000000001E-3</v>
      </c>
      <c r="T102" s="83">
        <v>4.7834100000000001E-3</v>
      </c>
      <c r="U102" s="83">
        <v>6.5320500000000002E-3</v>
      </c>
      <c r="V102" s="83">
        <v>9.2499000000000001E-3</v>
      </c>
      <c r="W102" s="83">
        <v>5.1428899999999998E-3</v>
      </c>
      <c r="X102" s="83">
        <v>6.6792099999999997E-3</v>
      </c>
      <c r="Y102" s="83">
        <v>9.2499000000000001E-3</v>
      </c>
      <c r="Z102" s="83">
        <v>4.3729399999999996E-3</v>
      </c>
      <c r="AA102" s="83">
        <v>6.5006999999999999E-3</v>
      </c>
      <c r="AB102" s="83">
        <v>9.2499000000000001E-3</v>
      </c>
      <c r="AC102" s="83">
        <v>5.0903900000000002E-3</v>
      </c>
      <c r="AD102" s="83">
        <v>6.6269199999999997E-3</v>
      </c>
      <c r="AE102" s="83">
        <v>9.2499000000000001E-3</v>
      </c>
      <c r="AF102" s="83">
        <v>4.5227000000000002E-3</v>
      </c>
      <c r="AG102" s="83">
        <v>6.7129399999999997E-3</v>
      </c>
      <c r="AH102" s="83">
        <v>9.2499000000000001E-3</v>
      </c>
      <c r="AI102" s="83">
        <v>4.7659499999999997E-3</v>
      </c>
      <c r="AJ102" s="83">
        <v>6.6871500000000002E-3</v>
      </c>
      <c r="AK102" s="83">
        <v>9.2499000000000001E-3</v>
      </c>
      <c r="AL102" s="83">
        <v>4.2755099999999997E-3</v>
      </c>
      <c r="AM102" s="83">
        <v>6.7315700000000001E-3</v>
      </c>
      <c r="AN102" s="83">
        <v>9.2499000000000001E-3</v>
      </c>
      <c r="AO102" s="83">
        <v>4.4747900000000002E-3</v>
      </c>
      <c r="AP102" s="83">
        <v>6.5147299999999998E-3</v>
      </c>
      <c r="AQ102" s="83">
        <v>9.2499000000000001E-3</v>
      </c>
      <c r="AR102" s="83">
        <v>4.2974700000000003E-3</v>
      </c>
      <c r="AS102" s="83">
        <v>6.6446099999999996E-3</v>
      </c>
      <c r="AT102" s="83">
        <v>9.2499000000000001E-3</v>
      </c>
      <c r="AU102" s="83">
        <v>4.4710499999999999E-3</v>
      </c>
      <c r="AV102" s="83">
        <v>6.6966899999999999E-3</v>
      </c>
      <c r="AW102" s="83">
        <v>9.2499000000000001E-3</v>
      </c>
      <c r="AX102" s="83">
        <v>4.48607E-3</v>
      </c>
      <c r="AY102" s="83">
        <v>6.8499299999999997E-3</v>
      </c>
      <c r="AZ102" s="83">
        <v>9.2499000000000001E-3</v>
      </c>
      <c r="BA102" s="83">
        <v>4.2100000000000002E-3</v>
      </c>
      <c r="BB102" s="83">
        <v>6.7184999999999996E-3</v>
      </c>
      <c r="BC102" s="83">
        <v>9.2499000000000001E-3</v>
      </c>
      <c r="BD102" s="83">
        <v>3.9736299999999997E-3</v>
      </c>
      <c r="BE102" s="83">
        <v>6.5682199999999996E-3</v>
      </c>
      <c r="BF102" s="83">
        <v>9.2499000000000001E-3</v>
      </c>
      <c r="BG102" s="83">
        <v>3.7818600000000002E-3</v>
      </c>
      <c r="BH102" s="83">
        <v>6.6681800000000001E-3</v>
      </c>
      <c r="BI102" s="83">
        <v>9.2499000000000001E-3</v>
      </c>
      <c r="BJ102" s="83">
        <v>3.6575499999999999E-3</v>
      </c>
      <c r="BK102" s="83">
        <v>6.6479199999999999E-3</v>
      </c>
      <c r="BL102" s="83">
        <v>9.2499000000000001E-3</v>
      </c>
      <c r="BM102" s="83">
        <v>3.4089300000000001E-3</v>
      </c>
      <c r="BN102" s="83">
        <v>6.5637500000000001E-3</v>
      </c>
      <c r="BO102" s="83">
        <v>9.2499000000000001E-3</v>
      </c>
      <c r="BP102" s="83">
        <v>3.69514E-3</v>
      </c>
      <c r="BQ102" s="83">
        <v>6.6532700000000002E-3</v>
      </c>
      <c r="BR102" s="83">
        <v>9.2499000000000001E-3</v>
      </c>
      <c r="BS102" s="83">
        <v>3.7938199999999998E-3</v>
      </c>
      <c r="BT102" s="83">
        <v>6.7665499999999996E-3</v>
      </c>
      <c r="BU102" s="83">
        <v>9.2499000000000001E-3</v>
      </c>
      <c r="BV102" s="83">
        <v>3.4488000000000001E-3</v>
      </c>
      <c r="BW102" s="83">
        <v>6.5524399999999997E-3</v>
      </c>
      <c r="BX102" s="83">
        <v>9.2499000000000001E-3</v>
      </c>
      <c r="BY102" s="83">
        <v>3.5875299999999998E-3</v>
      </c>
      <c r="BZ102" s="83">
        <v>6.7554499999999996E-3</v>
      </c>
      <c r="CA102" s="83">
        <v>9.2499000000000001E-3</v>
      </c>
      <c r="CB102" s="83">
        <v>3.6932900000000001E-3</v>
      </c>
      <c r="CC102" s="83">
        <v>6.59503E-3</v>
      </c>
      <c r="CD102" s="83">
        <v>9.2499000000000001E-3</v>
      </c>
      <c r="CE102" s="83">
        <v>2.9334600000000001E-3</v>
      </c>
      <c r="CF102" s="83">
        <v>6.5564799999999999E-3</v>
      </c>
      <c r="CG102" s="83">
        <v>9.2499000000000001E-3</v>
      </c>
      <c r="CH102" s="83">
        <v>2.9609699999999998E-3</v>
      </c>
      <c r="CI102" s="83">
        <v>6.6771900000000004E-3</v>
      </c>
      <c r="CJ102" s="83">
        <v>9.2499000000000001E-3</v>
      </c>
      <c r="CK102" s="83">
        <v>3.18287E-3</v>
      </c>
      <c r="CL102" s="83">
        <v>6.55662E-3</v>
      </c>
      <c r="CM102" s="83">
        <v>9.2499000000000001E-3</v>
      </c>
      <c r="CN102" s="83">
        <v>2.9915800000000002E-3</v>
      </c>
      <c r="CO102" s="83">
        <v>6.5031400000000001E-3</v>
      </c>
      <c r="CP102" s="83">
        <v>9.2499000000000001E-3</v>
      </c>
      <c r="CQ102" s="83">
        <v>3.11065E-3</v>
      </c>
      <c r="CR102" s="83">
        <v>6.5259699999999999E-3</v>
      </c>
      <c r="CS102" s="83">
        <v>9.2499000000000001E-3</v>
      </c>
      <c r="CT102" s="83">
        <v>2.6915900000000002E-3</v>
      </c>
      <c r="CU102" s="83">
        <v>6.5796099999999996E-3</v>
      </c>
      <c r="CV102" s="83">
        <v>9.2499000000000001E-3</v>
      </c>
      <c r="CW102" s="83">
        <v>2.7006199999999999E-3</v>
      </c>
      <c r="CX102" s="83">
        <v>6.5674799999999997E-3</v>
      </c>
      <c r="CY102" s="83">
        <v>9.2499000000000001E-3</v>
      </c>
      <c r="CZ102" s="83">
        <v>3.3209799999999999E-3</v>
      </c>
      <c r="DA102" s="83">
        <v>6.5007399999999996E-3</v>
      </c>
    </row>
    <row r="103" spans="1:105" x14ac:dyDescent="0.2">
      <c r="A103" s="83">
        <v>9.3498999999999995E-3</v>
      </c>
      <c r="B103" s="83">
        <v>5.0972999999999999E-3</v>
      </c>
      <c r="C103" s="83">
        <v>6.1864900000000002E-3</v>
      </c>
      <c r="D103" s="83">
        <v>9.3498999999999995E-3</v>
      </c>
      <c r="E103" s="83">
        <v>4.4546400000000002E-3</v>
      </c>
      <c r="F103" s="83">
        <v>6.2410499999999997E-3</v>
      </c>
      <c r="G103" s="83">
        <v>9.3498999999999995E-3</v>
      </c>
      <c r="H103" s="83">
        <v>4.59487E-3</v>
      </c>
      <c r="I103" s="83">
        <v>6.3402500000000004E-3</v>
      </c>
      <c r="J103" s="83">
        <v>9.3498999999999995E-3</v>
      </c>
      <c r="K103" s="83">
        <v>4.2818099999999996E-3</v>
      </c>
      <c r="L103" s="83">
        <v>6.0806999999999996E-3</v>
      </c>
      <c r="M103" s="83">
        <v>9.3498999999999995E-3</v>
      </c>
      <c r="N103" s="83">
        <v>4.47701E-3</v>
      </c>
      <c r="O103" s="83">
        <v>6.2124299999999997E-3</v>
      </c>
      <c r="P103" s="83">
        <v>9.3498999999999995E-3</v>
      </c>
      <c r="Q103" s="83">
        <v>4.3357100000000004E-3</v>
      </c>
      <c r="R103" s="83">
        <v>6.1887599999999997E-3</v>
      </c>
      <c r="S103" s="83">
        <v>9.3498999999999995E-3</v>
      </c>
      <c r="T103" s="83">
        <v>4.1779399999999998E-3</v>
      </c>
      <c r="U103" s="83">
        <v>6.19514E-3</v>
      </c>
      <c r="V103" s="83">
        <v>9.3498999999999995E-3</v>
      </c>
      <c r="W103" s="83">
        <v>4.7835200000000003E-3</v>
      </c>
      <c r="X103" s="83">
        <v>6.3510800000000003E-3</v>
      </c>
      <c r="Y103" s="83">
        <v>9.3498999999999995E-3</v>
      </c>
      <c r="Z103" s="83">
        <v>4.4686500000000002E-3</v>
      </c>
      <c r="AA103" s="83">
        <v>6.1950399999999997E-3</v>
      </c>
      <c r="AB103" s="83">
        <v>9.3498999999999995E-3</v>
      </c>
      <c r="AC103" s="83">
        <v>4.8853100000000003E-3</v>
      </c>
      <c r="AD103" s="83">
        <v>6.29782E-3</v>
      </c>
      <c r="AE103" s="83">
        <v>9.3498999999999995E-3</v>
      </c>
      <c r="AF103" s="83">
        <v>4.3176200000000003E-3</v>
      </c>
      <c r="AG103" s="83">
        <v>6.4092300000000001E-3</v>
      </c>
      <c r="AH103" s="83">
        <v>9.3498999999999995E-3</v>
      </c>
      <c r="AI103" s="83">
        <v>4.4280600000000002E-3</v>
      </c>
      <c r="AJ103" s="83">
        <v>6.35902E-3</v>
      </c>
      <c r="AK103" s="83">
        <v>9.3498999999999995E-3</v>
      </c>
      <c r="AL103" s="83">
        <v>4.2540199999999999E-3</v>
      </c>
      <c r="AM103" s="83">
        <v>6.4063699999999998E-3</v>
      </c>
      <c r="AN103" s="83">
        <v>9.3498999999999995E-3</v>
      </c>
      <c r="AO103" s="83">
        <v>4.3009600000000004E-3</v>
      </c>
      <c r="AP103" s="83">
        <v>6.1719499999999998E-3</v>
      </c>
      <c r="AQ103" s="83">
        <v>9.3498999999999995E-3</v>
      </c>
      <c r="AR103" s="83">
        <v>4.0416100000000002E-3</v>
      </c>
      <c r="AS103" s="83">
        <v>6.3360100000000004E-3</v>
      </c>
      <c r="AT103" s="83">
        <v>9.3498999999999995E-3</v>
      </c>
      <c r="AU103" s="83">
        <v>3.7698800000000002E-3</v>
      </c>
      <c r="AV103" s="83">
        <v>6.3578200000000001E-3</v>
      </c>
      <c r="AW103" s="83">
        <v>9.3498999999999995E-3</v>
      </c>
      <c r="AX103" s="83">
        <v>4.1462299999999999E-3</v>
      </c>
      <c r="AY103" s="83">
        <v>6.5061800000000003E-3</v>
      </c>
      <c r="AZ103" s="83">
        <v>9.3498999999999995E-3</v>
      </c>
      <c r="BA103" s="83">
        <v>4.1396899999999997E-3</v>
      </c>
      <c r="BB103" s="83">
        <v>6.3845200000000003E-3</v>
      </c>
      <c r="BC103" s="83">
        <v>9.3498999999999995E-3</v>
      </c>
      <c r="BD103" s="83">
        <v>4.0009800000000003E-3</v>
      </c>
      <c r="BE103" s="83">
        <v>6.2479099999999997E-3</v>
      </c>
      <c r="BF103" s="83">
        <v>9.3498999999999995E-3</v>
      </c>
      <c r="BG103" s="83">
        <v>3.6295199999999998E-3</v>
      </c>
      <c r="BH103" s="83">
        <v>6.3683699999999999E-3</v>
      </c>
      <c r="BI103" s="83">
        <v>9.3498999999999995E-3</v>
      </c>
      <c r="BJ103" s="83">
        <v>3.19075E-3</v>
      </c>
      <c r="BK103" s="83">
        <v>6.3168599999999997E-3</v>
      </c>
      <c r="BL103" s="83">
        <v>9.3498999999999995E-3</v>
      </c>
      <c r="BM103" s="83">
        <v>3.5729899999999998E-3</v>
      </c>
      <c r="BN103" s="83">
        <v>6.2317199999999996E-3</v>
      </c>
      <c r="BO103" s="83">
        <v>9.3498999999999995E-3</v>
      </c>
      <c r="BP103" s="83">
        <v>3.63459E-3</v>
      </c>
      <c r="BQ103" s="83">
        <v>6.35346E-3</v>
      </c>
      <c r="BR103" s="83">
        <v>9.3498999999999995E-3</v>
      </c>
      <c r="BS103" s="83">
        <v>3.3367900000000001E-3</v>
      </c>
      <c r="BT103" s="83">
        <v>6.4520999999999997E-3</v>
      </c>
      <c r="BU103" s="83">
        <v>9.3498999999999995E-3</v>
      </c>
      <c r="BV103" s="83">
        <v>3.0562200000000001E-3</v>
      </c>
      <c r="BW103" s="83">
        <v>6.2301800000000001E-3</v>
      </c>
      <c r="BX103" s="83">
        <v>9.3498999999999995E-3</v>
      </c>
      <c r="BY103" s="83">
        <v>3.4781600000000001E-3</v>
      </c>
      <c r="BZ103" s="83">
        <v>6.4331900000000001E-3</v>
      </c>
      <c r="CA103" s="83">
        <v>9.3498999999999995E-3</v>
      </c>
      <c r="CB103" s="83">
        <v>3.2889899999999999E-3</v>
      </c>
      <c r="CC103" s="83">
        <v>6.2913200000000004E-3</v>
      </c>
      <c r="CD103" s="83">
        <v>9.3498999999999995E-3</v>
      </c>
      <c r="CE103" s="83">
        <v>3.0525999999999999E-3</v>
      </c>
      <c r="CF103" s="83">
        <v>6.2342099999999996E-3</v>
      </c>
      <c r="CG103" s="83">
        <v>9.3498999999999995E-3</v>
      </c>
      <c r="CH103" s="83">
        <v>3.11722E-3</v>
      </c>
      <c r="CI103" s="83">
        <v>6.37347E-3</v>
      </c>
      <c r="CJ103" s="83">
        <v>9.3498999999999995E-3</v>
      </c>
      <c r="CK103" s="83">
        <v>3.1320900000000001E-3</v>
      </c>
      <c r="CL103" s="83">
        <v>6.2255599999999998E-3</v>
      </c>
      <c r="CM103" s="83">
        <v>9.3498999999999995E-3</v>
      </c>
      <c r="CN103" s="83">
        <v>3.2083699999999999E-3</v>
      </c>
      <c r="CO103" s="83">
        <v>6.1515800000000002E-3</v>
      </c>
      <c r="CP103" s="83">
        <v>9.3498999999999995E-3</v>
      </c>
      <c r="CQ103" s="83">
        <v>2.7844800000000002E-3</v>
      </c>
      <c r="CR103" s="83">
        <v>6.2125000000000001E-3</v>
      </c>
      <c r="CS103" s="83">
        <v>9.3498999999999995E-3</v>
      </c>
      <c r="CT103" s="83">
        <v>2.6955E-3</v>
      </c>
      <c r="CU103" s="83">
        <v>6.2485600000000002E-3</v>
      </c>
      <c r="CV103" s="83">
        <v>9.3498999999999995E-3</v>
      </c>
      <c r="CW103" s="83">
        <v>2.88617E-3</v>
      </c>
      <c r="CX103" s="83">
        <v>6.254E-3</v>
      </c>
      <c r="CY103" s="83">
        <v>9.3498999999999995E-3</v>
      </c>
      <c r="CZ103" s="83">
        <v>3.03973E-3</v>
      </c>
      <c r="DA103" s="83">
        <v>6.1726100000000002E-3</v>
      </c>
    </row>
    <row r="104" spans="1:105" x14ac:dyDescent="0.2">
      <c r="A104" s="83">
        <v>9.4499000000000007E-3</v>
      </c>
      <c r="B104" s="83">
        <v>4.5601900000000004E-3</v>
      </c>
      <c r="C104" s="83">
        <v>5.8661800000000004E-3</v>
      </c>
      <c r="D104" s="83">
        <v>9.4499000000000007E-3</v>
      </c>
      <c r="E104" s="83">
        <v>4.5776799999999998E-3</v>
      </c>
      <c r="F104" s="83">
        <v>5.9217200000000001E-3</v>
      </c>
      <c r="G104" s="83">
        <v>9.4499000000000007E-3</v>
      </c>
      <c r="H104" s="83">
        <v>4.4522900000000002E-3</v>
      </c>
      <c r="I104" s="83">
        <v>5.9974700000000004E-3</v>
      </c>
      <c r="J104" s="83">
        <v>9.4499000000000007E-3</v>
      </c>
      <c r="K104" s="83">
        <v>4.2935300000000003E-3</v>
      </c>
      <c r="L104" s="83">
        <v>5.7730799999999999E-3</v>
      </c>
      <c r="M104" s="83">
        <v>9.4499000000000007E-3</v>
      </c>
      <c r="N104" s="83">
        <v>4.5649000000000002E-3</v>
      </c>
      <c r="O104" s="83">
        <v>5.9233599999999999E-3</v>
      </c>
      <c r="P104" s="83">
        <v>9.4499000000000007E-3</v>
      </c>
      <c r="Q104" s="83">
        <v>4.1638300000000003E-3</v>
      </c>
      <c r="R104" s="83">
        <v>5.8909100000000001E-3</v>
      </c>
      <c r="S104" s="83">
        <v>9.4499000000000007E-3</v>
      </c>
      <c r="T104" s="83">
        <v>3.8927800000000002E-3</v>
      </c>
      <c r="U104" s="83">
        <v>5.8953399999999998E-3</v>
      </c>
      <c r="V104" s="83">
        <v>9.4499000000000007E-3</v>
      </c>
      <c r="W104" s="83">
        <v>4.36164E-3</v>
      </c>
      <c r="X104" s="83">
        <v>6.0424900000000002E-3</v>
      </c>
      <c r="Y104" s="83">
        <v>9.4499000000000007E-3</v>
      </c>
      <c r="Z104" s="83">
        <v>4.0252899999999999E-3</v>
      </c>
      <c r="AA104" s="83">
        <v>5.8884000000000002E-3</v>
      </c>
      <c r="AB104" s="83">
        <v>9.4499000000000007E-3</v>
      </c>
      <c r="AC104" s="83">
        <v>4.3716400000000004E-3</v>
      </c>
      <c r="AD104" s="83">
        <v>5.9823899999999998E-3</v>
      </c>
      <c r="AE104" s="83">
        <v>9.4499000000000007E-3</v>
      </c>
      <c r="AF104" s="83">
        <v>4.3488700000000003E-3</v>
      </c>
      <c r="AG104" s="83">
        <v>6.0977000000000002E-3</v>
      </c>
      <c r="AH104" s="83">
        <v>9.4499000000000007E-3</v>
      </c>
      <c r="AI104" s="83">
        <v>4.0198600000000001E-3</v>
      </c>
      <c r="AJ104" s="83">
        <v>6.0611700000000003E-3</v>
      </c>
      <c r="AK104" s="83">
        <v>9.4499000000000007E-3</v>
      </c>
      <c r="AL104" s="83">
        <v>4.09582E-3</v>
      </c>
      <c r="AM104" s="83">
        <v>6.0665299999999997E-3</v>
      </c>
      <c r="AN104" s="83">
        <v>9.4499000000000007E-3</v>
      </c>
      <c r="AO104" s="83">
        <v>4.3771299999999999E-3</v>
      </c>
      <c r="AP104" s="83">
        <v>5.8926500000000001E-3</v>
      </c>
      <c r="AQ104" s="83">
        <v>9.4499000000000007E-3</v>
      </c>
      <c r="AR104" s="83">
        <v>3.9810599999999998E-3</v>
      </c>
      <c r="AS104" s="83">
        <v>6.0235100000000001E-3</v>
      </c>
      <c r="AT104" s="83">
        <v>9.4499000000000007E-3</v>
      </c>
      <c r="AU104" s="83">
        <v>3.49644E-3</v>
      </c>
      <c r="AV104" s="83">
        <v>6.05509E-3</v>
      </c>
      <c r="AW104" s="83">
        <v>9.4499000000000007E-3</v>
      </c>
      <c r="AX104" s="83">
        <v>3.8727900000000001E-3</v>
      </c>
      <c r="AY104" s="83">
        <v>6.2044200000000004E-3</v>
      </c>
      <c r="AZ104" s="83">
        <v>9.4499000000000007E-3</v>
      </c>
      <c r="BA104" s="83">
        <v>3.8896899999999999E-3</v>
      </c>
      <c r="BB104" s="83">
        <v>6.0505400000000001E-3</v>
      </c>
      <c r="BC104" s="83">
        <v>9.4499000000000007E-3</v>
      </c>
      <c r="BD104" s="83">
        <v>3.4775399999999999E-3</v>
      </c>
      <c r="BE104" s="83">
        <v>5.9334599999999998E-3</v>
      </c>
      <c r="BF104" s="83">
        <v>9.4499000000000007E-3</v>
      </c>
      <c r="BG104" s="83">
        <v>3.4263900000000001E-3</v>
      </c>
      <c r="BH104" s="83">
        <v>6.0500099999999998E-3</v>
      </c>
      <c r="BI104" s="83">
        <v>9.4499000000000007E-3</v>
      </c>
      <c r="BJ104" s="83">
        <v>3.4016900000000002E-3</v>
      </c>
      <c r="BK104" s="83">
        <v>6.0092499999999998E-3</v>
      </c>
      <c r="BL104" s="83">
        <v>9.4499000000000007E-3</v>
      </c>
      <c r="BM104" s="83">
        <v>3.4870600000000002E-3</v>
      </c>
      <c r="BN104" s="83">
        <v>5.9211699999999999E-3</v>
      </c>
      <c r="BO104" s="83">
        <v>9.4499000000000007E-3</v>
      </c>
      <c r="BP104" s="83">
        <v>3.11115E-3</v>
      </c>
      <c r="BQ104" s="83">
        <v>6.0458500000000002E-3</v>
      </c>
      <c r="BR104" s="83">
        <v>9.4499000000000007E-3</v>
      </c>
      <c r="BS104" s="83">
        <v>3.2625699999999998E-3</v>
      </c>
      <c r="BT104" s="83">
        <v>6.1142100000000001E-3</v>
      </c>
      <c r="BU104" s="83">
        <v>9.4499000000000007E-3</v>
      </c>
      <c r="BV104" s="83">
        <v>3.0972399999999998E-3</v>
      </c>
      <c r="BW104" s="83">
        <v>5.9118199999999999E-3</v>
      </c>
      <c r="BX104" s="83">
        <v>9.4499000000000007E-3</v>
      </c>
      <c r="BY104" s="83">
        <v>3.3941700000000002E-3</v>
      </c>
      <c r="BZ104" s="83">
        <v>6.1099400000000003E-3</v>
      </c>
      <c r="CA104" s="83">
        <v>9.4499000000000007E-3</v>
      </c>
      <c r="CB104" s="83">
        <v>3.3475800000000002E-3</v>
      </c>
      <c r="CC104" s="83">
        <v>5.9690500000000001E-3</v>
      </c>
      <c r="CD104" s="83">
        <v>9.4499000000000007E-3</v>
      </c>
      <c r="CE104" s="83">
        <v>2.6268200000000002E-3</v>
      </c>
      <c r="CF104" s="83">
        <v>5.9236699999999998E-3</v>
      </c>
      <c r="CG104" s="83">
        <v>9.4499000000000007E-3</v>
      </c>
      <c r="CH104" s="83">
        <v>2.86331E-3</v>
      </c>
      <c r="CI104" s="83">
        <v>6.0326499999999996E-3</v>
      </c>
      <c r="CJ104" s="83">
        <v>9.4499000000000007E-3</v>
      </c>
      <c r="CK104" s="83">
        <v>3.1652899999999999E-3</v>
      </c>
      <c r="CL104" s="83">
        <v>5.9208799999999999E-3</v>
      </c>
      <c r="CM104" s="83">
        <v>9.4499000000000007E-3</v>
      </c>
      <c r="CN104" s="83">
        <v>2.9974400000000001E-3</v>
      </c>
      <c r="CO104" s="83">
        <v>5.85763E-3</v>
      </c>
      <c r="CP104" s="83">
        <v>9.4499000000000007E-3</v>
      </c>
      <c r="CQ104" s="83">
        <v>2.8137800000000001E-3</v>
      </c>
      <c r="CR104" s="83">
        <v>5.9039000000000001E-3</v>
      </c>
      <c r="CS104" s="83">
        <v>9.4499000000000007E-3</v>
      </c>
      <c r="CT104" s="83">
        <v>2.7990100000000002E-3</v>
      </c>
      <c r="CU104" s="83">
        <v>5.9360599999999999E-3</v>
      </c>
      <c r="CV104" s="83">
        <v>9.4499000000000007E-3</v>
      </c>
      <c r="CW104" s="83">
        <v>2.37054E-3</v>
      </c>
      <c r="CX104" s="83">
        <v>5.9366200000000001E-3</v>
      </c>
      <c r="CY104" s="83">
        <v>9.4499000000000007E-3</v>
      </c>
      <c r="CZ104" s="83">
        <v>2.1959800000000002E-3</v>
      </c>
      <c r="DA104" s="83">
        <v>5.8796400000000002E-3</v>
      </c>
    </row>
    <row r="105" spans="1:105" x14ac:dyDescent="0.2">
      <c r="A105" s="83">
        <v>9.5499000000000001E-3</v>
      </c>
      <c r="B105" s="83">
        <v>4.09144E-3</v>
      </c>
      <c r="C105" s="83">
        <v>5.59079E-3</v>
      </c>
      <c r="D105" s="83">
        <v>9.5499000000000001E-3</v>
      </c>
      <c r="E105" s="83">
        <v>4.0659600000000004E-3</v>
      </c>
      <c r="F105" s="83">
        <v>5.6355800000000003E-3</v>
      </c>
      <c r="G105" s="83">
        <v>9.5499000000000001E-3</v>
      </c>
      <c r="H105" s="83">
        <v>3.6905699999999998E-3</v>
      </c>
      <c r="I105" s="83">
        <v>5.6966899999999999E-3</v>
      </c>
      <c r="J105" s="83">
        <v>9.5499000000000001E-3</v>
      </c>
      <c r="K105" s="83">
        <v>3.7407899999999999E-3</v>
      </c>
      <c r="L105" s="83">
        <v>5.4761999999999996E-3</v>
      </c>
      <c r="M105" s="83">
        <v>9.5499000000000001E-3</v>
      </c>
      <c r="N105" s="83">
        <v>4.0551399999999996E-3</v>
      </c>
      <c r="O105" s="83">
        <v>5.6118399999999999E-3</v>
      </c>
      <c r="P105" s="83">
        <v>9.5499000000000001E-3</v>
      </c>
      <c r="Q105" s="83">
        <v>4.0251599999999998E-3</v>
      </c>
      <c r="R105" s="83">
        <v>5.5959900000000003E-3</v>
      </c>
      <c r="S105" s="83">
        <v>9.5499000000000001E-3</v>
      </c>
      <c r="T105" s="83">
        <v>3.7775500000000002E-3</v>
      </c>
      <c r="U105" s="83">
        <v>5.6101800000000002E-3</v>
      </c>
      <c r="V105" s="83">
        <v>9.5499000000000001E-3</v>
      </c>
      <c r="W105" s="83">
        <v>3.83235E-3</v>
      </c>
      <c r="X105" s="83">
        <v>5.7495200000000002E-3</v>
      </c>
      <c r="Y105" s="83">
        <v>9.5499000000000001E-3</v>
      </c>
      <c r="Z105" s="83">
        <v>4.0819300000000001E-3</v>
      </c>
      <c r="AA105" s="83">
        <v>5.5905499999999997E-3</v>
      </c>
      <c r="AB105" s="83">
        <v>9.5499000000000001E-3</v>
      </c>
      <c r="AC105" s="83">
        <v>4.1567899999999996E-3</v>
      </c>
      <c r="AD105" s="83">
        <v>5.7011400000000004E-3</v>
      </c>
      <c r="AE105" s="83">
        <v>9.5499000000000001E-3</v>
      </c>
      <c r="AF105" s="83">
        <v>4.0168399999999998E-3</v>
      </c>
      <c r="AG105" s="83">
        <v>5.8008299999999999E-3</v>
      </c>
      <c r="AH105" s="83">
        <v>9.5499000000000001E-3</v>
      </c>
      <c r="AI105" s="83">
        <v>4.0569600000000001E-3</v>
      </c>
      <c r="AJ105" s="83">
        <v>5.7545299999999999E-3</v>
      </c>
      <c r="AK105" s="83">
        <v>9.5499000000000001E-3</v>
      </c>
      <c r="AL105" s="83">
        <v>3.6563699999999999E-3</v>
      </c>
      <c r="AM105" s="83">
        <v>5.7970000000000001E-3</v>
      </c>
      <c r="AN105" s="83">
        <v>9.5499000000000001E-3</v>
      </c>
      <c r="AO105" s="83">
        <v>3.7189300000000001E-3</v>
      </c>
      <c r="AP105" s="83">
        <v>5.5889399999999997E-3</v>
      </c>
      <c r="AQ105" s="83">
        <v>9.5499000000000001E-3</v>
      </c>
      <c r="AR105" s="83">
        <v>3.4439499999999999E-3</v>
      </c>
      <c r="AS105" s="83">
        <v>5.7305500000000001E-3</v>
      </c>
      <c r="AT105" s="83">
        <v>9.5499000000000001E-3</v>
      </c>
      <c r="AU105" s="83">
        <v>3.6409699999999999E-3</v>
      </c>
      <c r="AV105" s="83">
        <v>5.7504000000000001E-3</v>
      </c>
      <c r="AW105" s="83">
        <v>9.5499000000000001E-3</v>
      </c>
      <c r="AX105" s="83">
        <v>3.85717E-3</v>
      </c>
      <c r="AY105" s="83">
        <v>5.8880099999999999E-3</v>
      </c>
      <c r="AZ105" s="83">
        <v>9.5499000000000001E-3</v>
      </c>
      <c r="BA105" s="83">
        <v>3.9541400000000001E-3</v>
      </c>
      <c r="BB105" s="83">
        <v>5.7663599999999999E-3</v>
      </c>
      <c r="BC105" s="83">
        <v>9.5499000000000001E-3</v>
      </c>
      <c r="BD105" s="83">
        <v>3.4677699999999998E-3</v>
      </c>
      <c r="BE105" s="83">
        <v>5.6336499999999996E-3</v>
      </c>
      <c r="BF105" s="83">
        <v>9.5499000000000001E-3</v>
      </c>
      <c r="BG105" s="83">
        <v>3.64709E-3</v>
      </c>
      <c r="BH105" s="83">
        <v>5.7384899999999997E-3</v>
      </c>
      <c r="BI105" s="83">
        <v>9.5499000000000001E-3</v>
      </c>
      <c r="BJ105" s="83">
        <v>3.0149700000000001E-3</v>
      </c>
      <c r="BK105" s="83">
        <v>5.7221399999999997E-3</v>
      </c>
      <c r="BL105" s="83">
        <v>9.5499000000000001E-3</v>
      </c>
      <c r="BM105" s="83">
        <v>3.00659E-3</v>
      </c>
      <c r="BN105" s="83">
        <v>5.6428499999999996E-3</v>
      </c>
      <c r="BO105" s="83">
        <v>9.5499000000000001E-3</v>
      </c>
      <c r="BP105" s="83">
        <v>2.9138900000000001E-3</v>
      </c>
      <c r="BQ105" s="83">
        <v>5.7558100000000001E-3</v>
      </c>
      <c r="BR105" s="83">
        <v>9.5499000000000001E-3</v>
      </c>
      <c r="BS105" s="83">
        <v>2.7567099999999999E-3</v>
      </c>
      <c r="BT105" s="83">
        <v>5.8329599999999999E-3</v>
      </c>
      <c r="BU105" s="83">
        <v>9.5499000000000001E-3</v>
      </c>
      <c r="BV105" s="83">
        <v>3.0581699999999998E-3</v>
      </c>
      <c r="BW105" s="83">
        <v>5.6198300000000001E-3</v>
      </c>
      <c r="BX105" s="83">
        <v>9.5499000000000001E-3</v>
      </c>
      <c r="BY105" s="83">
        <v>2.8277699999999998E-3</v>
      </c>
      <c r="BZ105" s="83">
        <v>5.8111200000000003E-3</v>
      </c>
      <c r="CA105" s="83">
        <v>9.5499000000000001E-3</v>
      </c>
      <c r="CB105" s="83">
        <v>2.9706300000000001E-3</v>
      </c>
      <c r="CC105" s="83">
        <v>5.6838899999999996E-3</v>
      </c>
      <c r="CD105" s="83">
        <v>9.5499000000000001E-3</v>
      </c>
      <c r="CE105" s="83">
        <v>2.5760399999999999E-3</v>
      </c>
      <c r="CF105" s="83">
        <v>5.6346E-3</v>
      </c>
      <c r="CG105" s="83">
        <v>9.5499000000000001E-3</v>
      </c>
      <c r="CH105" s="83">
        <v>2.7617499999999999E-3</v>
      </c>
      <c r="CI105" s="83">
        <v>5.7289400000000001E-3</v>
      </c>
      <c r="CJ105" s="83">
        <v>9.5499000000000001E-3</v>
      </c>
      <c r="CK105" s="83">
        <v>2.8430199999999999E-3</v>
      </c>
      <c r="CL105" s="83">
        <v>5.6230300000000002E-3</v>
      </c>
      <c r="CM105" s="83">
        <v>9.5499000000000001E-3</v>
      </c>
      <c r="CN105" s="83">
        <v>2.6966500000000001E-3</v>
      </c>
      <c r="CO105" s="83">
        <v>5.5519699999999998E-3</v>
      </c>
      <c r="CP105" s="83">
        <v>9.5499000000000001E-3</v>
      </c>
      <c r="CQ105" s="83">
        <v>2.5442500000000001E-3</v>
      </c>
      <c r="CR105" s="83">
        <v>5.6187499999999996E-3</v>
      </c>
      <c r="CS105" s="83">
        <v>9.5499000000000001E-3</v>
      </c>
      <c r="CT105" s="83">
        <v>2.7755700000000002E-3</v>
      </c>
      <c r="CU105" s="83">
        <v>5.6391799999999997E-3</v>
      </c>
      <c r="CV105" s="83">
        <v>9.5499000000000001E-3</v>
      </c>
      <c r="CW105" s="83">
        <v>2.31E-3</v>
      </c>
      <c r="CX105" s="83">
        <v>5.6368099999999999E-3</v>
      </c>
      <c r="CY105" s="83">
        <v>9.5499000000000001E-3</v>
      </c>
      <c r="CZ105" s="83">
        <v>2.43035E-3</v>
      </c>
      <c r="DA105" s="83">
        <v>5.5759299999999998E-3</v>
      </c>
    </row>
    <row r="106" spans="1:105" x14ac:dyDescent="0.2">
      <c r="A106" s="83">
        <v>9.6498999999999995E-3</v>
      </c>
      <c r="B106" s="83">
        <v>3.8648799999999998E-3</v>
      </c>
      <c r="C106" s="83">
        <v>5.3017300000000002E-3</v>
      </c>
      <c r="D106" s="83">
        <v>9.6498999999999995E-3</v>
      </c>
      <c r="E106" s="83">
        <v>3.3726099999999998E-3</v>
      </c>
      <c r="F106" s="83">
        <v>5.3601899999999999E-3</v>
      </c>
      <c r="G106" s="83">
        <v>9.6498999999999995E-3</v>
      </c>
      <c r="H106" s="83">
        <v>3.5694799999999999E-3</v>
      </c>
      <c r="I106" s="83">
        <v>5.4164199999999999E-3</v>
      </c>
      <c r="J106" s="83">
        <v>9.6498999999999995E-3</v>
      </c>
      <c r="K106" s="83">
        <v>3.6841500000000002E-3</v>
      </c>
      <c r="L106" s="83">
        <v>5.2047200000000004E-3</v>
      </c>
      <c r="M106" s="83">
        <v>9.6498999999999995E-3</v>
      </c>
      <c r="N106" s="83">
        <v>3.8227199999999999E-3</v>
      </c>
      <c r="O106" s="83">
        <v>5.3423100000000003E-3</v>
      </c>
      <c r="P106" s="83">
        <v>9.6498999999999995E-3</v>
      </c>
      <c r="Q106" s="83">
        <v>3.89625E-3</v>
      </c>
      <c r="R106" s="83">
        <v>5.3420799999999999E-3</v>
      </c>
      <c r="S106" s="83">
        <v>9.6498999999999995E-3</v>
      </c>
      <c r="T106" s="83">
        <v>3.1779400000000002E-3</v>
      </c>
      <c r="U106" s="83">
        <v>5.3435799999999997E-3</v>
      </c>
      <c r="V106" s="83">
        <v>9.6498999999999995E-3</v>
      </c>
      <c r="W106" s="83">
        <v>3.3772699999999999E-3</v>
      </c>
      <c r="X106" s="83">
        <v>5.4487399999999997E-3</v>
      </c>
      <c r="Y106" s="83">
        <v>9.6498999999999995E-3</v>
      </c>
      <c r="Z106" s="83">
        <v>3.9745099999999997E-3</v>
      </c>
      <c r="AA106" s="83">
        <v>5.3151500000000003E-3</v>
      </c>
      <c r="AB106" s="83">
        <v>9.6498999999999995E-3</v>
      </c>
      <c r="AC106" s="83">
        <v>3.9575699999999997E-3</v>
      </c>
      <c r="AD106" s="83">
        <v>5.4032899999999998E-3</v>
      </c>
      <c r="AE106" s="83">
        <v>9.6498999999999995E-3</v>
      </c>
      <c r="AF106" s="83">
        <v>4.0832400000000001E-3</v>
      </c>
      <c r="AG106" s="83">
        <v>5.5371600000000002E-3</v>
      </c>
      <c r="AH106" s="83">
        <v>9.6498999999999995E-3</v>
      </c>
      <c r="AI106" s="83">
        <v>3.9729800000000001E-3</v>
      </c>
      <c r="AJ106" s="83">
        <v>5.4791400000000004E-3</v>
      </c>
      <c r="AK106" s="83">
        <v>9.6498999999999995E-3</v>
      </c>
      <c r="AL106" s="83">
        <v>3.6973800000000001E-3</v>
      </c>
      <c r="AM106" s="83">
        <v>5.5030499999999998E-3</v>
      </c>
      <c r="AN106" s="83">
        <v>9.6498999999999995E-3</v>
      </c>
      <c r="AO106" s="83">
        <v>4.0021299999999996E-3</v>
      </c>
      <c r="AP106" s="83">
        <v>5.3164800000000002E-3</v>
      </c>
      <c r="AQ106" s="83">
        <v>9.6498999999999995E-3</v>
      </c>
      <c r="AR106" s="83">
        <v>3.3677799999999999E-3</v>
      </c>
      <c r="AS106" s="83">
        <v>5.4502700000000001E-3</v>
      </c>
      <c r="AT106" s="83">
        <v>9.6498999999999995E-3</v>
      </c>
      <c r="AU106" s="83">
        <v>3.27378E-3</v>
      </c>
      <c r="AV106" s="83">
        <v>5.4710999999999996E-3</v>
      </c>
      <c r="AW106" s="83">
        <v>9.6498999999999995E-3</v>
      </c>
      <c r="AX106" s="83">
        <v>3.7223999999999998E-3</v>
      </c>
      <c r="AY106" s="83">
        <v>5.6116400000000002E-3</v>
      </c>
      <c r="AZ106" s="83">
        <v>9.6498999999999995E-3</v>
      </c>
      <c r="BA106" s="83">
        <v>3.1103900000000002E-3</v>
      </c>
      <c r="BB106" s="83">
        <v>5.5017099999999999E-3</v>
      </c>
      <c r="BC106" s="83">
        <v>9.6498999999999995E-3</v>
      </c>
      <c r="BD106" s="83">
        <v>3.0654300000000001E-3</v>
      </c>
      <c r="BE106" s="83">
        <v>5.3524000000000002E-3</v>
      </c>
      <c r="BF106" s="83">
        <v>9.6498999999999995E-3</v>
      </c>
      <c r="BG106" s="83">
        <v>3.0513900000000002E-3</v>
      </c>
      <c r="BH106" s="83">
        <v>5.4572400000000004E-3</v>
      </c>
      <c r="BI106" s="83">
        <v>9.6498999999999995E-3</v>
      </c>
      <c r="BJ106" s="83">
        <v>2.8977899999999999E-3</v>
      </c>
      <c r="BK106" s="83">
        <v>5.4320999999999996E-3</v>
      </c>
      <c r="BL106" s="83">
        <v>9.6498999999999995E-3</v>
      </c>
      <c r="BM106" s="83">
        <v>2.9792400000000002E-3</v>
      </c>
      <c r="BN106" s="83">
        <v>5.35477E-3</v>
      </c>
      <c r="BO106" s="83">
        <v>9.6498999999999995E-3</v>
      </c>
      <c r="BP106" s="83">
        <v>2.52717E-3</v>
      </c>
      <c r="BQ106" s="83">
        <v>5.4628400000000001E-3</v>
      </c>
      <c r="BR106" s="83">
        <v>9.6498999999999995E-3</v>
      </c>
      <c r="BS106" s="83">
        <v>2.7645299999999999E-3</v>
      </c>
      <c r="BT106" s="83">
        <v>5.5487799999999997E-3</v>
      </c>
      <c r="BU106" s="83">
        <v>9.6498999999999995E-3</v>
      </c>
      <c r="BV106" s="83">
        <v>2.9194999999999998E-3</v>
      </c>
      <c r="BW106" s="83">
        <v>5.3551800000000002E-3</v>
      </c>
      <c r="BX106" s="83">
        <v>9.6498999999999995E-3</v>
      </c>
      <c r="BY106" s="83">
        <v>3.0562800000000002E-3</v>
      </c>
      <c r="BZ106" s="83">
        <v>5.5318199999999998E-3</v>
      </c>
      <c r="CA106" s="83">
        <v>9.6498999999999995E-3</v>
      </c>
      <c r="CB106" s="83">
        <v>2.91399E-3</v>
      </c>
      <c r="CC106" s="83">
        <v>5.4241300000000001E-3</v>
      </c>
      <c r="CD106" s="83">
        <v>9.6498999999999995E-3</v>
      </c>
      <c r="CE106" s="83">
        <v>2.3377599999999999E-3</v>
      </c>
      <c r="CF106" s="83">
        <v>5.3514000000000001E-3</v>
      </c>
      <c r="CG106" s="83">
        <v>9.6498999999999995E-3</v>
      </c>
      <c r="CH106" s="83">
        <v>2.5859699999999999E-3</v>
      </c>
      <c r="CI106" s="83">
        <v>5.4379299999999997E-3</v>
      </c>
      <c r="CJ106" s="83">
        <v>9.6498999999999995E-3</v>
      </c>
      <c r="CK106" s="83">
        <v>2.7512299999999999E-3</v>
      </c>
      <c r="CL106" s="83">
        <v>5.36033E-3</v>
      </c>
      <c r="CM106" s="83">
        <v>9.6498999999999995E-3</v>
      </c>
      <c r="CN106" s="83">
        <v>2.5618899999999998E-3</v>
      </c>
      <c r="CO106" s="83">
        <v>5.2990399999999997E-3</v>
      </c>
      <c r="CP106" s="83">
        <v>9.6498999999999995E-3</v>
      </c>
      <c r="CQ106" s="83">
        <v>2.3567499999999999E-3</v>
      </c>
      <c r="CR106" s="83">
        <v>5.3257799999999996E-3</v>
      </c>
      <c r="CS106" s="83">
        <v>9.6498999999999995E-3</v>
      </c>
      <c r="CT106" s="83">
        <v>2.3536999999999998E-3</v>
      </c>
      <c r="CU106" s="83">
        <v>5.3715999999999998E-3</v>
      </c>
      <c r="CV106" s="83">
        <v>9.6498999999999995E-3</v>
      </c>
      <c r="CW106" s="83">
        <v>2.3041400000000001E-3</v>
      </c>
      <c r="CX106" s="83">
        <v>5.3555599999999997E-3</v>
      </c>
      <c r="CY106" s="83">
        <v>9.6498999999999995E-3</v>
      </c>
      <c r="CZ106" s="83">
        <v>2.2174600000000001E-3</v>
      </c>
      <c r="DA106" s="83">
        <v>5.2956599999999998E-3</v>
      </c>
    </row>
    <row r="107" spans="1:105" x14ac:dyDescent="0.2">
      <c r="A107" s="83">
        <v>9.7499000000000006E-3</v>
      </c>
      <c r="B107" s="83">
        <v>3.8707400000000001E-3</v>
      </c>
      <c r="C107" s="83">
        <v>5.0429400000000001E-3</v>
      </c>
      <c r="D107" s="83">
        <v>9.7499000000000006E-3</v>
      </c>
      <c r="E107" s="83">
        <v>3.3960399999999999E-3</v>
      </c>
      <c r="F107" s="83">
        <v>5.0867600000000001E-3</v>
      </c>
      <c r="G107" s="83">
        <v>9.7499000000000006E-3</v>
      </c>
      <c r="H107" s="83">
        <v>3.2589300000000002E-3</v>
      </c>
      <c r="I107" s="83">
        <v>5.1400500000000002E-3</v>
      </c>
      <c r="J107" s="83">
        <v>9.7499000000000006E-3</v>
      </c>
      <c r="K107" s="83">
        <v>3.6333699999999999E-3</v>
      </c>
      <c r="L107" s="83">
        <v>4.9517900000000002E-3</v>
      </c>
      <c r="M107" s="83">
        <v>9.7499000000000006E-3</v>
      </c>
      <c r="N107" s="83">
        <v>3.5453699999999999E-3</v>
      </c>
      <c r="O107" s="83">
        <v>5.0874300000000004E-3</v>
      </c>
      <c r="P107" s="83">
        <v>9.7499000000000006E-3</v>
      </c>
      <c r="Q107" s="83">
        <v>3.4138300000000001E-3</v>
      </c>
      <c r="R107" s="83">
        <v>5.0510599999999996E-3</v>
      </c>
      <c r="S107" s="83">
        <v>9.7499000000000006E-3</v>
      </c>
      <c r="T107" s="83">
        <v>3.18966E-3</v>
      </c>
      <c r="U107" s="83">
        <v>5.0789299999999997E-3</v>
      </c>
      <c r="V107" s="83">
        <v>9.7499000000000006E-3</v>
      </c>
      <c r="W107" s="83">
        <v>3.5374199999999999E-3</v>
      </c>
      <c r="X107" s="83">
        <v>5.1938599999999998E-3</v>
      </c>
      <c r="Y107" s="83">
        <v>9.7499000000000006E-3</v>
      </c>
      <c r="Z107" s="83">
        <v>3.7635699999999999E-3</v>
      </c>
      <c r="AA107" s="83">
        <v>5.0475800000000003E-3</v>
      </c>
      <c r="AB107" s="83">
        <v>9.7499000000000006E-3</v>
      </c>
      <c r="AC107" s="83">
        <v>3.6216400000000002E-3</v>
      </c>
      <c r="AD107" s="83">
        <v>5.1493800000000003E-3</v>
      </c>
      <c r="AE107" s="83">
        <v>9.7499000000000006E-3</v>
      </c>
      <c r="AF107" s="83">
        <v>3.6711299999999999E-3</v>
      </c>
      <c r="AG107" s="83">
        <v>5.2402799999999999E-3</v>
      </c>
      <c r="AH107" s="83">
        <v>9.7499000000000006E-3</v>
      </c>
      <c r="AI107" s="83">
        <v>3.7151699999999998E-3</v>
      </c>
      <c r="AJ107" s="83">
        <v>5.1978900000000001E-3</v>
      </c>
      <c r="AK107" s="83">
        <v>9.7499000000000006E-3</v>
      </c>
      <c r="AL107" s="83">
        <v>3.4844899999999998E-3</v>
      </c>
      <c r="AM107" s="83">
        <v>5.2091100000000003E-3</v>
      </c>
      <c r="AN107" s="83">
        <v>9.7499000000000006E-3</v>
      </c>
      <c r="AO107" s="83">
        <v>3.5587700000000002E-3</v>
      </c>
      <c r="AP107" s="83">
        <v>5.0391400000000001E-3</v>
      </c>
      <c r="AQ107" s="83">
        <v>9.7499000000000006E-3</v>
      </c>
      <c r="AR107" s="83">
        <v>3.1587899999999999E-3</v>
      </c>
      <c r="AS107" s="83">
        <v>5.1768300000000003E-3</v>
      </c>
      <c r="AT107" s="83">
        <v>9.7499000000000006E-3</v>
      </c>
      <c r="AU107" s="83">
        <v>3.0687100000000001E-3</v>
      </c>
      <c r="AV107" s="83">
        <v>5.2113400000000001E-3</v>
      </c>
      <c r="AW107" s="83">
        <v>9.7499000000000006E-3</v>
      </c>
      <c r="AX107" s="83">
        <v>3.3845099999999999E-3</v>
      </c>
      <c r="AY107" s="83">
        <v>5.32746E-3</v>
      </c>
      <c r="AZ107" s="83">
        <v>9.7499000000000006E-3</v>
      </c>
      <c r="BA107" s="83">
        <v>3.3389100000000001E-3</v>
      </c>
      <c r="BB107" s="83">
        <v>5.2116699999999998E-3</v>
      </c>
      <c r="BC107" s="83">
        <v>9.7499000000000006E-3</v>
      </c>
      <c r="BD107" s="83">
        <v>3.0634799999999999E-3</v>
      </c>
      <c r="BE107" s="83">
        <v>5.0897099999999999E-3</v>
      </c>
      <c r="BF107" s="83">
        <v>9.7499000000000006E-3</v>
      </c>
      <c r="BG107" s="83">
        <v>3.0318599999999999E-3</v>
      </c>
      <c r="BH107" s="83">
        <v>5.1730600000000002E-3</v>
      </c>
      <c r="BI107" s="83">
        <v>9.7499000000000006E-3</v>
      </c>
      <c r="BJ107" s="83">
        <v>2.6087200000000001E-3</v>
      </c>
      <c r="BK107" s="83">
        <v>5.1791700000000003E-3</v>
      </c>
      <c r="BL107" s="83">
        <v>9.7499000000000006E-3</v>
      </c>
      <c r="BM107" s="83">
        <v>2.6647900000000002E-3</v>
      </c>
      <c r="BN107" s="83">
        <v>5.0832799999999999E-3</v>
      </c>
      <c r="BO107" s="83">
        <v>9.7499000000000006E-3</v>
      </c>
      <c r="BP107" s="83">
        <v>2.7556799999999999E-3</v>
      </c>
      <c r="BQ107" s="83">
        <v>5.1806100000000004E-3</v>
      </c>
      <c r="BR107" s="83">
        <v>9.7499000000000006E-3</v>
      </c>
      <c r="BS107" s="83">
        <v>2.57507E-3</v>
      </c>
      <c r="BT107" s="83">
        <v>5.2733900000000002E-3</v>
      </c>
      <c r="BU107" s="83">
        <v>9.7499000000000006E-3</v>
      </c>
      <c r="BV107" s="83">
        <v>2.6695E-3</v>
      </c>
      <c r="BW107" s="83">
        <v>5.0836900000000001E-3</v>
      </c>
      <c r="BX107" s="83">
        <v>9.7499000000000006E-3</v>
      </c>
      <c r="BY107" s="83">
        <v>2.5719100000000002E-3</v>
      </c>
      <c r="BZ107" s="83">
        <v>5.2456899999999999E-3</v>
      </c>
      <c r="CA107" s="83">
        <v>9.7499000000000006E-3</v>
      </c>
      <c r="CB107" s="83">
        <v>2.9237600000000001E-3</v>
      </c>
      <c r="CC107" s="83">
        <v>5.1321400000000003E-3</v>
      </c>
      <c r="CD107" s="83">
        <v>9.7499000000000006E-3</v>
      </c>
      <c r="CE107" s="83">
        <v>2.5838499999999999E-3</v>
      </c>
      <c r="CF107" s="83">
        <v>5.0799199999999999E-3</v>
      </c>
      <c r="CG107" s="83">
        <v>9.7499000000000006E-3</v>
      </c>
      <c r="CH107" s="83">
        <v>2.3574500000000001E-3</v>
      </c>
      <c r="CI107" s="83">
        <v>5.2015999999999998E-3</v>
      </c>
      <c r="CJ107" s="83">
        <v>9.7499000000000006E-3</v>
      </c>
      <c r="CK107" s="83">
        <v>2.5012300000000001E-3</v>
      </c>
      <c r="CL107" s="83">
        <v>5.0868900000000002E-3</v>
      </c>
      <c r="CM107" s="83">
        <v>9.7499000000000006E-3</v>
      </c>
      <c r="CN107" s="83">
        <v>2.3216500000000002E-3</v>
      </c>
      <c r="CO107" s="83">
        <v>5.0461100000000004E-3</v>
      </c>
      <c r="CP107" s="83">
        <v>9.7499000000000006E-3</v>
      </c>
      <c r="CQ107" s="83">
        <v>2.2258899999999999E-3</v>
      </c>
      <c r="CR107" s="83">
        <v>5.0787100000000002E-3</v>
      </c>
      <c r="CS107" s="83">
        <v>9.7499000000000006E-3</v>
      </c>
      <c r="CT107" s="83">
        <v>2.3615099999999998E-3</v>
      </c>
      <c r="CU107" s="83">
        <v>5.1079300000000001E-3</v>
      </c>
      <c r="CV107" s="83">
        <v>9.7499000000000006E-3</v>
      </c>
      <c r="CW107" s="83">
        <v>2.40179E-3</v>
      </c>
      <c r="CX107" s="83">
        <v>5.0997100000000004E-3</v>
      </c>
      <c r="CY107" s="83">
        <v>9.7499000000000006E-3</v>
      </c>
      <c r="CZ107" s="83">
        <v>2.2662899999999998E-3</v>
      </c>
      <c r="DA107" s="83">
        <v>5.03784E-3</v>
      </c>
    </row>
    <row r="108" spans="1:105" x14ac:dyDescent="0.2">
      <c r="A108" s="83">
        <v>9.8499E-3</v>
      </c>
      <c r="B108" s="83">
        <v>3.66761E-3</v>
      </c>
      <c r="C108" s="83">
        <v>4.7958699999999998E-3</v>
      </c>
      <c r="D108" s="83">
        <v>9.8499E-3</v>
      </c>
      <c r="E108" s="83">
        <v>3.06011E-3</v>
      </c>
      <c r="F108" s="83">
        <v>4.85922E-3</v>
      </c>
      <c r="G108" s="83">
        <v>9.8499E-3</v>
      </c>
      <c r="H108" s="83">
        <v>3.22573E-3</v>
      </c>
      <c r="I108" s="83">
        <v>4.8773599999999999E-3</v>
      </c>
      <c r="J108" s="83">
        <v>9.8499E-3</v>
      </c>
      <c r="K108" s="83">
        <v>3.2681400000000001E-3</v>
      </c>
      <c r="L108" s="83">
        <v>4.7076499999999999E-3</v>
      </c>
      <c r="M108" s="83">
        <v>9.8499E-3</v>
      </c>
      <c r="N108" s="83">
        <v>3.50826E-3</v>
      </c>
      <c r="O108" s="83">
        <v>4.8305900000000001E-3</v>
      </c>
      <c r="P108" s="83">
        <v>9.8499E-3</v>
      </c>
      <c r="Q108" s="83">
        <v>3.1599200000000001E-3</v>
      </c>
      <c r="R108" s="83">
        <v>4.8069200000000001E-3</v>
      </c>
      <c r="S108" s="83">
        <v>9.8499E-3</v>
      </c>
      <c r="T108" s="83">
        <v>2.8986400000000001E-3</v>
      </c>
      <c r="U108" s="83">
        <v>4.8250200000000002E-3</v>
      </c>
      <c r="V108" s="83">
        <v>9.8499E-3</v>
      </c>
      <c r="W108" s="83">
        <v>3.3362499999999998E-3</v>
      </c>
      <c r="X108" s="83">
        <v>4.9214000000000003E-3</v>
      </c>
      <c r="Y108" s="83">
        <v>9.8499E-3</v>
      </c>
      <c r="Z108" s="83">
        <v>3.0897400000000001E-3</v>
      </c>
      <c r="AA108" s="83">
        <v>4.80344E-3</v>
      </c>
      <c r="AB108" s="83">
        <v>9.8499E-3</v>
      </c>
      <c r="AC108" s="83">
        <v>3.22711E-3</v>
      </c>
      <c r="AD108" s="83">
        <v>4.90231E-3</v>
      </c>
      <c r="AE108" s="83">
        <v>9.8499E-3</v>
      </c>
      <c r="AF108" s="83">
        <v>3.3078500000000002E-3</v>
      </c>
      <c r="AG108" s="83">
        <v>4.9648899999999996E-3</v>
      </c>
      <c r="AH108" s="83">
        <v>9.8499E-3</v>
      </c>
      <c r="AI108" s="83">
        <v>3.40267E-3</v>
      </c>
      <c r="AJ108" s="83">
        <v>4.9478899999999999E-3</v>
      </c>
      <c r="AK108" s="83">
        <v>9.8499E-3</v>
      </c>
      <c r="AL108" s="83">
        <v>3.1309799999999998E-3</v>
      </c>
      <c r="AM108" s="83">
        <v>4.9600800000000004E-3</v>
      </c>
      <c r="AN108" s="83">
        <v>9.8499E-3</v>
      </c>
      <c r="AO108" s="83">
        <v>3.30291E-3</v>
      </c>
      <c r="AP108" s="83">
        <v>4.8047599999999999E-3</v>
      </c>
      <c r="AQ108" s="83">
        <v>9.8499E-3</v>
      </c>
      <c r="AR108" s="83">
        <v>2.7955100000000002E-3</v>
      </c>
      <c r="AS108" s="83">
        <v>4.9131599999999997E-3</v>
      </c>
      <c r="AT108" s="83">
        <v>9.8499E-3</v>
      </c>
      <c r="AU108" s="83">
        <v>2.8616700000000002E-3</v>
      </c>
      <c r="AV108" s="83">
        <v>4.9320400000000004E-3</v>
      </c>
      <c r="AW108" s="83">
        <v>9.8499E-3</v>
      </c>
      <c r="AX108" s="83">
        <v>3.3200600000000001E-3</v>
      </c>
      <c r="AY108" s="83">
        <v>5.0657499999999999E-3</v>
      </c>
      <c r="AZ108" s="83">
        <v>9.8499E-3</v>
      </c>
      <c r="BA108" s="83">
        <v>2.3682E-3</v>
      </c>
      <c r="BB108" s="83">
        <v>4.9489699999999996E-3</v>
      </c>
      <c r="BC108" s="83">
        <v>9.8499E-3</v>
      </c>
      <c r="BD108" s="83">
        <v>2.8994200000000002E-3</v>
      </c>
      <c r="BE108" s="83">
        <v>4.8397099999999997E-3</v>
      </c>
      <c r="BF108" s="83">
        <v>9.8499E-3</v>
      </c>
      <c r="BG108" s="83">
        <v>2.7369400000000002E-3</v>
      </c>
      <c r="BH108" s="83">
        <v>4.9318499999999998E-3</v>
      </c>
      <c r="BI108" s="83">
        <v>9.8499E-3</v>
      </c>
      <c r="BJ108" s="83">
        <v>2.3333300000000002E-3</v>
      </c>
      <c r="BK108" s="83">
        <v>4.9018200000000003E-3</v>
      </c>
      <c r="BL108" s="83">
        <v>9.8499E-3</v>
      </c>
      <c r="BM108" s="83">
        <v>2.4050299999999998E-3</v>
      </c>
      <c r="BN108" s="83">
        <v>4.8430499999999998E-3</v>
      </c>
      <c r="BO108" s="83">
        <v>9.8499E-3</v>
      </c>
      <c r="BP108" s="83">
        <v>2.5701399999999998E-3</v>
      </c>
      <c r="BQ108" s="83">
        <v>4.9208500000000001E-3</v>
      </c>
      <c r="BR108" s="83">
        <v>9.8499E-3</v>
      </c>
      <c r="BS108" s="83">
        <v>2.4403099999999998E-3</v>
      </c>
      <c r="BT108" s="83">
        <v>5.0194799999999998E-3</v>
      </c>
      <c r="BU108" s="83">
        <v>9.8499E-3</v>
      </c>
      <c r="BV108" s="83">
        <v>2.56208E-3</v>
      </c>
      <c r="BW108" s="83">
        <v>4.8415100000000003E-3</v>
      </c>
      <c r="BX108" s="83">
        <v>9.8499E-3</v>
      </c>
      <c r="BY108" s="83">
        <v>2.5543300000000001E-3</v>
      </c>
      <c r="BZ108" s="83">
        <v>5.0035000000000001E-3</v>
      </c>
      <c r="CA108" s="83">
        <v>9.8499E-3</v>
      </c>
      <c r="CB108" s="83">
        <v>2.6561800000000002E-3</v>
      </c>
      <c r="CC108" s="83">
        <v>4.8704200000000003E-3</v>
      </c>
      <c r="CD108" s="83">
        <v>9.8499E-3</v>
      </c>
      <c r="CE108" s="83">
        <v>2.16198E-3</v>
      </c>
      <c r="CF108" s="83">
        <v>4.8426099999999998E-3</v>
      </c>
      <c r="CG108" s="83">
        <v>9.8499E-3</v>
      </c>
      <c r="CH108" s="83">
        <v>1.9629199999999999E-3</v>
      </c>
      <c r="CI108" s="83">
        <v>4.9252300000000001E-3</v>
      </c>
      <c r="CJ108" s="83">
        <v>9.8499E-3</v>
      </c>
      <c r="CK108" s="83">
        <v>2.3918500000000001E-3</v>
      </c>
      <c r="CL108" s="83">
        <v>4.8359199999999996E-3</v>
      </c>
      <c r="CM108" s="83">
        <v>9.8499E-3</v>
      </c>
      <c r="CN108" s="83">
        <v>1.8704800000000001E-3</v>
      </c>
      <c r="CO108" s="83">
        <v>4.7795099999999998E-3</v>
      </c>
      <c r="CP108" s="83">
        <v>9.8499E-3</v>
      </c>
      <c r="CQ108" s="83">
        <v>2.0403399999999999E-3</v>
      </c>
      <c r="CR108" s="83">
        <v>4.8169900000000002E-3</v>
      </c>
      <c r="CS108" s="83">
        <v>9.8499E-3</v>
      </c>
      <c r="CT108" s="83">
        <v>1.86542E-3</v>
      </c>
      <c r="CU108" s="83">
        <v>4.84914E-3</v>
      </c>
      <c r="CV108" s="83">
        <v>9.8499E-3</v>
      </c>
      <c r="CW108" s="83">
        <v>1.9232800000000001E-3</v>
      </c>
      <c r="CX108" s="83">
        <v>4.8204099999999998E-3</v>
      </c>
      <c r="CY108" s="83">
        <v>9.8499E-3</v>
      </c>
      <c r="CZ108" s="83">
        <v>1.88543E-3</v>
      </c>
      <c r="DA108" s="83">
        <v>4.7771000000000003E-3</v>
      </c>
    </row>
    <row r="109" spans="1:105" x14ac:dyDescent="0.2">
      <c r="A109" s="83">
        <v>9.9498999999999994E-3</v>
      </c>
      <c r="B109" s="83">
        <v>3.5445699999999999E-3</v>
      </c>
      <c r="C109" s="83">
        <v>4.5312199999999999E-3</v>
      </c>
      <c r="D109" s="83">
        <v>9.9498999999999994E-3</v>
      </c>
      <c r="E109" s="83">
        <v>2.87456E-3</v>
      </c>
      <c r="F109" s="83">
        <v>4.5945700000000001E-3</v>
      </c>
      <c r="G109" s="83">
        <v>9.9498999999999994E-3</v>
      </c>
      <c r="H109" s="83">
        <v>2.7765099999999998E-3</v>
      </c>
      <c r="I109" s="83">
        <v>4.6195400000000001E-3</v>
      </c>
      <c r="J109" s="83">
        <v>9.9498999999999994E-3</v>
      </c>
      <c r="K109" s="83">
        <v>3.0571999999999999E-3</v>
      </c>
      <c r="L109" s="83">
        <v>4.4654600000000001E-3</v>
      </c>
      <c r="M109" s="83">
        <v>9.9498999999999994E-3</v>
      </c>
      <c r="N109" s="83">
        <v>2.9965399999999998E-3</v>
      </c>
      <c r="O109" s="83">
        <v>4.5893799999999997E-3</v>
      </c>
      <c r="P109" s="83">
        <v>9.9498999999999994E-3</v>
      </c>
      <c r="Q109" s="83">
        <v>3.2361E-3</v>
      </c>
      <c r="R109" s="83">
        <v>4.5735200000000002E-3</v>
      </c>
      <c r="S109" s="83">
        <v>9.9498999999999994E-3</v>
      </c>
      <c r="T109" s="83">
        <v>2.92012E-3</v>
      </c>
      <c r="U109" s="83">
        <v>4.5603700000000002E-3</v>
      </c>
      <c r="V109" s="83">
        <v>9.9498999999999994E-3</v>
      </c>
      <c r="W109" s="83">
        <v>3.1428900000000002E-3</v>
      </c>
      <c r="X109" s="83">
        <v>4.6753000000000003E-3</v>
      </c>
      <c r="Y109" s="83">
        <v>9.9498999999999994E-3</v>
      </c>
      <c r="Z109" s="83">
        <v>2.8866199999999999E-3</v>
      </c>
      <c r="AA109" s="83">
        <v>4.5680800000000004E-3</v>
      </c>
      <c r="AB109" s="83">
        <v>9.9498999999999994E-3</v>
      </c>
      <c r="AC109" s="83">
        <v>3.22515E-3</v>
      </c>
      <c r="AD109" s="83">
        <v>4.6396199999999997E-3</v>
      </c>
      <c r="AE109" s="83">
        <v>9.9498999999999994E-3</v>
      </c>
      <c r="AF109" s="83">
        <v>2.8957399999999999E-3</v>
      </c>
      <c r="AG109" s="83">
        <v>4.7373500000000004E-3</v>
      </c>
      <c r="AH109" s="83">
        <v>9.9498999999999994E-3</v>
      </c>
      <c r="AI109" s="83">
        <v>3.2893900000000001E-3</v>
      </c>
      <c r="AJ109" s="83">
        <v>4.6763999999999998E-3</v>
      </c>
      <c r="AK109" s="83">
        <v>9.9498999999999994E-3</v>
      </c>
      <c r="AL109" s="83">
        <v>2.7051900000000001E-3</v>
      </c>
      <c r="AM109" s="83">
        <v>4.7257100000000002E-3</v>
      </c>
      <c r="AN109" s="83">
        <v>9.9498999999999994E-3</v>
      </c>
      <c r="AO109" s="83">
        <v>2.9806500000000001E-3</v>
      </c>
      <c r="AP109" s="83">
        <v>4.56844E-3</v>
      </c>
      <c r="AQ109" s="83">
        <v>9.9498999999999994E-3</v>
      </c>
      <c r="AR109" s="83">
        <v>2.93809E-3</v>
      </c>
      <c r="AS109" s="83">
        <v>4.6582799999999999E-3</v>
      </c>
      <c r="AT109" s="83">
        <v>9.9498999999999994E-3</v>
      </c>
      <c r="AU109" s="83">
        <v>2.5257399999999998E-3</v>
      </c>
      <c r="AV109" s="83">
        <v>4.67813E-3</v>
      </c>
      <c r="AW109" s="83">
        <v>9.9498999999999994E-3</v>
      </c>
      <c r="AX109" s="83">
        <v>3.2145899999999998E-3</v>
      </c>
      <c r="AY109" s="83">
        <v>4.8333200000000003E-3</v>
      </c>
      <c r="AZ109" s="83">
        <v>9.9498999999999994E-3</v>
      </c>
      <c r="BA109" s="83">
        <v>2.5439899999999999E-3</v>
      </c>
      <c r="BB109" s="83">
        <v>4.6940899999999997E-3</v>
      </c>
      <c r="BC109" s="83">
        <v>9.9498999999999994E-3</v>
      </c>
      <c r="BD109" s="83">
        <v>2.9130900000000001E-3</v>
      </c>
      <c r="BE109" s="83">
        <v>4.6082600000000003E-3</v>
      </c>
      <c r="BF109" s="83">
        <v>9.9498999999999994E-3</v>
      </c>
      <c r="BG109" s="83">
        <v>2.7681899999999998E-3</v>
      </c>
      <c r="BH109" s="83">
        <v>4.6867300000000001E-3</v>
      </c>
      <c r="BI109" s="83">
        <v>9.9498999999999994E-3</v>
      </c>
      <c r="BJ109" s="83">
        <v>2.1009100000000001E-3</v>
      </c>
      <c r="BK109" s="83">
        <v>4.65768E-3</v>
      </c>
      <c r="BL109" s="83">
        <v>9.9498999999999994E-3</v>
      </c>
      <c r="BM109" s="83">
        <v>2.18432E-3</v>
      </c>
      <c r="BN109" s="83">
        <v>4.6028199999999997E-3</v>
      </c>
      <c r="BO109" s="83">
        <v>9.9498999999999994E-3</v>
      </c>
      <c r="BP109" s="83">
        <v>2.6131100000000001E-3</v>
      </c>
      <c r="BQ109" s="83">
        <v>4.7001400000000002E-3</v>
      </c>
      <c r="BR109" s="83">
        <v>9.9498999999999994E-3</v>
      </c>
      <c r="BS109" s="83">
        <v>2.3075000000000001E-3</v>
      </c>
      <c r="BT109" s="83">
        <v>4.7626400000000003E-3</v>
      </c>
      <c r="BU109" s="83">
        <v>9.9498999999999994E-3</v>
      </c>
      <c r="BV109" s="83">
        <v>2.08552E-3</v>
      </c>
      <c r="BW109" s="83">
        <v>4.5875999999999998E-3</v>
      </c>
      <c r="BX109" s="83">
        <v>9.9498999999999994E-3</v>
      </c>
      <c r="BY109" s="83">
        <v>2.1480800000000001E-3</v>
      </c>
      <c r="BZ109" s="83">
        <v>4.7368999999999996E-3</v>
      </c>
      <c r="CA109" s="83">
        <v>9.9498999999999994E-3</v>
      </c>
      <c r="CB109" s="83">
        <v>2.2186799999999998E-3</v>
      </c>
      <c r="CC109" s="83">
        <v>4.6243200000000003E-3</v>
      </c>
      <c r="CD109" s="83">
        <v>9.9498999999999994E-3</v>
      </c>
      <c r="CE109" s="83">
        <v>1.91979E-3</v>
      </c>
      <c r="CF109" s="83">
        <v>4.5896799999999996E-3</v>
      </c>
      <c r="CG109" s="83">
        <v>9.9498999999999994E-3</v>
      </c>
      <c r="CH109" s="83">
        <v>2.3125300000000001E-3</v>
      </c>
      <c r="CI109" s="83">
        <v>4.6810899999999997E-3</v>
      </c>
      <c r="CJ109" s="83">
        <v>9.9498999999999994E-3</v>
      </c>
      <c r="CK109" s="83">
        <v>2.4152900000000001E-3</v>
      </c>
      <c r="CL109" s="83">
        <v>4.5986100000000004E-3</v>
      </c>
      <c r="CM109" s="83">
        <v>9.9498999999999994E-3</v>
      </c>
      <c r="CN109" s="83">
        <v>2.07165E-3</v>
      </c>
      <c r="CO109" s="83">
        <v>4.5373200000000001E-3</v>
      </c>
      <c r="CP109" s="83">
        <v>9.9498999999999994E-3</v>
      </c>
      <c r="CQ109" s="83">
        <v>2.0442500000000001E-3</v>
      </c>
      <c r="CR109" s="83">
        <v>4.5679700000000002E-3</v>
      </c>
      <c r="CS109" s="83">
        <v>9.9498999999999994E-3</v>
      </c>
      <c r="CT109" s="83">
        <v>2.0841700000000002E-3</v>
      </c>
      <c r="CU109" s="83">
        <v>4.60598E-3</v>
      </c>
      <c r="CV109" s="83">
        <v>9.9498999999999994E-3</v>
      </c>
      <c r="CW109" s="83">
        <v>1.7572600000000001E-3</v>
      </c>
      <c r="CX109" s="83">
        <v>4.5948200000000003E-3</v>
      </c>
      <c r="CY109" s="83">
        <v>9.9498999999999994E-3</v>
      </c>
      <c r="CZ109" s="83">
        <v>2.0104300000000001E-3</v>
      </c>
      <c r="DA109" s="83">
        <v>4.5544499999999998E-3</v>
      </c>
    </row>
    <row r="110" spans="1:105" x14ac:dyDescent="0.2">
      <c r="A110" s="83">
        <v>1.00499E-2</v>
      </c>
      <c r="B110" s="83">
        <v>3.0523799999999999E-3</v>
      </c>
      <c r="C110" s="83">
        <v>4.32907E-3</v>
      </c>
      <c r="D110" s="83">
        <v>1.00499E-2</v>
      </c>
      <c r="E110" s="83">
        <v>2.28276E-3</v>
      </c>
      <c r="F110" s="83">
        <v>4.3474999999999998E-3</v>
      </c>
      <c r="G110" s="83">
        <v>1.00499E-2</v>
      </c>
      <c r="H110" s="83">
        <v>2.9269000000000001E-3</v>
      </c>
      <c r="I110" s="83">
        <v>4.4115400000000003E-3</v>
      </c>
      <c r="J110" s="83">
        <v>1.00499E-2</v>
      </c>
      <c r="K110" s="83">
        <v>2.5943099999999998E-3</v>
      </c>
      <c r="L110" s="83">
        <v>4.2496399999999998E-3</v>
      </c>
      <c r="M110" s="83">
        <v>1.00499E-2</v>
      </c>
      <c r="N110" s="83">
        <v>3.5727200000000001E-3</v>
      </c>
      <c r="O110" s="83">
        <v>4.3589099999999997E-3</v>
      </c>
      <c r="P110" s="83">
        <v>1.00499E-2</v>
      </c>
      <c r="Q110" s="83">
        <v>2.5837500000000001E-3</v>
      </c>
      <c r="R110" s="83">
        <v>4.3274300000000002E-3</v>
      </c>
      <c r="S110" s="83">
        <v>1.00499E-2</v>
      </c>
      <c r="T110" s="83">
        <v>2.6876999999999999E-3</v>
      </c>
      <c r="U110" s="83">
        <v>4.3484600000000002E-3</v>
      </c>
      <c r="V110" s="83">
        <v>1.00499E-2</v>
      </c>
      <c r="W110" s="83">
        <v>2.9944500000000001E-3</v>
      </c>
      <c r="X110" s="83">
        <v>4.4741299999999998E-3</v>
      </c>
      <c r="Y110" s="83">
        <v>1.00499E-2</v>
      </c>
      <c r="Z110" s="83">
        <v>3.0057600000000001E-3</v>
      </c>
      <c r="AA110" s="83">
        <v>4.3395700000000001E-3</v>
      </c>
      <c r="AB110" s="83">
        <v>1.00499E-2</v>
      </c>
      <c r="AC110" s="83">
        <v>2.8970300000000001E-3</v>
      </c>
      <c r="AD110" s="83">
        <v>4.4218399999999998E-3</v>
      </c>
      <c r="AE110" s="83">
        <v>1.00499E-2</v>
      </c>
      <c r="AF110" s="83">
        <v>2.6516000000000001E-3</v>
      </c>
      <c r="AG110" s="83">
        <v>4.4951599999999998E-3</v>
      </c>
      <c r="AH110" s="83">
        <v>1.00499E-2</v>
      </c>
      <c r="AI110" s="83">
        <v>3.2210300000000002E-3</v>
      </c>
      <c r="AJ110" s="83">
        <v>4.4644899999999998E-3</v>
      </c>
      <c r="AK110" s="83">
        <v>1.00499E-2</v>
      </c>
      <c r="AL110" s="83">
        <v>2.51184E-3</v>
      </c>
      <c r="AM110" s="83">
        <v>4.4932799999999997E-3</v>
      </c>
      <c r="AN110" s="83">
        <v>1.00499E-2</v>
      </c>
      <c r="AO110" s="83">
        <v>2.6075999999999998E-3</v>
      </c>
      <c r="AP110" s="83">
        <v>4.32527E-3</v>
      </c>
      <c r="AQ110" s="83">
        <v>1.00499E-2</v>
      </c>
      <c r="AR110" s="83">
        <v>2.6607499999999999E-3</v>
      </c>
      <c r="AS110" s="83">
        <v>4.4238999999999997E-3</v>
      </c>
      <c r="AT110" s="83">
        <v>1.00499E-2</v>
      </c>
      <c r="AU110" s="83">
        <v>2.2151900000000001E-3</v>
      </c>
      <c r="AV110" s="83">
        <v>4.4642700000000002E-3</v>
      </c>
      <c r="AW110" s="83">
        <v>1.00499E-2</v>
      </c>
      <c r="AX110" s="83">
        <v>3.0974000000000002E-3</v>
      </c>
      <c r="AY110" s="83">
        <v>4.53938E-3</v>
      </c>
      <c r="AZ110" s="83">
        <v>1.00499E-2</v>
      </c>
      <c r="BA110" s="83">
        <v>2.1670299999999999E-3</v>
      </c>
      <c r="BB110" s="83">
        <v>4.4782700000000003E-3</v>
      </c>
      <c r="BC110" s="83">
        <v>1.00499E-2</v>
      </c>
      <c r="BD110" s="83">
        <v>2.3994200000000002E-3</v>
      </c>
      <c r="BE110" s="83">
        <v>4.3689999999999996E-3</v>
      </c>
      <c r="BF110" s="83">
        <v>1.00499E-2</v>
      </c>
      <c r="BG110" s="83">
        <v>2.4986600000000002E-3</v>
      </c>
      <c r="BH110" s="83">
        <v>4.44064E-3</v>
      </c>
      <c r="BI110" s="83">
        <v>1.00499E-2</v>
      </c>
      <c r="BJ110" s="83">
        <v>2.3040399999999998E-3</v>
      </c>
      <c r="BK110" s="83">
        <v>4.4194000000000004E-3</v>
      </c>
      <c r="BL110" s="83">
        <v>1.00499E-2</v>
      </c>
      <c r="BM110" s="83">
        <v>2.81518E-3</v>
      </c>
      <c r="BN110" s="83">
        <v>4.37039E-3</v>
      </c>
      <c r="BO110" s="83">
        <v>1.00499E-2</v>
      </c>
      <c r="BP110" s="83">
        <v>2.4822500000000001E-3</v>
      </c>
      <c r="BQ110" s="83">
        <v>4.4374499999999999E-3</v>
      </c>
      <c r="BR110" s="83">
        <v>1.00499E-2</v>
      </c>
      <c r="BS110" s="83">
        <v>2.1727299999999999E-3</v>
      </c>
      <c r="BT110" s="83">
        <v>4.5312E-3</v>
      </c>
      <c r="BU110" s="83">
        <v>1.00499E-2</v>
      </c>
      <c r="BV110" s="83">
        <v>1.9878600000000001E-3</v>
      </c>
      <c r="BW110" s="83">
        <v>4.3571299999999999E-3</v>
      </c>
      <c r="BX110" s="83">
        <v>1.00499E-2</v>
      </c>
      <c r="BY110" s="83">
        <v>2.14613E-3</v>
      </c>
      <c r="BZ110" s="83">
        <v>4.4966600000000004E-3</v>
      </c>
      <c r="CA110" s="83">
        <v>1.00499E-2</v>
      </c>
      <c r="CB110" s="83">
        <v>2.1346899999999999E-3</v>
      </c>
      <c r="CC110" s="83">
        <v>4.39581E-3</v>
      </c>
      <c r="CD110" s="83">
        <v>1.00499E-2</v>
      </c>
      <c r="CE110" s="83">
        <v>2.4041599999999998E-3</v>
      </c>
      <c r="CF110" s="83">
        <v>4.35433E-3</v>
      </c>
      <c r="CG110" s="83">
        <v>1.00499E-2</v>
      </c>
      <c r="CH110" s="83">
        <v>2.0527700000000002E-3</v>
      </c>
      <c r="CI110" s="83">
        <v>4.43597E-3</v>
      </c>
      <c r="CJ110" s="83">
        <v>1.00499E-2</v>
      </c>
      <c r="CK110" s="83">
        <v>2.27662E-3</v>
      </c>
      <c r="CL110" s="83">
        <v>4.3505599999999998E-3</v>
      </c>
      <c r="CM110" s="83">
        <v>1.00499E-2</v>
      </c>
      <c r="CN110" s="83">
        <v>2.0579800000000001E-3</v>
      </c>
      <c r="CO110" s="83">
        <v>4.3176000000000004E-3</v>
      </c>
      <c r="CP110" s="83">
        <v>1.00499E-2</v>
      </c>
      <c r="CQ110" s="83">
        <v>2.0755000000000001E-3</v>
      </c>
      <c r="CR110" s="83">
        <v>4.3287100000000004E-3</v>
      </c>
      <c r="CS110" s="83">
        <v>1.00499E-2</v>
      </c>
      <c r="CT110" s="83">
        <v>2.1525300000000002E-3</v>
      </c>
      <c r="CU110" s="83">
        <v>4.3667200000000002E-3</v>
      </c>
      <c r="CV110" s="83">
        <v>1.00499E-2</v>
      </c>
      <c r="CW110" s="83">
        <v>1.5307000000000001E-3</v>
      </c>
      <c r="CX110" s="83">
        <v>4.3565399999999999E-3</v>
      </c>
      <c r="CY110" s="83">
        <v>1.00499E-2</v>
      </c>
      <c r="CZ110" s="83">
        <v>2.0377699999999999E-3</v>
      </c>
      <c r="DA110" s="83">
        <v>4.3181199999999999E-3</v>
      </c>
    </row>
    <row r="111" spans="1:105" x14ac:dyDescent="0.2">
      <c r="A111" s="83">
        <v>1.01499E-2</v>
      </c>
      <c r="B111" s="83">
        <v>2.7633200000000001E-3</v>
      </c>
      <c r="C111" s="83">
        <v>4.1064099999999996E-3</v>
      </c>
      <c r="D111" s="83">
        <v>1.01499E-2</v>
      </c>
      <c r="E111" s="83">
        <v>2.4605E-3</v>
      </c>
      <c r="F111" s="83">
        <v>4.1140999999999999E-3</v>
      </c>
      <c r="G111" s="83">
        <v>1.01499E-2</v>
      </c>
      <c r="H111" s="83">
        <v>2.5597200000000001E-3</v>
      </c>
      <c r="I111" s="83">
        <v>4.1888799999999999E-3</v>
      </c>
      <c r="J111" s="83">
        <v>1.01499E-2</v>
      </c>
      <c r="K111" s="83">
        <v>2.6157900000000002E-3</v>
      </c>
      <c r="L111" s="83">
        <v>4.0328500000000001E-3</v>
      </c>
      <c r="M111" s="83">
        <v>1.01499E-2</v>
      </c>
      <c r="N111" s="83">
        <v>2.90865E-3</v>
      </c>
      <c r="O111" s="83">
        <v>4.1499299999999996E-3</v>
      </c>
      <c r="P111" s="83">
        <v>1.01499E-2</v>
      </c>
      <c r="Q111" s="83">
        <v>2.4626600000000002E-3</v>
      </c>
      <c r="R111" s="83">
        <v>4.0920799999999997E-3</v>
      </c>
      <c r="S111" s="83">
        <v>1.01499E-2</v>
      </c>
      <c r="T111" s="83">
        <v>2.6349699999999999E-3</v>
      </c>
      <c r="U111" s="83">
        <v>4.1131099999999997E-3</v>
      </c>
      <c r="V111" s="83">
        <v>1.01499E-2</v>
      </c>
      <c r="W111" s="83">
        <v>2.47883E-3</v>
      </c>
      <c r="X111" s="83">
        <v>4.2172900000000003E-3</v>
      </c>
      <c r="Y111" s="83">
        <v>1.01499E-2</v>
      </c>
      <c r="Z111" s="83">
        <v>2.8866199999999999E-3</v>
      </c>
      <c r="AA111" s="83">
        <v>4.1071500000000004E-3</v>
      </c>
      <c r="AB111" s="83">
        <v>1.01499E-2</v>
      </c>
      <c r="AC111" s="83">
        <v>3.1079699999999998E-3</v>
      </c>
      <c r="AD111" s="83">
        <v>4.1708700000000001E-3</v>
      </c>
      <c r="AE111" s="83">
        <v>1.01499E-2</v>
      </c>
      <c r="AF111" s="83">
        <v>2.7844200000000001E-3</v>
      </c>
      <c r="AG111" s="83">
        <v>4.2519999999999997E-3</v>
      </c>
      <c r="AH111" s="83">
        <v>1.01499E-2</v>
      </c>
      <c r="AI111" s="83">
        <v>3.0608699999999998E-3</v>
      </c>
      <c r="AJ111" s="83">
        <v>4.2262100000000002E-3</v>
      </c>
      <c r="AK111" s="83">
        <v>1.01499E-2</v>
      </c>
      <c r="AL111" s="83">
        <v>2.1407399999999999E-3</v>
      </c>
      <c r="AM111" s="83">
        <v>4.2510999999999998E-3</v>
      </c>
      <c r="AN111" s="83">
        <v>1.01499E-2</v>
      </c>
      <c r="AO111" s="83">
        <v>2.50994E-3</v>
      </c>
      <c r="AP111" s="83">
        <v>4.1133599999999999E-3</v>
      </c>
      <c r="AQ111" s="83">
        <v>1.01499E-2</v>
      </c>
      <c r="AR111" s="83">
        <v>2.3912199999999999E-3</v>
      </c>
      <c r="AS111" s="83">
        <v>4.1953900000000002E-3</v>
      </c>
      <c r="AT111" s="83">
        <v>1.01499E-2</v>
      </c>
      <c r="AU111" s="83">
        <v>2.0472200000000002E-3</v>
      </c>
      <c r="AV111" s="83">
        <v>4.2269600000000001E-3</v>
      </c>
      <c r="AW111" s="83">
        <v>1.01499E-2</v>
      </c>
      <c r="AX111" s="83">
        <v>2.6735700000000001E-3</v>
      </c>
      <c r="AY111" s="83">
        <v>4.3382100000000003E-3</v>
      </c>
      <c r="AZ111" s="83">
        <v>1.01499E-2</v>
      </c>
      <c r="BA111" s="83">
        <v>2.0654699999999998E-3</v>
      </c>
      <c r="BB111" s="83">
        <v>4.23706E-3</v>
      </c>
      <c r="BC111" s="83">
        <v>1.01499E-2</v>
      </c>
      <c r="BD111" s="83">
        <v>2.41113E-3</v>
      </c>
      <c r="BE111" s="83">
        <v>4.1473200000000003E-3</v>
      </c>
      <c r="BF111" s="83">
        <v>1.01499E-2</v>
      </c>
      <c r="BG111" s="83">
        <v>2.22522E-3</v>
      </c>
      <c r="BH111" s="83">
        <v>4.2218899999999998E-3</v>
      </c>
      <c r="BI111" s="83">
        <v>1.01499E-2</v>
      </c>
      <c r="BJ111" s="83">
        <v>2.4290399999999999E-3</v>
      </c>
      <c r="BK111" s="83">
        <v>4.1986999999999997E-3</v>
      </c>
      <c r="BL111" s="83">
        <v>1.01499E-2</v>
      </c>
      <c r="BM111" s="83">
        <v>2.2956500000000002E-3</v>
      </c>
      <c r="BN111" s="83">
        <v>4.1516399999999998E-3</v>
      </c>
      <c r="BO111" s="83">
        <v>1.01499E-2</v>
      </c>
      <c r="BP111" s="83">
        <v>1.8142799999999999E-3</v>
      </c>
      <c r="BQ111" s="83">
        <v>4.2294400000000001E-3</v>
      </c>
      <c r="BR111" s="83">
        <v>1.01499E-2</v>
      </c>
      <c r="BS111" s="83">
        <v>2.1766400000000001E-3</v>
      </c>
      <c r="BT111" s="83">
        <v>4.2958500000000004E-3</v>
      </c>
      <c r="BU111" s="83">
        <v>1.01499E-2</v>
      </c>
      <c r="BV111" s="83">
        <v>2.0659900000000002E-3</v>
      </c>
      <c r="BW111" s="83">
        <v>4.1305700000000001E-3</v>
      </c>
      <c r="BX111" s="83">
        <v>1.01499E-2</v>
      </c>
      <c r="BY111" s="83">
        <v>2.03089E-3</v>
      </c>
      <c r="BZ111" s="83">
        <v>4.2574099999999997E-3</v>
      </c>
      <c r="CA111" s="83">
        <v>1.01499E-2</v>
      </c>
      <c r="CB111" s="83">
        <v>2.3475800000000002E-3</v>
      </c>
      <c r="CC111" s="83">
        <v>4.1565500000000002E-3</v>
      </c>
      <c r="CD111" s="83">
        <v>1.01499E-2</v>
      </c>
      <c r="CE111" s="83">
        <v>2.13854E-3</v>
      </c>
      <c r="CF111" s="83">
        <v>4.1346000000000004E-3</v>
      </c>
      <c r="CG111" s="83">
        <v>1.01499E-2</v>
      </c>
      <c r="CH111" s="83">
        <v>1.94925E-3</v>
      </c>
      <c r="CI111" s="83">
        <v>4.2299199999999999E-3</v>
      </c>
      <c r="CJ111" s="83">
        <v>1.01499E-2</v>
      </c>
      <c r="CK111" s="83">
        <v>2.1438E-3</v>
      </c>
      <c r="CL111" s="83">
        <v>4.1337700000000002E-3</v>
      </c>
      <c r="CM111" s="83">
        <v>1.01499E-2</v>
      </c>
      <c r="CN111" s="83">
        <v>2.1126700000000001E-3</v>
      </c>
      <c r="CO111" s="83">
        <v>4.0724799999999999E-3</v>
      </c>
      <c r="CP111" s="83">
        <v>1.01499E-2</v>
      </c>
      <c r="CQ111" s="83">
        <v>1.6829200000000001E-3</v>
      </c>
      <c r="CR111" s="83">
        <v>4.0992199999999998E-3</v>
      </c>
      <c r="CS111" s="83">
        <v>1.01499E-2</v>
      </c>
      <c r="CT111" s="83">
        <v>1.8243999999999999E-3</v>
      </c>
      <c r="CU111" s="83">
        <v>4.1430900000000003E-3</v>
      </c>
      <c r="CV111" s="83">
        <v>1.01499E-2</v>
      </c>
      <c r="CW111" s="83">
        <v>1.6654700000000001E-3</v>
      </c>
      <c r="CX111" s="83">
        <v>4.1299800000000001E-3</v>
      </c>
      <c r="CY111" s="83">
        <v>1.01499E-2</v>
      </c>
      <c r="CZ111" s="83">
        <v>1.5221499999999999E-3</v>
      </c>
      <c r="DA111" s="83">
        <v>4.0915600000000002E-3</v>
      </c>
    </row>
    <row r="112" spans="1:105" x14ac:dyDescent="0.2">
      <c r="A112" s="83">
        <v>1.0249899999999999E-2</v>
      </c>
      <c r="B112" s="83">
        <v>2.99965E-3</v>
      </c>
      <c r="C112" s="83">
        <v>3.9091500000000001E-3</v>
      </c>
      <c r="D112" s="83">
        <v>1.0249899999999999E-2</v>
      </c>
      <c r="E112" s="83">
        <v>2.2866700000000002E-3</v>
      </c>
      <c r="F112" s="83">
        <v>3.9080499999999997E-3</v>
      </c>
      <c r="G112" s="83">
        <v>1.0249899999999999E-2</v>
      </c>
      <c r="H112" s="83">
        <v>1.9288599999999999E-3</v>
      </c>
      <c r="I112" s="83">
        <v>3.9593900000000001E-3</v>
      </c>
      <c r="J112" s="83">
        <v>1.0249899999999999E-2</v>
      </c>
      <c r="K112" s="83">
        <v>2.48884E-3</v>
      </c>
      <c r="L112" s="83">
        <v>3.8004200000000001E-3</v>
      </c>
      <c r="M112" s="83">
        <v>1.0249899999999999E-2</v>
      </c>
      <c r="N112" s="83">
        <v>2.64693E-3</v>
      </c>
      <c r="O112" s="83">
        <v>3.9321499999999997E-3</v>
      </c>
      <c r="P112" s="83">
        <v>1.0249899999999999E-2</v>
      </c>
      <c r="Q112" s="83">
        <v>2.3454700000000001E-3</v>
      </c>
      <c r="R112" s="83">
        <v>3.9114099999999997E-3</v>
      </c>
      <c r="S112" s="83">
        <v>1.0249899999999999E-2</v>
      </c>
      <c r="T112" s="83">
        <v>2.3302800000000001E-3</v>
      </c>
      <c r="U112" s="83">
        <v>3.9050999999999999E-3</v>
      </c>
      <c r="V112" s="83">
        <v>1.0249899999999999E-2</v>
      </c>
      <c r="W112" s="83">
        <v>2.3499200000000001E-3</v>
      </c>
      <c r="X112" s="83">
        <v>3.9985400000000001E-3</v>
      </c>
      <c r="Y112" s="83">
        <v>1.0249899999999999E-2</v>
      </c>
      <c r="Z112" s="83">
        <v>2.5780199999999999E-3</v>
      </c>
      <c r="AA112" s="83">
        <v>3.9040199999999998E-3</v>
      </c>
      <c r="AB112" s="83">
        <v>1.0249899999999999E-2</v>
      </c>
      <c r="AC112" s="83">
        <v>2.7974200000000001E-3</v>
      </c>
      <c r="AD112" s="83">
        <v>3.9745800000000001E-3</v>
      </c>
      <c r="AE112" s="83">
        <v>1.0249899999999999E-2</v>
      </c>
      <c r="AF112" s="83">
        <v>2.76684E-3</v>
      </c>
      <c r="AG112" s="83">
        <v>4.0361800000000003E-3</v>
      </c>
      <c r="AH112" s="83">
        <v>1.0249899999999999E-2</v>
      </c>
      <c r="AI112" s="83">
        <v>2.6878200000000001E-3</v>
      </c>
      <c r="AJ112" s="83">
        <v>4.0045300000000001E-3</v>
      </c>
      <c r="AK112" s="83">
        <v>1.0249899999999999E-2</v>
      </c>
      <c r="AL112" s="83">
        <v>2.08019E-3</v>
      </c>
      <c r="AM112" s="83">
        <v>4.0313700000000003E-3</v>
      </c>
      <c r="AN112" s="83">
        <v>1.0249899999999999E-2</v>
      </c>
      <c r="AO112" s="83">
        <v>2.5490000000000001E-3</v>
      </c>
      <c r="AP112" s="83">
        <v>3.9219499999999996E-3</v>
      </c>
      <c r="AQ112" s="83">
        <v>1.0249899999999999E-2</v>
      </c>
      <c r="AR112" s="83">
        <v>2.2994199999999999E-3</v>
      </c>
      <c r="AS112" s="83">
        <v>3.9844499999999996E-3</v>
      </c>
      <c r="AT112" s="83">
        <v>1.0249899999999999E-2</v>
      </c>
      <c r="AU112" s="83">
        <v>1.8304199999999999E-3</v>
      </c>
      <c r="AV112" s="83">
        <v>4.0169999999999997E-3</v>
      </c>
      <c r="AW112" s="83">
        <v>1.0249899999999999E-2</v>
      </c>
      <c r="AX112" s="83">
        <v>2.6305999999999999E-3</v>
      </c>
      <c r="AY112" s="83">
        <v>4.1018799999999996E-3</v>
      </c>
      <c r="AZ112" s="83">
        <v>1.0249899999999999E-2</v>
      </c>
      <c r="BA112" s="83">
        <v>2.22953E-3</v>
      </c>
      <c r="BB112" s="83">
        <v>4.0261200000000002E-3</v>
      </c>
      <c r="BC112" s="83">
        <v>1.0249899999999999E-2</v>
      </c>
      <c r="BD112" s="83">
        <v>2.10254E-3</v>
      </c>
      <c r="BE112" s="83">
        <v>3.9393199999999996E-3</v>
      </c>
      <c r="BF112" s="83">
        <v>1.0249899999999999E-2</v>
      </c>
      <c r="BG112" s="83">
        <v>2.1666300000000001E-3</v>
      </c>
      <c r="BH112" s="83">
        <v>4.0099699999999999E-3</v>
      </c>
      <c r="BI112" s="83">
        <v>1.0249899999999999E-2</v>
      </c>
      <c r="BJ112" s="83">
        <v>2.1673199999999999E-3</v>
      </c>
      <c r="BK112" s="83">
        <v>3.9926400000000004E-3</v>
      </c>
      <c r="BL112" s="83">
        <v>1.0249899999999999E-2</v>
      </c>
      <c r="BM112" s="83">
        <v>2.19995E-3</v>
      </c>
      <c r="BN112" s="83">
        <v>3.9162900000000002E-3</v>
      </c>
      <c r="BO112" s="83">
        <v>1.0249899999999999E-2</v>
      </c>
      <c r="BP112" s="83">
        <v>1.86897E-3</v>
      </c>
      <c r="BQ112" s="83">
        <v>4.0009299999999998E-3</v>
      </c>
      <c r="BR112" s="83">
        <v>1.0249899999999999E-2</v>
      </c>
      <c r="BS112" s="83">
        <v>1.69421E-3</v>
      </c>
      <c r="BT112" s="83">
        <v>4.0634299999999998E-3</v>
      </c>
      <c r="BU112" s="83">
        <v>1.0249899999999999E-2</v>
      </c>
      <c r="BV112" s="83">
        <v>2.12458E-3</v>
      </c>
      <c r="BW112" s="83">
        <v>3.9098700000000002E-3</v>
      </c>
      <c r="BX112" s="83">
        <v>1.0249899999999999E-2</v>
      </c>
      <c r="BY112" s="83">
        <v>2.0562800000000002E-3</v>
      </c>
      <c r="BZ112" s="83">
        <v>4.04061E-3</v>
      </c>
      <c r="CA112" s="83">
        <v>1.0249899999999999E-2</v>
      </c>
      <c r="CB112" s="83">
        <v>1.87883E-3</v>
      </c>
      <c r="CC112" s="83">
        <v>3.9631900000000001E-3</v>
      </c>
      <c r="CD112" s="83">
        <v>1.0249899999999999E-2</v>
      </c>
      <c r="CE112" s="83">
        <v>1.6190099999999999E-3</v>
      </c>
      <c r="CF112" s="83">
        <v>3.9451499999999997E-3</v>
      </c>
      <c r="CG112" s="83">
        <v>1.0249899999999999E-2</v>
      </c>
      <c r="CH112" s="83">
        <v>1.80277E-3</v>
      </c>
      <c r="CI112" s="83">
        <v>4.00922E-3</v>
      </c>
      <c r="CJ112" s="83">
        <v>1.0249899999999999E-2</v>
      </c>
      <c r="CK112" s="83">
        <v>1.59498E-3</v>
      </c>
      <c r="CL112" s="83">
        <v>3.9179499999999999E-3</v>
      </c>
      <c r="CM112" s="83">
        <v>1.0249899999999999E-2</v>
      </c>
      <c r="CN112" s="83">
        <v>1.5072E-3</v>
      </c>
      <c r="CO112" s="83">
        <v>3.8732599999999999E-3</v>
      </c>
      <c r="CP112" s="83">
        <v>1.0249899999999999E-2</v>
      </c>
      <c r="CQ112" s="83">
        <v>1.6575299999999999E-3</v>
      </c>
      <c r="CR112" s="83">
        <v>3.9087899999999997E-3</v>
      </c>
      <c r="CS112" s="83">
        <v>1.0249899999999999E-2</v>
      </c>
      <c r="CT112" s="83">
        <v>1.9044800000000001E-3</v>
      </c>
      <c r="CU112" s="83">
        <v>3.9389899999999999E-3</v>
      </c>
      <c r="CV112" s="83">
        <v>1.0249899999999999E-2</v>
      </c>
      <c r="CW112" s="83">
        <v>1.6498400000000001E-3</v>
      </c>
      <c r="CX112" s="83">
        <v>3.8995100000000001E-3</v>
      </c>
      <c r="CY112" s="83">
        <v>1.0249899999999999E-2</v>
      </c>
      <c r="CZ112" s="83">
        <v>2.2955900000000001E-3</v>
      </c>
      <c r="DA112" s="83">
        <v>3.8972199999999999E-3</v>
      </c>
    </row>
    <row r="113" spans="1:105" x14ac:dyDescent="0.2">
      <c r="A113" s="83">
        <v>1.03499E-2</v>
      </c>
      <c r="B113" s="83">
        <v>2.8492600000000002E-3</v>
      </c>
      <c r="C113" s="83">
        <v>3.6738000000000001E-3</v>
      </c>
      <c r="D113" s="83">
        <v>1.03499E-2</v>
      </c>
      <c r="E113" s="83">
        <v>2.1421399999999998E-3</v>
      </c>
      <c r="F113" s="83">
        <v>3.7107799999999999E-3</v>
      </c>
      <c r="G113" s="83">
        <v>1.03499E-2</v>
      </c>
      <c r="H113" s="83">
        <v>1.8136199999999999E-3</v>
      </c>
      <c r="I113" s="83">
        <v>3.7631000000000001E-3</v>
      </c>
      <c r="J113" s="83">
        <v>1.03499E-2</v>
      </c>
      <c r="K113" s="83">
        <v>2.17439E-3</v>
      </c>
      <c r="L113" s="83">
        <v>3.5972999999999999E-3</v>
      </c>
      <c r="M113" s="83">
        <v>1.03499E-2</v>
      </c>
      <c r="N113" s="83">
        <v>2.4066999999999999E-3</v>
      </c>
      <c r="O113" s="83">
        <v>3.7241399999999999E-3</v>
      </c>
      <c r="P113" s="83">
        <v>1.03499E-2</v>
      </c>
      <c r="Q113" s="83">
        <v>2.2536700000000002E-3</v>
      </c>
      <c r="R113" s="83">
        <v>3.6897399999999999E-3</v>
      </c>
      <c r="S113" s="83">
        <v>1.03499E-2</v>
      </c>
      <c r="T113" s="83">
        <v>2.2326199999999998E-3</v>
      </c>
      <c r="U113" s="83">
        <v>3.6961199999999998E-3</v>
      </c>
      <c r="V113" s="83">
        <v>1.03499E-2</v>
      </c>
      <c r="W113" s="83">
        <v>2.5999199999999999E-3</v>
      </c>
      <c r="X113" s="83">
        <v>3.7924899999999999E-3</v>
      </c>
      <c r="Y113" s="83">
        <v>1.03499E-2</v>
      </c>
      <c r="Z113" s="83">
        <v>2.5545799999999999E-3</v>
      </c>
      <c r="AA113" s="83">
        <v>3.68527E-3</v>
      </c>
      <c r="AB113" s="83">
        <v>1.03499E-2</v>
      </c>
      <c r="AC113" s="83">
        <v>2.2583600000000001E-3</v>
      </c>
      <c r="AD113" s="83">
        <v>3.7704800000000001E-3</v>
      </c>
      <c r="AE113" s="83">
        <v>1.03499E-2</v>
      </c>
      <c r="AF113" s="83">
        <v>2.6301200000000001E-3</v>
      </c>
      <c r="AG113" s="83">
        <v>3.82329E-3</v>
      </c>
      <c r="AH113" s="83">
        <v>1.03499E-2</v>
      </c>
      <c r="AI113" s="83">
        <v>2.2893900000000001E-3</v>
      </c>
      <c r="AJ113" s="83">
        <v>3.7984799999999999E-3</v>
      </c>
      <c r="AK113" s="83">
        <v>1.03499E-2</v>
      </c>
      <c r="AL113" s="83">
        <v>2.2012899999999998E-3</v>
      </c>
      <c r="AM113" s="83">
        <v>3.8341099999999999E-3</v>
      </c>
      <c r="AN113" s="83">
        <v>1.03499E-2</v>
      </c>
      <c r="AO113" s="83">
        <v>2.5763499999999998E-3</v>
      </c>
      <c r="AP113" s="83">
        <v>3.6924599999999998E-3</v>
      </c>
      <c r="AQ113" s="83">
        <v>1.03499E-2</v>
      </c>
      <c r="AR113" s="83">
        <v>2.1509799999999998E-3</v>
      </c>
      <c r="AS113" s="83">
        <v>3.7901200000000001E-3</v>
      </c>
      <c r="AT113" s="83">
        <v>1.03499E-2</v>
      </c>
      <c r="AU113" s="83">
        <v>1.8499600000000001E-3</v>
      </c>
      <c r="AV113" s="83">
        <v>3.81388E-3</v>
      </c>
      <c r="AW113" s="83">
        <v>1.03499E-2</v>
      </c>
      <c r="AX113" s="83">
        <v>2.38842E-3</v>
      </c>
      <c r="AY113" s="83">
        <v>3.9094999999999998E-3</v>
      </c>
      <c r="AZ113" s="83">
        <v>1.03499E-2</v>
      </c>
      <c r="BA113" s="83">
        <v>2.085E-3</v>
      </c>
      <c r="BB113" s="83">
        <v>3.8103E-3</v>
      </c>
      <c r="BC113" s="83">
        <v>1.03499E-2</v>
      </c>
      <c r="BD113" s="83">
        <v>1.8466800000000001E-3</v>
      </c>
      <c r="BE113" s="83">
        <v>3.7215400000000002E-3</v>
      </c>
      <c r="BF113" s="83">
        <v>1.03499E-2</v>
      </c>
      <c r="BG113" s="83">
        <v>2.1841999999999999E-3</v>
      </c>
      <c r="BH113" s="83">
        <v>3.8068500000000001E-3</v>
      </c>
      <c r="BI113" s="83">
        <v>1.03499E-2</v>
      </c>
      <c r="BJ113" s="83">
        <v>2.0481800000000001E-3</v>
      </c>
      <c r="BK113" s="83">
        <v>3.78854E-3</v>
      </c>
      <c r="BL113" s="83">
        <v>1.03499E-2</v>
      </c>
      <c r="BM113" s="83">
        <v>2.0202599999999999E-3</v>
      </c>
      <c r="BN113" s="83">
        <v>3.7356300000000002E-3</v>
      </c>
      <c r="BO113" s="83">
        <v>1.03499E-2</v>
      </c>
      <c r="BP113" s="83">
        <v>2.0173999999999999E-3</v>
      </c>
      <c r="BQ113" s="83">
        <v>3.8075700000000001E-3</v>
      </c>
      <c r="BR113" s="83">
        <v>1.03499E-2</v>
      </c>
      <c r="BS113" s="83">
        <v>1.45593E-3</v>
      </c>
      <c r="BT113" s="83">
        <v>3.8690899999999999E-3</v>
      </c>
      <c r="BU113" s="83">
        <v>1.03499E-2</v>
      </c>
      <c r="BV113" s="83">
        <v>2.0777E-3</v>
      </c>
      <c r="BW113" s="83">
        <v>3.72237E-3</v>
      </c>
      <c r="BX113" s="83">
        <v>1.03499E-2</v>
      </c>
      <c r="BY113" s="83">
        <v>2.0406600000000001E-3</v>
      </c>
      <c r="BZ113" s="83">
        <v>3.8433400000000002E-3</v>
      </c>
      <c r="CA113" s="83">
        <v>1.03499E-2</v>
      </c>
      <c r="CB113" s="83">
        <v>1.9393800000000001E-3</v>
      </c>
      <c r="CC113" s="83">
        <v>3.7337E-3</v>
      </c>
      <c r="CD113" s="83">
        <v>1.03499E-2</v>
      </c>
      <c r="CE113" s="83">
        <v>1.41198E-3</v>
      </c>
      <c r="CF113" s="83">
        <v>3.7254200000000001E-3</v>
      </c>
      <c r="CG113" s="83">
        <v>1.03499E-2</v>
      </c>
      <c r="CH113" s="83">
        <v>1.71878E-3</v>
      </c>
      <c r="CI113" s="83">
        <v>3.7973E-3</v>
      </c>
      <c r="CJ113" s="83">
        <v>1.03499E-2</v>
      </c>
      <c r="CK113" s="83">
        <v>2.0715400000000002E-3</v>
      </c>
      <c r="CL113" s="83">
        <v>3.7206800000000001E-3</v>
      </c>
      <c r="CM113" s="83">
        <v>1.03499E-2</v>
      </c>
      <c r="CN113" s="83">
        <v>1.7572E-3</v>
      </c>
      <c r="CO113" s="83">
        <v>3.6691599999999999E-3</v>
      </c>
      <c r="CP113" s="83">
        <v>1.03499E-2</v>
      </c>
      <c r="CQ113" s="83">
        <v>1.41143E-3</v>
      </c>
      <c r="CR113" s="83">
        <v>3.69199E-3</v>
      </c>
      <c r="CS113" s="83">
        <v>1.03499E-2</v>
      </c>
      <c r="CT113" s="83">
        <v>1.9357300000000001E-3</v>
      </c>
      <c r="CU113" s="83">
        <v>3.7505099999999999E-3</v>
      </c>
      <c r="CV113" s="83">
        <v>1.03499E-2</v>
      </c>
      <c r="CW113" s="83">
        <v>1.44086E-3</v>
      </c>
      <c r="CX113" s="83">
        <v>3.7139600000000001E-3</v>
      </c>
      <c r="CY113" s="83">
        <v>1.03499E-2</v>
      </c>
      <c r="CZ113" s="83">
        <v>1.7741E-3</v>
      </c>
      <c r="DA113" s="83">
        <v>3.6716299999999999E-3</v>
      </c>
    </row>
    <row r="114" spans="1:105" x14ac:dyDescent="0.2">
      <c r="A114" s="83">
        <v>1.04499E-2</v>
      </c>
      <c r="B114" s="83">
        <v>2.4469100000000001E-3</v>
      </c>
      <c r="C114" s="83">
        <v>3.49118E-3</v>
      </c>
      <c r="D114" s="83">
        <v>1.04499E-2</v>
      </c>
      <c r="E114" s="83">
        <v>1.7534600000000001E-3</v>
      </c>
      <c r="F114" s="83">
        <v>3.5232800000000002E-3</v>
      </c>
      <c r="G114" s="83">
        <v>1.04499E-2</v>
      </c>
      <c r="H114" s="83">
        <v>2.0772899999999999E-3</v>
      </c>
      <c r="I114" s="83">
        <v>3.5541100000000001E-3</v>
      </c>
      <c r="J114" s="83">
        <v>1.04499E-2</v>
      </c>
      <c r="K114" s="83">
        <v>2.4380600000000001E-3</v>
      </c>
      <c r="L114" s="83">
        <v>3.4224899999999998E-3</v>
      </c>
      <c r="M114" s="83">
        <v>1.04499E-2</v>
      </c>
      <c r="N114" s="83">
        <v>2.4984999999999999E-3</v>
      </c>
      <c r="O114" s="83">
        <v>3.5356699999999999E-3</v>
      </c>
      <c r="P114" s="83">
        <v>1.04499E-2</v>
      </c>
      <c r="Q114" s="83">
        <v>2.0114899999999999E-3</v>
      </c>
      <c r="R114" s="83">
        <v>3.4973500000000002E-3</v>
      </c>
      <c r="S114" s="83">
        <v>1.04499E-2</v>
      </c>
      <c r="T114" s="83">
        <v>2.0490299999999999E-3</v>
      </c>
      <c r="U114" s="83">
        <v>3.5076399999999998E-3</v>
      </c>
      <c r="V114" s="83">
        <v>1.04499E-2</v>
      </c>
      <c r="W114" s="83">
        <v>2.4671099999999998E-3</v>
      </c>
      <c r="X114" s="83">
        <v>3.60597E-3</v>
      </c>
      <c r="Y114" s="83">
        <v>1.04499E-2</v>
      </c>
      <c r="Z114" s="83">
        <v>2.26552E-3</v>
      </c>
      <c r="AA114" s="83">
        <v>3.4958200000000002E-3</v>
      </c>
      <c r="AB114" s="83">
        <v>1.04499E-2</v>
      </c>
      <c r="AC114" s="83">
        <v>2.3540599999999998E-3</v>
      </c>
      <c r="AD114" s="83">
        <v>3.5820000000000001E-3</v>
      </c>
      <c r="AE114" s="83">
        <v>1.04499E-2</v>
      </c>
      <c r="AF114" s="83">
        <v>2.4758200000000001E-3</v>
      </c>
      <c r="AG114" s="83">
        <v>3.6338400000000002E-3</v>
      </c>
      <c r="AH114" s="83">
        <v>1.04499E-2</v>
      </c>
      <c r="AI114" s="83">
        <v>2.0804E-3</v>
      </c>
      <c r="AJ114" s="83">
        <v>3.6002299999999998E-3</v>
      </c>
      <c r="AK114" s="83">
        <v>1.04499E-2</v>
      </c>
      <c r="AL114" s="83">
        <v>1.9298E-3</v>
      </c>
      <c r="AM114" s="83">
        <v>3.6153600000000002E-3</v>
      </c>
      <c r="AN114" s="83">
        <v>1.04499E-2</v>
      </c>
      <c r="AO114" s="83">
        <v>2.3165799999999999E-3</v>
      </c>
      <c r="AP114" s="83">
        <v>3.50301E-3</v>
      </c>
      <c r="AQ114" s="83">
        <v>1.04499E-2</v>
      </c>
      <c r="AR114" s="83">
        <v>2.2662200000000002E-3</v>
      </c>
      <c r="AS114" s="83">
        <v>3.5987100000000002E-3</v>
      </c>
      <c r="AT114" s="83">
        <v>1.04499E-2</v>
      </c>
      <c r="AU114" s="83">
        <v>1.81675E-3</v>
      </c>
      <c r="AV114" s="83">
        <v>3.6136800000000002E-3</v>
      </c>
      <c r="AW114" s="83">
        <v>1.04499E-2</v>
      </c>
      <c r="AX114" s="83">
        <v>2.2966200000000001E-3</v>
      </c>
      <c r="AY114" s="83">
        <v>3.6878200000000001E-3</v>
      </c>
      <c r="AZ114" s="83">
        <v>1.04499E-2</v>
      </c>
      <c r="BA114" s="83">
        <v>1.7217199999999999E-3</v>
      </c>
      <c r="BB114" s="83">
        <v>3.6306099999999998E-3</v>
      </c>
      <c r="BC114" s="83">
        <v>1.04499E-2</v>
      </c>
      <c r="BD114" s="83">
        <v>1.90332E-3</v>
      </c>
      <c r="BE114" s="83">
        <v>3.5213499999999999E-3</v>
      </c>
      <c r="BF114" s="83">
        <v>1.04499E-2</v>
      </c>
      <c r="BG114" s="83">
        <v>1.99475E-3</v>
      </c>
      <c r="BH114" s="83">
        <v>3.6144699999999998E-3</v>
      </c>
      <c r="BI114" s="83">
        <v>1.04499E-2</v>
      </c>
      <c r="BJ114" s="83">
        <v>1.8899699999999999E-3</v>
      </c>
      <c r="BK114" s="83">
        <v>3.5776100000000002E-3</v>
      </c>
      <c r="BL114" s="83">
        <v>1.04499E-2</v>
      </c>
      <c r="BM114" s="83">
        <v>1.3444799999999999E-3</v>
      </c>
      <c r="BN114" s="83">
        <v>3.54813E-3</v>
      </c>
      <c r="BO114" s="83">
        <v>1.04499E-2</v>
      </c>
      <c r="BP114" s="83">
        <v>2.0291200000000001E-3</v>
      </c>
      <c r="BQ114" s="83">
        <v>3.5907700000000001E-3</v>
      </c>
      <c r="BR114" s="83">
        <v>1.04499E-2</v>
      </c>
      <c r="BS114" s="83">
        <v>1.75281E-3</v>
      </c>
      <c r="BT114" s="83">
        <v>3.66987E-3</v>
      </c>
      <c r="BU114" s="83">
        <v>1.04499E-2</v>
      </c>
      <c r="BV114" s="83">
        <v>1.93122E-3</v>
      </c>
      <c r="BW114" s="83">
        <v>3.5221699999999998E-3</v>
      </c>
      <c r="BX114" s="83">
        <v>1.04499E-2</v>
      </c>
      <c r="BY114" s="83">
        <v>1.85316E-3</v>
      </c>
      <c r="BZ114" s="83">
        <v>3.6470500000000002E-3</v>
      </c>
      <c r="CA114" s="83">
        <v>1.04499E-2</v>
      </c>
      <c r="CB114" s="83">
        <v>1.9589099999999999E-3</v>
      </c>
      <c r="CC114" s="83">
        <v>3.5520600000000001E-3</v>
      </c>
      <c r="CD114" s="83">
        <v>1.04499E-2</v>
      </c>
      <c r="CE114" s="83">
        <v>1.29283E-3</v>
      </c>
      <c r="CF114" s="83">
        <v>3.5359699999999998E-3</v>
      </c>
      <c r="CG114" s="83">
        <v>1.04499E-2</v>
      </c>
      <c r="CH114" s="83">
        <v>1.54886E-3</v>
      </c>
      <c r="CI114" s="83">
        <v>3.61371E-3</v>
      </c>
      <c r="CJ114" s="83">
        <v>1.04499E-2</v>
      </c>
      <c r="CK114" s="83">
        <v>1.65357E-3</v>
      </c>
      <c r="CL114" s="83">
        <v>3.5292800000000001E-3</v>
      </c>
      <c r="CM114" s="83">
        <v>1.04499E-2</v>
      </c>
      <c r="CN114" s="83">
        <v>1.58337E-3</v>
      </c>
      <c r="CO114" s="83">
        <v>3.48263E-3</v>
      </c>
      <c r="CP114" s="83">
        <v>1.04499E-2</v>
      </c>
      <c r="CQ114" s="83">
        <v>1.37823E-3</v>
      </c>
      <c r="CR114" s="83">
        <v>3.5318300000000001E-3</v>
      </c>
      <c r="CS114" s="83">
        <v>1.04499E-2</v>
      </c>
      <c r="CT114" s="83">
        <v>2.1915900000000002E-3</v>
      </c>
      <c r="CU114" s="83">
        <v>3.5464099999999998E-3</v>
      </c>
      <c r="CV114" s="83">
        <v>1.04499E-2</v>
      </c>
      <c r="CW114" s="83">
        <v>1.4662500000000001E-3</v>
      </c>
      <c r="CX114" s="83">
        <v>3.5225600000000001E-3</v>
      </c>
      <c r="CY114" s="83">
        <v>1.04499E-2</v>
      </c>
      <c r="CZ114" s="83">
        <v>1.76629E-3</v>
      </c>
      <c r="DA114" s="83">
        <v>3.4773E-3</v>
      </c>
    </row>
    <row r="115" spans="1:105" x14ac:dyDescent="0.2">
      <c r="A115" s="83">
        <v>1.0549899999999999E-2</v>
      </c>
      <c r="B115" s="83">
        <v>2.3570700000000002E-3</v>
      </c>
      <c r="C115" s="83">
        <v>3.3085599999999999E-3</v>
      </c>
      <c r="D115" s="83">
        <v>1.0549899999999999E-2</v>
      </c>
      <c r="E115" s="83">
        <v>1.56011E-3</v>
      </c>
      <c r="F115" s="83">
        <v>3.3113700000000001E-3</v>
      </c>
      <c r="G115" s="83">
        <v>1.0549899999999999E-2</v>
      </c>
      <c r="H115" s="83">
        <v>2.0968200000000001E-3</v>
      </c>
      <c r="I115" s="83">
        <v>3.36857E-3</v>
      </c>
      <c r="J115" s="83">
        <v>1.0549899999999999E-2</v>
      </c>
      <c r="K115" s="83">
        <v>2.3091499999999998E-3</v>
      </c>
      <c r="L115" s="83">
        <v>3.23792E-3</v>
      </c>
      <c r="M115" s="83">
        <v>1.0549899999999999E-2</v>
      </c>
      <c r="N115" s="83">
        <v>2.11568E-3</v>
      </c>
      <c r="O115" s="83">
        <v>3.3628199999999999E-3</v>
      </c>
      <c r="P115" s="83">
        <v>1.0549899999999999E-2</v>
      </c>
      <c r="Q115" s="83">
        <v>1.8454700000000001E-3</v>
      </c>
      <c r="R115" s="83">
        <v>3.3039900000000001E-3</v>
      </c>
      <c r="S115" s="83">
        <v>1.0549899999999999E-2</v>
      </c>
      <c r="T115" s="83">
        <v>1.67012E-3</v>
      </c>
      <c r="U115" s="83">
        <v>3.3299100000000002E-3</v>
      </c>
      <c r="V115" s="83">
        <v>1.0549899999999999E-2</v>
      </c>
      <c r="W115" s="83">
        <v>2.2835199999999998E-3</v>
      </c>
      <c r="X115" s="83">
        <v>3.4116300000000001E-3</v>
      </c>
      <c r="Y115" s="83">
        <v>1.0549899999999999E-2</v>
      </c>
      <c r="Z115" s="83">
        <v>2.5448200000000002E-3</v>
      </c>
      <c r="AA115" s="83">
        <v>3.2995300000000002E-3</v>
      </c>
      <c r="AB115" s="83">
        <v>1.0549899999999999E-2</v>
      </c>
      <c r="AC115" s="83">
        <v>2.1900000000000001E-3</v>
      </c>
      <c r="AD115" s="83">
        <v>3.3935200000000001E-3</v>
      </c>
      <c r="AE115" s="83">
        <v>1.0549899999999999E-2</v>
      </c>
      <c r="AF115" s="83">
        <v>2.2062900000000001E-3</v>
      </c>
      <c r="AG115" s="83">
        <v>3.4424299999999998E-3</v>
      </c>
      <c r="AH115" s="83">
        <v>1.0549899999999999E-2</v>
      </c>
      <c r="AI115" s="83">
        <v>2.38704E-3</v>
      </c>
      <c r="AJ115" s="83">
        <v>3.4332400000000002E-3</v>
      </c>
      <c r="AK115" s="83">
        <v>1.0549899999999999E-2</v>
      </c>
      <c r="AL115" s="83">
        <v>1.8048000000000001E-3</v>
      </c>
      <c r="AM115" s="83">
        <v>3.44934E-3</v>
      </c>
      <c r="AN115" s="83">
        <v>1.0549899999999999E-2</v>
      </c>
      <c r="AO115" s="83">
        <v>2.5763499999999998E-3</v>
      </c>
      <c r="AP115" s="83">
        <v>3.3203899999999999E-3</v>
      </c>
      <c r="AQ115" s="83">
        <v>1.0549899999999999E-2</v>
      </c>
      <c r="AR115" s="83">
        <v>1.85801E-3</v>
      </c>
      <c r="AS115" s="83">
        <v>3.42195E-3</v>
      </c>
      <c r="AT115" s="83">
        <v>1.0549899999999999E-2</v>
      </c>
      <c r="AU115" s="83">
        <v>1.6878500000000001E-3</v>
      </c>
      <c r="AV115" s="83">
        <v>3.4457099999999998E-3</v>
      </c>
      <c r="AW115" s="83">
        <v>1.0549899999999999E-2</v>
      </c>
      <c r="AX115" s="83">
        <v>2.2009199999999999E-3</v>
      </c>
      <c r="AY115" s="83">
        <v>3.49446E-3</v>
      </c>
      <c r="AZ115" s="83">
        <v>1.0549899999999999E-2</v>
      </c>
      <c r="BA115" s="83">
        <v>1.4268E-3</v>
      </c>
      <c r="BB115" s="83">
        <v>3.4480000000000001E-3</v>
      </c>
      <c r="BC115" s="83">
        <v>1.0549899999999999E-2</v>
      </c>
      <c r="BD115" s="83">
        <v>2.0752000000000001E-3</v>
      </c>
      <c r="BE115" s="83">
        <v>3.3602100000000002E-3</v>
      </c>
      <c r="BF115" s="83">
        <v>1.0549899999999999E-2</v>
      </c>
      <c r="BG115" s="83">
        <v>2.3131100000000002E-3</v>
      </c>
      <c r="BH115" s="83">
        <v>3.4132899999999998E-3</v>
      </c>
      <c r="BI115" s="83">
        <v>1.0549899999999999E-2</v>
      </c>
      <c r="BJ115" s="83">
        <v>1.3079400000000001E-3</v>
      </c>
      <c r="BK115" s="83">
        <v>3.4106100000000001E-3</v>
      </c>
      <c r="BL115" s="83">
        <v>1.0549899999999999E-2</v>
      </c>
      <c r="BM115" s="83">
        <v>1.7526799999999999E-3</v>
      </c>
      <c r="BN115" s="83">
        <v>3.3371899999999999E-3</v>
      </c>
      <c r="BO115" s="83">
        <v>1.0549899999999999E-2</v>
      </c>
      <c r="BP115" s="83">
        <v>1.9119300000000001E-3</v>
      </c>
      <c r="BQ115" s="83">
        <v>3.4179200000000001E-3</v>
      </c>
      <c r="BR115" s="83">
        <v>1.0549899999999999E-2</v>
      </c>
      <c r="BS115" s="83">
        <v>1.7352299999999999E-3</v>
      </c>
      <c r="BT115" s="83">
        <v>3.4833500000000001E-3</v>
      </c>
      <c r="BU115" s="83">
        <v>1.0549899999999999E-2</v>
      </c>
      <c r="BV115" s="83">
        <v>1.70466E-3</v>
      </c>
      <c r="BW115" s="83">
        <v>3.3180699999999998E-3</v>
      </c>
      <c r="BX115" s="83">
        <v>1.0549899999999999E-2</v>
      </c>
      <c r="BY115" s="83">
        <v>1.5601899999999999E-3</v>
      </c>
      <c r="BZ115" s="83">
        <v>3.4654099999999999E-3</v>
      </c>
      <c r="CA115" s="83">
        <v>1.0549899999999999E-2</v>
      </c>
      <c r="CB115" s="83">
        <v>1.61126E-3</v>
      </c>
      <c r="CC115" s="83">
        <v>3.3567499999999999E-3</v>
      </c>
      <c r="CD115" s="83">
        <v>1.0549899999999999E-2</v>
      </c>
      <c r="CE115" s="83">
        <v>1.5682300000000001E-3</v>
      </c>
      <c r="CF115" s="83">
        <v>3.3396799999999998E-3</v>
      </c>
      <c r="CG115" s="83">
        <v>1.0549899999999999E-2</v>
      </c>
      <c r="CH115" s="83">
        <v>1.17191E-3</v>
      </c>
      <c r="CI115" s="83">
        <v>3.4135099999999998E-3</v>
      </c>
      <c r="CJ115" s="83">
        <v>1.0549899999999999E-2</v>
      </c>
      <c r="CK115" s="83">
        <v>1.77662E-3</v>
      </c>
      <c r="CL115" s="83">
        <v>3.3349400000000002E-3</v>
      </c>
      <c r="CM115" s="83">
        <v>1.0549899999999999E-2</v>
      </c>
      <c r="CN115" s="83">
        <v>9.6032599999999995E-4</v>
      </c>
      <c r="CO115" s="83">
        <v>3.31271E-3</v>
      </c>
      <c r="CP115" s="83">
        <v>1.0549899999999999E-2</v>
      </c>
      <c r="CQ115" s="83">
        <v>1.4641700000000001E-3</v>
      </c>
      <c r="CR115" s="83">
        <v>3.3238299999999998E-3</v>
      </c>
      <c r="CS115" s="83">
        <v>1.0549899999999999E-2</v>
      </c>
      <c r="CT115" s="83">
        <v>1.4025299999999999E-3</v>
      </c>
      <c r="CU115" s="83">
        <v>3.35403E-3</v>
      </c>
      <c r="CV115" s="83">
        <v>1.0549899999999999E-2</v>
      </c>
      <c r="CW115" s="83">
        <v>1.3783599999999999E-3</v>
      </c>
      <c r="CX115" s="83">
        <v>3.3330999999999999E-3</v>
      </c>
      <c r="CY115" s="83">
        <v>1.0549899999999999E-2</v>
      </c>
      <c r="CZ115" s="83">
        <v>1.8073E-3</v>
      </c>
      <c r="DA115" s="83">
        <v>3.3161699999999998E-3</v>
      </c>
    </row>
    <row r="116" spans="1:105" x14ac:dyDescent="0.2">
      <c r="A116" s="83">
        <v>1.06499E-2</v>
      </c>
      <c r="B116" s="83">
        <v>2.41566E-3</v>
      </c>
      <c r="C116" s="83">
        <v>3.1025100000000002E-3</v>
      </c>
      <c r="D116" s="83">
        <v>1.06499E-2</v>
      </c>
      <c r="E116" s="83">
        <v>1.74175E-3</v>
      </c>
      <c r="F116" s="83">
        <v>3.15512E-3</v>
      </c>
      <c r="G116" s="83">
        <v>1.06499E-2</v>
      </c>
      <c r="H116" s="83">
        <v>1.6554199999999999E-3</v>
      </c>
      <c r="I116" s="83">
        <v>3.2045099999999998E-3</v>
      </c>
      <c r="J116" s="83">
        <v>1.06499E-2</v>
      </c>
      <c r="K116" s="83">
        <v>1.84235E-3</v>
      </c>
      <c r="L116" s="83">
        <v>3.0562800000000002E-3</v>
      </c>
      <c r="M116" s="83">
        <v>1.06499E-2</v>
      </c>
      <c r="N116" s="83">
        <v>2.2582600000000002E-3</v>
      </c>
      <c r="O116" s="83">
        <v>3.1635999999999999E-3</v>
      </c>
      <c r="P116" s="83">
        <v>1.06499E-2</v>
      </c>
      <c r="Q116" s="83">
        <v>2.1384400000000001E-3</v>
      </c>
      <c r="R116" s="83">
        <v>3.1438400000000002E-3</v>
      </c>
      <c r="S116" s="83">
        <v>1.06499E-2</v>
      </c>
      <c r="T116" s="83">
        <v>1.7892699999999999E-3</v>
      </c>
      <c r="U116" s="83">
        <v>3.13459E-3</v>
      </c>
      <c r="V116" s="83">
        <v>1.06499E-2</v>
      </c>
      <c r="W116" s="83">
        <v>1.9749199999999998E-3</v>
      </c>
      <c r="X116" s="83">
        <v>3.2358500000000002E-3</v>
      </c>
      <c r="Y116" s="83">
        <v>1.06499E-2</v>
      </c>
      <c r="Z116" s="83">
        <v>1.8866200000000001E-3</v>
      </c>
      <c r="AA116" s="83">
        <v>3.1452300000000002E-3</v>
      </c>
      <c r="AB116" s="83">
        <v>1.06499E-2</v>
      </c>
      <c r="AC116" s="83">
        <v>1.9790599999999999E-3</v>
      </c>
      <c r="AD116" s="83">
        <v>3.1806299999999998E-3</v>
      </c>
      <c r="AE116" s="83">
        <v>1.06499E-2</v>
      </c>
      <c r="AF116" s="83">
        <v>2.1633199999999998E-3</v>
      </c>
      <c r="AG116" s="83">
        <v>3.27349E-3</v>
      </c>
      <c r="AH116" s="83">
        <v>1.06499E-2</v>
      </c>
      <c r="AI116" s="83">
        <v>1.66829E-3</v>
      </c>
      <c r="AJ116" s="83">
        <v>3.2320700000000001E-3</v>
      </c>
      <c r="AK116" s="83">
        <v>1.06499E-2</v>
      </c>
      <c r="AL116" s="83">
        <v>1.39269E-3</v>
      </c>
      <c r="AM116" s="83">
        <v>3.2745299999999999E-3</v>
      </c>
      <c r="AN116" s="83">
        <v>1.06499E-2</v>
      </c>
      <c r="AO116" s="83">
        <v>2.4826000000000002E-3</v>
      </c>
      <c r="AP116" s="83">
        <v>3.1319099999999999E-3</v>
      </c>
      <c r="AQ116" s="83">
        <v>1.06499E-2</v>
      </c>
      <c r="AR116" s="83">
        <v>1.64708E-3</v>
      </c>
      <c r="AS116" s="83">
        <v>3.2237099999999999E-3</v>
      </c>
      <c r="AT116" s="83">
        <v>1.06499E-2</v>
      </c>
      <c r="AU116" s="83">
        <v>1.64292E-3</v>
      </c>
      <c r="AV116" s="83">
        <v>3.24552E-3</v>
      </c>
      <c r="AW116" s="83">
        <v>1.06499E-2</v>
      </c>
      <c r="AX116" s="83">
        <v>1.88451E-3</v>
      </c>
      <c r="AY116" s="83">
        <v>3.3176999999999998E-3</v>
      </c>
      <c r="AZ116" s="83">
        <v>1.06499E-2</v>
      </c>
      <c r="BA116" s="83">
        <v>1.45414E-3</v>
      </c>
      <c r="BB116" s="83">
        <v>3.2321799999999999E-3</v>
      </c>
      <c r="BC116" s="83">
        <v>1.06499E-2</v>
      </c>
      <c r="BD116" s="83">
        <v>1.9677700000000002E-3</v>
      </c>
      <c r="BE116" s="83">
        <v>3.17271E-3</v>
      </c>
      <c r="BF116" s="83">
        <v>1.06499E-2</v>
      </c>
      <c r="BG116" s="83">
        <v>2.01038E-3</v>
      </c>
      <c r="BH116" s="83">
        <v>3.22872E-3</v>
      </c>
      <c r="BI116" s="83">
        <v>1.06499E-2</v>
      </c>
      <c r="BJ116" s="83">
        <v>1.49154E-3</v>
      </c>
      <c r="BK116" s="83">
        <v>3.2143200000000001E-3</v>
      </c>
      <c r="BL116" s="83">
        <v>1.06499E-2</v>
      </c>
      <c r="BM116" s="83">
        <v>1.64331E-3</v>
      </c>
      <c r="BN116" s="83">
        <v>3.1721499999999999E-3</v>
      </c>
      <c r="BO116" s="83">
        <v>1.06499E-2</v>
      </c>
      <c r="BP116" s="83">
        <v>1.5662300000000001E-3</v>
      </c>
      <c r="BQ116" s="83">
        <v>3.2392100000000002E-3</v>
      </c>
      <c r="BR116" s="83">
        <v>1.06499E-2</v>
      </c>
      <c r="BS116" s="83">
        <v>1.56726E-3</v>
      </c>
      <c r="BT116" s="83">
        <v>3.2870600000000001E-3</v>
      </c>
      <c r="BU116" s="83">
        <v>1.06499E-2</v>
      </c>
      <c r="BV116" s="83">
        <v>1.74372E-3</v>
      </c>
      <c r="BW116" s="83">
        <v>3.1725600000000001E-3</v>
      </c>
      <c r="BX116" s="83">
        <v>1.06499E-2</v>
      </c>
      <c r="BY116" s="83">
        <v>1.41566E-3</v>
      </c>
      <c r="BZ116" s="83">
        <v>3.2828000000000002E-3</v>
      </c>
      <c r="CA116" s="83">
        <v>1.06499E-2</v>
      </c>
      <c r="CB116" s="83">
        <v>1.71086E-3</v>
      </c>
      <c r="CC116" s="83">
        <v>3.1975699999999998E-3</v>
      </c>
      <c r="CD116" s="83">
        <v>1.06499E-2</v>
      </c>
      <c r="CE116" s="83">
        <v>1.6834599999999999E-3</v>
      </c>
      <c r="CF116" s="83">
        <v>3.1599900000000001E-3</v>
      </c>
      <c r="CG116" s="83">
        <v>1.06499E-2</v>
      </c>
      <c r="CH116" s="83">
        <v>1.3808900000000001E-3</v>
      </c>
      <c r="CI116" s="83">
        <v>3.2455499999999998E-3</v>
      </c>
      <c r="CJ116" s="83">
        <v>1.06499E-2</v>
      </c>
      <c r="CK116" s="83">
        <v>1.66529E-3</v>
      </c>
      <c r="CL116" s="83">
        <v>3.1591599999999998E-3</v>
      </c>
      <c r="CM116" s="83">
        <v>1.06499E-2</v>
      </c>
      <c r="CN116" s="83">
        <v>1.23572E-3</v>
      </c>
      <c r="CO116" s="83">
        <v>3.1193499999999999E-3</v>
      </c>
      <c r="CP116" s="83">
        <v>1.06499E-2</v>
      </c>
      <c r="CQ116" s="83">
        <v>1.30401E-3</v>
      </c>
      <c r="CR116" s="83">
        <v>3.1490200000000002E-3</v>
      </c>
      <c r="CS116" s="83">
        <v>1.06499E-2</v>
      </c>
      <c r="CT116" s="83">
        <v>1.40839E-3</v>
      </c>
      <c r="CU116" s="83">
        <v>3.1802000000000002E-3</v>
      </c>
      <c r="CV116" s="83">
        <v>1.06499E-2</v>
      </c>
      <c r="CW116" s="83">
        <v>1.04437E-3</v>
      </c>
      <c r="CX116" s="83">
        <v>3.1612300000000001E-3</v>
      </c>
      <c r="CY116" s="83">
        <v>1.06499E-2</v>
      </c>
      <c r="CZ116" s="83">
        <v>1.72723E-3</v>
      </c>
      <c r="DA116" s="83">
        <v>3.1110899999999999E-3</v>
      </c>
    </row>
    <row r="117" spans="1:105" x14ac:dyDescent="0.2">
      <c r="A117" s="83">
        <v>1.07499E-2</v>
      </c>
      <c r="B117" s="83">
        <v>2.15394E-3</v>
      </c>
      <c r="C117" s="83">
        <v>2.99606E-3</v>
      </c>
      <c r="D117" s="83">
        <v>1.07499E-2</v>
      </c>
      <c r="E117" s="83">
        <v>1.3355000000000001E-3</v>
      </c>
      <c r="F117" s="83">
        <v>2.9695699999999999E-3</v>
      </c>
      <c r="G117" s="83">
        <v>1.07499E-2</v>
      </c>
      <c r="H117" s="83">
        <v>1.66518E-3</v>
      </c>
      <c r="I117" s="83">
        <v>3.03361E-3</v>
      </c>
      <c r="J117" s="83">
        <v>1.07499E-2</v>
      </c>
      <c r="K117" s="83">
        <v>1.88532E-3</v>
      </c>
      <c r="L117" s="83">
        <v>2.89515E-3</v>
      </c>
      <c r="M117" s="83">
        <v>1.07499E-2</v>
      </c>
      <c r="N117" s="83">
        <v>2.1254500000000001E-3</v>
      </c>
      <c r="O117" s="83">
        <v>2.9995299999999998E-3</v>
      </c>
      <c r="P117" s="83">
        <v>1.07499E-2</v>
      </c>
      <c r="Q117" s="83">
        <v>1.85524E-3</v>
      </c>
      <c r="R117" s="83">
        <v>2.9827E-3</v>
      </c>
      <c r="S117" s="83">
        <v>1.07499E-2</v>
      </c>
      <c r="T117" s="83">
        <v>1.8380899999999999E-3</v>
      </c>
      <c r="U117" s="83">
        <v>2.99885E-3</v>
      </c>
      <c r="V117" s="83">
        <v>1.07499E-2</v>
      </c>
      <c r="W117" s="83">
        <v>1.82453E-3</v>
      </c>
      <c r="X117" s="83">
        <v>3.0522499999999998E-3</v>
      </c>
      <c r="Y117" s="83">
        <v>1.07499E-2</v>
      </c>
      <c r="Z117" s="83">
        <v>1.53896E-3</v>
      </c>
      <c r="AA117" s="83">
        <v>2.9821499999999998E-3</v>
      </c>
      <c r="AB117" s="83">
        <v>1.07499E-2</v>
      </c>
      <c r="AC117" s="83">
        <v>2.0064000000000002E-3</v>
      </c>
      <c r="AD117" s="83">
        <v>3.0282899999999999E-3</v>
      </c>
      <c r="AE117" s="83">
        <v>1.07499E-2</v>
      </c>
      <c r="AF117" s="83">
        <v>1.9699600000000002E-3</v>
      </c>
      <c r="AG117" s="83">
        <v>3.1094199999999999E-3</v>
      </c>
      <c r="AH117" s="83">
        <v>1.07499E-2</v>
      </c>
      <c r="AI117" s="83">
        <v>1.84407E-3</v>
      </c>
      <c r="AJ117" s="83">
        <v>3.0826500000000001E-3</v>
      </c>
      <c r="AK117" s="83">
        <v>1.07499E-2</v>
      </c>
      <c r="AL117" s="83">
        <v>1.36535E-3</v>
      </c>
      <c r="AM117" s="83">
        <v>3.0997300000000002E-3</v>
      </c>
      <c r="AN117" s="83">
        <v>1.07499E-2</v>
      </c>
      <c r="AO117" s="83">
        <v>2.0197100000000001E-3</v>
      </c>
      <c r="AP117" s="83">
        <v>2.9942200000000001E-3</v>
      </c>
      <c r="AQ117" s="83">
        <v>1.07499E-2</v>
      </c>
      <c r="AR117" s="83">
        <v>1.5709000000000001E-3</v>
      </c>
      <c r="AS117" s="83">
        <v>3.04988E-3</v>
      </c>
      <c r="AT117" s="83">
        <v>1.07499E-2</v>
      </c>
      <c r="AU117" s="83">
        <v>1.46324E-3</v>
      </c>
      <c r="AV117" s="83">
        <v>3.0863399999999999E-3</v>
      </c>
      <c r="AW117" s="83">
        <v>1.07499E-2</v>
      </c>
      <c r="AX117" s="83">
        <v>1.3278700000000001E-3</v>
      </c>
      <c r="AY117" s="83">
        <v>3.1536400000000001E-3</v>
      </c>
      <c r="AZ117" s="83">
        <v>1.07499E-2</v>
      </c>
      <c r="BA117" s="83">
        <v>1.38188E-3</v>
      </c>
      <c r="BB117" s="83">
        <v>3.0876499999999999E-3</v>
      </c>
      <c r="BC117" s="83">
        <v>1.07499E-2</v>
      </c>
      <c r="BD117" s="83">
        <v>1.8291E-3</v>
      </c>
      <c r="BE117" s="83">
        <v>3.01842E-3</v>
      </c>
      <c r="BF117" s="83">
        <v>1.07499E-2</v>
      </c>
      <c r="BG117" s="83">
        <v>1.9127199999999999E-3</v>
      </c>
      <c r="BH117" s="83">
        <v>3.0841900000000001E-3</v>
      </c>
      <c r="BI117" s="83">
        <v>1.07499E-2</v>
      </c>
      <c r="BJ117" s="83">
        <v>1.5169300000000001E-3</v>
      </c>
      <c r="BK117" s="83">
        <v>3.06296E-3</v>
      </c>
      <c r="BL117" s="83">
        <v>1.07499E-2</v>
      </c>
      <c r="BM117" s="83">
        <v>1.7058100000000001E-3</v>
      </c>
      <c r="BN117" s="83">
        <v>2.9944199999999998E-3</v>
      </c>
      <c r="BO117" s="83">
        <v>1.07499E-2</v>
      </c>
      <c r="BP117" s="83">
        <v>1.49982E-3</v>
      </c>
      <c r="BQ117" s="83">
        <v>3.0868599999999999E-3</v>
      </c>
      <c r="BR117" s="83">
        <v>1.07499E-2</v>
      </c>
      <c r="BS117" s="83">
        <v>1.59461E-3</v>
      </c>
      <c r="BT117" s="83">
        <v>3.1337399999999999E-3</v>
      </c>
      <c r="BU117" s="83">
        <v>1.07499E-2</v>
      </c>
      <c r="BV117" s="83">
        <v>1.2378599999999999E-3</v>
      </c>
      <c r="BW117" s="83">
        <v>2.99483E-3</v>
      </c>
      <c r="BX117" s="83">
        <v>1.07499E-2</v>
      </c>
      <c r="BY117" s="83">
        <v>1.58753E-3</v>
      </c>
      <c r="BZ117" s="83">
        <v>3.1079900000000001E-3</v>
      </c>
      <c r="CA117" s="83">
        <v>1.07499E-2</v>
      </c>
      <c r="CB117" s="83">
        <v>1.6210199999999999E-3</v>
      </c>
      <c r="CC117" s="83">
        <v>3.0256900000000002E-3</v>
      </c>
      <c r="CD117" s="83">
        <v>1.07499E-2</v>
      </c>
      <c r="CE117" s="83">
        <v>1.15807E-3</v>
      </c>
      <c r="CF117" s="83">
        <v>3.0144899999999999E-3</v>
      </c>
      <c r="CG117" s="83">
        <v>1.07499E-2</v>
      </c>
      <c r="CH117" s="83">
        <v>1.3437799999999999E-3</v>
      </c>
      <c r="CI117" s="83">
        <v>3.0531600000000001E-3</v>
      </c>
      <c r="CJ117" s="83">
        <v>1.07499E-2</v>
      </c>
      <c r="CK117" s="83">
        <v>1.2434099999999999E-3</v>
      </c>
      <c r="CL117" s="83">
        <v>2.9892400000000002E-3</v>
      </c>
      <c r="CM117" s="83">
        <v>1.07499E-2</v>
      </c>
      <c r="CN117" s="83">
        <v>9.6618599999999995E-4</v>
      </c>
      <c r="CO117" s="83">
        <v>2.9523599999999998E-3</v>
      </c>
      <c r="CP117" s="83">
        <v>1.07499E-2</v>
      </c>
      <c r="CQ117" s="83">
        <v>1.10479E-3</v>
      </c>
      <c r="CR117" s="83">
        <v>2.9732399999999998E-3</v>
      </c>
      <c r="CS117" s="83">
        <v>1.07499E-2</v>
      </c>
      <c r="CT117" s="83">
        <v>1.59589E-3</v>
      </c>
      <c r="CU117" s="83">
        <v>3.0073500000000002E-3</v>
      </c>
      <c r="CV117" s="83">
        <v>1.07499E-2</v>
      </c>
      <c r="CW117" s="83">
        <v>8.4710700000000005E-4</v>
      </c>
      <c r="CX117" s="83">
        <v>2.9805600000000002E-3</v>
      </c>
      <c r="CY117" s="83">
        <v>1.07499E-2</v>
      </c>
      <c r="CZ117" s="83">
        <v>1.5826900000000001E-3</v>
      </c>
      <c r="DA117" s="83">
        <v>2.9675299999999999E-3</v>
      </c>
    </row>
    <row r="118" spans="1:105" x14ac:dyDescent="0.2">
      <c r="A118" s="83">
        <v>1.0849900000000001E-2</v>
      </c>
      <c r="B118" s="83">
        <v>1.9547200000000001E-3</v>
      </c>
      <c r="C118" s="83">
        <v>2.8329800000000001E-3</v>
      </c>
      <c r="D118" s="83">
        <v>1.0849900000000001E-2</v>
      </c>
      <c r="E118" s="83">
        <v>1.2319799999999999E-3</v>
      </c>
      <c r="F118" s="83">
        <v>2.8064800000000001E-3</v>
      </c>
      <c r="G118" s="83">
        <v>1.0849900000000001E-2</v>
      </c>
      <c r="H118" s="83">
        <v>1.6397899999999999E-3</v>
      </c>
      <c r="I118" s="83">
        <v>2.88419E-3</v>
      </c>
      <c r="J118" s="83">
        <v>1.0849900000000001E-2</v>
      </c>
      <c r="K118" s="83">
        <v>1.63923E-3</v>
      </c>
      <c r="L118" s="83">
        <v>2.73792E-3</v>
      </c>
      <c r="M118" s="83">
        <v>1.0849900000000001E-2</v>
      </c>
      <c r="N118" s="83">
        <v>2.0824799999999998E-3</v>
      </c>
      <c r="O118" s="83">
        <v>2.8471899999999999E-3</v>
      </c>
      <c r="P118" s="83">
        <v>1.0849900000000001E-2</v>
      </c>
      <c r="Q118" s="83">
        <v>1.42946E-3</v>
      </c>
      <c r="R118" s="83">
        <v>2.8381700000000001E-3</v>
      </c>
      <c r="S118" s="83">
        <v>1.0849900000000001E-2</v>
      </c>
      <c r="T118" s="83">
        <v>1.9630899999999998E-3</v>
      </c>
      <c r="U118" s="83">
        <v>2.83381E-3</v>
      </c>
      <c r="V118" s="83">
        <v>1.0849900000000001E-2</v>
      </c>
      <c r="W118" s="83">
        <v>1.82453E-3</v>
      </c>
      <c r="X118" s="83">
        <v>2.9087000000000002E-3</v>
      </c>
      <c r="Y118" s="83">
        <v>1.0849900000000001E-2</v>
      </c>
      <c r="Z118" s="83">
        <v>1.83779E-3</v>
      </c>
      <c r="AA118" s="83">
        <v>2.82394E-3</v>
      </c>
      <c r="AB118" s="83">
        <v>1.0849900000000001E-2</v>
      </c>
      <c r="AC118" s="83">
        <v>2.0845299999999998E-3</v>
      </c>
      <c r="AD118" s="83">
        <v>2.8935200000000001E-3</v>
      </c>
      <c r="AE118" s="83">
        <v>1.0849900000000001E-2</v>
      </c>
      <c r="AF118" s="83">
        <v>2.0734799999999999E-3</v>
      </c>
      <c r="AG118" s="83">
        <v>2.9209499999999998E-3</v>
      </c>
      <c r="AH118" s="83">
        <v>1.0849900000000001E-2</v>
      </c>
      <c r="AI118" s="83">
        <v>1.5765E-3</v>
      </c>
      <c r="AJ118" s="83">
        <v>2.9098000000000001E-3</v>
      </c>
      <c r="AK118" s="83">
        <v>1.0849900000000001E-2</v>
      </c>
      <c r="AL118" s="83">
        <v>1.3907399999999999E-3</v>
      </c>
      <c r="AM118" s="83">
        <v>2.93078E-3</v>
      </c>
      <c r="AN118" s="83">
        <v>1.0849900000000001E-2</v>
      </c>
      <c r="AO118" s="83">
        <v>1.69549E-3</v>
      </c>
      <c r="AP118" s="83">
        <v>2.8213700000000001E-3</v>
      </c>
      <c r="AQ118" s="83">
        <v>1.0849900000000001E-2</v>
      </c>
      <c r="AR118" s="83">
        <v>1.79356E-3</v>
      </c>
      <c r="AS118" s="83">
        <v>2.9121899999999998E-3</v>
      </c>
      <c r="AT118" s="83">
        <v>1.0849900000000001E-2</v>
      </c>
      <c r="AU118" s="83">
        <v>1.2718300000000001E-3</v>
      </c>
      <c r="AV118" s="83">
        <v>2.9281300000000001E-3</v>
      </c>
      <c r="AW118" s="83">
        <v>1.0849900000000001E-2</v>
      </c>
      <c r="AX118" s="83">
        <v>1.65599E-3</v>
      </c>
      <c r="AY118" s="83">
        <v>2.9886000000000001E-3</v>
      </c>
      <c r="AZ118" s="83">
        <v>1.0849900000000001E-2</v>
      </c>
      <c r="BA118" s="83">
        <v>1.68461E-3</v>
      </c>
      <c r="BB118" s="83">
        <v>2.9313999999999998E-3</v>
      </c>
      <c r="BC118" s="83">
        <v>1.0849900000000001E-2</v>
      </c>
      <c r="BD118" s="83">
        <v>1.9052699999999999E-3</v>
      </c>
      <c r="BE118" s="83">
        <v>2.8436099999999999E-3</v>
      </c>
      <c r="BF118" s="83">
        <v>1.0849900000000001E-2</v>
      </c>
      <c r="BG118" s="83">
        <v>1.72522E-3</v>
      </c>
      <c r="BH118" s="83">
        <v>2.9259899999999998E-3</v>
      </c>
      <c r="BI118" s="83">
        <v>1.0849900000000001E-2</v>
      </c>
      <c r="BJ118" s="83">
        <v>1.11849E-3</v>
      </c>
      <c r="BK118" s="83">
        <v>2.88522E-3</v>
      </c>
      <c r="BL118" s="83">
        <v>1.0849900000000001E-2</v>
      </c>
      <c r="BM118" s="83">
        <v>1.69995E-3</v>
      </c>
      <c r="BN118" s="83">
        <v>2.8381700000000001E-3</v>
      </c>
      <c r="BO118" s="83">
        <v>1.0849900000000001E-2</v>
      </c>
      <c r="BP118" s="83">
        <v>1.52717E-3</v>
      </c>
      <c r="BQ118" s="83">
        <v>2.9188899999999999E-3</v>
      </c>
      <c r="BR118" s="83">
        <v>1.0849900000000001E-2</v>
      </c>
      <c r="BS118" s="83">
        <v>1.1043699999999999E-3</v>
      </c>
      <c r="BT118" s="83">
        <v>2.9521E-3</v>
      </c>
      <c r="BU118" s="83">
        <v>1.0849900000000001E-2</v>
      </c>
      <c r="BV118" s="83">
        <v>1.5366900000000001E-3</v>
      </c>
      <c r="BW118" s="83">
        <v>2.8288100000000002E-3</v>
      </c>
      <c r="BX118" s="83">
        <v>1.0849900000000001E-2</v>
      </c>
      <c r="BY118" s="83">
        <v>1.5094100000000001E-3</v>
      </c>
      <c r="BZ118" s="83">
        <v>2.93319E-3</v>
      </c>
      <c r="CA118" s="83">
        <v>1.0849900000000001E-2</v>
      </c>
      <c r="CB118" s="83">
        <v>1.4178999999999999E-3</v>
      </c>
      <c r="CC118" s="83">
        <v>2.8547899999999998E-3</v>
      </c>
      <c r="CD118" s="83">
        <v>1.0849900000000001E-2</v>
      </c>
      <c r="CE118" s="83">
        <v>1.20104E-3</v>
      </c>
      <c r="CF118" s="83">
        <v>2.83577E-3</v>
      </c>
      <c r="CG118" s="83">
        <v>1.0849900000000001E-2</v>
      </c>
      <c r="CH118" s="83">
        <v>1.1387000000000001E-3</v>
      </c>
      <c r="CI118" s="83">
        <v>2.90961E-3</v>
      </c>
      <c r="CJ118" s="83">
        <v>1.0849900000000001E-2</v>
      </c>
      <c r="CK118" s="83">
        <v>1.7063E-3</v>
      </c>
      <c r="CL118" s="83">
        <v>2.84666E-3</v>
      </c>
      <c r="CM118" s="83">
        <v>1.0849900000000001E-2</v>
      </c>
      <c r="CN118" s="83">
        <v>1.4583700000000001E-3</v>
      </c>
      <c r="CO118" s="83">
        <v>2.8166200000000001E-3</v>
      </c>
      <c r="CP118" s="83">
        <v>1.0849900000000001E-2</v>
      </c>
      <c r="CQ118" s="83">
        <v>1.0305799999999999E-3</v>
      </c>
      <c r="CR118" s="83">
        <v>2.80234E-3</v>
      </c>
      <c r="CS118" s="83">
        <v>1.0849900000000001E-2</v>
      </c>
      <c r="CT118" s="83">
        <v>1.3556499999999999E-3</v>
      </c>
      <c r="CU118" s="83">
        <v>2.8462100000000001E-3</v>
      </c>
      <c r="CV118" s="83">
        <v>1.0849900000000001E-2</v>
      </c>
      <c r="CW118" s="83">
        <v>1.3666399999999999E-3</v>
      </c>
      <c r="CX118" s="83">
        <v>2.8438500000000002E-3</v>
      </c>
      <c r="CY118" s="83">
        <v>1.0849900000000001E-2</v>
      </c>
      <c r="CZ118" s="83">
        <v>1.3873799999999999E-3</v>
      </c>
      <c r="DA118" s="83">
        <v>2.8357E-3</v>
      </c>
    </row>
    <row r="119" spans="1:105" x14ac:dyDescent="0.2">
      <c r="A119" s="83">
        <v>1.09499E-2</v>
      </c>
      <c r="B119" s="83">
        <v>1.77699E-3</v>
      </c>
      <c r="C119" s="83">
        <v>2.6728199999999998E-3</v>
      </c>
      <c r="D119" s="83">
        <v>1.09499E-2</v>
      </c>
      <c r="E119" s="83">
        <v>1.2046400000000001E-3</v>
      </c>
      <c r="F119" s="83">
        <v>2.6717199999999998E-3</v>
      </c>
      <c r="G119" s="83">
        <v>1.09499E-2</v>
      </c>
      <c r="H119" s="83">
        <v>1.2511200000000001E-3</v>
      </c>
      <c r="I119" s="83">
        <v>2.7152500000000002E-3</v>
      </c>
      <c r="J119" s="83">
        <v>1.09499E-2</v>
      </c>
      <c r="K119" s="83">
        <v>1.0532899999999999E-3</v>
      </c>
      <c r="L119" s="83">
        <v>2.59925E-3</v>
      </c>
      <c r="M119" s="83">
        <v>1.09499E-2</v>
      </c>
      <c r="N119" s="83">
        <v>1.6488900000000001E-3</v>
      </c>
      <c r="O119" s="83">
        <v>2.6626200000000001E-3</v>
      </c>
      <c r="P119" s="83">
        <v>1.09499E-2</v>
      </c>
      <c r="Q119" s="83">
        <v>1.4861E-3</v>
      </c>
      <c r="R119" s="83">
        <v>2.6702000000000002E-3</v>
      </c>
      <c r="S119" s="83">
        <v>1.09499E-2</v>
      </c>
      <c r="T119" s="83">
        <v>1.32442E-3</v>
      </c>
      <c r="U119" s="83">
        <v>2.67366E-3</v>
      </c>
      <c r="V119" s="83">
        <v>1.09499E-2</v>
      </c>
      <c r="W119" s="83">
        <v>1.68586E-3</v>
      </c>
      <c r="X119" s="83">
        <v>2.7485399999999998E-3</v>
      </c>
      <c r="Y119" s="83">
        <v>1.09499E-2</v>
      </c>
      <c r="Z119" s="83">
        <v>1.7245100000000001E-3</v>
      </c>
      <c r="AA119" s="83">
        <v>2.66672E-3</v>
      </c>
      <c r="AB119" s="83">
        <v>1.09499E-2</v>
      </c>
      <c r="AC119" s="83">
        <v>1.3814000000000001E-3</v>
      </c>
      <c r="AD119" s="83">
        <v>2.7196999999999998E-3</v>
      </c>
      <c r="AE119" s="83">
        <v>1.09499E-2</v>
      </c>
      <c r="AF119" s="83">
        <v>1.5383199999999999E-3</v>
      </c>
      <c r="AG119" s="83">
        <v>2.77641E-3</v>
      </c>
      <c r="AH119" s="83">
        <v>1.09499E-2</v>
      </c>
      <c r="AI119" s="83">
        <v>1.72689E-3</v>
      </c>
      <c r="AJ119" s="83">
        <v>2.7496500000000002E-3</v>
      </c>
      <c r="AK119" s="83">
        <v>1.09499E-2</v>
      </c>
      <c r="AL119" s="83">
        <v>1.7559800000000001E-3</v>
      </c>
      <c r="AM119" s="83">
        <v>2.7784400000000001E-3</v>
      </c>
      <c r="AN119" s="83">
        <v>1.09499E-2</v>
      </c>
      <c r="AO119" s="83">
        <v>1.9728300000000001E-3</v>
      </c>
      <c r="AP119" s="83">
        <v>2.69148E-3</v>
      </c>
      <c r="AQ119" s="83">
        <v>1.09499E-2</v>
      </c>
      <c r="AR119" s="83">
        <v>1.41661E-3</v>
      </c>
      <c r="AS119" s="83">
        <v>2.7559400000000001E-3</v>
      </c>
      <c r="AT119" s="83">
        <v>1.09499E-2</v>
      </c>
      <c r="AU119" s="83">
        <v>1.0081599999999999E-3</v>
      </c>
      <c r="AV119" s="83">
        <v>2.7669999999999999E-3</v>
      </c>
      <c r="AW119" s="83">
        <v>1.09499E-2</v>
      </c>
      <c r="AX119" s="83">
        <v>1.3044300000000001E-3</v>
      </c>
      <c r="AY119" s="83">
        <v>2.8176999999999998E-3</v>
      </c>
      <c r="AZ119" s="83">
        <v>1.09499E-2</v>
      </c>
      <c r="BA119" s="83">
        <v>1.47758E-3</v>
      </c>
      <c r="BB119" s="83">
        <v>2.7741699999999998E-3</v>
      </c>
      <c r="BC119" s="83">
        <v>1.09499E-2</v>
      </c>
      <c r="BD119" s="83">
        <v>1.29199E-3</v>
      </c>
      <c r="BE119" s="83">
        <v>2.7010300000000001E-3</v>
      </c>
      <c r="BF119" s="83">
        <v>1.09499E-2</v>
      </c>
      <c r="BG119" s="83">
        <v>1.1959200000000001E-3</v>
      </c>
      <c r="BH119" s="83">
        <v>2.7472799999999999E-3</v>
      </c>
      <c r="BI119" s="83">
        <v>1.09499E-2</v>
      </c>
      <c r="BJ119" s="83">
        <v>1.2747399999999999E-3</v>
      </c>
      <c r="BK119" s="83">
        <v>2.7309299999999999E-3</v>
      </c>
      <c r="BL119" s="83">
        <v>1.09499E-2</v>
      </c>
      <c r="BM119" s="83">
        <v>1.2526799999999999E-3</v>
      </c>
      <c r="BN119" s="83">
        <v>2.7024200000000001E-3</v>
      </c>
      <c r="BO119" s="83">
        <v>1.09499E-2</v>
      </c>
      <c r="BP119" s="83">
        <v>1.01154E-3</v>
      </c>
      <c r="BQ119" s="83">
        <v>2.7548300000000002E-3</v>
      </c>
      <c r="BR119" s="83">
        <v>1.09499E-2</v>
      </c>
      <c r="BS119" s="83">
        <v>9.32496E-4</v>
      </c>
      <c r="BT119" s="83">
        <v>2.7948700000000001E-3</v>
      </c>
      <c r="BU119" s="83">
        <v>1.09499E-2</v>
      </c>
      <c r="BV119" s="83">
        <v>1.45856E-3</v>
      </c>
      <c r="BW119" s="83">
        <v>2.6813499999999999E-3</v>
      </c>
      <c r="BX119" s="83">
        <v>1.09499E-2</v>
      </c>
      <c r="BY119" s="83">
        <v>1.4410499999999999E-3</v>
      </c>
      <c r="BZ119" s="83">
        <v>2.8013500000000002E-3</v>
      </c>
      <c r="CA119" s="83">
        <v>1.09499E-2</v>
      </c>
      <c r="CB119" s="83">
        <v>1.2635999999999999E-3</v>
      </c>
      <c r="CC119" s="83">
        <v>2.6985400000000001E-3</v>
      </c>
      <c r="CD119" s="83">
        <v>1.09499E-2</v>
      </c>
      <c r="CE119" s="83">
        <v>1.3983000000000001E-3</v>
      </c>
      <c r="CF119" s="83">
        <v>2.6775700000000002E-3</v>
      </c>
      <c r="CG119" s="83">
        <v>1.09499E-2</v>
      </c>
      <c r="CH119" s="83">
        <v>1.0859699999999999E-3</v>
      </c>
      <c r="CI119" s="83">
        <v>2.76019E-3</v>
      </c>
      <c r="CJ119" s="83">
        <v>1.09499E-2</v>
      </c>
      <c r="CK119" s="83">
        <v>1.40748E-3</v>
      </c>
      <c r="CL119" s="83">
        <v>2.6933399999999998E-3</v>
      </c>
      <c r="CM119" s="83">
        <v>1.09499E-2</v>
      </c>
      <c r="CN119" s="83">
        <v>1.0872799999999999E-3</v>
      </c>
      <c r="CO119" s="83">
        <v>2.6740399999999999E-3</v>
      </c>
      <c r="CP119" s="83">
        <v>1.09499E-2</v>
      </c>
      <c r="CQ119" s="83">
        <v>8.5284100000000002E-4</v>
      </c>
      <c r="CR119" s="83">
        <v>2.6675800000000001E-3</v>
      </c>
      <c r="CS119" s="83">
        <v>1.09499E-2</v>
      </c>
      <c r="CT119" s="83">
        <v>1.5314300000000001E-3</v>
      </c>
      <c r="CU119" s="83">
        <v>2.6958199999999998E-3</v>
      </c>
      <c r="CV119" s="83">
        <v>1.09499E-2</v>
      </c>
      <c r="CW119" s="83">
        <v>1.0580399999999999E-3</v>
      </c>
      <c r="CX119" s="83">
        <v>2.6895500000000002E-3</v>
      </c>
      <c r="CY119" s="83">
        <v>1.09499E-2</v>
      </c>
      <c r="CZ119" s="83">
        <v>1.37371E-3</v>
      </c>
      <c r="DA119" s="83">
        <v>2.63941E-3</v>
      </c>
    </row>
    <row r="120" spans="1:105" x14ac:dyDescent="0.2">
      <c r="A120" s="83">
        <v>1.10499E-2</v>
      </c>
      <c r="B120" s="83">
        <v>1.7848E-3</v>
      </c>
      <c r="C120" s="83">
        <v>2.5185199999999998E-3</v>
      </c>
      <c r="D120" s="83">
        <v>1.10499E-2</v>
      </c>
      <c r="E120" s="83">
        <v>1.1890099999999999E-3</v>
      </c>
      <c r="F120" s="83">
        <v>2.5184000000000001E-3</v>
      </c>
      <c r="G120" s="83">
        <v>1.10499E-2</v>
      </c>
      <c r="H120" s="83">
        <v>1.6436999999999999E-3</v>
      </c>
      <c r="I120" s="83">
        <v>2.5736499999999998E-3</v>
      </c>
      <c r="J120" s="83">
        <v>1.10499E-2</v>
      </c>
      <c r="K120" s="83">
        <v>1.4322E-3</v>
      </c>
      <c r="L120" s="83">
        <v>2.4429999999999999E-3</v>
      </c>
      <c r="M120" s="83">
        <v>1.10499E-2</v>
      </c>
      <c r="N120" s="83">
        <v>1.26217E-3</v>
      </c>
      <c r="O120" s="83">
        <v>2.5337100000000002E-3</v>
      </c>
      <c r="P120" s="83">
        <v>1.10499E-2</v>
      </c>
      <c r="Q120" s="83">
        <v>1.5739899999999999E-3</v>
      </c>
      <c r="R120" s="83">
        <v>2.5452000000000001E-3</v>
      </c>
      <c r="S120" s="83">
        <v>1.10499E-2</v>
      </c>
      <c r="T120" s="83">
        <v>1.2189499999999999E-3</v>
      </c>
      <c r="U120" s="83">
        <v>2.50373E-3</v>
      </c>
      <c r="V120" s="83">
        <v>1.10499E-2</v>
      </c>
      <c r="W120" s="83">
        <v>1.06672E-3</v>
      </c>
      <c r="X120" s="83">
        <v>2.5922900000000001E-3</v>
      </c>
      <c r="Y120" s="83">
        <v>1.10499E-2</v>
      </c>
      <c r="Z120" s="83">
        <v>1.4706000000000001E-3</v>
      </c>
      <c r="AA120" s="83">
        <v>2.5319499999999998E-3</v>
      </c>
      <c r="AB120" s="83">
        <v>1.10499E-2</v>
      </c>
      <c r="AC120" s="83">
        <v>1.3735900000000001E-3</v>
      </c>
      <c r="AD120" s="83">
        <v>2.5829799999999999E-3</v>
      </c>
      <c r="AE120" s="83">
        <v>1.10499E-2</v>
      </c>
      <c r="AF120" s="83">
        <v>1.5871500000000001E-3</v>
      </c>
      <c r="AG120" s="83">
        <v>2.6221199999999999E-3</v>
      </c>
      <c r="AH120" s="83">
        <v>1.10499E-2</v>
      </c>
      <c r="AI120" s="83">
        <v>1.3382100000000001E-3</v>
      </c>
      <c r="AJ120" s="83">
        <v>2.5924199999999998E-3</v>
      </c>
      <c r="AK120" s="83">
        <v>1.10499E-2</v>
      </c>
      <c r="AL120" s="83">
        <v>1.28918E-3</v>
      </c>
      <c r="AM120" s="83">
        <v>2.6202399999999998E-3</v>
      </c>
      <c r="AN120" s="83">
        <v>1.10499E-2</v>
      </c>
      <c r="AO120" s="83">
        <v>1.3244000000000001E-3</v>
      </c>
      <c r="AP120" s="83">
        <v>2.53426E-3</v>
      </c>
      <c r="AQ120" s="83">
        <v>1.10499E-2</v>
      </c>
      <c r="AR120" s="83">
        <v>1.5865300000000001E-3</v>
      </c>
      <c r="AS120" s="83">
        <v>2.5899199999999999E-3</v>
      </c>
      <c r="AT120" s="83">
        <v>1.10499E-2</v>
      </c>
      <c r="AU120" s="83">
        <v>1.3187100000000001E-3</v>
      </c>
      <c r="AV120" s="83">
        <v>2.6254E-3</v>
      </c>
      <c r="AW120" s="83">
        <v>1.10499E-2</v>
      </c>
      <c r="AX120" s="83">
        <v>1.4665399999999999E-3</v>
      </c>
      <c r="AY120" s="83">
        <v>2.66731E-3</v>
      </c>
      <c r="AZ120" s="83">
        <v>1.10499E-2</v>
      </c>
      <c r="BA120" s="83">
        <v>1.35063E-3</v>
      </c>
      <c r="BB120" s="83">
        <v>2.6208500000000001E-3</v>
      </c>
      <c r="BC120" s="83">
        <v>1.10499E-2</v>
      </c>
      <c r="BD120" s="83">
        <v>1.66895E-3</v>
      </c>
      <c r="BE120" s="83">
        <v>2.5389200000000001E-3</v>
      </c>
      <c r="BF120" s="83">
        <v>1.10499E-2</v>
      </c>
      <c r="BG120" s="83">
        <v>1.50256E-3</v>
      </c>
      <c r="BH120" s="83">
        <v>2.6408299999999998E-3</v>
      </c>
      <c r="BI120" s="83">
        <v>1.10499E-2</v>
      </c>
      <c r="BJ120" s="83">
        <v>1.1594999999999999E-3</v>
      </c>
      <c r="BK120" s="83">
        <v>2.5922499999999999E-3</v>
      </c>
      <c r="BL120" s="83">
        <v>1.10499E-2</v>
      </c>
      <c r="BM120" s="83">
        <v>1.2878399999999999E-3</v>
      </c>
      <c r="BN120" s="83">
        <v>2.5432499999999999E-3</v>
      </c>
      <c r="BO120" s="83">
        <v>1.10499E-2</v>
      </c>
      <c r="BP120" s="83">
        <v>1.11115E-3</v>
      </c>
      <c r="BQ120" s="83">
        <v>2.60932E-3</v>
      </c>
      <c r="BR120" s="83">
        <v>1.10499E-2</v>
      </c>
      <c r="BS120" s="83">
        <v>1.0340600000000001E-3</v>
      </c>
      <c r="BT120" s="83">
        <v>2.6415499999999999E-3</v>
      </c>
      <c r="BU120" s="83">
        <v>1.10499E-2</v>
      </c>
      <c r="BV120" s="83">
        <v>1.3687199999999999E-3</v>
      </c>
      <c r="BW120" s="83">
        <v>2.5465900000000001E-3</v>
      </c>
      <c r="BX120" s="83">
        <v>1.10499E-2</v>
      </c>
      <c r="BY120" s="83">
        <v>1.18128E-3</v>
      </c>
      <c r="BZ120" s="83">
        <v>2.6363100000000002E-3</v>
      </c>
      <c r="CA120" s="83">
        <v>1.10499E-2</v>
      </c>
      <c r="CB120" s="83">
        <v>1.5761E-3</v>
      </c>
      <c r="CC120" s="83">
        <v>2.5715899999999999E-3</v>
      </c>
      <c r="CD120" s="83">
        <v>1.10499E-2</v>
      </c>
      <c r="CE120" s="83">
        <v>8.8853800000000002E-4</v>
      </c>
      <c r="CF120" s="83">
        <v>2.5545199999999998E-3</v>
      </c>
      <c r="CG120" s="83">
        <v>1.10499E-2</v>
      </c>
      <c r="CH120" s="83">
        <v>1.05667E-3</v>
      </c>
      <c r="CI120" s="83">
        <v>2.60297E-3</v>
      </c>
      <c r="CJ120" s="83">
        <v>1.10499E-2</v>
      </c>
      <c r="CK120" s="83">
        <v>1.27662E-3</v>
      </c>
      <c r="CL120" s="83">
        <v>2.5449000000000001E-3</v>
      </c>
      <c r="CM120" s="83">
        <v>1.10499E-2</v>
      </c>
      <c r="CN120" s="83">
        <v>1.1654E-3</v>
      </c>
      <c r="CO120" s="83">
        <v>2.5226699999999999E-3</v>
      </c>
      <c r="CP120" s="83">
        <v>1.10499E-2</v>
      </c>
      <c r="CQ120" s="83">
        <v>8.9776299999999999E-4</v>
      </c>
      <c r="CR120" s="83">
        <v>2.5435499999999999E-3</v>
      </c>
      <c r="CS120" s="83">
        <v>1.10499E-2</v>
      </c>
      <c r="CT120" s="83">
        <v>1.1759699999999999E-3</v>
      </c>
      <c r="CU120" s="83">
        <v>2.55813E-3</v>
      </c>
      <c r="CV120" s="83">
        <v>1.10499E-2</v>
      </c>
      <c r="CW120" s="83">
        <v>1.1127299999999999E-3</v>
      </c>
      <c r="CX120" s="83">
        <v>2.5264599999999999E-3</v>
      </c>
      <c r="CY120" s="83">
        <v>1.10499E-2</v>
      </c>
      <c r="CZ120" s="83">
        <v>1.2682399999999999E-3</v>
      </c>
      <c r="DA120" s="83">
        <v>2.5134300000000001E-3</v>
      </c>
    </row>
    <row r="121" spans="1:105" x14ac:dyDescent="0.2">
      <c r="A121" s="83">
        <v>1.1149900000000001E-2</v>
      </c>
      <c r="B121" s="83">
        <v>1.79652E-3</v>
      </c>
      <c r="C121" s="83">
        <v>2.3779000000000001E-3</v>
      </c>
      <c r="D121" s="83">
        <v>1.1149900000000001E-2</v>
      </c>
      <c r="E121" s="83">
        <v>1.33745E-3</v>
      </c>
      <c r="F121" s="83">
        <v>2.40121E-3</v>
      </c>
      <c r="G121" s="83">
        <v>1.1149900000000001E-2</v>
      </c>
      <c r="H121" s="83">
        <v>1.64565E-3</v>
      </c>
      <c r="I121" s="83">
        <v>2.4242299999999999E-3</v>
      </c>
      <c r="J121" s="83">
        <v>1.1149900000000001E-2</v>
      </c>
      <c r="K121" s="83">
        <v>1.50446E-3</v>
      </c>
      <c r="L121" s="83">
        <v>2.3277699999999998E-3</v>
      </c>
      <c r="M121" s="83">
        <v>1.1149900000000001E-2</v>
      </c>
      <c r="N121" s="83">
        <v>1.1899E-3</v>
      </c>
      <c r="O121" s="83">
        <v>2.3999300000000002E-3</v>
      </c>
      <c r="P121" s="83">
        <v>1.1149900000000001E-2</v>
      </c>
      <c r="Q121" s="83">
        <v>1.2575799999999999E-3</v>
      </c>
      <c r="R121" s="83">
        <v>2.3967699999999999E-3</v>
      </c>
      <c r="S121" s="83">
        <v>1.1149900000000001E-2</v>
      </c>
      <c r="T121" s="83">
        <v>1.54317E-3</v>
      </c>
      <c r="U121" s="83">
        <v>2.39631E-3</v>
      </c>
      <c r="V121" s="83">
        <v>1.1149900000000001E-2</v>
      </c>
      <c r="W121" s="83">
        <v>1.21711E-3</v>
      </c>
      <c r="X121" s="83">
        <v>2.4614300000000001E-3</v>
      </c>
      <c r="Y121" s="83">
        <v>1.1149900000000001E-2</v>
      </c>
      <c r="Z121" s="83">
        <v>1.0409099999999999E-3</v>
      </c>
      <c r="AA121" s="83">
        <v>2.3766799999999999E-3</v>
      </c>
      <c r="AB121" s="83">
        <v>1.1149900000000001E-2</v>
      </c>
      <c r="AC121" s="83">
        <v>1.1860900000000001E-3</v>
      </c>
      <c r="AD121" s="83">
        <v>2.4452800000000002E-3</v>
      </c>
      <c r="AE121" s="83">
        <v>1.1149900000000001E-2</v>
      </c>
      <c r="AF121" s="83">
        <v>1.6613699999999999E-3</v>
      </c>
      <c r="AG121" s="83">
        <v>2.4688000000000002E-3</v>
      </c>
      <c r="AH121" s="83">
        <v>1.1149900000000001E-2</v>
      </c>
      <c r="AI121" s="83">
        <v>1.4749299999999999E-3</v>
      </c>
      <c r="AJ121" s="83">
        <v>2.4664399999999999E-3</v>
      </c>
      <c r="AK121" s="83">
        <v>1.1149900000000001E-2</v>
      </c>
      <c r="AL121" s="83">
        <v>1.5411299999999999E-3</v>
      </c>
      <c r="AM121" s="83">
        <v>2.4757099999999999E-3</v>
      </c>
      <c r="AN121" s="83">
        <v>1.1149900000000001E-2</v>
      </c>
      <c r="AO121" s="83">
        <v>1.7970499999999999E-3</v>
      </c>
      <c r="AP121" s="83">
        <v>2.3809399999999998E-3</v>
      </c>
      <c r="AQ121" s="83">
        <v>1.1149900000000001E-2</v>
      </c>
      <c r="AR121" s="83">
        <v>1.06504E-3</v>
      </c>
      <c r="AS121" s="83">
        <v>2.4512499999999999E-3</v>
      </c>
      <c r="AT121" s="83">
        <v>1.1149900000000001E-2</v>
      </c>
      <c r="AU121" s="83">
        <v>1.3226100000000001E-3</v>
      </c>
      <c r="AV121" s="83">
        <v>2.47891E-3</v>
      </c>
      <c r="AW121" s="83">
        <v>1.1149900000000001E-2</v>
      </c>
      <c r="AX121" s="83">
        <v>1.6618500000000001E-3</v>
      </c>
      <c r="AY121" s="83">
        <v>2.5149600000000001E-3</v>
      </c>
      <c r="AZ121" s="83">
        <v>1.1149900000000001E-2</v>
      </c>
      <c r="BA121" s="83">
        <v>9.4437700000000004E-4</v>
      </c>
      <c r="BB121" s="83">
        <v>2.4743600000000001E-3</v>
      </c>
      <c r="BC121" s="83">
        <v>1.1149900000000001E-2</v>
      </c>
      <c r="BD121" s="83">
        <v>1.79981E-3</v>
      </c>
      <c r="BE121" s="83">
        <v>2.41099E-3</v>
      </c>
      <c r="BF121" s="83">
        <v>1.1149900000000001E-2</v>
      </c>
      <c r="BG121" s="83">
        <v>1.52991E-3</v>
      </c>
      <c r="BH121" s="83">
        <v>2.47482E-3</v>
      </c>
      <c r="BI121" s="83">
        <v>1.1149900000000001E-2</v>
      </c>
      <c r="BJ121" s="83">
        <v>8.2747400000000003E-4</v>
      </c>
      <c r="BK121" s="83">
        <v>2.45065E-3</v>
      </c>
      <c r="BL121" s="83">
        <v>1.1149900000000001E-2</v>
      </c>
      <c r="BM121" s="83">
        <v>1.3171400000000001E-3</v>
      </c>
      <c r="BN121" s="83">
        <v>2.4162900000000002E-3</v>
      </c>
      <c r="BO121" s="83">
        <v>1.1149900000000001E-2</v>
      </c>
      <c r="BP121" s="83">
        <v>1.3943600000000001E-3</v>
      </c>
      <c r="BQ121" s="83">
        <v>2.48139E-3</v>
      </c>
      <c r="BR121" s="83">
        <v>1.1149900000000001E-2</v>
      </c>
      <c r="BS121" s="83">
        <v>1.0575000000000001E-3</v>
      </c>
      <c r="BT121" s="83">
        <v>2.50483E-3</v>
      </c>
      <c r="BU121" s="83">
        <v>1.1149900000000001E-2</v>
      </c>
      <c r="BV121" s="83">
        <v>1.26716E-3</v>
      </c>
      <c r="BW121" s="83">
        <v>2.4166999999999999E-3</v>
      </c>
      <c r="BX121" s="83">
        <v>1.1149900000000001E-2</v>
      </c>
      <c r="BY121" s="83">
        <v>1.3453499999999999E-3</v>
      </c>
      <c r="BZ121" s="83">
        <v>2.50643E-3</v>
      </c>
      <c r="CA121" s="83">
        <v>1.1149900000000001E-2</v>
      </c>
      <c r="CB121" s="83">
        <v>1.7284399999999999E-3</v>
      </c>
      <c r="CC121" s="83">
        <v>2.41925E-3</v>
      </c>
      <c r="CD121" s="83">
        <v>1.1149900000000001E-2</v>
      </c>
      <c r="CE121" s="83">
        <v>8.8267800000000002E-4</v>
      </c>
      <c r="CF121" s="83">
        <v>2.37288E-3</v>
      </c>
      <c r="CG121" s="83">
        <v>1.1149900000000001E-2</v>
      </c>
      <c r="CH121" s="83">
        <v>9.7464199999999996E-4</v>
      </c>
      <c r="CI121" s="83">
        <v>2.4506200000000001E-3</v>
      </c>
      <c r="CJ121" s="83">
        <v>1.1149900000000001E-2</v>
      </c>
      <c r="CK121" s="83">
        <v>1.5051299999999999E-3</v>
      </c>
      <c r="CL121" s="83">
        <v>2.3993899999999999E-3</v>
      </c>
      <c r="CM121" s="83">
        <v>1.1149900000000001E-2</v>
      </c>
      <c r="CN121" s="83">
        <v>8.3923199999999998E-4</v>
      </c>
      <c r="CO121" s="83">
        <v>2.3791200000000002E-3</v>
      </c>
      <c r="CP121" s="83">
        <v>1.1149900000000001E-2</v>
      </c>
      <c r="CQ121" s="83">
        <v>6.8682499999999996E-4</v>
      </c>
      <c r="CR121" s="83">
        <v>2.3833999999999999E-3</v>
      </c>
      <c r="CS121" s="83">
        <v>1.1149900000000001E-2</v>
      </c>
      <c r="CT121" s="83">
        <v>1.1642499999999999E-3</v>
      </c>
      <c r="CU121" s="83">
        <v>2.4028500000000002E-3</v>
      </c>
      <c r="CV121" s="83">
        <v>1.1149900000000001E-2</v>
      </c>
      <c r="CW121" s="83">
        <v>1.0267900000000001E-3</v>
      </c>
      <c r="CX121" s="83">
        <v>2.3965800000000002E-3</v>
      </c>
      <c r="CY121" s="83">
        <v>1.1149900000000001E-2</v>
      </c>
      <c r="CZ121" s="83">
        <v>1.0377699999999999E-3</v>
      </c>
      <c r="DA121" s="83">
        <v>2.3796400000000001E-3</v>
      </c>
    </row>
    <row r="122" spans="1:105" x14ac:dyDescent="0.2">
      <c r="A122" s="83">
        <v>1.12499E-2</v>
      </c>
      <c r="B122" s="83">
        <v>1.54652E-3</v>
      </c>
      <c r="C122" s="83">
        <v>2.2480199999999999E-3</v>
      </c>
      <c r="D122" s="83">
        <v>1.12499E-2</v>
      </c>
      <c r="E122" s="83">
        <v>1.3393999999999999E-3</v>
      </c>
      <c r="F122" s="83">
        <v>2.2576599999999999E-3</v>
      </c>
      <c r="G122" s="83">
        <v>1.12499E-2</v>
      </c>
      <c r="H122" s="83">
        <v>1.0909699999999999E-3</v>
      </c>
      <c r="I122" s="83">
        <v>2.2982599999999999E-3</v>
      </c>
      <c r="J122" s="83">
        <v>1.12499E-2</v>
      </c>
      <c r="K122" s="83">
        <v>1.49665E-3</v>
      </c>
      <c r="L122" s="83">
        <v>2.1930000000000001E-3</v>
      </c>
      <c r="M122" s="83">
        <v>1.12499E-2</v>
      </c>
      <c r="N122" s="83">
        <v>1.2445900000000001E-3</v>
      </c>
      <c r="O122" s="83">
        <v>2.25442E-3</v>
      </c>
      <c r="P122" s="83">
        <v>1.12499E-2</v>
      </c>
      <c r="Q122" s="83">
        <v>1.3611000000000001E-3</v>
      </c>
      <c r="R122" s="83">
        <v>2.2561399999999998E-3</v>
      </c>
      <c r="S122" s="83">
        <v>1.12499E-2</v>
      </c>
      <c r="T122" s="83">
        <v>1.0998099999999999E-3</v>
      </c>
      <c r="U122" s="83">
        <v>2.2586199999999998E-3</v>
      </c>
      <c r="V122" s="83">
        <v>1.12499E-2</v>
      </c>
      <c r="W122" s="83">
        <v>1.1878100000000001E-3</v>
      </c>
      <c r="X122" s="83">
        <v>2.3139699999999998E-3</v>
      </c>
      <c r="Y122" s="83">
        <v>1.12499E-2</v>
      </c>
      <c r="Z122" s="83">
        <v>1.42763E-3</v>
      </c>
      <c r="AA122" s="83">
        <v>2.2487499999999999E-3</v>
      </c>
      <c r="AB122" s="83">
        <v>1.12499E-2</v>
      </c>
      <c r="AC122" s="83">
        <v>1.27593E-3</v>
      </c>
      <c r="AD122" s="83">
        <v>2.3095400000000001E-3</v>
      </c>
      <c r="AE122" s="83">
        <v>1.12499E-2</v>
      </c>
      <c r="AF122" s="83">
        <v>1.49731E-3</v>
      </c>
      <c r="AG122" s="83">
        <v>2.3486800000000001E-3</v>
      </c>
      <c r="AH122" s="83">
        <v>1.12499E-2</v>
      </c>
      <c r="AI122" s="83">
        <v>1.0765E-3</v>
      </c>
      <c r="AJ122" s="83">
        <v>2.3219099999999999E-3</v>
      </c>
      <c r="AK122" s="83">
        <v>1.12499E-2</v>
      </c>
      <c r="AL122" s="83">
        <v>8.9855399999999998E-4</v>
      </c>
      <c r="AM122" s="83">
        <v>2.3458200000000002E-3</v>
      </c>
      <c r="AN122" s="83">
        <v>1.12499E-2</v>
      </c>
      <c r="AO122" s="83">
        <v>1.27947E-3</v>
      </c>
      <c r="AP122" s="83">
        <v>2.2559400000000001E-3</v>
      </c>
      <c r="AQ122" s="83">
        <v>1.12499E-2</v>
      </c>
      <c r="AR122" s="83">
        <v>8.2481000000000004E-4</v>
      </c>
      <c r="AS122" s="83">
        <v>2.3369900000000002E-3</v>
      </c>
      <c r="AT122" s="83">
        <v>1.12499E-2</v>
      </c>
      <c r="AU122" s="83">
        <v>1.0648000000000001E-3</v>
      </c>
      <c r="AV122" s="83">
        <v>2.3490300000000002E-3</v>
      </c>
      <c r="AW122" s="83">
        <v>1.12499E-2</v>
      </c>
      <c r="AX122" s="83">
        <v>1.26537E-3</v>
      </c>
      <c r="AY122" s="83">
        <v>2.4046100000000002E-3</v>
      </c>
      <c r="AZ122" s="83">
        <v>1.12499E-2</v>
      </c>
      <c r="BA122" s="83">
        <v>8.5258000000000003E-4</v>
      </c>
      <c r="BB122" s="83">
        <v>2.35425E-3</v>
      </c>
      <c r="BC122" s="83">
        <v>1.12499E-2</v>
      </c>
      <c r="BD122" s="83">
        <v>1.24121E-3</v>
      </c>
      <c r="BE122" s="83">
        <v>2.2791600000000001E-3</v>
      </c>
      <c r="BF122" s="83">
        <v>1.12499E-2</v>
      </c>
      <c r="BG122" s="83">
        <v>1.6158399999999999E-3</v>
      </c>
      <c r="BH122" s="83">
        <v>2.3449299999999998E-3</v>
      </c>
      <c r="BI122" s="83">
        <v>1.12499E-2</v>
      </c>
      <c r="BJ122" s="83">
        <v>8.8997399999999997E-4</v>
      </c>
      <c r="BK122" s="83">
        <v>2.3178399999999998E-3</v>
      </c>
      <c r="BL122" s="83">
        <v>1.12499E-2</v>
      </c>
      <c r="BM122" s="83">
        <v>1.29956E-3</v>
      </c>
      <c r="BN122" s="83">
        <v>2.2688299999999999E-3</v>
      </c>
      <c r="BO122" s="83">
        <v>1.12499E-2</v>
      </c>
      <c r="BP122" s="83">
        <v>9.5099599999999996E-4</v>
      </c>
      <c r="BQ122" s="83">
        <v>2.3388200000000001E-3</v>
      </c>
      <c r="BR122" s="83">
        <v>1.12499E-2</v>
      </c>
      <c r="BS122" s="83">
        <v>9.9304300000000009E-4</v>
      </c>
      <c r="BT122" s="83">
        <v>2.3671400000000002E-3</v>
      </c>
      <c r="BU122" s="83">
        <v>1.12499E-2</v>
      </c>
      <c r="BV122" s="83">
        <v>1.09724E-3</v>
      </c>
      <c r="BW122" s="83">
        <v>2.2604499999999998E-3</v>
      </c>
      <c r="BX122" s="83">
        <v>1.12499E-2</v>
      </c>
      <c r="BY122" s="83">
        <v>1.0933900000000001E-3</v>
      </c>
      <c r="BZ122" s="83">
        <v>2.3540900000000001E-3</v>
      </c>
      <c r="CA122" s="83">
        <v>1.12499E-2</v>
      </c>
      <c r="CB122" s="83">
        <v>1.19915E-3</v>
      </c>
      <c r="CC122" s="83">
        <v>2.3001100000000002E-3</v>
      </c>
      <c r="CD122" s="83">
        <v>1.12499E-2</v>
      </c>
      <c r="CE122" s="83">
        <v>1.0526000000000001E-3</v>
      </c>
      <c r="CF122" s="83">
        <v>2.2723000000000001E-3</v>
      </c>
      <c r="CG122" s="83">
        <v>1.12499E-2</v>
      </c>
      <c r="CH122" s="83">
        <v>1.24222E-3</v>
      </c>
      <c r="CI122" s="83">
        <v>2.3324600000000002E-3</v>
      </c>
      <c r="CJ122" s="83">
        <v>1.12499E-2</v>
      </c>
      <c r="CK122" s="83">
        <v>1.3508400000000001E-3</v>
      </c>
      <c r="CL122" s="83">
        <v>2.2802500000000002E-3</v>
      </c>
      <c r="CM122" s="83">
        <v>1.12499E-2</v>
      </c>
      <c r="CN122" s="83">
        <v>8.70482E-4</v>
      </c>
      <c r="CO122" s="83">
        <v>2.2502099999999999E-3</v>
      </c>
      <c r="CP122" s="83">
        <v>1.12499E-2</v>
      </c>
      <c r="CQ122" s="83">
        <v>7.12216E-4</v>
      </c>
      <c r="CR122" s="83">
        <v>2.2603499999999999E-3</v>
      </c>
      <c r="CS122" s="83">
        <v>1.12499E-2</v>
      </c>
      <c r="CT122" s="83">
        <v>1.2911999999999999E-3</v>
      </c>
      <c r="CU122" s="83">
        <v>2.2778500000000001E-3</v>
      </c>
      <c r="CV122" s="83">
        <v>1.12499E-2</v>
      </c>
      <c r="CW122" s="83">
        <v>6.3617000000000003E-4</v>
      </c>
      <c r="CX122" s="83">
        <v>2.2647399999999999E-3</v>
      </c>
      <c r="CY122" s="83">
        <v>1.12499E-2</v>
      </c>
      <c r="CZ122" s="83">
        <v>1.19012E-3</v>
      </c>
      <c r="DA122" s="83">
        <v>2.2380400000000002E-3</v>
      </c>
    </row>
    <row r="123" spans="1:105" x14ac:dyDescent="0.2">
      <c r="A123" s="83">
        <v>1.13499E-2</v>
      </c>
      <c r="B123" s="83">
        <v>1.4898800000000001E-3</v>
      </c>
      <c r="C123" s="83">
        <v>2.1259500000000001E-3</v>
      </c>
      <c r="D123" s="83">
        <v>1.13499E-2</v>
      </c>
      <c r="E123" s="83">
        <v>1.2554199999999999E-3</v>
      </c>
      <c r="F123" s="83">
        <v>2.1199600000000002E-3</v>
      </c>
      <c r="G123" s="83">
        <v>1.13499E-2</v>
      </c>
      <c r="H123" s="83">
        <v>1.0890100000000001E-3</v>
      </c>
      <c r="I123" s="83">
        <v>2.1625099999999999E-3</v>
      </c>
      <c r="J123" s="83">
        <v>1.13499E-2</v>
      </c>
      <c r="K123" s="83">
        <v>1.3638400000000001E-3</v>
      </c>
      <c r="L123" s="83">
        <v>2.0670300000000001E-3</v>
      </c>
      <c r="M123" s="83">
        <v>1.13499E-2</v>
      </c>
      <c r="N123" s="83">
        <v>1.0297500000000001E-3</v>
      </c>
      <c r="O123" s="83">
        <v>2.12356E-3</v>
      </c>
      <c r="P123" s="83">
        <v>1.13499E-2</v>
      </c>
      <c r="Q123" s="83">
        <v>1.0505499999999999E-3</v>
      </c>
      <c r="R123" s="83">
        <v>2.137E-3</v>
      </c>
      <c r="S123" s="83">
        <v>1.13499E-2</v>
      </c>
      <c r="T123" s="83">
        <v>1.1779399999999999E-3</v>
      </c>
      <c r="U123" s="83">
        <v>2.1482699999999999E-3</v>
      </c>
      <c r="V123" s="83">
        <v>1.13499E-2</v>
      </c>
      <c r="W123" s="83">
        <v>1.1585199999999999E-3</v>
      </c>
      <c r="X123" s="83">
        <v>2.19483E-3</v>
      </c>
      <c r="Y123" s="83">
        <v>1.13499E-2</v>
      </c>
      <c r="Z123" s="83">
        <v>1.08193E-3</v>
      </c>
      <c r="AA123" s="83">
        <v>2.15598E-3</v>
      </c>
      <c r="AB123" s="83">
        <v>1.13499E-2</v>
      </c>
      <c r="AC123" s="83">
        <v>1.2778900000000001E-3</v>
      </c>
      <c r="AD123" s="83">
        <v>2.1786800000000001E-3</v>
      </c>
      <c r="AE123" s="83">
        <v>1.13499E-2</v>
      </c>
      <c r="AF123" s="83">
        <v>1.2043399999999999E-3</v>
      </c>
      <c r="AG123" s="83">
        <v>2.2217299999999999E-3</v>
      </c>
      <c r="AH123" s="83">
        <v>1.13499E-2</v>
      </c>
      <c r="AI123" s="83">
        <v>1.01986E-3</v>
      </c>
      <c r="AJ123" s="83">
        <v>2.1949600000000001E-3</v>
      </c>
      <c r="AK123" s="83">
        <v>1.13499E-2</v>
      </c>
      <c r="AL123" s="83">
        <v>1.0509E-3</v>
      </c>
      <c r="AM123" s="83">
        <v>2.2042199999999998E-3</v>
      </c>
      <c r="AN123" s="83">
        <v>1.13499E-2</v>
      </c>
      <c r="AO123" s="83">
        <v>1.25994E-3</v>
      </c>
      <c r="AP123" s="83">
        <v>2.1367999999999999E-3</v>
      </c>
      <c r="AQ123" s="83">
        <v>1.13499E-2</v>
      </c>
      <c r="AR123" s="83">
        <v>8.5215400000000004E-4</v>
      </c>
      <c r="AS123" s="83">
        <v>2.2002699999999998E-3</v>
      </c>
      <c r="AT123" s="83">
        <v>1.13499E-2</v>
      </c>
      <c r="AU123" s="83">
        <v>6.4097100000000005E-4</v>
      </c>
      <c r="AV123" s="83">
        <v>2.2093799999999999E-3</v>
      </c>
      <c r="AW123" s="83">
        <v>1.13499E-2</v>
      </c>
      <c r="AX123" s="83">
        <v>1.20678E-3</v>
      </c>
      <c r="AY123" s="83">
        <v>2.2610600000000001E-3</v>
      </c>
      <c r="AZ123" s="83">
        <v>1.13499E-2</v>
      </c>
      <c r="BA123" s="83">
        <v>9.6586100000000004E-4</v>
      </c>
      <c r="BB123" s="83">
        <v>2.2058099999999999E-3</v>
      </c>
      <c r="BC123" s="83">
        <v>1.13499E-2</v>
      </c>
      <c r="BD123" s="83">
        <v>1.26465E-3</v>
      </c>
      <c r="BE123" s="83">
        <v>2.16197E-3</v>
      </c>
      <c r="BF123" s="83">
        <v>1.13499E-2</v>
      </c>
      <c r="BG123" s="83">
        <v>1.5845900000000001E-3</v>
      </c>
      <c r="BH123" s="83">
        <v>2.2043100000000001E-3</v>
      </c>
      <c r="BI123" s="83">
        <v>1.13499E-2</v>
      </c>
      <c r="BJ123" s="83">
        <v>1.1555999999999999E-3</v>
      </c>
      <c r="BK123" s="83">
        <v>2.1947899999999998E-3</v>
      </c>
      <c r="BL123" s="83">
        <v>1.13499E-2</v>
      </c>
      <c r="BM123" s="83">
        <v>1.0593200000000001E-3</v>
      </c>
      <c r="BN123" s="83">
        <v>2.1594600000000002E-3</v>
      </c>
      <c r="BO123" s="83">
        <v>1.13499E-2</v>
      </c>
      <c r="BP123" s="83">
        <v>1.0173999999999999E-3</v>
      </c>
      <c r="BQ123" s="83">
        <v>2.2226099999999999E-3</v>
      </c>
      <c r="BR123" s="83">
        <v>1.13499E-2</v>
      </c>
      <c r="BS123" s="83">
        <v>1.11414E-3</v>
      </c>
      <c r="BT123" s="83">
        <v>2.23237E-3</v>
      </c>
      <c r="BU123" s="83">
        <v>1.13499E-2</v>
      </c>
      <c r="BV123" s="83">
        <v>7.5153199999999996E-4</v>
      </c>
      <c r="BW123" s="83">
        <v>2.1471699999999999E-3</v>
      </c>
      <c r="BX123" s="83">
        <v>1.13499E-2</v>
      </c>
      <c r="BY123" s="83">
        <v>1.1285500000000001E-3</v>
      </c>
      <c r="BZ123" s="83">
        <v>2.2388500000000001E-3</v>
      </c>
      <c r="CA123" s="83">
        <v>1.13499E-2</v>
      </c>
      <c r="CB123" s="83">
        <v>1.1132099999999999E-3</v>
      </c>
      <c r="CC123" s="83">
        <v>2.1760799999999999E-3</v>
      </c>
      <c r="CD123" s="83">
        <v>1.13499E-2</v>
      </c>
      <c r="CE123" s="83">
        <v>7.3814699999999998E-4</v>
      </c>
      <c r="CF123" s="83">
        <v>2.1404599999999998E-3</v>
      </c>
      <c r="CG123" s="83">
        <v>1.13499E-2</v>
      </c>
      <c r="CH123" s="83">
        <v>7.8518900000000005E-4</v>
      </c>
      <c r="CI123" s="83">
        <v>2.1830500000000002E-3</v>
      </c>
      <c r="CJ123" s="83">
        <v>1.13499E-2</v>
      </c>
      <c r="CK123" s="83">
        <v>1.0617700000000001E-3</v>
      </c>
      <c r="CL123" s="83">
        <v>2.1630600000000001E-3</v>
      </c>
      <c r="CM123" s="83">
        <v>1.13499E-2</v>
      </c>
      <c r="CN123" s="83">
        <v>7.2790400000000003E-4</v>
      </c>
      <c r="CO123" s="83">
        <v>2.12912E-3</v>
      </c>
      <c r="CP123" s="83">
        <v>1.13499E-2</v>
      </c>
      <c r="CQ123" s="83">
        <v>3.11825E-4</v>
      </c>
      <c r="CR123" s="83">
        <v>2.15781E-3</v>
      </c>
      <c r="CS123" s="83">
        <v>1.13499E-2</v>
      </c>
      <c r="CT123" s="83">
        <v>9.5721499999999998E-4</v>
      </c>
      <c r="CU123" s="83">
        <v>2.1665299999999998E-3</v>
      </c>
      <c r="CV123" s="83">
        <v>1.13499E-2</v>
      </c>
      <c r="CW123" s="83">
        <v>6.2054500000000002E-4</v>
      </c>
      <c r="CX123" s="83">
        <v>2.1504900000000001E-3</v>
      </c>
      <c r="CY123" s="83">
        <v>1.13499E-2</v>
      </c>
      <c r="CZ123" s="83">
        <v>1.13934E-3</v>
      </c>
      <c r="DA123" s="83">
        <v>2.1296399999999999E-3</v>
      </c>
    </row>
    <row r="124" spans="1:105" x14ac:dyDescent="0.2">
      <c r="A124" s="83">
        <v>1.1449900000000001E-2</v>
      </c>
      <c r="B124" s="83">
        <v>1.13832E-3</v>
      </c>
      <c r="C124" s="83">
        <v>2.00388E-3</v>
      </c>
      <c r="D124" s="83">
        <v>1.1449900000000001E-2</v>
      </c>
      <c r="E124" s="83">
        <v>1.0737800000000001E-3</v>
      </c>
      <c r="F124" s="83">
        <v>2.0252299999999998E-3</v>
      </c>
      <c r="G124" s="83">
        <v>1.1449900000000001E-2</v>
      </c>
      <c r="H124" s="83">
        <v>1.2061999999999999E-3</v>
      </c>
      <c r="I124" s="83">
        <v>2.0580199999999998E-3</v>
      </c>
      <c r="J124" s="83">
        <v>1.1449900000000001E-2</v>
      </c>
      <c r="K124" s="83">
        <v>1.3872800000000001E-3</v>
      </c>
      <c r="L124" s="83">
        <v>1.9635099999999999E-3</v>
      </c>
      <c r="M124" s="83">
        <v>1.1449900000000001E-2</v>
      </c>
      <c r="N124" s="83">
        <v>1.1723300000000001E-3</v>
      </c>
      <c r="O124" s="83">
        <v>2.0200399999999999E-3</v>
      </c>
      <c r="P124" s="83">
        <v>1.1449900000000001E-2</v>
      </c>
      <c r="Q124" s="83">
        <v>1.2048499999999999E-3</v>
      </c>
      <c r="R124" s="83">
        <v>2.0002800000000001E-3</v>
      </c>
      <c r="S124" s="83">
        <v>1.1449900000000001E-2</v>
      </c>
      <c r="T124" s="83">
        <v>7.0528099999999999E-4</v>
      </c>
      <c r="U124" s="83">
        <v>2.0232700000000002E-3</v>
      </c>
      <c r="V124" s="83">
        <v>1.1449900000000001E-2</v>
      </c>
      <c r="W124" s="83">
        <v>8.7922100000000002E-4</v>
      </c>
      <c r="X124" s="83">
        <v>2.0600699999999998E-3</v>
      </c>
      <c r="Y124" s="83">
        <v>1.1449900000000001E-2</v>
      </c>
      <c r="Z124" s="83">
        <v>9.5106900000000002E-4</v>
      </c>
      <c r="AA124" s="83">
        <v>2.0133999999999998E-3</v>
      </c>
      <c r="AB124" s="83">
        <v>1.1449900000000001E-2</v>
      </c>
      <c r="AC124" s="83">
        <v>1.09234E-3</v>
      </c>
      <c r="AD124" s="83">
        <v>2.0683300000000002E-3</v>
      </c>
      <c r="AE124" s="83">
        <v>1.1449900000000001E-2</v>
      </c>
      <c r="AF124" s="83">
        <v>1.1047299999999999E-3</v>
      </c>
      <c r="AG124" s="83">
        <v>2.1104000000000001E-3</v>
      </c>
      <c r="AH124" s="83">
        <v>1.1449900000000001E-2</v>
      </c>
      <c r="AI124" s="83">
        <v>9.9837100000000007E-4</v>
      </c>
      <c r="AJ124" s="83">
        <v>2.0748400000000001E-3</v>
      </c>
      <c r="AK124" s="83">
        <v>1.1449900000000001E-2</v>
      </c>
      <c r="AL124" s="83">
        <v>8.4386699999999999E-4</v>
      </c>
      <c r="AM124" s="83">
        <v>2.08508E-3</v>
      </c>
      <c r="AN124" s="83">
        <v>1.1449900000000001E-2</v>
      </c>
      <c r="AO124" s="83">
        <v>1.0275200000000001E-3</v>
      </c>
      <c r="AP124" s="83">
        <v>2.0176500000000002E-3</v>
      </c>
      <c r="AQ124" s="83">
        <v>1.1449900000000001E-2</v>
      </c>
      <c r="AR124" s="83">
        <v>6.6465399999999998E-4</v>
      </c>
      <c r="AS124" s="83">
        <v>2.0821099999999999E-3</v>
      </c>
      <c r="AT124" s="83">
        <v>1.1449900000000001E-2</v>
      </c>
      <c r="AU124" s="83">
        <v>7.6597099999999995E-4</v>
      </c>
      <c r="AV124" s="83">
        <v>2.1029400000000002E-3</v>
      </c>
      <c r="AW124" s="83">
        <v>1.1449900000000001E-2</v>
      </c>
      <c r="AX124" s="83">
        <v>8.1224499999999996E-4</v>
      </c>
      <c r="AY124" s="83">
        <v>2.1272700000000001E-3</v>
      </c>
      <c r="AZ124" s="83">
        <v>1.1449900000000001E-2</v>
      </c>
      <c r="BA124" s="83">
        <v>1.2295299999999999E-3</v>
      </c>
      <c r="BB124" s="83">
        <v>2.07983E-3</v>
      </c>
      <c r="BC124" s="83">
        <v>1.1449900000000001E-2</v>
      </c>
      <c r="BD124" s="83">
        <v>9.0332100000000001E-4</v>
      </c>
      <c r="BE124" s="83">
        <v>2.0242799999999998E-3</v>
      </c>
      <c r="BF124" s="83">
        <v>1.1449900000000001E-2</v>
      </c>
      <c r="BG124" s="83">
        <v>1.23303E-3</v>
      </c>
      <c r="BH124" s="83">
        <v>2.0959099999999999E-3</v>
      </c>
      <c r="BI124" s="83">
        <v>1.1449900000000001E-2</v>
      </c>
      <c r="BJ124" s="83">
        <v>8.6067700000000001E-4</v>
      </c>
      <c r="BK124" s="83">
        <v>2.0766299999999999E-3</v>
      </c>
      <c r="BL124" s="83">
        <v>1.1449900000000001E-2</v>
      </c>
      <c r="BM124" s="83">
        <v>8.9330699999999998E-4</v>
      </c>
      <c r="BN124" s="83">
        <v>2.0412899999999999E-3</v>
      </c>
      <c r="BO124" s="83">
        <v>1.1449900000000001E-2</v>
      </c>
      <c r="BP124" s="83">
        <v>1.1482599999999999E-3</v>
      </c>
      <c r="BQ124" s="83">
        <v>2.081E-3</v>
      </c>
      <c r="BR124" s="83">
        <v>1.1449900000000001E-2</v>
      </c>
      <c r="BS124" s="83">
        <v>5.7116800000000004E-4</v>
      </c>
      <c r="BT124" s="83">
        <v>2.1239700000000002E-3</v>
      </c>
      <c r="BU124" s="83">
        <v>1.1449900000000001E-2</v>
      </c>
      <c r="BV124" s="83">
        <v>8.5504799999999996E-4</v>
      </c>
      <c r="BW124" s="83">
        <v>2.0251000000000002E-3</v>
      </c>
      <c r="BX124" s="83">
        <v>1.1449900000000001E-2</v>
      </c>
      <c r="BY124" s="83">
        <v>1.02699E-3</v>
      </c>
      <c r="BZ124" s="83">
        <v>2.1158000000000001E-3</v>
      </c>
      <c r="CA124" s="83">
        <v>1.1449900000000001E-2</v>
      </c>
      <c r="CB124" s="83">
        <v>1.5389900000000001E-3</v>
      </c>
      <c r="CC124" s="83">
        <v>2.0510799999999998E-3</v>
      </c>
      <c r="CD124" s="83">
        <v>1.1449900000000001E-2</v>
      </c>
      <c r="CE124" s="83">
        <v>8.7486599999999997E-4</v>
      </c>
      <c r="CF124" s="83">
        <v>2.02718E-3</v>
      </c>
      <c r="CG124" s="83">
        <v>1.1449900000000001E-2</v>
      </c>
      <c r="CH124" s="83">
        <v>1.1816699999999999E-3</v>
      </c>
      <c r="CI124" s="83">
        <v>2.0883199999999998E-3</v>
      </c>
      <c r="CJ124" s="83">
        <v>1.1449900000000001E-2</v>
      </c>
      <c r="CK124" s="83">
        <v>1.4328699999999999E-3</v>
      </c>
      <c r="CL124" s="83">
        <v>2.03513E-3</v>
      </c>
      <c r="CM124" s="83">
        <v>1.1449900000000001E-2</v>
      </c>
      <c r="CN124" s="83">
        <v>9.0368600000000001E-4</v>
      </c>
      <c r="CO124" s="83">
        <v>2.0011899999999999E-3</v>
      </c>
      <c r="CP124" s="83">
        <v>1.1449900000000001E-2</v>
      </c>
      <c r="CQ124" s="83">
        <v>5.65732E-4</v>
      </c>
      <c r="CR124" s="83">
        <v>2.0230500000000002E-3</v>
      </c>
      <c r="CS124" s="83">
        <v>1.1449900000000001E-2</v>
      </c>
      <c r="CT124" s="83">
        <v>1.04901E-3</v>
      </c>
      <c r="CU124" s="83">
        <v>2.01907E-3</v>
      </c>
      <c r="CV124" s="83">
        <v>1.1449900000000001E-2</v>
      </c>
      <c r="CW124" s="83">
        <v>3.3148200000000002E-4</v>
      </c>
      <c r="CX124" s="83">
        <v>2.0245100000000002E-3</v>
      </c>
      <c r="CY124" s="83">
        <v>1.1449900000000001E-2</v>
      </c>
      <c r="CZ124" s="83">
        <v>1.10027E-3</v>
      </c>
      <c r="DA124" s="83">
        <v>2.0144099999999999E-3</v>
      </c>
    </row>
    <row r="125" spans="1:105" x14ac:dyDescent="0.2">
      <c r="A125" s="83">
        <v>1.15499E-2</v>
      </c>
      <c r="B125" s="83">
        <v>9.6058299999999999E-4</v>
      </c>
      <c r="C125" s="83">
        <v>1.9062199999999999E-3</v>
      </c>
      <c r="D125" s="83">
        <v>1.15499E-2</v>
      </c>
      <c r="E125" s="83">
        <v>8.6284000000000003E-4</v>
      </c>
      <c r="F125" s="83">
        <v>1.92074E-3</v>
      </c>
      <c r="G125" s="83">
        <v>1.15499E-2</v>
      </c>
      <c r="H125" s="83">
        <v>9.4643400000000001E-4</v>
      </c>
      <c r="I125" s="83">
        <v>1.9291099999999999E-3</v>
      </c>
      <c r="J125" s="83">
        <v>1.15499E-2</v>
      </c>
      <c r="K125" s="83">
        <v>1.01618E-3</v>
      </c>
      <c r="L125" s="83">
        <v>1.8511999999999999E-3</v>
      </c>
      <c r="M125" s="83">
        <v>1.15499E-2</v>
      </c>
      <c r="N125" s="83">
        <v>8.4420000000000003E-4</v>
      </c>
      <c r="O125" s="83">
        <v>1.89602E-3</v>
      </c>
      <c r="P125" s="83">
        <v>1.15499E-2</v>
      </c>
      <c r="Q125" s="83">
        <v>1.1833600000000001E-3</v>
      </c>
      <c r="R125" s="83">
        <v>1.88798E-3</v>
      </c>
      <c r="S125" s="83">
        <v>1.15499E-2</v>
      </c>
      <c r="T125" s="83">
        <v>9.3965599999999998E-4</v>
      </c>
      <c r="U125" s="83">
        <v>1.91975E-3</v>
      </c>
      <c r="V125" s="83">
        <v>1.15499E-2</v>
      </c>
      <c r="W125" s="83">
        <v>8.7531399999999997E-4</v>
      </c>
      <c r="X125" s="83">
        <v>1.95265E-3</v>
      </c>
      <c r="Y125" s="83">
        <v>1.15499E-2</v>
      </c>
      <c r="Z125" s="83">
        <v>1.16591E-3</v>
      </c>
      <c r="AA125" s="83">
        <v>1.91672E-3</v>
      </c>
      <c r="AB125" s="83">
        <v>1.15499E-2</v>
      </c>
      <c r="AC125" s="83">
        <v>1.13922E-3</v>
      </c>
      <c r="AD125" s="83">
        <v>1.94528E-3</v>
      </c>
      <c r="AE125" s="83">
        <v>1.15499E-2</v>
      </c>
      <c r="AF125" s="83">
        <v>1.2727000000000001E-3</v>
      </c>
      <c r="AG125" s="83">
        <v>1.9824700000000001E-3</v>
      </c>
      <c r="AH125" s="83">
        <v>1.15499E-2</v>
      </c>
      <c r="AI125" s="83">
        <v>7.73762E-4</v>
      </c>
      <c r="AJ125" s="83">
        <v>1.9683999999999999E-3</v>
      </c>
      <c r="AK125" s="83">
        <v>1.15499E-2</v>
      </c>
      <c r="AL125" s="83">
        <v>1.41223E-3</v>
      </c>
      <c r="AM125" s="83">
        <v>1.9864499999999998E-3</v>
      </c>
      <c r="AN125" s="83">
        <v>1.15499E-2</v>
      </c>
      <c r="AO125" s="83">
        <v>1.1994E-3</v>
      </c>
      <c r="AP125" s="83">
        <v>1.9053500000000001E-3</v>
      </c>
      <c r="AQ125" s="83">
        <v>1.15499E-2</v>
      </c>
      <c r="AR125" s="83">
        <v>1.0826200000000001E-3</v>
      </c>
      <c r="AS125" s="83">
        <v>1.9590599999999999E-3</v>
      </c>
      <c r="AT125" s="83">
        <v>1.15499E-2</v>
      </c>
      <c r="AU125" s="83">
        <v>3.4214299999999999E-4</v>
      </c>
      <c r="AV125" s="83">
        <v>1.9672000000000001E-3</v>
      </c>
      <c r="AW125" s="83">
        <v>1.15499E-2</v>
      </c>
      <c r="AX125" s="83">
        <v>1.0309900000000001E-3</v>
      </c>
      <c r="AY125" s="83">
        <v>2.0217999999999998E-3</v>
      </c>
      <c r="AZ125" s="83">
        <v>1.15499E-2</v>
      </c>
      <c r="BA125" s="83">
        <v>9.4047100000000002E-4</v>
      </c>
      <c r="BB125" s="83">
        <v>1.9831499999999999E-3</v>
      </c>
      <c r="BC125" s="83">
        <v>1.15499E-2</v>
      </c>
      <c r="BD125" s="83">
        <v>8.8574300000000003E-4</v>
      </c>
      <c r="BE125" s="83">
        <v>1.9295499999999999E-3</v>
      </c>
      <c r="BF125" s="83">
        <v>1.15499E-2</v>
      </c>
      <c r="BG125" s="83">
        <v>1.0709199999999999E-3</v>
      </c>
      <c r="BH125" s="83">
        <v>1.96408E-3</v>
      </c>
      <c r="BI125" s="83">
        <v>1.15499E-2</v>
      </c>
      <c r="BJ125" s="83">
        <v>7.5911399999999997E-4</v>
      </c>
      <c r="BK125" s="83">
        <v>1.9594399999999998E-3</v>
      </c>
      <c r="BL125" s="83">
        <v>1.15499E-2</v>
      </c>
      <c r="BM125" s="83">
        <v>1.0593200000000001E-3</v>
      </c>
      <c r="BN125" s="83">
        <v>1.92801E-3</v>
      </c>
      <c r="BO125" s="83">
        <v>1.15499E-2</v>
      </c>
      <c r="BP125" s="83">
        <v>1.1189699999999999E-3</v>
      </c>
      <c r="BQ125" s="83">
        <v>1.9774900000000002E-3</v>
      </c>
      <c r="BR125" s="83">
        <v>1.15499E-2</v>
      </c>
      <c r="BS125" s="83">
        <v>8.4851200000000005E-4</v>
      </c>
      <c r="BT125" s="83">
        <v>2.0116700000000001E-3</v>
      </c>
      <c r="BU125" s="83">
        <v>1.15499E-2</v>
      </c>
      <c r="BV125" s="83">
        <v>1.06989E-3</v>
      </c>
      <c r="BW125" s="83">
        <v>1.91084E-3</v>
      </c>
      <c r="BX125" s="83">
        <v>1.15499E-2</v>
      </c>
      <c r="BY125" s="83">
        <v>1.2594100000000001E-3</v>
      </c>
      <c r="BZ125" s="83">
        <v>2.0122899999999999E-3</v>
      </c>
      <c r="CA125" s="83">
        <v>1.15499E-2</v>
      </c>
      <c r="CB125" s="83">
        <v>1.25383E-3</v>
      </c>
      <c r="CC125" s="83">
        <v>1.9368199999999999E-3</v>
      </c>
      <c r="CD125" s="83">
        <v>1.15499E-2</v>
      </c>
      <c r="CE125" s="83">
        <v>9.1392800000000005E-4</v>
      </c>
      <c r="CF125" s="83">
        <v>1.9109699999999999E-3</v>
      </c>
      <c r="CG125" s="83">
        <v>1.15499E-2</v>
      </c>
      <c r="CH125" s="83">
        <v>1.2617500000000001E-3</v>
      </c>
      <c r="CI125" s="83">
        <v>1.9779699999999999E-3</v>
      </c>
      <c r="CJ125" s="83">
        <v>1.15499E-2</v>
      </c>
      <c r="CK125" s="83">
        <v>1.02662E-3</v>
      </c>
      <c r="CL125" s="83">
        <v>1.9150199999999999E-3</v>
      </c>
      <c r="CM125" s="83">
        <v>1.15499E-2</v>
      </c>
      <c r="CN125" s="83">
        <v>1.02673E-3</v>
      </c>
      <c r="CO125" s="83">
        <v>1.89084E-3</v>
      </c>
      <c r="CP125" s="83">
        <v>1.15499E-2</v>
      </c>
      <c r="CQ125" s="83">
        <v>6.63388E-4</v>
      </c>
      <c r="CR125" s="83">
        <v>1.9175799999999999E-3</v>
      </c>
      <c r="CS125" s="83">
        <v>1.15499E-2</v>
      </c>
      <c r="CT125" s="83">
        <v>7.6776199999999996E-4</v>
      </c>
      <c r="CU125" s="83">
        <v>1.9302E-3</v>
      </c>
      <c r="CV125" s="83">
        <v>1.15499E-2</v>
      </c>
      <c r="CW125" s="83">
        <v>6.6546699999999999E-4</v>
      </c>
      <c r="CX125" s="83">
        <v>1.92783E-3</v>
      </c>
      <c r="CY125" s="83">
        <v>1.15499E-2</v>
      </c>
      <c r="CZ125" s="83">
        <v>1.0416799999999999E-3</v>
      </c>
      <c r="DA125" s="83">
        <v>1.8942900000000001E-3</v>
      </c>
    </row>
    <row r="126" spans="1:105" x14ac:dyDescent="0.2">
      <c r="A126" s="83">
        <v>1.1649899999999999E-2</v>
      </c>
      <c r="B126" s="83">
        <v>9.0198999999999997E-4</v>
      </c>
      <c r="C126" s="83">
        <v>1.80368E-3</v>
      </c>
      <c r="D126" s="83">
        <v>1.1649899999999999E-2</v>
      </c>
      <c r="E126" s="83">
        <v>8.53074E-4</v>
      </c>
      <c r="F126" s="83">
        <v>1.79379E-3</v>
      </c>
      <c r="G126" s="83">
        <v>1.1649899999999999E-2</v>
      </c>
      <c r="H126" s="83">
        <v>7.2963699999999999E-4</v>
      </c>
      <c r="I126" s="83">
        <v>1.81974E-3</v>
      </c>
      <c r="J126" s="83">
        <v>1.1649899999999999E-2</v>
      </c>
      <c r="K126" s="83">
        <v>5.6891699999999995E-4</v>
      </c>
      <c r="L126" s="83">
        <v>1.73402E-3</v>
      </c>
      <c r="M126" s="83">
        <v>1.1649899999999999E-2</v>
      </c>
      <c r="N126" s="83">
        <v>8.2076299999999996E-4</v>
      </c>
      <c r="O126" s="83">
        <v>1.80813E-3</v>
      </c>
      <c r="P126" s="83">
        <v>1.1649899999999999E-2</v>
      </c>
      <c r="Q126" s="83">
        <v>8.8453399999999997E-4</v>
      </c>
      <c r="R126" s="83">
        <v>1.7932499999999999E-3</v>
      </c>
      <c r="S126" s="83">
        <v>1.1649899999999999E-2</v>
      </c>
      <c r="T126" s="83">
        <v>1.1544999999999999E-3</v>
      </c>
      <c r="U126" s="83">
        <v>1.79182E-3</v>
      </c>
      <c r="V126" s="83">
        <v>1.1649899999999999E-2</v>
      </c>
      <c r="W126" s="83">
        <v>8.6554899999999996E-4</v>
      </c>
      <c r="X126" s="83">
        <v>1.84132E-3</v>
      </c>
      <c r="Y126" s="83">
        <v>1.1649899999999999E-2</v>
      </c>
      <c r="Z126" s="83">
        <v>1.0174800000000001E-3</v>
      </c>
      <c r="AA126" s="83">
        <v>1.8034399999999999E-3</v>
      </c>
      <c r="AB126" s="83">
        <v>1.1649899999999999E-2</v>
      </c>
      <c r="AC126" s="83">
        <v>9.5757500000000001E-4</v>
      </c>
      <c r="AD126" s="83">
        <v>1.8320000000000001E-3</v>
      </c>
      <c r="AE126" s="83">
        <v>1.1649899999999999E-2</v>
      </c>
      <c r="AF126" s="83">
        <v>1.04809E-3</v>
      </c>
      <c r="AG126" s="83">
        <v>1.8818800000000001E-3</v>
      </c>
      <c r="AH126" s="83">
        <v>1.1649899999999999E-2</v>
      </c>
      <c r="AI126" s="83">
        <v>6.8587100000000001E-4</v>
      </c>
      <c r="AJ126" s="83">
        <v>1.85414E-3</v>
      </c>
      <c r="AK126" s="83">
        <v>1.1649899999999999E-2</v>
      </c>
      <c r="AL126" s="83">
        <v>5.54804E-4</v>
      </c>
      <c r="AM126" s="83">
        <v>1.8595E-3</v>
      </c>
      <c r="AN126" s="83">
        <v>1.1649899999999999E-2</v>
      </c>
      <c r="AO126" s="83">
        <v>9.4158299999999996E-4</v>
      </c>
      <c r="AP126" s="83">
        <v>1.7832799999999999E-3</v>
      </c>
      <c r="AQ126" s="83">
        <v>1.1649899999999999E-2</v>
      </c>
      <c r="AR126" s="83">
        <v>6.8613799999999998E-4</v>
      </c>
      <c r="AS126" s="83">
        <v>1.84676E-3</v>
      </c>
      <c r="AT126" s="83">
        <v>1.1649899999999999E-2</v>
      </c>
      <c r="AU126" s="83">
        <v>6.9565899999999995E-4</v>
      </c>
      <c r="AV126" s="83">
        <v>1.87247E-3</v>
      </c>
      <c r="AW126" s="83">
        <v>1.1649899999999999E-2</v>
      </c>
      <c r="AX126" s="83">
        <v>1.0622400000000001E-3</v>
      </c>
      <c r="AY126" s="83">
        <v>1.90266E-3</v>
      </c>
      <c r="AZ126" s="83">
        <v>1.1649899999999999E-2</v>
      </c>
      <c r="BA126" s="83">
        <v>7.5883000000000005E-4</v>
      </c>
      <c r="BB126" s="83">
        <v>1.8444799999999999E-3</v>
      </c>
      <c r="BC126" s="83">
        <v>1.1649899999999999E-2</v>
      </c>
      <c r="BD126" s="83">
        <v>1.0751999999999999E-3</v>
      </c>
      <c r="BE126" s="83">
        <v>1.80846E-3</v>
      </c>
      <c r="BF126" s="83">
        <v>1.1649899999999999E-2</v>
      </c>
      <c r="BG126" s="83">
        <v>9.9670399999999995E-4</v>
      </c>
      <c r="BH126" s="83">
        <v>1.8625099999999999E-3</v>
      </c>
      <c r="BI126" s="83">
        <v>1.1649899999999999E-2</v>
      </c>
      <c r="BJ126" s="83">
        <v>5.6966099999999995E-4</v>
      </c>
      <c r="BK126" s="83">
        <v>1.8500700000000001E-3</v>
      </c>
      <c r="BL126" s="83">
        <v>1.1649899999999999E-2</v>
      </c>
      <c r="BM126" s="83">
        <v>8.5229200000000005E-4</v>
      </c>
      <c r="BN126" s="83">
        <v>1.8225400000000001E-3</v>
      </c>
      <c r="BO126" s="83">
        <v>1.1649899999999999E-2</v>
      </c>
      <c r="BP126" s="83">
        <v>6.3654300000000005E-4</v>
      </c>
      <c r="BQ126" s="83">
        <v>1.8485800000000001E-3</v>
      </c>
      <c r="BR126" s="83">
        <v>1.1649899999999999E-2</v>
      </c>
      <c r="BS126" s="83">
        <v>5.7507399999999996E-4</v>
      </c>
      <c r="BT126" s="83">
        <v>1.9071800000000001E-3</v>
      </c>
      <c r="BU126" s="83">
        <v>1.1649899999999999E-2</v>
      </c>
      <c r="BV126" s="83">
        <v>1.0034899999999999E-3</v>
      </c>
      <c r="BW126" s="83">
        <v>1.8083000000000001E-3</v>
      </c>
      <c r="BX126" s="83">
        <v>1.1649899999999999E-2</v>
      </c>
      <c r="BY126" s="83">
        <v>1.01136E-3</v>
      </c>
      <c r="BZ126" s="83">
        <v>1.88729E-3</v>
      </c>
      <c r="CA126" s="83">
        <v>1.1649899999999999E-2</v>
      </c>
      <c r="CB126" s="83">
        <v>1.0546100000000001E-3</v>
      </c>
      <c r="CC126" s="83">
        <v>1.8176799999999999E-3</v>
      </c>
      <c r="CD126" s="83">
        <v>1.1649899999999999E-2</v>
      </c>
      <c r="CE126" s="83">
        <v>9.7056900000000001E-4</v>
      </c>
      <c r="CF126" s="83">
        <v>1.80159E-3</v>
      </c>
      <c r="CG126" s="83">
        <v>1.1649899999999999E-2</v>
      </c>
      <c r="CH126" s="83">
        <v>7.6956400000000003E-4</v>
      </c>
      <c r="CI126" s="83">
        <v>1.8549199999999999E-3</v>
      </c>
      <c r="CJ126" s="83">
        <v>1.1649899999999999E-2</v>
      </c>
      <c r="CK126" s="83">
        <v>9.6802399999999995E-4</v>
      </c>
      <c r="CL126" s="83">
        <v>1.8075999999999999E-3</v>
      </c>
      <c r="CM126" s="83">
        <v>1.1649899999999999E-2</v>
      </c>
      <c r="CN126" s="83">
        <v>8.4704500000000005E-4</v>
      </c>
      <c r="CO126" s="83">
        <v>1.79123E-3</v>
      </c>
      <c r="CP126" s="83">
        <v>1.1649899999999999E-2</v>
      </c>
      <c r="CQ126" s="83">
        <v>3.6260699999999998E-4</v>
      </c>
      <c r="CR126" s="83">
        <v>1.7740200000000001E-3</v>
      </c>
      <c r="CS126" s="83">
        <v>1.1649899999999999E-2</v>
      </c>
      <c r="CT126" s="83">
        <v>9.5330899999999995E-4</v>
      </c>
      <c r="CU126" s="83">
        <v>1.8286400000000001E-3</v>
      </c>
      <c r="CV126" s="83">
        <v>1.1649899999999999E-2</v>
      </c>
      <c r="CW126" s="83">
        <v>1.1205399999999999E-3</v>
      </c>
      <c r="CX126" s="83">
        <v>1.8077099999999999E-3</v>
      </c>
      <c r="CY126" s="83">
        <v>1.1649899999999999E-2</v>
      </c>
      <c r="CZ126" s="83">
        <v>1.0963699999999999E-3</v>
      </c>
      <c r="DA126" s="83">
        <v>1.7790600000000001E-3</v>
      </c>
    </row>
    <row r="127" spans="1:105" x14ac:dyDescent="0.2">
      <c r="A127" s="83">
        <v>1.1749900000000001E-2</v>
      </c>
      <c r="B127" s="83">
        <v>1.0094100000000001E-3</v>
      </c>
      <c r="C127" s="83">
        <v>1.6796599999999999E-3</v>
      </c>
      <c r="D127" s="83">
        <v>1.1749900000000001E-2</v>
      </c>
      <c r="E127" s="83">
        <v>7.4369900000000001E-4</v>
      </c>
      <c r="F127" s="83">
        <v>1.6756200000000001E-3</v>
      </c>
      <c r="G127" s="83">
        <v>1.1749900000000001E-2</v>
      </c>
      <c r="H127" s="83">
        <v>7.1205900000000002E-4</v>
      </c>
      <c r="I127" s="83">
        <v>1.7181799999999999E-3</v>
      </c>
      <c r="J127" s="83">
        <v>1.1749900000000001E-2</v>
      </c>
      <c r="K127" s="83">
        <v>6.6657299999999995E-4</v>
      </c>
      <c r="L127" s="83">
        <v>1.6295299999999999E-3</v>
      </c>
      <c r="M127" s="83">
        <v>1.1749900000000001E-2</v>
      </c>
      <c r="N127" s="83">
        <v>8.0123200000000003E-4</v>
      </c>
      <c r="O127" s="83">
        <v>1.69192E-3</v>
      </c>
      <c r="P127" s="83">
        <v>1.1749900000000001E-2</v>
      </c>
      <c r="Q127" s="83">
        <v>9.7047099999999999E-4</v>
      </c>
      <c r="R127" s="83">
        <v>1.7073100000000001E-3</v>
      </c>
      <c r="S127" s="83">
        <v>1.1749900000000001E-2</v>
      </c>
      <c r="T127" s="83">
        <v>8.3613999999999997E-4</v>
      </c>
      <c r="U127" s="83">
        <v>1.6795200000000001E-3</v>
      </c>
      <c r="V127" s="83">
        <v>1.1749900000000001E-2</v>
      </c>
      <c r="W127" s="83">
        <v>8.0109599999999995E-4</v>
      </c>
      <c r="X127" s="83">
        <v>1.73975E-3</v>
      </c>
      <c r="Y127" s="83">
        <v>1.1749900000000001E-2</v>
      </c>
      <c r="Z127" s="83">
        <v>7.0692800000000001E-4</v>
      </c>
      <c r="AA127" s="83">
        <v>1.6755100000000001E-3</v>
      </c>
      <c r="AB127" s="83">
        <v>1.1749900000000001E-2</v>
      </c>
      <c r="AC127" s="83">
        <v>9.2046499999999998E-4</v>
      </c>
      <c r="AD127" s="83">
        <v>1.72263E-3</v>
      </c>
      <c r="AE127" s="83">
        <v>1.1749900000000001E-2</v>
      </c>
      <c r="AF127" s="83">
        <v>1.1144900000000001E-3</v>
      </c>
      <c r="AG127" s="83">
        <v>1.7598100000000001E-3</v>
      </c>
      <c r="AH127" s="83">
        <v>1.1749900000000001E-2</v>
      </c>
      <c r="AI127" s="83">
        <v>4.6516800000000002E-4</v>
      </c>
      <c r="AJ127" s="83">
        <v>1.74183E-3</v>
      </c>
      <c r="AK127" s="83">
        <v>1.1749900000000001E-2</v>
      </c>
      <c r="AL127" s="83">
        <v>4.9621099999999998E-4</v>
      </c>
      <c r="AM127" s="83">
        <v>1.7725799999999999E-3</v>
      </c>
      <c r="AN127" s="83">
        <v>1.1749900000000001E-2</v>
      </c>
      <c r="AO127" s="83">
        <v>8.2439500000000001E-4</v>
      </c>
      <c r="AP127" s="83">
        <v>1.7061299999999999E-3</v>
      </c>
      <c r="AQ127" s="83">
        <v>1.1749900000000001E-2</v>
      </c>
      <c r="AR127" s="83">
        <v>7.1738800000000001E-4</v>
      </c>
      <c r="AS127" s="83">
        <v>1.7363999999999999E-3</v>
      </c>
      <c r="AT127" s="83">
        <v>1.1749900000000001E-2</v>
      </c>
      <c r="AU127" s="83">
        <v>3.7144000000000001E-4</v>
      </c>
      <c r="AV127" s="83">
        <v>1.7562599999999999E-3</v>
      </c>
      <c r="AW127" s="83">
        <v>1.1749900000000001E-2</v>
      </c>
      <c r="AX127" s="83">
        <v>7.5365100000000004E-4</v>
      </c>
      <c r="AY127" s="83">
        <v>1.8001200000000001E-3</v>
      </c>
      <c r="AZ127" s="83">
        <v>1.1749900000000001E-2</v>
      </c>
      <c r="BA127" s="83">
        <v>4.9320500000000003E-4</v>
      </c>
      <c r="BB127" s="83">
        <v>1.74975E-3</v>
      </c>
      <c r="BC127" s="83">
        <v>1.1749900000000001E-2</v>
      </c>
      <c r="BD127" s="83">
        <v>6.5527399999999996E-4</v>
      </c>
      <c r="BE127" s="83">
        <v>1.7049400000000001E-3</v>
      </c>
      <c r="BF127" s="83">
        <v>1.1749900000000001E-2</v>
      </c>
      <c r="BG127" s="83">
        <v>1.15295E-3</v>
      </c>
      <c r="BH127" s="83">
        <v>1.76681E-3</v>
      </c>
      <c r="BI127" s="83">
        <v>1.1749900000000001E-2</v>
      </c>
      <c r="BJ127" s="83">
        <v>6.7317699999999996E-4</v>
      </c>
      <c r="BK127" s="83">
        <v>1.75925E-3</v>
      </c>
      <c r="BL127" s="83">
        <v>1.1749900000000001E-2</v>
      </c>
      <c r="BM127" s="83">
        <v>9.1869800000000002E-4</v>
      </c>
      <c r="BN127" s="83">
        <v>1.71024E-3</v>
      </c>
      <c r="BO127" s="83">
        <v>1.1749900000000001E-2</v>
      </c>
      <c r="BP127" s="83">
        <v>7.7912100000000002E-4</v>
      </c>
      <c r="BQ127" s="83">
        <v>1.7509299999999999E-3</v>
      </c>
      <c r="BR127" s="83">
        <v>1.1749900000000001E-2</v>
      </c>
      <c r="BS127" s="83">
        <v>1.0106200000000001E-3</v>
      </c>
      <c r="BT127" s="83">
        <v>1.7851099999999999E-3</v>
      </c>
      <c r="BU127" s="83">
        <v>1.1749900000000001E-2</v>
      </c>
      <c r="BV127" s="83">
        <v>9.8785999999999991E-4</v>
      </c>
      <c r="BW127" s="83">
        <v>1.69991E-3</v>
      </c>
      <c r="BX127" s="83">
        <v>1.1749900000000001E-2</v>
      </c>
      <c r="BY127" s="83">
        <v>8.1800299999999998E-4</v>
      </c>
      <c r="BZ127" s="83">
        <v>1.76717E-3</v>
      </c>
      <c r="CA127" s="83">
        <v>1.1749900000000001E-2</v>
      </c>
      <c r="CB127" s="83">
        <v>8.8469299999999998E-4</v>
      </c>
      <c r="CC127" s="83">
        <v>1.72784E-3</v>
      </c>
      <c r="CD127" s="83">
        <v>1.1749900000000001E-2</v>
      </c>
      <c r="CE127" s="83">
        <v>6.6978800000000005E-4</v>
      </c>
      <c r="CF127" s="83">
        <v>1.6971E-3</v>
      </c>
      <c r="CG127" s="83">
        <v>1.1749900000000001E-2</v>
      </c>
      <c r="CH127" s="83">
        <v>6.8362700000000002E-4</v>
      </c>
      <c r="CI127" s="83">
        <v>1.75238E-3</v>
      </c>
      <c r="CJ127" s="83">
        <v>1.1749900000000001E-2</v>
      </c>
      <c r="CK127" s="83">
        <v>8.5278899999999996E-4</v>
      </c>
      <c r="CL127" s="83">
        <v>1.7158E-3</v>
      </c>
      <c r="CM127" s="83">
        <v>1.1749900000000001E-2</v>
      </c>
      <c r="CN127" s="83">
        <v>5.3063899999999996E-4</v>
      </c>
      <c r="CO127" s="83">
        <v>1.69064E-3</v>
      </c>
      <c r="CP127" s="83">
        <v>1.1749900000000001E-2</v>
      </c>
      <c r="CQ127" s="83">
        <v>5.1495000000000002E-4</v>
      </c>
      <c r="CR127" s="83">
        <v>1.70078E-3</v>
      </c>
      <c r="CS127" s="83">
        <v>1.1749900000000001E-2</v>
      </c>
      <c r="CT127" s="83">
        <v>1.0548700000000001E-3</v>
      </c>
      <c r="CU127" s="83">
        <v>1.7124200000000001E-3</v>
      </c>
      <c r="CV127" s="83">
        <v>1.1749900000000001E-2</v>
      </c>
      <c r="CW127" s="83">
        <v>6.4593500000000004E-4</v>
      </c>
      <c r="CX127" s="83">
        <v>1.7149400000000001E-3</v>
      </c>
      <c r="CY127" s="83">
        <v>1.1749900000000001E-2</v>
      </c>
      <c r="CZ127" s="83">
        <v>8.7175700000000002E-4</v>
      </c>
      <c r="DA127" s="83">
        <v>1.6901900000000001E-3</v>
      </c>
    </row>
    <row r="128" spans="1:105" x14ac:dyDescent="0.2">
      <c r="A128" s="83">
        <v>1.18499E-2</v>
      </c>
      <c r="B128" s="83">
        <v>1.1480800000000001E-3</v>
      </c>
      <c r="C128" s="83">
        <v>1.5985999999999999E-3</v>
      </c>
      <c r="D128" s="83">
        <v>1.18499E-2</v>
      </c>
      <c r="E128" s="83">
        <v>5.8549600000000002E-4</v>
      </c>
      <c r="F128" s="83">
        <v>1.59457E-3</v>
      </c>
      <c r="G128" s="83">
        <v>1.18499E-2</v>
      </c>
      <c r="H128" s="83">
        <v>5.6166799999999998E-4</v>
      </c>
      <c r="I128" s="83">
        <v>1.6253999999999999E-3</v>
      </c>
      <c r="J128" s="83">
        <v>1.18499E-2</v>
      </c>
      <c r="K128" s="83">
        <v>8.0133899999999998E-4</v>
      </c>
      <c r="L128" s="83">
        <v>1.5474900000000001E-3</v>
      </c>
      <c r="M128" s="83">
        <v>1.18499E-2</v>
      </c>
      <c r="N128" s="83">
        <v>1.0942E-3</v>
      </c>
      <c r="O128" s="83">
        <v>1.5825399999999999E-3</v>
      </c>
      <c r="P128" s="83">
        <v>1.18499E-2</v>
      </c>
      <c r="Q128" s="83">
        <v>6.4039299999999995E-4</v>
      </c>
      <c r="R128" s="83">
        <v>1.59891E-3</v>
      </c>
      <c r="S128" s="83">
        <v>1.18499E-2</v>
      </c>
      <c r="T128" s="83">
        <v>9.3574999999999995E-4</v>
      </c>
      <c r="U128" s="83">
        <v>1.5926E-3</v>
      </c>
      <c r="V128" s="83">
        <v>1.18499E-2</v>
      </c>
      <c r="W128" s="83">
        <v>9.7101700000000002E-4</v>
      </c>
      <c r="X128" s="83">
        <v>1.6391699999999999E-3</v>
      </c>
      <c r="Y128" s="83">
        <v>1.18499E-2</v>
      </c>
      <c r="Z128" s="83">
        <v>8.1044400000000001E-4</v>
      </c>
      <c r="AA128" s="83">
        <v>1.5993299999999999E-3</v>
      </c>
      <c r="AB128" s="83">
        <v>1.18499E-2</v>
      </c>
      <c r="AC128" s="83">
        <v>6.31403E-4</v>
      </c>
      <c r="AD128" s="83">
        <v>1.6327799999999999E-3</v>
      </c>
      <c r="AE128" s="83">
        <v>1.18499E-2</v>
      </c>
      <c r="AF128" s="83">
        <v>1.2004299999999999E-3</v>
      </c>
      <c r="AG128" s="83">
        <v>1.6553200000000001E-3</v>
      </c>
      <c r="AH128" s="83">
        <v>1.18499E-2</v>
      </c>
      <c r="AI128" s="83">
        <v>4.35871E-4</v>
      </c>
      <c r="AJ128" s="83">
        <v>1.63441E-3</v>
      </c>
      <c r="AK128" s="83">
        <v>1.18499E-2</v>
      </c>
      <c r="AL128" s="83">
        <v>1.15051E-3</v>
      </c>
      <c r="AM128" s="83">
        <v>1.6602800000000001E-3</v>
      </c>
      <c r="AN128" s="83">
        <v>1.18499E-2</v>
      </c>
      <c r="AO128" s="83">
        <v>3.79083E-4</v>
      </c>
      <c r="AP128" s="83">
        <v>1.5948E-3</v>
      </c>
      <c r="AQ128" s="83">
        <v>1.18499E-2</v>
      </c>
      <c r="AR128" s="83">
        <v>5.0059099999999999E-4</v>
      </c>
      <c r="AS128" s="83">
        <v>1.6319100000000001E-3</v>
      </c>
      <c r="AT128" s="83">
        <v>1.18499E-2</v>
      </c>
      <c r="AU128" s="83">
        <v>2.9917499999999999E-4</v>
      </c>
      <c r="AV128" s="83">
        <v>1.6547000000000001E-3</v>
      </c>
      <c r="AW128" s="83">
        <v>1.18499E-2</v>
      </c>
      <c r="AX128" s="83">
        <v>4.6068200000000002E-4</v>
      </c>
      <c r="AY128" s="83">
        <v>1.6848900000000001E-3</v>
      </c>
      <c r="AZ128" s="83">
        <v>1.18499E-2</v>
      </c>
      <c r="BA128" s="83">
        <v>3.8773600000000002E-4</v>
      </c>
      <c r="BB128" s="83">
        <v>1.6940900000000001E-3</v>
      </c>
      <c r="BC128" s="83">
        <v>1.18499E-2</v>
      </c>
      <c r="BD128" s="83">
        <v>9.6582099999999995E-4</v>
      </c>
      <c r="BE128" s="83">
        <v>1.6014200000000001E-3</v>
      </c>
      <c r="BF128" s="83">
        <v>1.18499E-2</v>
      </c>
      <c r="BG128" s="83">
        <v>9.2639199999999995E-4</v>
      </c>
      <c r="BH128" s="83">
        <v>1.6662199999999999E-3</v>
      </c>
      <c r="BI128" s="83">
        <v>1.18499E-2</v>
      </c>
      <c r="BJ128" s="83">
        <v>5.9505199999999999E-4</v>
      </c>
      <c r="BK128" s="83">
        <v>1.6498699999999999E-3</v>
      </c>
      <c r="BL128" s="83">
        <v>1.18499E-2</v>
      </c>
      <c r="BM128" s="83">
        <v>1.3991699999999999E-3</v>
      </c>
      <c r="BN128" s="83">
        <v>1.62039E-3</v>
      </c>
      <c r="BO128" s="83">
        <v>1.18499E-2</v>
      </c>
      <c r="BP128" s="83">
        <v>1.03107E-3</v>
      </c>
      <c r="BQ128" s="83">
        <v>1.6503399999999999E-3</v>
      </c>
      <c r="BR128" s="83">
        <v>1.18499E-2</v>
      </c>
      <c r="BS128" s="83">
        <v>9.1491800000000002E-4</v>
      </c>
      <c r="BT128" s="83">
        <v>1.6767100000000001E-3</v>
      </c>
      <c r="BU128" s="83">
        <v>1.18499E-2</v>
      </c>
      <c r="BV128" s="83">
        <v>1.12067E-3</v>
      </c>
      <c r="BW128" s="83">
        <v>1.6120100000000001E-3</v>
      </c>
      <c r="BX128" s="83">
        <v>1.18499E-2</v>
      </c>
      <c r="BY128" s="83">
        <v>7.7698700000000003E-4</v>
      </c>
      <c r="BZ128" s="83">
        <v>1.6880700000000001E-3</v>
      </c>
      <c r="CA128" s="83">
        <v>1.18499E-2</v>
      </c>
      <c r="CB128" s="83">
        <v>7.14771E-4</v>
      </c>
      <c r="CC128" s="83">
        <v>1.63507E-3</v>
      </c>
      <c r="CD128" s="83">
        <v>1.18499E-2</v>
      </c>
      <c r="CE128" s="83">
        <v>5.68225E-4</v>
      </c>
      <c r="CF128" s="83">
        <v>1.5965199999999999E-3</v>
      </c>
      <c r="CG128" s="83">
        <v>1.18499E-2</v>
      </c>
      <c r="CH128" s="83">
        <v>6.4651699999999999E-4</v>
      </c>
      <c r="CI128" s="83">
        <v>1.6517999999999999E-3</v>
      </c>
      <c r="CJ128" s="83">
        <v>1.18499E-2</v>
      </c>
      <c r="CK128" s="83">
        <v>1.0441999999999999E-3</v>
      </c>
      <c r="CL128" s="83">
        <v>1.61619E-3</v>
      </c>
      <c r="CM128" s="83">
        <v>1.18499E-2</v>
      </c>
      <c r="CN128" s="83">
        <v>6.96654E-4</v>
      </c>
      <c r="CO128" s="83">
        <v>1.5900599999999999E-3</v>
      </c>
      <c r="CP128" s="83">
        <v>1.18499E-2</v>
      </c>
      <c r="CQ128" s="83">
        <v>5.7549700000000001E-4</v>
      </c>
      <c r="CR128" s="83">
        <v>1.59531E-3</v>
      </c>
      <c r="CS128" s="83">
        <v>1.18499E-2</v>
      </c>
      <c r="CT128" s="83">
        <v>9.3377800000000002E-4</v>
      </c>
      <c r="CU128" s="83">
        <v>1.6098900000000001E-3</v>
      </c>
      <c r="CV128" s="83">
        <v>1.18499E-2</v>
      </c>
      <c r="CW128" s="83">
        <v>9.3304499999999997E-4</v>
      </c>
      <c r="CX128" s="83">
        <v>1.6036100000000001E-3</v>
      </c>
      <c r="CY128" s="83">
        <v>1.18499E-2</v>
      </c>
      <c r="CZ128" s="83">
        <v>9.16679E-4</v>
      </c>
      <c r="DA128" s="83">
        <v>1.60327E-3</v>
      </c>
    </row>
    <row r="129" spans="1:105" x14ac:dyDescent="0.2">
      <c r="A129" s="83">
        <v>1.1949899999999999E-2</v>
      </c>
      <c r="B129" s="83">
        <v>1.0719099999999999E-3</v>
      </c>
      <c r="C129" s="83">
        <v>1.50876E-3</v>
      </c>
      <c r="D129" s="83">
        <v>1.1949899999999999E-2</v>
      </c>
      <c r="E129" s="83">
        <v>8.2573E-4</v>
      </c>
      <c r="F129" s="83">
        <v>1.50668E-3</v>
      </c>
      <c r="G129" s="83">
        <v>1.1949899999999999E-2</v>
      </c>
      <c r="H129" s="83">
        <v>4.60106E-4</v>
      </c>
      <c r="I129" s="83">
        <v>1.5248200000000001E-3</v>
      </c>
      <c r="J129" s="83">
        <v>1.1949899999999999E-2</v>
      </c>
      <c r="K129" s="83">
        <v>6.9001100000000003E-4</v>
      </c>
      <c r="L129" s="83">
        <v>1.43519E-3</v>
      </c>
      <c r="M129" s="83">
        <v>1.1949899999999999E-2</v>
      </c>
      <c r="N129" s="83">
        <v>8.0318499999999999E-4</v>
      </c>
      <c r="O129" s="83">
        <v>1.49661E-3</v>
      </c>
      <c r="P129" s="83">
        <v>1.1949899999999999E-2</v>
      </c>
      <c r="Q129" s="83">
        <v>7.2437700000000001E-4</v>
      </c>
      <c r="R129" s="83">
        <v>1.4934499999999999E-3</v>
      </c>
      <c r="S129" s="83">
        <v>1.1949899999999999E-2</v>
      </c>
      <c r="T129" s="83">
        <v>8.8496899999999999E-4</v>
      </c>
      <c r="U129" s="83">
        <v>1.5222899999999999E-3</v>
      </c>
      <c r="V129" s="83">
        <v>1.1949899999999999E-2</v>
      </c>
      <c r="W129" s="83">
        <v>7.0929900000000004E-4</v>
      </c>
      <c r="X129" s="83">
        <v>1.5542100000000001E-3</v>
      </c>
      <c r="Y129" s="83">
        <v>1.1949899999999999E-2</v>
      </c>
      <c r="Z129" s="83">
        <v>9.8036600000000009E-4</v>
      </c>
      <c r="AA129" s="83">
        <v>1.49777E-3</v>
      </c>
      <c r="AB129" s="83">
        <v>1.1949899999999999E-2</v>
      </c>
      <c r="AC129" s="83">
        <v>8.5991799999999999E-4</v>
      </c>
      <c r="AD129" s="83">
        <v>1.5468400000000001E-3</v>
      </c>
      <c r="AE129" s="83">
        <v>1.1949899999999999E-2</v>
      </c>
      <c r="AF129" s="83">
        <v>7.84415E-4</v>
      </c>
      <c r="AG129" s="83">
        <v>1.58599E-3</v>
      </c>
      <c r="AH129" s="83">
        <v>1.1949899999999999E-2</v>
      </c>
      <c r="AI129" s="83">
        <v>6.9954299999999995E-4</v>
      </c>
      <c r="AJ129" s="83">
        <v>1.5553100000000001E-3</v>
      </c>
      <c r="AK129" s="83">
        <v>1.1949899999999999E-2</v>
      </c>
      <c r="AL129" s="83">
        <v>4.9230400000000005E-4</v>
      </c>
      <c r="AM129" s="83">
        <v>1.58118E-3</v>
      </c>
      <c r="AN129" s="83">
        <v>1.1949899999999999E-2</v>
      </c>
      <c r="AO129" s="83">
        <v>5.3142599999999999E-4</v>
      </c>
      <c r="AP129" s="83">
        <v>1.51863E-3</v>
      </c>
      <c r="AQ129" s="83">
        <v>1.1949899999999999E-2</v>
      </c>
      <c r="AR129" s="83">
        <v>3.28716E-4</v>
      </c>
      <c r="AS129" s="83">
        <v>1.56062E-3</v>
      </c>
      <c r="AT129" s="83">
        <v>1.1949899999999999E-2</v>
      </c>
      <c r="AU129" s="83">
        <v>5.3159599999999996E-4</v>
      </c>
      <c r="AV129" s="83">
        <v>1.58731E-3</v>
      </c>
      <c r="AW129" s="83">
        <v>1.1949899999999999E-2</v>
      </c>
      <c r="AX129" s="83">
        <v>4.5677599999999999E-4</v>
      </c>
      <c r="AY129" s="83">
        <v>1.5823499999999999E-3</v>
      </c>
      <c r="AZ129" s="83">
        <v>1.1949899999999999E-2</v>
      </c>
      <c r="BA129" s="83">
        <v>3.1742400000000002E-4</v>
      </c>
      <c r="BB129" s="83">
        <v>1.55444E-3</v>
      </c>
      <c r="BC129" s="83">
        <v>1.1949899999999999E-2</v>
      </c>
      <c r="BD129" s="83">
        <v>9.0136800000000005E-4</v>
      </c>
      <c r="BE129" s="83">
        <v>1.5262299999999999E-3</v>
      </c>
      <c r="BF129" s="83">
        <v>1.1949899999999999E-2</v>
      </c>
      <c r="BG129" s="83">
        <v>9.2639199999999995E-4</v>
      </c>
      <c r="BH129" s="83">
        <v>1.5754E-3</v>
      </c>
      <c r="BI129" s="83">
        <v>1.1949899999999999E-2</v>
      </c>
      <c r="BJ129" s="83">
        <v>2.0247400000000001E-4</v>
      </c>
      <c r="BK129" s="83">
        <v>1.5541699999999999E-3</v>
      </c>
      <c r="BL129" s="83">
        <v>1.1949899999999999E-2</v>
      </c>
      <c r="BM129" s="83">
        <v>6.5697900000000003E-4</v>
      </c>
      <c r="BN129" s="83">
        <v>1.5325E-3</v>
      </c>
      <c r="BO129" s="83">
        <v>1.1949899999999999E-2</v>
      </c>
      <c r="BP129" s="83">
        <v>4.2365300000000002E-4</v>
      </c>
      <c r="BQ129" s="83">
        <v>1.5653799999999999E-3</v>
      </c>
      <c r="BR129" s="83">
        <v>1.1949899999999999E-2</v>
      </c>
      <c r="BS129" s="83">
        <v>6.5710499999999995E-4</v>
      </c>
      <c r="BT129" s="83">
        <v>1.5937E-3</v>
      </c>
      <c r="BU129" s="83">
        <v>1.1949899999999999E-2</v>
      </c>
      <c r="BV129" s="83">
        <v>1.02692E-3</v>
      </c>
      <c r="BW129" s="83">
        <v>1.51826E-3</v>
      </c>
      <c r="BX129" s="83">
        <v>1.1949899999999999E-2</v>
      </c>
      <c r="BY129" s="83">
        <v>8.0628399999999999E-4</v>
      </c>
      <c r="BZ129" s="83">
        <v>1.5962699999999999E-3</v>
      </c>
      <c r="CA129" s="83">
        <v>1.1949899999999999E-2</v>
      </c>
      <c r="CB129" s="83">
        <v>8.6320899999999998E-4</v>
      </c>
      <c r="CC129" s="83">
        <v>1.53936E-3</v>
      </c>
      <c r="CD129" s="83">
        <v>1.1949899999999999E-2</v>
      </c>
      <c r="CE129" s="83">
        <v>6.8931899999999998E-4</v>
      </c>
      <c r="CF129" s="83">
        <v>1.5213200000000001E-3</v>
      </c>
      <c r="CG129" s="83">
        <v>1.1949899999999999E-2</v>
      </c>
      <c r="CH129" s="83">
        <v>6.7776700000000002E-4</v>
      </c>
      <c r="CI129" s="83">
        <v>1.5746499999999999E-3</v>
      </c>
      <c r="CJ129" s="83">
        <v>1.1949899999999999E-2</v>
      </c>
      <c r="CK129" s="83">
        <v>8.6060200000000002E-4</v>
      </c>
      <c r="CL129" s="83">
        <v>1.52049E-3</v>
      </c>
      <c r="CM129" s="83">
        <v>1.1949899999999999E-2</v>
      </c>
      <c r="CN129" s="83">
        <v>2.3766999999999999E-4</v>
      </c>
      <c r="CO129" s="83">
        <v>1.50705E-3</v>
      </c>
      <c r="CP129" s="83">
        <v>1.1949899999999999E-2</v>
      </c>
      <c r="CQ129" s="83">
        <v>1.3994999999999999E-4</v>
      </c>
      <c r="CR129" s="83">
        <v>1.5132800000000001E-3</v>
      </c>
      <c r="CS129" s="83">
        <v>1.1949899999999999E-2</v>
      </c>
      <c r="CT129" s="83">
        <v>5.5487099999999997E-4</v>
      </c>
      <c r="CU129" s="83">
        <v>1.5473900000000001E-3</v>
      </c>
      <c r="CV129" s="83">
        <v>1.1949899999999999E-2</v>
      </c>
      <c r="CW129" s="83">
        <v>5.3656000000000005E-4</v>
      </c>
      <c r="CX129" s="83">
        <v>1.54306E-3</v>
      </c>
      <c r="CY129" s="83">
        <v>1.1949899999999999E-2</v>
      </c>
      <c r="CZ129" s="83">
        <v>8.5222599999999998E-4</v>
      </c>
      <c r="DA129" s="83">
        <v>1.49683E-3</v>
      </c>
    </row>
    <row r="130" spans="1:105" x14ac:dyDescent="0.2">
      <c r="A130" s="83">
        <v>1.2049900000000001E-2</v>
      </c>
      <c r="B130" s="83">
        <v>8.2191100000000004E-4</v>
      </c>
      <c r="C130" s="83">
        <v>1.4159800000000001E-3</v>
      </c>
      <c r="D130" s="83">
        <v>1.2049900000000001E-2</v>
      </c>
      <c r="E130" s="83">
        <v>7.9838700000000001E-4</v>
      </c>
      <c r="F130" s="83">
        <v>1.41391E-3</v>
      </c>
      <c r="G130" s="83">
        <v>1.2049900000000001E-2</v>
      </c>
      <c r="H130" s="83">
        <v>6.5346499999999999E-4</v>
      </c>
      <c r="I130" s="83">
        <v>1.4320400000000001E-3</v>
      </c>
      <c r="J130" s="83">
        <v>1.2049900000000001E-2</v>
      </c>
      <c r="K130" s="83">
        <v>9.6260499999999998E-5</v>
      </c>
      <c r="L130" s="83">
        <v>1.3668300000000001E-3</v>
      </c>
      <c r="M130" s="83">
        <v>1.2049900000000001E-2</v>
      </c>
      <c r="N130" s="83">
        <v>7.7193499999999996E-4</v>
      </c>
      <c r="O130" s="83">
        <v>1.43801E-3</v>
      </c>
      <c r="P130" s="83">
        <v>1.2049900000000001E-2</v>
      </c>
      <c r="Q130" s="83">
        <v>8.5132999999999997E-4</v>
      </c>
      <c r="R130" s="83">
        <v>1.4162999999999999E-3</v>
      </c>
      <c r="S130" s="83">
        <v>1.2049900000000001E-2</v>
      </c>
      <c r="T130" s="83">
        <v>1.00997E-3</v>
      </c>
      <c r="U130" s="83">
        <v>1.42366E-3</v>
      </c>
      <c r="V130" s="83">
        <v>1.2049900000000001E-2</v>
      </c>
      <c r="W130" s="83">
        <v>7.9718900000000001E-4</v>
      </c>
      <c r="X130" s="83">
        <v>1.4770600000000001E-3</v>
      </c>
      <c r="Y130" s="83">
        <v>1.2049900000000001E-2</v>
      </c>
      <c r="Z130" s="83">
        <v>5.7997500000000004E-4</v>
      </c>
      <c r="AA130" s="83">
        <v>1.42746E-3</v>
      </c>
      <c r="AB130" s="83">
        <v>1.2049900000000001E-2</v>
      </c>
      <c r="AC130" s="83">
        <v>5.5913700000000002E-4</v>
      </c>
      <c r="AD130" s="83">
        <v>1.4638400000000001E-3</v>
      </c>
      <c r="AE130" s="83">
        <v>1.2049900000000001E-2</v>
      </c>
      <c r="AF130" s="83">
        <v>7.7269600000000002E-4</v>
      </c>
      <c r="AG130" s="83">
        <v>1.49614E-3</v>
      </c>
      <c r="AH130" s="83">
        <v>1.2049900000000001E-2</v>
      </c>
      <c r="AI130" s="83">
        <v>4.9446500000000003E-4</v>
      </c>
      <c r="AJ130" s="83">
        <v>1.4478900000000001E-3</v>
      </c>
      <c r="AK130" s="83">
        <v>1.2049900000000001E-2</v>
      </c>
      <c r="AL130" s="83">
        <v>6.1339800000000002E-4</v>
      </c>
      <c r="AM130" s="83">
        <v>1.48157E-3</v>
      </c>
      <c r="AN130" s="83">
        <v>1.2049900000000001E-2</v>
      </c>
      <c r="AO130" s="83">
        <v>7.38458E-4</v>
      </c>
      <c r="AP130" s="83">
        <v>1.4239000000000001E-3</v>
      </c>
      <c r="AQ130" s="83">
        <v>1.2049900000000001E-2</v>
      </c>
      <c r="AR130" s="83">
        <v>4.0879399999999998E-4</v>
      </c>
      <c r="AS130" s="83">
        <v>1.46883E-3</v>
      </c>
      <c r="AT130" s="83">
        <v>1.2049900000000001E-2</v>
      </c>
      <c r="AU130" s="83">
        <v>4.0854999999999998E-4</v>
      </c>
      <c r="AV130" s="83">
        <v>1.47306E-3</v>
      </c>
      <c r="AW130" s="83">
        <v>1.2049900000000001E-2</v>
      </c>
      <c r="AX130" s="83">
        <v>7.3021299999999996E-4</v>
      </c>
      <c r="AY130" s="83">
        <v>1.5091099999999999E-3</v>
      </c>
      <c r="AZ130" s="83">
        <v>1.2049900000000001E-2</v>
      </c>
      <c r="BA130" s="83">
        <v>7.7054900000000004E-4</v>
      </c>
      <c r="BB130" s="83">
        <v>1.4782700000000001E-3</v>
      </c>
      <c r="BC130" s="83">
        <v>1.2049900000000001E-2</v>
      </c>
      <c r="BD130" s="83">
        <v>7.1972799999999999E-4</v>
      </c>
      <c r="BE130" s="83">
        <v>1.43541E-3</v>
      </c>
      <c r="BF130" s="83">
        <v>1.2049900000000001E-2</v>
      </c>
      <c r="BG130" s="83">
        <v>1.02991E-3</v>
      </c>
      <c r="BH130" s="83">
        <v>1.47872E-3</v>
      </c>
      <c r="BI130" s="83">
        <v>1.2049900000000001E-2</v>
      </c>
      <c r="BJ130" s="83">
        <v>2.5911400000000001E-4</v>
      </c>
      <c r="BK130" s="83">
        <v>1.43991E-3</v>
      </c>
      <c r="BL130" s="83">
        <v>1.2049900000000001E-2</v>
      </c>
      <c r="BM130" s="83">
        <v>8.7963500000000003E-4</v>
      </c>
      <c r="BN130" s="83">
        <v>1.4495000000000001E-3</v>
      </c>
      <c r="BO130" s="83">
        <v>1.2049900000000001E-2</v>
      </c>
      <c r="BP130" s="83">
        <v>9.00215E-4</v>
      </c>
      <c r="BQ130" s="83">
        <v>1.4765100000000001E-3</v>
      </c>
      <c r="BR130" s="83">
        <v>1.2049900000000001E-2</v>
      </c>
      <c r="BS130" s="83">
        <v>3.8366799999999999E-4</v>
      </c>
      <c r="BT130" s="83">
        <v>1.5302200000000001E-3</v>
      </c>
      <c r="BU130" s="83">
        <v>1.2049900000000001E-2</v>
      </c>
      <c r="BV130" s="83">
        <v>1.0034899999999999E-3</v>
      </c>
      <c r="BW130" s="83">
        <v>1.4323300000000001E-3</v>
      </c>
      <c r="BX130" s="83">
        <v>1.2049900000000001E-2</v>
      </c>
      <c r="BY130" s="83">
        <v>8.5706599999999997E-4</v>
      </c>
      <c r="BZ130" s="83">
        <v>1.5035000000000001E-3</v>
      </c>
      <c r="CA130" s="83">
        <v>1.2049900000000001E-2</v>
      </c>
      <c r="CB130" s="83">
        <v>5.89771E-4</v>
      </c>
      <c r="CC130" s="83">
        <v>1.44659E-3</v>
      </c>
      <c r="CD130" s="83">
        <v>1.2049900000000001E-2</v>
      </c>
      <c r="CE130" s="83">
        <v>8.3580299999999998E-4</v>
      </c>
      <c r="CF130" s="83">
        <v>1.4304999999999999E-3</v>
      </c>
      <c r="CG130" s="83">
        <v>1.2049900000000001E-2</v>
      </c>
      <c r="CH130" s="83">
        <v>6.0354799999999998E-4</v>
      </c>
      <c r="CI130" s="83">
        <v>1.47113E-3</v>
      </c>
      <c r="CJ130" s="83">
        <v>1.2049900000000001E-2</v>
      </c>
      <c r="CK130" s="83">
        <v>1.03834E-3</v>
      </c>
      <c r="CL130" s="83">
        <v>1.4560300000000001E-3</v>
      </c>
      <c r="CM130" s="83">
        <v>1.2049900000000001E-2</v>
      </c>
      <c r="CN130" s="83">
        <v>6.0485699999999999E-4</v>
      </c>
      <c r="CO130" s="83">
        <v>1.41818E-3</v>
      </c>
      <c r="CP130" s="83">
        <v>1.2049900000000001E-2</v>
      </c>
      <c r="CQ130" s="83">
        <v>1.5362199999999999E-4</v>
      </c>
      <c r="CR130" s="83">
        <v>1.4351500000000001E-3</v>
      </c>
      <c r="CS130" s="83">
        <v>1.2049900000000001E-2</v>
      </c>
      <c r="CT130" s="83">
        <v>7.16981E-4</v>
      </c>
      <c r="CU130" s="83">
        <v>1.4565699999999999E-3</v>
      </c>
      <c r="CV130" s="83">
        <v>1.2049900000000001E-2</v>
      </c>
      <c r="CW130" s="83">
        <v>1.3030999999999999E-4</v>
      </c>
      <c r="CX130" s="83">
        <v>1.44834E-3</v>
      </c>
      <c r="CY130" s="83">
        <v>1.2049900000000001E-2</v>
      </c>
      <c r="CZ130" s="83">
        <v>7.8777299999999997E-4</v>
      </c>
      <c r="DA130" s="83">
        <v>1.4216299999999999E-3</v>
      </c>
    </row>
    <row r="131" spans="1:105" x14ac:dyDescent="0.2">
      <c r="A131" s="83">
        <v>1.21499E-2</v>
      </c>
      <c r="B131" s="83">
        <v>4.8988000000000005E-4</v>
      </c>
      <c r="C131" s="83">
        <v>1.35056E-3</v>
      </c>
      <c r="D131" s="83">
        <v>1.21499E-2</v>
      </c>
      <c r="E131" s="83">
        <v>5.2299599999999996E-4</v>
      </c>
      <c r="F131" s="83">
        <v>1.3426200000000001E-3</v>
      </c>
      <c r="G131" s="83">
        <v>1.21499E-2</v>
      </c>
      <c r="H131" s="83">
        <v>3.5659E-4</v>
      </c>
      <c r="I131" s="83">
        <v>1.35783E-3</v>
      </c>
      <c r="J131" s="83">
        <v>1.21499E-2</v>
      </c>
      <c r="K131" s="83">
        <v>4.1071400000000001E-4</v>
      </c>
      <c r="L131" s="83">
        <v>1.2887E-3</v>
      </c>
      <c r="M131" s="83">
        <v>1.21499E-2</v>
      </c>
      <c r="N131" s="83">
        <v>6.6841899999999996E-4</v>
      </c>
      <c r="O131" s="83">
        <v>1.35012E-3</v>
      </c>
      <c r="P131" s="83">
        <v>1.21499E-2</v>
      </c>
      <c r="Q131" s="83">
        <v>4.5484600000000002E-4</v>
      </c>
      <c r="R131" s="83">
        <v>1.3352399999999999E-3</v>
      </c>
      <c r="S131" s="83">
        <v>1.21499E-2</v>
      </c>
      <c r="T131" s="83">
        <v>7.5410899999999999E-4</v>
      </c>
      <c r="U131" s="83">
        <v>1.3455299999999999E-3</v>
      </c>
      <c r="V131" s="83">
        <v>1.21499E-2</v>
      </c>
      <c r="W131" s="83">
        <v>7.3664200000000003E-4</v>
      </c>
      <c r="X131" s="83">
        <v>1.38331E-3</v>
      </c>
      <c r="Y131" s="83">
        <v>1.21499E-2</v>
      </c>
      <c r="Z131" s="83">
        <v>4.62788E-4</v>
      </c>
      <c r="AA131" s="83">
        <v>1.3297999999999999E-3</v>
      </c>
      <c r="AB131" s="83">
        <v>1.21499E-2</v>
      </c>
      <c r="AC131" s="83">
        <v>4.57575E-4</v>
      </c>
      <c r="AD131" s="83">
        <v>1.3603199999999999E-3</v>
      </c>
      <c r="AE131" s="83">
        <v>1.21499E-2</v>
      </c>
      <c r="AF131" s="83">
        <v>5.61759E-4</v>
      </c>
      <c r="AG131" s="83">
        <v>1.42095E-3</v>
      </c>
      <c r="AH131" s="83">
        <v>1.21499E-2</v>
      </c>
      <c r="AI131" s="83">
        <v>2.62043E-4</v>
      </c>
      <c r="AJ131" s="83">
        <v>1.36293E-3</v>
      </c>
      <c r="AK131" s="83">
        <v>1.21499E-2</v>
      </c>
      <c r="AL131" s="83">
        <v>3.1457000000000002E-4</v>
      </c>
      <c r="AM131" s="83">
        <v>1.39368E-3</v>
      </c>
      <c r="AN131" s="83">
        <v>1.21499E-2</v>
      </c>
      <c r="AO131" s="83">
        <v>6.8962899999999998E-4</v>
      </c>
      <c r="AP131" s="83">
        <v>1.3399200000000001E-3</v>
      </c>
      <c r="AQ131" s="83">
        <v>1.21499E-2</v>
      </c>
      <c r="AR131" s="83">
        <v>4.1074699999999999E-4</v>
      </c>
      <c r="AS131" s="83">
        <v>1.35848E-3</v>
      </c>
      <c r="AT131" s="83">
        <v>1.21499E-2</v>
      </c>
      <c r="AU131" s="83">
        <v>4.53471E-4</v>
      </c>
      <c r="AV131" s="83">
        <v>1.4095799999999999E-3</v>
      </c>
      <c r="AW131" s="83">
        <v>1.21499E-2</v>
      </c>
      <c r="AX131" s="83">
        <v>6.2865100000000004E-4</v>
      </c>
      <c r="AY131" s="83">
        <v>1.4134E-3</v>
      </c>
      <c r="AZ131" s="83">
        <v>1.21499E-2</v>
      </c>
      <c r="BA131" s="83">
        <v>4.2875200000000002E-4</v>
      </c>
      <c r="BB131" s="83">
        <v>1.40503E-3</v>
      </c>
      <c r="BC131" s="83">
        <v>1.21499E-2</v>
      </c>
      <c r="BD131" s="83">
        <v>6.9043100000000003E-4</v>
      </c>
      <c r="BE131" s="83">
        <v>1.3631400000000001E-3</v>
      </c>
      <c r="BF131" s="83">
        <v>1.21499E-2</v>
      </c>
      <c r="BG131" s="83">
        <v>1.10413E-3</v>
      </c>
      <c r="BH131" s="83">
        <v>1.3996200000000001E-3</v>
      </c>
      <c r="BI131" s="83">
        <v>1.21499E-2</v>
      </c>
      <c r="BJ131" s="83">
        <v>7.0638000000000005E-4</v>
      </c>
      <c r="BK131" s="83">
        <v>1.38327E-3</v>
      </c>
      <c r="BL131" s="83">
        <v>1.21499E-2</v>
      </c>
      <c r="BM131" s="83">
        <v>9.1088499999999995E-4</v>
      </c>
      <c r="BN131" s="83">
        <v>1.36258E-3</v>
      </c>
      <c r="BO131" s="83">
        <v>1.21499E-2</v>
      </c>
      <c r="BP131" s="83">
        <v>1.1404500000000001E-3</v>
      </c>
      <c r="BQ131" s="83">
        <v>1.40229E-3</v>
      </c>
      <c r="BR131" s="83">
        <v>1.21499E-2</v>
      </c>
      <c r="BS131" s="83">
        <v>7.0202700000000003E-4</v>
      </c>
      <c r="BT131" s="83">
        <v>1.42768E-3</v>
      </c>
      <c r="BU131" s="83">
        <v>1.21499E-2</v>
      </c>
      <c r="BV131" s="83">
        <v>7.76923E-4</v>
      </c>
      <c r="BW131" s="83">
        <v>1.35713E-3</v>
      </c>
      <c r="BX131" s="83">
        <v>1.21499E-2</v>
      </c>
      <c r="BY131" s="83">
        <v>8.5901900000000004E-4</v>
      </c>
      <c r="BZ131" s="83">
        <v>1.41854E-3</v>
      </c>
      <c r="CA131" s="83">
        <v>1.21499E-2</v>
      </c>
      <c r="CB131" s="83">
        <v>1.11907E-3</v>
      </c>
      <c r="CC131" s="83">
        <v>1.34991E-3</v>
      </c>
      <c r="CD131" s="83">
        <v>1.21499E-2</v>
      </c>
      <c r="CE131" s="83">
        <v>6.3463099999999998E-4</v>
      </c>
      <c r="CF131" s="83">
        <v>1.3484700000000001E-3</v>
      </c>
      <c r="CG131" s="83">
        <v>1.21499E-2</v>
      </c>
      <c r="CH131" s="83">
        <v>7.3245500000000002E-4</v>
      </c>
      <c r="CI131" s="83">
        <v>1.4008200000000001E-3</v>
      </c>
      <c r="CJ131" s="83">
        <v>1.21499E-2</v>
      </c>
      <c r="CK131" s="83">
        <v>6.2817999999999999E-4</v>
      </c>
      <c r="CL131" s="83">
        <v>1.34471E-3</v>
      </c>
      <c r="CM131" s="83">
        <v>1.21499E-2</v>
      </c>
      <c r="CN131" s="83">
        <v>7.4743599999999998E-4</v>
      </c>
      <c r="CO131" s="83">
        <v>1.3175999999999999E-3</v>
      </c>
      <c r="CP131" s="83">
        <v>1.21499E-2</v>
      </c>
      <c r="CQ131" s="83">
        <v>3.5479400000000002E-4</v>
      </c>
      <c r="CR131" s="83">
        <v>1.3365199999999999E-3</v>
      </c>
      <c r="CS131" s="83">
        <v>1.21499E-2</v>
      </c>
      <c r="CT131" s="83">
        <v>6.3104299999999997E-4</v>
      </c>
      <c r="CU131" s="83">
        <v>1.3520699999999999E-3</v>
      </c>
      <c r="CV131" s="83">
        <v>1.21499E-2</v>
      </c>
      <c r="CW131" s="83">
        <v>5.1702900000000001E-4</v>
      </c>
      <c r="CX131" s="83">
        <v>1.3653300000000001E-3</v>
      </c>
      <c r="CY131" s="83">
        <v>1.21499E-2</v>
      </c>
      <c r="CZ131" s="83">
        <v>5.9441300000000002E-4</v>
      </c>
      <c r="DA131" s="83">
        <v>1.3366700000000001E-3</v>
      </c>
    </row>
    <row r="132" spans="1:105" x14ac:dyDescent="0.2">
      <c r="A132" s="83">
        <v>1.2249899999999999E-2</v>
      </c>
      <c r="B132" s="83">
        <v>6.4417700000000001E-4</v>
      </c>
      <c r="C132" s="83">
        <v>1.2743800000000001E-3</v>
      </c>
      <c r="D132" s="83">
        <v>1.2249899999999999E-2</v>
      </c>
      <c r="E132" s="83">
        <v>8.4135500000000001E-4</v>
      </c>
      <c r="F132" s="83">
        <v>1.2625399999999999E-3</v>
      </c>
      <c r="G132" s="83">
        <v>1.2249899999999999E-2</v>
      </c>
      <c r="H132" s="83">
        <v>6.7690299999999997E-4</v>
      </c>
      <c r="I132" s="83">
        <v>1.2953299999999999E-3</v>
      </c>
      <c r="J132" s="83">
        <v>1.2249899999999999E-2</v>
      </c>
      <c r="K132" s="83">
        <v>-1.06864E-4</v>
      </c>
      <c r="L132" s="83">
        <v>1.20374E-3</v>
      </c>
      <c r="M132" s="83">
        <v>1.2249899999999999E-2</v>
      </c>
      <c r="N132" s="83">
        <v>6.0787199999999997E-4</v>
      </c>
      <c r="O132" s="83">
        <v>1.2671099999999999E-3</v>
      </c>
      <c r="P132" s="83">
        <v>1.2249899999999999E-2</v>
      </c>
      <c r="Q132" s="83">
        <v>5.9547099999999998E-4</v>
      </c>
      <c r="R132" s="83">
        <v>1.2737200000000001E-3</v>
      </c>
      <c r="S132" s="83">
        <v>1.2249899999999999E-2</v>
      </c>
      <c r="T132" s="83">
        <v>8.6543700000000004E-4</v>
      </c>
      <c r="U132" s="83">
        <v>1.2683799999999999E-3</v>
      </c>
      <c r="V132" s="83">
        <v>1.2249899999999999E-2</v>
      </c>
      <c r="W132" s="83">
        <v>1.8390799999999999E-4</v>
      </c>
      <c r="X132" s="83">
        <v>1.3198299999999999E-3</v>
      </c>
      <c r="Y132" s="83">
        <v>1.2249899999999999E-2</v>
      </c>
      <c r="Z132" s="83">
        <v>2.96772E-4</v>
      </c>
      <c r="AA132" s="83">
        <v>1.2555800000000001E-3</v>
      </c>
      <c r="AB132" s="83">
        <v>1.2249899999999999E-2</v>
      </c>
      <c r="AC132" s="83">
        <v>4.7124599999999998E-4</v>
      </c>
      <c r="AD132" s="83">
        <v>1.31442E-3</v>
      </c>
      <c r="AE132" s="83">
        <v>1.2249899999999999E-2</v>
      </c>
      <c r="AF132" s="83">
        <v>8.6449300000000003E-4</v>
      </c>
      <c r="AG132" s="83">
        <v>1.3135200000000001E-3</v>
      </c>
      <c r="AH132" s="83">
        <v>1.2249899999999999E-2</v>
      </c>
      <c r="AI132" s="83">
        <v>4.2415200000000001E-4</v>
      </c>
      <c r="AJ132" s="83">
        <v>1.3131200000000001E-3</v>
      </c>
      <c r="AK132" s="83">
        <v>1.2249899999999999E-2</v>
      </c>
      <c r="AL132" s="83">
        <v>8.7706999999999998E-4</v>
      </c>
      <c r="AM132" s="83">
        <v>1.3331300000000001E-3</v>
      </c>
      <c r="AN132" s="83">
        <v>1.2249899999999999E-2</v>
      </c>
      <c r="AO132" s="83">
        <v>4.9236400000000002E-4</v>
      </c>
      <c r="AP132" s="83">
        <v>1.2618E-3</v>
      </c>
      <c r="AQ132" s="83">
        <v>1.2249899999999999E-2</v>
      </c>
      <c r="AR132" s="83">
        <v>2.40826E-4</v>
      </c>
      <c r="AS132" s="83">
        <v>1.3203900000000001E-3</v>
      </c>
      <c r="AT132" s="83">
        <v>1.2249899999999999E-2</v>
      </c>
      <c r="AU132" s="83">
        <v>1.5073699999999999E-4</v>
      </c>
      <c r="AV132" s="83">
        <v>1.3138799999999999E-3</v>
      </c>
      <c r="AW132" s="83">
        <v>1.2249899999999999E-2</v>
      </c>
      <c r="AX132" s="83">
        <v>1.24745E-4</v>
      </c>
      <c r="AY132" s="83">
        <v>1.34114E-3</v>
      </c>
      <c r="AZ132" s="83">
        <v>1.2249899999999999E-2</v>
      </c>
      <c r="BA132" s="83">
        <v>1.5140800000000001E-4</v>
      </c>
      <c r="BB132" s="83">
        <v>1.3249500000000001E-3</v>
      </c>
      <c r="BC132" s="83">
        <v>1.2249899999999999E-2</v>
      </c>
      <c r="BD132" s="83">
        <v>7.1777400000000002E-4</v>
      </c>
      <c r="BE132" s="83">
        <v>1.27721E-3</v>
      </c>
      <c r="BF132" s="83">
        <v>1.2249899999999999E-2</v>
      </c>
      <c r="BG132" s="83">
        <v>6.8029799999999997E-4</v>
      </c>
      <c r="BH132" s="83">
        <v>1.3273600000000001E-3</v>
      </c>
      <c r="BI132" s="83">
        <v>1.2249899999999999E-2</v>
      </c>
      <c r="BJ132" s="83">
        <v>6.8489600000000005E-4</v>
      </c>
      <c r="BK132" s="83">
        <v>1.31686E-3</v>
      </c>
      <c r="BL132" s="83">
        <v>1.2249899999999999E-2</v>
      </c>
      <c r="BM132" s="83">
        <v>9.3041700000000001E-4</v>
      </c>
      <c r="BN132" s="83">
        <v>1.28641E-3</v>
      </c>
      <c r="BO132" s="83">
        <v>1.2249899999999999E-2</v>
      </c>
      <c r="BP132" s="83">
        <v>1.1189699999999999E-3</v>
      </c>
      <c r="BQ132" s="83">
        <v>1.3163599999999999E-3</v>
      </c>
      <c r="BR132" s="83">
        <v>1.2249899999999999E-2</v>
      </c>
      <c r="BS132" s="83">
        <v>5.8093299999999995E-4</v>
      </c>
      <c r="BT132" s="83">
        <v>1.34077E-3</v>
      </c>
      <c r="BU132" s="83">
        <v>1.2249899999999999E-2</v>
      </c>
      <c r="BV132" s="83">
        <v>6.7731400000000004E-4</v>
      </c>
      <c r="BW132" s="83">
        <v>1.27998E-3</v>
      </c>
      <c r="BX132" s="83">
        <v>1.2249899999999999E-2</v>
      </c>
      <c r="BY132" s="83">
        <v>5.28941E-4</v>
      </c>
      <c r="BZ132" s="83">
        <v>1.3238099999999999E-3</v>
      </c>
      <c r="CA132" s="83">
        <v>1.2249899999999999E-2</v>
      </c>
      <c r="CB132" s="83">
        <v>6.7375599999999996E-4</v>
      </c>
      <c r="CC132" s="83">
        <v>1.2903400000000001E-3</v>
      </c>
      <c r="CD132" s="83">
        <v>1.2249899999999999E-2</v>
      </c>
      <c r="CE132" s="83">
        <v>3.72913E-4</v>
      </c>
      <c r="CF132" s="83">
        <v>1.2615599999999999E-3</v>
      </c>
      <c r="CG132" s="83">
        <v>1.2249899999999999E-2</v>
      </c>
      <c r="CH132" s="83">
        <v>6.40658E-4</v>
      </c>
      <c r="CI132" s="83">
        <v>1.3158600000000001E-3</v>
      </c>
      <c r="CJ132" s="83">
        <v>1.2249899999999999E-2</v>
      </c>
      <c r="CK132" s="83">
        <v>5.7153900000000003E-4</v>
      </c>
      <c r="CL132" s="83">
        <v>1.2724399999999999E-3</v>
      </c>
      <c r="CM132" s="83">
        <v>1.2249899999999999E-2</v>
      </c>
      <c r="CN132" s="83">
        <v>4.11498E-4</v>
      </c>
      <c r="CO132" s="83">
        <v>1.26486E-3</v>
      </c>
      <c r="CP132" s="83">
        <v>1.2249899999999999E-2</v>
      </c>
      <c r="CQ132" s="83">
        <v>3.9776299999999998E-4</v>
      </c>
      <c r="CR132" s="83">
        <v>1.2603499999999999E-3</v>
      </c>
      <c r="CS132" s="83">
        <v>1.2249899999999999E-2</v>
      </c>
      <c r="CT132" s="83">
        <v>5.43153E-4</v>
      </c>
      <c r="CU132" s="83">
        <v>1.28371E-3</v>
      </c>
      <c r="CV132" s="83">
        <v>1.2249899999999999E-2</v>
      </c>
      <c r="CW132" s="83">
        <v>8.1585700000000002E-4</v>
      </c>
      <c r="CX132" s="83">
        <v>1.2813499999999999E-3</v>
      </c>
      <c r="CY132" s="83">
        <v>1.2249899999999999E-2</v>
      </c>
      <c r="CZ132" s="83">
        <v>2.66288E-4</v>
      </c>
      <c r="DA132" s="83">
        <v>1.24683E-3</v>
      </c>
    </row>
    <row r="133" spans="1:105" x14ac:dyDescent="0.2">
      <c r="A133" s="83">
        <v>1.23499E-2</v>
      </c>
      <c r="B133" s="83">
        <v>4.7425499999999998E-4</v>
      </c>
      <c r="C133" s="83">
        <v>1.18356E-3</v>
      </c>
      <c r="D133" s="83">
        <v>1.23499E-2</v>
      </c>
      <c r="E133" s="83">
        <v>5.7963700000000003E-4</v>
      </c>
      <c r="F133" s="83">
        <v>1.19418E-3</v>
      </c>
      <c r="G133" s="83">
        <v>1.23499E-2</v>
      </c>
      <c r="H133" s="83">
        <v>7.1401199999999998E-4</v>
      </c>
      <c r="I133" s="83">
        <v>1.22013E-3</v>
      </c>
      <c r="J133" s="83">
        <v>1.23499E-2</v>
      </c>
      <c r="K133" s="83">
        <v>6.8805699999999995E-4</v>
      </c>
      <c r="L133" s="83">
        <v>1.1256199999999999E-3</v>
      </c>
      <c r="M133" s="83">
        <v>1.23499E-2</v>
      </c>
      <c r="N133" s="83">
        <v>4.3990400000000002E-4</v>
      </c>
      <c r="O133" s="83">
        <v>1.18508E-3</v>
      </c>
      <c r="P133" s="83">
        <v>1.23499E-2</v>
      </c>
      <c r="Q133" s="83">
        <v>6.7750199999999997E-4</v>
      </c>
      <c r="R133" s="83">
        <v>1.19852E-3</v>
      </c>
      <c r="S133" s="83">
        <v>1.23499E-2</v>
      </c>
      <c r="T133" s="83">
        <v>5.6075000000000005E-4</v>
      </c>
      <c r="U133" s="83">
        <v>1.1980700000000001E-3</v>
      </c>
      <c r="V133" s="83">
        <v>1.23499E-2</v>
      </c>
      <c r="W133" s="83">
        <v>1.78049E-4</v>
      </c>
      <c r="X133" s="83">
        <v>1.2202199999999999E-3</v>
      </c>
      <c r="Y133" s="83">
        <v>1.23499E-2</v>
      </c>
      <c r="Z133" s="83">
        <v>2.6747499999999998E-4</v>
      </c>
      <c r="AA133" s="83">
        <v>1.17355E-3</v>
      </c>
      <c r="AB133" s="83">
        <v>1.23499E-2</v>
      </c>
      <c r="AC133" s="83">
        <v>1.99762E-4</v>
      </c>
      <c r="AD133" s="83">
        <v>1.2109099999999999E-3</v>
      </c>
      <c r="AE133" s="83">
        <v>1.23499E-2</v>
      </c>
      <c r="AF133" s="83">
        <v>8.4886800000000002E-4</v>
      </c>
      <c r="AG133" s="83">
        <v>1.26274E-3</v>
      </c>
      <c r="AH133" s="83">
        <v>1.23499E-2</v>
      </c>
      <c r="AI133" s="83">
        <v>-4.6550700000000001E-5</v>
      </c>
      <c r="AJ133" s="83">
        <v>1.2027699999999999E-3</v>
      </c>
      <c r="AK133" s="83">
        <v>1.23499E-2</v>
      </c>
      <c r="AL133" s="83">
        <v>2.05195E-4</v>
      </c>
      <c r="AM133" s="83">
        <v>1.26184E-3</v>
      </c>
      <c r="AN133" s="83">
        <v>1.23499E-2</v>
      </c>
      <c r="AO133" s="83">
        <v>4.3181699999999998E-4</v>
      </c>
      <c r="AP133" s="83">
        <v>1.1973400000000001E-3</v>
      </c>
      <c r="AQ133" s="83">
        <v>1.23499E-2</v>
      </c>
      <c r="AR133" s="83">
        <v>5.0059099999999999E-4</v>
      </c>
      <c r="AS133" s="83">
        <v>1.23836E-3</v>
      </c>
      <c r="AT133" s="83">
        <v>1.23499E-2</v>
      </c>
      <c r="AU133" s="83">
        <v>1.5971400000000001E-5</v>
      </c>
      <c r="AV133" s="83">
        <v>1.2552799999999999E-3</v>
      </c>
      <c r="AW133" s="83">
        <v>1.23499E-2</v>
      </c>
      <c r="AX133" s="83">
        <v>3.82557E-4</v>
      </c>
      <c r="AY133" s="83">
        <v>1.26399E-3</v>
      </c>
      <c r="AZ133" s="83">
        <v>1.23499E-2</v>
      </c>
      <c r="BA133" s="83">
        <v>2.9203299999999997E-4</v>
      </c>
      <c r="BB133" s="83">
        <v>1.23022E-3</v>
      </c>
      <c r="BC133" s="83">
        <v>1.23499E-2</v>
      </c>
      <c r="BD133" s="83">
        <v>8.3886799999999999E-4</v>
      </c>
      <c r="BE133" s="83">
        <v>1.21178E-3</v>
      </c>
      <c r="BF133" s="83">
        <v>1.23499E-2</v>
      </c>
      <c r="BG133" s="83">
        <v>9.55688E-4</v>
      </c>
      <c r="BH133" s="83">
        <v>1.2267700000000001E-3</v>
      </c>
      <c r="BI133" s="83">
        <v>1.23499E-2</v>
      </c>
      <c r="BJ133" s="83">
        <v>6.5169200000000005E-4</v>
      </c>
      <c r="BK133" s="83">
        <v>1.2319E-3</v>
      </c>
      <c r="BL133" s="83">
        <v>1.23499E-2</v>
      </c>
      <c r="BM133" s="83">
        <v>6.4330699999999997E-4</v>
      </c>
      <c r="BN133" s="83">
        <v>1.2141400000000001E-3</v>
      </c>
      <c r="BO133" s="83">
        <v>1.23499E-2</v>
      </c>
      <c r="BP133" s="83">
        <v>3.74824E-4</v>
      </c>
      <c r="BQ133" s="83">
        <v>1.22944E-3</v>
      </c>
      <c r="BR133" s="83">
        <v>1.23499E-2</v>
      </c>
      <c r="BS133" s="83">
        <v>6.4734000000000005E-4</v>
      </c>
      <c r="BT133" s="83">
        <v>1.2509299999999999E-3</v>
      </c>
      <c r="BU133" s="83">
        <v>1.23499E-2</v>
      </c>
      <c r="BV133" s="83">
        <v>5.6403200000000001E-4</v>
      </c>
      <c r="BW133" s="83">
        <v>1.2204099999999999E-3</v>
      </c>
      <c r="BX133" s="83">
        <v>1.23499E-2</v>
      </c>
      <c r="BY133" s="83">
        <v>9.2933100000000004E-4</v>
      </c>
      <c r="BZ133" s="83">
        <v>1.2544800000000001E-3</v>
      </c>
      <c r="CA133" s="83">
        <v>1.23499E-2</v>
      </c>
      <c r="CB133" s="83">
        <v>9.5305200000000002E-4</v>
      </c>
      <c r="CC133" s="83">
        <v>1.2171E-3</v>
      </c>
      <c r="CD133" s="83">
        <v>1.23499E-2</v>
      </c>
      <c r="CE133" s="83">
        <v>8.6705300000000001E-4</v>
      </c>
      <c r="CF133" s="83">
        <v>1.2000299999999999E-3</v>
      </c>
      <c r="CG133" s="83">
        <v>1.23499E-2</v>
      </c>
      <c r="CH133" s="83">
        <v>6.4456400000000003E-4</v>
      </c>
      <c r="CI133" s="83">
        <v>1.23285E-3</v>
      </c>
      <c r="CJ133" s="83">
        <v>1.23499E-2</v>
      </c>
      <c r="CK133" s="83">
        <v>6.8091400000000002E-4</v>
      </c>
      <c r="CL133" s="83">
        <v>1.21287E-3</v>
      </c>
      <c r="CM133" s="83">
        <v>1.23499E-2</v>
      </c>
      <c r="CN133" s="83">
        <v>6.0095099999999996E-4</v>
      </c>
      <c r="CO133" s="83">
        <v>1.1886900000000001E-3</v>
      </c>
      <c r="CP133" s="83">
        <v>1.23499E-2</v>
      </c>
      <c r="CQ133" s="83">
        <v>3.0205999999999999E-4</v>
      </c>
      <c r="CR133" s="83">
        <v>1.20371E-3</v>
      </c>
      <c r="CS133" s="83">
        <v>1.23499E-2</v>
      </c>
      <c r="CT133" s="83">
        <v>5.5291800000000001E-4</v>
      </c>
      <c r="CU133" s="83">
        <v>1.23098E-3</v>
      </c>
      <c r="CV133" s="83">
        <v>1.23499E-2</v>
      </c>
      <c r="CW133" s="83">
        <v>3.1585700000000001E-4</v>
      </c>
      <c r="CX133" s="83">
        <v>1.22178E-3</v>
      </c>
      <c r="CY133" s="83">
        <v>1.23499E-2</v>
      </c>
      <c r="CZ133" s="83">
        <v>7.9753799999999998E-4</v>
      </c>
      <c r="DA133" s="83">
        <v>1.1765199999999999E-3</v>
      </c>
    </row>
    <row r="134" spans="1:105" x14ac:dyDescent="0.2">
      <c r="A134" s="83">
        <v>1.24499E-2</v>
      </c>
      <c r="B134" s="83">
        <v>3.2191099999999997E-4</v>
      </c>
      <c r="C134" s="83">
        <v>1.1327799999999999E-3</v>
      </c>
      <c r="D134" s="83">
        <v>1.24499E-2</v>
      </c>
      <c r="E134" s="83">
        <v>6.8510499999999998E-4</v>
      </c>
      <c r="F134" s="83">
        <v>1.12484E-3</v>
      </c>
      <c r="G134" s="83">
        <v>1.24499E-2</v>
      </c>
      <c r="H134" s="83">
        <v>9.0737100000000002E-4</v>
      </c>
      <c r="I134" s="83">
        <v>1.1400500000000001E-3</v>
      </c>
      <c r="J134" s="83">
        <v>1.24499E-2</v>
      </c>
      <c r="K134" s="83">
        <v>2.5837000000000001E-4</v>
      </c>
      <c r="L134" s="83">
        <v>1.0601899999999999E-3</v>
      </c>
      <c r="M134" s="83">
        <v>1.24499E-2</v>
      </c>
      <c r="N134" s="83">
        <v>3.5006000000000002E-4</v>
      </c>
      <c r="O134" s="83">
        <v>1.1323500000000001E-3</v>
      </c>
      <c r="P134" s="83">
        <v>1.24499E-2</v>
      </c>
      <c r="Q134" s="83">
        <v>2.7711199999999999E-4</v>
      </c>
      <c r="R134" s="83">
        <v>1.1301600000000001E-3</v>
      </c>
      <c r="S134" s="83">
        <v>1.24499E-2</v>
      </c>
      <c r="T134" s="83">
        <v>5.1387500000000001E-4</v>
      </c>
      <c r="U134" s="83">
        <v>1.1336199999999999E-3</v>
      </c>
      <c r="V134" s="83">
        <v>1.24499E-2</v>
      </c>
      <c r="W134" s="83">
        <v>5.0812700000000004E-4</v>
      </c>
      <c r="X134" s="83">
        <v>1.16456E-3</v>
      </c>
      <c r="Y134" s="83">
        <v>1.24499E-2</v>
      </c>
      <c r="Z134" s="83">
        <v>2.1474100000000001E-4</v>
      </c>
      <c r="AA134" s="83">
        <v>1.1061700000000001E-3</v>
      </c>
      <c r="AB134" s="83">
        <v>1.24499E-2</v>
      </c>
      <c r="AC134" s="83">
        <v>4.4976199999999998E-4</v>
      </c>
      <c r="AD134" s="83">
        <v>1.13864E-3</v>
      </c>
      <c r="AE134" s="83">
        <v>1.24499E-2</v>
      </c>
      <c r="AF134" s="83">
        <v>9.4261799999999999E-4</v>
      </c>
      <c r="AG134" s="83">
        <v>1.18169E-3</v>
      </c>
      <c r="AH134" s="83">
        <v>1.24499E-2</v>
      </c>
      <c r="AI134" s="83">
        <v>3.35275E-5</v>
      </c>
      <c r="AJ134" s="83">
        <v>1.15883E-3</v>
      </c>
      <c r="AK134" s="83">
        <v>1.24499E-2</v>
      </c>
      <c r="AL134" s="83">
        <v>7.9503899999999999E-4</v>
      </c>
      <c r="AM134" s="83">
        <v>1.17786E-3</v>
      </c>
      <c r="AN134" s="83">
        <v>1.24499E-2</v>
      </c>
      <c r="AO134" s="83">
        <v>1.81817E-4</v>
      </c>
      <c r="AP134" s="83">
        <v>1.10457E-3</v>
      </c>
      <c r="AQ134" s="83">
        <v>1.24499E-2</v>
      </c>
      <c r="AR134" s="83">
        <v>3.91216E-4</v>
      </c>
      <c r="AS134" s="83">
        <v>1.1670700000000001E-3</v>
      </c>
      <c r="AT134" s="83">
        <v>1.24499E-2</v>
      </c>
      <c r="AU134" s="83">
        <v>4.2526900000000001E-6</v>
      </c>
      <c r="AV134" s="83">
        <v>1.1742300000000001E-3</v>
      </c>
      <c r="AW134" s="83">
        <v>1.24499E-2</v>
      </c>
      <c r="AX134" s="83">
        <v>2.92713E-4</v>
      </c>
      <c r="AY134" s="83">
        <v>1.19563E-3</v>
      </c>
      <c r="AZ134" s="83">
        <v>1.24499E-2</v>
      </c>
      <c r="BA134" s="83">
        <v>2.8617399999999999E-4</v>
      </c>
      <c r="BB134" s="83">
        <v>1.1608899999999999E-3</v>
      </c>
      <c r="BC134" s="83">
        <v>1.24499E-2</v>
      </c>
      <c r="BD134" s="83">
        <v>8.5839900000000003E-4</v>
      </c>
      <c r="BE134" s="83">
        <v>1.15123E-3</v>
      </c>
      <c r="BF134" s="83">
        <v>1.24499E-2</v>
      </c>
      <c r="BG134" s="83">
        <v>4.9279800000000002E-4</v>
      </c>
      <c r="BH134" s="83">
        <v>1.1701299999999999E-3</v>
      </c>
      <c r="BI134" s="83">
        <v>1.24499E-2</v>
      </c>
      <c r="BJ134" s="83">
        <v>4.1341099999999998E-4</v>
      </c>
      <c r="BK134" s="83">
        <v>1.15573E-3</v>
      </c>
      <c r="BL134" s="83">
        <v>1.24499E-2</v>
      </c>
      <c r="BM134" s="83">
        <v>7.3119799999999996E-4</v>
      </c>
      <c r="BN134" s="83">
        <v>1.1282099999999999E-3</v>
      </c>
      <c r="BO134" s="83">
        <v>1.24499E-2</v>
      </c>
      <c r="BP134" s="83">
        <v>5.7013699999999997E-4</v>
      </c>
      <c r="BQ134" s="83">
        <v>1.1718200000000001E-3</v>
      </c>
      <c r="BR134" s="83">
        <v>1.24499E-2</v>
      </c>
      <c r="BS134" s="83">
        <v>3.71949E-4</v>
      </c>
      <c r="BT134" s="83">
        <v>1.17768E-3</v>
      </c>
      <c r="BU134" s="83">
        <v>1.24499E-2</v>
      </c>
      <c r="BV134" s="83">
        <v>6.4411000000000004E-4</v>
      </c>
      <c r="BW134" s="83">
        <v>1.13838E-3</v>
      </c>
      <c r="BX134" s="83">
        <v>1.24499E-2</v>
      </c>
      <c r="BY134" s="83">
        <v>4.8401899999999997E-4</v>
      </c>
      <c r="BZ134" s="83">
        <v>1.1851400000000001E-3</v>
      </c>
      <c r="CA134" s="83">
        <v>1.24499E-2</v>
      </c>
      <c r="CB134" s="83">
        <v>9.5891200000000002E-4</v>
      </c>
      <c r="CC134" s="83">
        <v>1.1379999999999999E-3</v>
      </c>
      <c r="CD134" s="83">
        <v>1.24499E-2</v>
      </c>
      <c r="CE134" s="83">
        <v>5.8971000000000002E-4</v>
      </c>
      <c r="CF134" s="83">
        <v>1.13167E-3</v>
      </c>
      <c r="CG134" s="83">
        <v>1.24499E-2</v>
      </c>
      <c r="CH134" s="83">
        <v>4.9026699999999996E-4</v>
      </c>
      <c r="CI134" s="83">
        <v>1.1664399999999999E-3</v>
      </c>
      <c r="CJ134" s="83">
        <v>1.24499E-2</v>
      </c>
      <c r="CK134" s="83">
        <v>7.2583599999999999E-4</v>
      </c>
      <c r="CL134" s="83">
        <v>1.13474E-3</v>
      </c>
      <c r="CM134" s="83">
        <v>1.24499E-2</v>
      </c>
      <c r="CN134" s="83">
        <v>2.8649799999999999E-4</v>
      </c>
      <c r="CO134" s="83">
        <v>1.12912E-3</v>
      </c>
      <c r="CP134" s="83">
        <v>1.24499E-2</v>
      </c>
      <c r="CQ134" s="83">
        <v>2.4346599999999999E-4</v>
      </c>
      <c r="CR134" s="83">
        <v>1.13926E-3</v>
      </c>
      <c r="CS134" s="83">
        <v>1.24499E-2</v>
      </c>
      <c r="CT134" s="83">
        <v>4.7283999999999998E-4</v>
      </c>
      <c r="CU134" s="83">
        <v>1.147E-3</v>
      </c>
      <c r="CV134" s="83">
        <v>1.24499E-2</v>
      </c>
      <c r="CW134" s="83">
        <v>1.8890399999999999E-4</v>
      </c>
      <c r="CX134" s="83">
        <v>1.1475599999999999E-3</v>
      </c>
      <c r="CY134" s="83">
        <v>1.24499E-2</v>
      </c>
      <c r="CZ134" s="83">
        <v>7.0964800000000001E-4</v>
      </c>
      <c r="DA134" s="83">
        <v>1.12867E-3</v>
      </c>
    </row>
    <row r="135" spans="1:105" x14ac:dyDescent="0.2">
      <c r="A135" s="83" t="s">
        <v>57</v>
      </c>
      <c r="B135" s="83" t="s">
        <v>131</v>
      </c>
      <c r="D135" s="83" t="s">
        <v>57</v>
      </c>
      <c r="E135" s="83" t="s">
        <v>131</v>
      </c>
      <c r="G135" s="83" t="s">
        <v>57</v>
      </c>
      <c r="H135" s="83" t="s">
        <v>131</v>
      </c>
      <c r="J135" s="83" t="s">
        <v>57</v>
      </c>
      <c r="K135" s="83" t="s">
        <v>131</v>
      </c>
      <c r="M135" s="83" t="s">
        <v>57</v>
      </c>
      <c r="N135" s="83" t="s">
        <v>131</v>
      </c>
      <c r="P135" s="83" t="s">
        <v>57</v>
      </c>
      <c r="Q135" s="83" t="s">
        <v>131</v>
      </c>
      <c r="S135" s="83" t="s">
        <v>57</v>
      </c>
      <c r="T135" s="83" t="s">
        <v>131</v>
      </c>
      <c r="V135" s="83" t="s">
        <v>57</v>
      </c>
      <c r="W135" s="83" t="s">
        <v>131</v>
      </c>
      <c r="Y135" s="83" t="s">
        <v>57</v>
      </c>
      <c r="Z135" s="83" t="s">
        <v>131</v>
      </c>
      <c r="AB135" s="83" t="s">
        <v>57</v>
      </c>
      <c r="AC135" s="83" t="s">
        <v>131</v>
      </c>
      <c r="AE135" s="83" t="s">
        <v>57</v>
      </c>
      <c r="AF135" s="83" t="s">
        <v>131</v>
      </c>
      <c r="AH135" s="83" t="s">
        <v>57</v>
      </c>
      <c r="AI135" s="83" t="s">
        <v>131</v>
      </c>
      <c r="AK135" s="83" t="s">
        <v>57</v>
      </c>
      <c r="AL135" s="83" t="s">
        <v>131</v>
      </c>
      <c r="AN135" s="83" t="s">
        <v>57</v>
      </c>
      <c r="AO135" s="83" t="s">
        <v>131</v>
      </c>
      <c r="AQ135" s="83" t="s">
        <v>57</v>
      </c>
      <c r="AR135" s="83" t="s">
        <v>131</v>
      </c>
      <c r="AT135" s="83" t="s">
        <v>57</v>
      </c>
      <c r="AU135" s="83" t="s">
        <v>131</v>
      </c>
      <c r="AW135" s="83" t="s">
        <v>57</v>
      </c>
      <c r="AX135" s="83" t="s">
        <v>131</v>
      </c>
      <c r="AZ135" s="83" t="s">
        <v>57</v>
      </c>
      <c r="BA135" s="83" t="s">
        <v>131</v>
      </c>
      <c r="BC135" s="83" t="s">
        <v>57</v>
      </c>
      <c r="BD135" s="83" t="s">
        <v>131</v>
      </c>
      <c r="BF135" s="83" t="s">
        <v>57</v>
      </c>
      <c r="BG135" s="83" t="s">
        <v>131</v>
      </c>
      <c r="BI135" s="83" t="s">
        <v>57</v>
      </c>
      <c r="BJ135" s="83" t="s">
        <v>131</v>
      </c>
      <c r="BL135" s="83" t="s">
        <v>57</v>
      </c>
      <c r="BM135" s="83" t="s">
        <v>131</v>
      </c>
      <c r="BO135" s="83" t="s">
        <v>57</v>
      </c>
      <c r="BP135" s="83" t="s">
        <v>131</v>
      </c>
      <c r="BR135" s="83" t="s">
        <v>57</v>
      </c>
      <c r="BS135" s="83" t="s">
        <v>131</v>
      </c>
      <c r="BU135" s="83" t="s">
        <v>57</v>
      </c>
      <c r="BV135" s="83" t="s">
        <v>131</v>
      </c>
      <c r="BX135" s="83" t="s">
        <v>57</v>
      </c>
      <c r="BY135" s="83" t="s">
        <v>131</v>
      </c>
      <c r="CA135" s="83" t="s">
        <v>57</v>
      </c>
      <c r="CB135" s="83" t="s">
        <v>131</v>
      </c>
      <c r="CD135" s="83" t="s">
        <v>57</v>
      </c>
      <c r="CE135" s="83" t="s">
        <v>131</v>
      </c>
      <c r="CG135" s="83" t="s">
        <v>57</v>
      </c>
      <c r="CH135" s="83" t="s">
        <v>131</v>
      </c>
      <c r="CJ135" s="83" t="s">
        <v>57</v>
      </c>
      <c r="CK135" s="83" t="s">
        <v>131</v>
      </c>
      <c r="CM135" s="83" t="s">
        <v>57</v>
      </c>
      <c r="CN135" s="83" t="s">
        <v>131</v>
      </c>
      <c r="CP135" s="83" t="s">
        <v>57</v>
      </c>
      <c r="CQ135" s="83" t="s">
        <v>131</v>
      </c>
      <c r="CS135" s="83" t="s">
        <v>57</v>
      </c>
      <c r="CT135" s="83" t="s">
        <v>131</v>
      </c>
      <c r="CV135" s="83" t="s">
        <v>57</v>
      </c>
      <c r="CW135" s="83" t="s">
        <v>131</v>
      </c>
      <c r="CY135" s="83" t="s">
        <v>57</v>
      </c>
      <c r="CZ135" s="83" t="s">
        <v>131</v>
      </c>
    </row>
    <row r="137" spans="1:105" x14ac:dyDescent="0.2">
      <c r="A137" s="83" t="s">
        <v>80</v>
      </c>
      <c r="B137" s="83" t="s">
        <v>132</v>
      </c>
      <c r="D137" s="83" t="s">
        <v>80</v>
      </c>
      <c r="E137" s="83" t="s">
        <v>132</v>
      </c>
      <c r="G137" s="83" t="s">
        <v>80</v>
      </c>
      <c r="H137" s="83" t="s">
        <v>132</v>
      </c>
      <c r="J137" s="83" t="s">
        <v>80</v>
      </c>
      <c r="K137" s="83" t="s">
        <v>132</v>
      </c>
      <c r="M137" s="83" t="s">
        <v>80</v>
      </c>
      <c r="N137" s="83" t="s">
        <v>132</v>
      </c>
      <c r="P137" s="83" t="s">
        <v>80</v>
      </c>
      <c r="Q137" s="83" t="s">
        <v>132</v>
      </c>
      <c r="S137" s="83" t="s">
        <v>80</v>
      </c>
      <c r="T137" s="83" t="s">
        <v>132</v>
      </c>
      <c r="V137" s="83" t="s">
        <v>80</v>
      </c>
      <c r="W137" s="83" t="s">
        <v>132</v>
      </c>
      <c r="Y137" s="83" t="s">
        <v>80</v>
      </c>
      <c r="Z137" s="83" t="s">
        <v>132</v>
      </c>
      <c r="AB137" s="83" t="s">
        <v>80</v>
      </c>
      <c r="AC137" s="83" t="s">
        <v>132</v>
      </c>
      <c r="AE137" s="83" t="s">
        <v>80</v>
      </c>
      <c r="AF137" s="83" t="s">
        <v>132</v>
      </c>
      <c r="AH137" s="83" t="s">
        <v>80</v>
      </c>
      <c r="AI137" s="83" t="s">
        <v>132</v>
      </c>
      <c r="AK137" s="83" t="s">
        <v>80</v>
      </c>
      <c r="AL137" s="83" t="s">
        <v>132</v>
      </c>
      <c r="AN137" s="83" t="s">
        <v>80</v>
      </c>
      <c r="AO137" s="83" t="s">
        <v>132</v>
      </c>
      <c r="AQ137" s="83" t="s">
        <v>80</v>
      </c>
      <c r="AR137" s="83" t="s">
        <v>132</v>
      </c>
      <c r="AT137" s="83" t="s">
        <v>80</v>
      </c>
      <c r="AU137" s="83" t="s">
        <v>132</v>
      </c>
      <c r="AW137" s="83" t="s">
        <v>80</v>
      </c>
      <c r="AX137" s="83" t="s">
        <v>132</v>
      </c>
      <c r="AZ137" s="83" t="s">
        <v>80</v>
      </c>
      <c r="BA137" s="83" t="s">
        <v>132</v>
      </c>
      <c r="BC137" s="83" t="s">
        <v>80</v>
      </c>
      <c r="BD137" s="83" t="s">
        <v>132</v>
      </c>
      <c r="BF137" s="83" t="s">
        <v>80</v>
      </c>
      <c r="BG137" s="83" t="s">
        <v>132</v>
      </c>
      <c r="BI137" s="83" t="s">
        <v>80</v>
      </c>
      <c r="BJ137" s="83" t="s">
        <v>132</v>
      </c>
      <c r="BL137" s="83" t="s">
        <v>80</v>
      </c>
      <c r="BM137" s="83" t="s">
        <v>132</v>
      </c>
      <c r="BO137" s="83" t="s">
        <v>80</v>
      </c>
      <c r="BP137" s="83" t="s">
        <v>132</v>
      </c>
      <c r="BR137" s="83" t="s">
        <v>80</v>
      </c>
      <c r="BS137" s="83" t="s">
        <v>132</v>
      </c>
      <c r="BU137" s="83" t="s">
        <v>80</v>
      </c>
      <c r="BV137" s="83" t="s">
        <v>132</v>
      </c>
      <c r="BX137" s="83" t="s">
        <v>80</v>
      </c>
      <c r="BY137" s="83" t="s">
        <v>132</v>
      </c>
      <c r="CA137" s="83" t="s">
        <v>80</v>
      </c>
      <c r="CB137" s="83" t="s">
        <v>132</v>
      </c>
      <c r="CD137" s="83" t="s">
        <v>80</v>
      </c>
      <c r="CE137" s="83" t="s">
        <v>132</v>
      </c>
      <c r="CG137" s="83" t="s">
        <v>80</v>
      </c>
      <c r="CH137" s="83" t="s">
        <v>132</v>
      </c>
      <c r="CJ137" s="83" t="s">
        <v>80</v>
      </c>
      <c r="CK137" s="83" t="s">
        <v>132</v>
      </c>
      <c r="CM137" s="83" t="s">
        <v>80</v>
      </c>
      <c r="CN137" s="83" t="s">
        <v>132</v>
      </c>
      <c r="CP137" s="83" t="s">
        <v>80</v>
      </c>
      <c r="CQ137" s="83" t="s">
        <v>132</v>
      </c>
      <c r="CS137" s="83" t="s">
        <v>80</v>
      </c>
      <c r="CT137" s="83" t="s">
        <v>132</v>
      </c>
      <c r="CV137" s="83" t="s">
        <v>80</v>
      </c>
      <c r="CW137" s="83" t="s">
        <v>132</v>
      </c>
      <c r="CY137" s="83" t="s">
        <v>80</v>
      </c>
      <c r="CZ137" s="83" t="s">
        <v>132</v>
      </c>
    </row>
    <row r="139" spans="1:105" x14ac:dyDescent="0.2">
      <c r="A139" s="83" t="s">
        <v>69</v>
      </c>
      <c r="B139" s="83">
        <v>5</v>
      </c>
      <c r="D139" s="83" t="s">
        <v>69</v>
      </c>
      <c r="E139" s="83">
        <v>5</v>
      </c>
      <c r="G139" s="83" t="s">
        <v>69</v>
      </c>
      <c r="H139" s="83">
        <v>5</v>
      </c>
      <c r="J139" s="83" t="s">
        <v>69</v>
      </c>
      <c r="K139" s="83">
        <v>5</v>
      </c>
      <c r="M139" s="83" t="s">
        <v>69</v>
      </c>
      <c r="N139" s="83">
        <v>5</v>
      </c>
      <c r="P139" s="83" t="s">
        <v>69</v>
      </c>
      <c r="Q139" s="83">
        <v>5</v>
      </c>
      <c r="S139" s="83" t="s">
        <v>69</v>
      </c>
      <c r="T139" s="83">
        <v>5</v>
      </c>
      <c r="V139" s="83" t="s">
        <v>69</v>
      </c>
      <c r="W139" s="83">
        <v>5</v>
      </c>
      <c r="Y139" s="83" t="s">
        <v>69</v>
      </c>
      <c r="Z139" s="83">
        <v>5</v>
      </c>
      <c r="AB139" s="83" t="s">
        <v>69</v>
      </c>
      <c r="AC139" s="83">
        <v>5</v>
      </c>
      <c r="AE139" s="83" t="s">
        <v>69</v>
      </c>
      <c r="AF139" s="83">
        <v>5</v>
      </c>
      <c r="AH139" s="83" t="s">
        <v>69</v>
      </c>
      <c r="AI139" s="83">
        <v>5</v>
      </c>
      <c r="AK139" s="83" t="s">
        <v>69</v>
      </c>
      <c r="AL139" s="83">
        <v>5</v>
      </c>
      <c r="AN139" s="83" t="s">
        <v>69</v>
      </c>
      <c r="AO139" s="83">
        <v>5</v>
      </c>
      <c r="AQ139" s="83" t="s">
        <v>69</v>
      </c>
      <c r="AR139" s="83">
        <v>5</v>
      </c>
      <c r="AT139" s="83" t="s">
        <v>69</v>
      </c>
      <c r="AU139" s="83">
        <v>5</v>
      </c>
      <c r="AW139" s="83" t="s">
        <v>69</v>
      </c>
      <c r="AX139" s="83">
        <v>5</v>
      </c>
      <c r="AZ139" s="83" t="s">
        <v>69</v>
      </c>
      <c r="BA139" s="83">
        <v>5</v>
      </c>
      <c r="BC139" s="83" t="s">
        <v>69</v>
      </c>
      <c r="BD139" s="83">
        <v>5</v>
      </c>
      <c r="BF139" s="83" t="s">
        <v>69</v>
      </c>
      <c r="BG139" s="83">
        <v>5</v>
      </c>
      <c r="BI139" s="83" t="s">
        <v>69</v>
      </c>
      <c r="BJ139" s="83">
        <v>5</v>
      </c>
      <c r="BL139" s="83" t="s">
        <v>69</v>
      </c>
      <c r="BM139" s="83">
        <v>5</v>
      </c>
      <c r="BO139" s="83" t="s">
        <v>69</v>
      </c>
      <c r="BP139" s="83">
        <v>5</v>
      </c>
      <c r="BR139" s="83" t="s">
        <v>69</v>
      </c>
      <c r="BS139" s="83">
        <v>5</v>
      </c>
      <c r="BU139" s="83" t="s">
        <v>69</v>
      </c>
      <c r="BV139" s="83">
        <v>5</v>
      </c>
      <c r="BX139" s="83" t="s">
        <v>69</v>
      </c>
      <c r="BY139" s="83">
        <v>5</v>
      </c>
      <c r="CA139" s="83" t="s">
        <v>69</v>
      </c>
      <c r="CB139" s="83">
        <v>5</v>
      </c>
      <c r="CD139" s="83" t="s">
        <v>69</v>
      </c>
      <c r="CE139" s="83">
        <v>5</v>
      </c>
      <c r="CG139" s="83" t="s">
        <v>69</v>
      </c>
      <c r="CH139" s="83">
        <v>5</v>
      </c>
      <c r="CJ139" s="83" t="s">
        <v>69</v>
      </c>
      <c r="CK139" s="83">
        <v>5</v>
      </c>
      <c r="CM139" s="83" t="s">
        <v>69</v>
      </c>
      <c r="CN139" s="83">
        <v>5</v>
      </c>
      <c r="CP139" s="83" t="s">
        <v>69</v>
      </c>
      <c r="CQ139" s="83">
        <v>5</v>
      </c>
      <c r="CS139" s="83" t="s">
        <v>69</v>
      </c>
      <c r="CT139" s="83">
        <v>5</v>
      </c>
      <c r="CV139" s="83" t="s">
        <v>69</v>
      </c>
      <c r="CW139" s="83">
        <v>5</v>
      </c>
      <c r="CY139" s="83" t="s">
        <v>69</v>
      </c>
      <c r="CZ139" s="83">
        <v>5</v>
      </c>
    </row>
    <row r="141" spans="1:105" x14ac:dyDescent="0.2">
      <c r="A141" s="83" t="s">
        <v>68</v>
      </c>
      <c r="B141" s="83">
        <v>5</v>
      </c>
      <c r="D141" s="83" t="s">
        <v>68</v>
      </c>
      <c r="E141" s="83">
        <v>5</v>
      </c>
      <c r="G141" s="83" t="s">
        <v>68</v>
      </c>
      <c r="H141" s="83">
        <v>5</v>
      </c>
      <c r="J141" s="83" t="s">
        <v>68</v>
      </c>
      <c r="K141" s="83">
        <v>5</v>
      </c>
      <c r="M141" s="83" t="s">
        <v>68</v>
      </c>
      <c r="N141" s="83">
        <v>5</v>
      </c>
      <c r="P141" s="83" t="s">
        <v>68</v>
      </c>
      <c r="Q141" s="83">
        <v>5</v>
      </c>
      <c r="S141" s="83" t="s">
        <v>68</v>
      </c>
      <c r="T141" s="83">
        <v>5</v>
      </c>
      <c r="V141" s="83" t="s">
        <v>68</v>
      </c>
      <c r="W141" s="83">
        <v>5</v>
      </c>
      <c r="Y141" s="83" t="s">
        <v>68</v>
      </c>
      <c r="Z141" s="83">
        <v>5</v>
      </c>
      <c r="AB141" s="83" t="s">
        <v>68</v>
      </c>
      <c r="AC141" s="83">
        <v>5</v>
      </c>
      <c r="AE141" s="83" t="s">
        <v>68</v>
      </c>
      <c r="AF141" s="83">
        <v>5</v>
      </c>
      <c r="AH141" s="83" t="s">
        <v>68</v>
      </c>
      <c r="AI141" s="83">
        <v>5</v>
      </c>
      <c r="AK141" s="83" t="s">
        <v>68</v>
      </c>
      <c r="AL141" s="83">
        <v>5</v>
      </c>
      <c r="AN141" s="83" t="s">
        <v>68</v>
      </c>
      <c r="AO141" s="83">
        <v>5</v>
      </c>
      <c r="AQ141" s="83" t="s">
        <v>68</v>
      </c>
      <c r="AR141" s="83">
        <v>5</v>
      </c>
      <c r="AT141" s="83" t="s">
        <v>68</v>
      </c>
      <c r="AU141" s="83">
        <v>5</v>
      </c>
      <c r="AW141" s="83" t="s">
        <v>68</v>
      </c>
      <c r="AX141" s="83">
        <v>5</v>
      </c>
      <c r="AZ141" s="83" t="s">
        <v>68</v>
      </c>
      <c r="BA141" s="83">
        <v>5</v>
      </c>
      <c r="BC141" s="83" t="s">
        <v>68</v>
      </c>
      <c r="BD141" s="83">
        <v>5</v>
      </c>
      <c r="BF141" s="83" t="s">
        <v>68</v>
      </c>
      <c r="BG141" s="83">
        <v>5</v>
      </c>
      <c r="BI141" s="83" t="s">
        <v>68</v>
      </c>
      <c r="BJ141" s="83">
        <v>5</v>
      </c>
      <c r="BL141" s="83" t="s">
        <v>68</v>
      </c>
      <c r="BM141" s="83">
        <v>5</v>
      </c>
      <c r="BO141" s="83" t="s">
        <v>68</v>
      </c>
      <c r="BP141" s="83">
        <v>5</v>
      </c>
      <c r="BR141" s="83" t="s">
        <v>68</v>
      </c>
      <c r="BS141" s="83">
        <v>5</v>
      </c>
      <c r="BU141" s="83" t="s">
        <v>68</v>
      </c>
      <c r="BV141" s="83">
        <v>5</v>
      </c>
      <c r="BX141" s="83" t="s">
        <v>68</v>
      </c>
      <c r="BY141" s="83">
        <v>5</v>
      </c>
      <c r="CA141" s="83" t="s">
        <v>68</v>
      </c>
      <c r="CB141" s="83">
        <v>5</v>
      </c>
      <c r="CD141" s="83" t="s">
        <v>68</v>
      </c>
      <c r="CE141" s="83">
        <v>5</v>
      </c>
      <c r="CG141" s="83" t="s">
        <v>68</v>
      </c>
      <c r="CH141" s="83">
        <v>5</v>
      </c>
      <c r="CJ141" s="83" t="s">
        <v>68</v>
      </c>
      <c r="CK141" s="83">
        <v>5</v>
      </c>
      <c r="CM141" s="83" t="s">
        <v>68</v>
      </c>
      <c r="CN141" s="83">
        <v>5</v>
      </c>
      <c r="CP141" s="83" t="s">
        <v>68</v>
      </c>
      <c r="CQ141" s="83">
        <v>5</v>
      </c>
      <c r="CS141" s="83" t="s">
        <v>68</v>
      </c>
      <c r="CT141" s="83">
        <v>5</v>
      </c>
      <c r="CV141" s="83" t="s">
        <v>68</v>
      </c>
      <c r="CW141" s="83">
        <v>5</v>
      </c>
      <c r="CY141" s="83" t="s">
        <v>68</v>
      </c>
      <c r="CZ141" s="83">
        <v>5</v>
      </c>
    </row>
    <row r="143" spans="1:105" x14ac:dyDescent="0.2">
      <c r="A143" s="83" t="s">
        <v>67</v>
      </c>
      <c r="B143" s="83">
        <v>10</v>
      </c>
      <c r="D143" s="83" t="s">
        <v>67</v>
      </c>
      <c r="E143" s="83">
        <v>10</v>
      </c>
      <c r="G143" s="83" t="s">
        <v>67</v>
      </c>
      <c r="H143" s="83">
        <v>10</v>
      </c>
      <c r="J143" s="83" t="s">
        <v>67</v>
      </c>
      <c r="K143" s="83">
        <v>10</v>
      </c>
      <c r="M143" s="83" t="s">
        <v>67</v>
      </c>
      <c r="N143" s="83">
        <v>10</v>
      </c>
      <c r="P143" s="83" t="s">
        <v>67</v>
      </c>
      <c r="Q143" s="83">
        <v>10</v>
      </c>
      <c r="S143" s="83" t="s">
        <v>67</v>
      </c>
      <c r="T143" s="83">
        <v>10</v>
      </c>
      <c r="V143" s="83" t="s">
        <v>67</v>
      </c>
      <c r="W143" s="83">
        <v>10</v>
      </c>
      <c r="Y143" s="83" t="s">
        <v>67</v>
      </c>
      <c r="Z143" s="83">
        <v>10</v>
      </c>
      <c r="AB143" s="83" t="s">
        <v>67</v>
      </c>
      <c r="AC143" s="83">
        <v>10</v>
      </c>
      <c r="AE143" s="83" t="s">
        <v>67</v>
      </c>
      <c r="AF143" s="83">
        <v>10</v>
      </c>
      <c r="AH143" s="83" t="s">
        <v>67</v>
      </c>
      <c r="AI143" s="83">
        <v>10</v>
      </c>
      <c r="AK143" s="83" t="s">
        <v>67</v>
      </c>
      <c r="AL143" s="83">
        <v>10</v>
      </c>
      <c r="AN143" s="83" t="s">
        <v>67</v>
      </c>
      <c r="AO143" s="83">
        <v>10</v>
      </c>
      <c r="AQ143" s="83" t="s">
        <v>67</v>
      </c>
      <c r="AR143" s="83">
        <v>10</v>
      </c>
      <c r="AT143" s="83" t="s">
        <v>67</v>
      </c>
      <c r="AU143" s="83">
        <v>10</v>
      </c>
      <c r="AW143" s="83" t="s">
        <v>67</v>
      </c>
      <c r="AX143" s="83">
        <v>10</v>
      </c>
      <c r="AZ143" s="83" t="s">
        <v>67</v>
      </c>
      <c r="BA143" s="83">
        <v>10</v>
      </c>
      <c r="BC143" s="83" t="s">
        <v>67</v>
      </c>
      <c r="BD143" s="83">
        <v>10</v>
      </c>
      <c r="BF143" s="83" t="s">
        <v>67</v>
      </c>
      <c r="BG143" s="83">
        <v>10</v>
      </c>
      <c r="BI143" s="83" t="s">
        <v>67</v>
      </c>
      <c r="BJ143" s="83">
        <v>10</v>
      </c>
      <c r="BL143" s="83" t="s">
        <v>67</v>
      </c>
      <c r="BM143" s="83">
        <v>10</v>
      </c>
      <c r="BO143" s="83" t="s">
        <v>67</v>
      </c>
      <c r="BP143" s="83">
        <v>10</v>
      </c>
      <c r="BR143" s="83" t="s">
        <v>67</v>
      </c>
      <c r="BS143" s="83">
        <v>10</v>
      </c>
      <c r="BU143" s="83" t="s">
        <v>67</v>
      </c>
      <c r="BV143" s="83">
        <v>10</v>
      </c>
      <c r="BX143" s="83" t="s">
        <v>67</v>
      </c>
      <c r="BY143" s="83">
        <v>10</v>
      </c>
      <c r="CA143" s="83" t="s">
        <v>67</v>
      </c>
      <c r="CB143" s="83">
        <v>10</v>
      </c>
      <c r="CD143" s="83" t="s">
        <v>67</v>
      </c>
      <c r="CE143" s="83">
        <v>10</v>
      </c>
      <c r="CG143" s="83" t="s">
        <v>67</v>
      </c>
      <c r="CH143" s="83">
        <v>10</v>
      </c>
      <c r="CJ143" s="83" t="s">
        <v>67</v>
      </c>
      <c r="CK143" s="83">
        <v>10</v>
      </c>
      <c r="CM143" s="83" t="s">
        <v>67</v>
      </c>
      <c r="CN143" s="83">
        <v>10</v>
      </c>
      <c r="CP143" s="83" t="s">
        <v>67</v>
      </c>
      <c r="CQ143" s="83">
        <v>10</v>
      </c>
      <c r="CS143" s="83" t="s">
        <v>67</v>
      </c>
      <c r="CT143" s="83">
        <v>10</v>
      </c>
      <c r="CV143" s="83" t="s">
        <v>67</v>
      </c>
      <c r="CW143" s="83">
        <v>10</v>
      </c>
      <c r="CY143" s="83" t="s">
        <v>67</v>
      </c>
      <c r="CZ143" s="83">
        <v>10</v>
      </c>
    </row>
    <row r="145" spans="1:104" x14ac:dyDescent="0.2">
      <c r="A145" s="83" t="s">
        <v>66</v>
      </c>
      <c r="B145" s="83">
        <v>20</v>
      </c>
      <c r="D145" s="83" t="s">
        <v>66</v>
      </c>
      <c r="E145" s="83">
        <v>20</v>
      </c>
      <c r="G145" s="83" t="s">
        <v>66</v>
      </c>
      <c r="H145" s="83">
        <v>20</v>
      </c>
      <c r="J145" s="83" t="s">
        <v>66</v>
      </c>
      <c r="K145" s="83">
        <v>20</v>
      </c>
      <c r="M145" s="83" t="s">
        <v>66</v>
      </c>
      <c r="N145" s="83">
        <v>20</v>
      </c>
      <c r="P145" s="83" t="s">
        <v>66</v>
      </c>
      <c r="Q145" s="83">
        <v>20</v>
      </c>
      <c r="S145" s="83" t="s">
        <v>66</v>
      </c>
      <c r="T145" s="83">
        <v>20</v>
      </c>
      <c r="V145" s="83" t="s">
        <v>66</v>
      </c>
      <c r="W145" s="83">
        <v>20</v>
      </c>
      <c r="Y145" s="83" t="s">
        <v>66</v>
      </c>
      <c r="Z145" s="83">
        <v>20</v>
      </c>
      <c r="AB145" s="83" t="s">
        <v>66</v>
      </c>
      <c r="AC145" s="83">
        <v>20</v>
      </c>
      <c r="AE145" s="83" t="s">
        <v>66</v>
      </c>
      <c r="AF145" s="83">
        <v>20</v>
      </c>
      <c r="AH145" s="83" t="s">
        <v>66</v>
      </c>
      <c r="AI145" s="83">
        <v>20</v>
      </c>
      <c r="AK145" s="83" t="s">
        <v>66</v>
      </c>
      <c r="AL145" s="83">
        <v>20</v>
      </c>
      <c r="AN145" s="83" t="s">
        <v>66</v>
      </c>
      <c r="AO145" s="83">
        <v>20</v>
      </c>
      <c r="AQ145" s="83" t="s">
        <v>66</v>
      </c>
      <c r="AR145" s="83">
        <v>20</v>
      </c>
      <c r="AT145" s="83" t="s">
        <v>66</v>
      </c>
      <c r="AU145" s="83">
        <v>20</v>
      </c>
      <c r="AW145" s="83" t="s">
        <v>66</v>
      </c>
      <c r="AX145" s="83">
        <v>20</v>
      </c>
      <c r="AZ145" s="83" t="s">
        <v>66</v>
      </c>
      <c r="BA145" s="83">
        <v>20</v>
      </c>
      <c r="BC145" s="83" t="s">
        <v>66</v>
      </c>
      <c r="BD145" s="83">
        <v>20</v>
      </c>
      <c r="BF145" s="83" t="s">
        <v>66</v>
      </c>
      <c r="BG145" s="83">
        <v>20</v>
      </c>
      <c r="BI145" s="83" t="s">
        <v>66</v>
      </c>
      <c r="BJ145" s="83">
        <v>20</v>
      </c>
      <c r="BL145" s="83" t="s">
        <v>66</v>
      </c>
      <c r="BM145" s="83">
        <v>20</v>
      </c>
      <c r="BO145" s="83" t="s">
        <v>66</v>
      </c>
      <c r="BP145" s="83">
        <v>20</v>
      </c>
      <c r="BR145" s="83" t="s">
        <v>66</v>
      </c>
      <c r="BS145" s="83">
        <v>20</v>
      </c>
      <c r="BU145" s="83" t="s">
        <v>66</v>
      </c>
      <c r="BV145" s="83">
        <v>20</v>
      </c>
      <c r="BX145" s="83" t="s">
        <v>66</v>
      </c>
      <c r="BY145" s="83">
        <v>20</v>
      </c>
      <c r="CA145" s="83" t="s">
        <v>66</v>
      </c>
      <c r="CB145" s="83">
        <v>20</v>
      </c>
      <c r="CD145" s="83" t="s">
        <v>66</v>
      </c>
      <c r="CE145" s="83">
        <v>20</v>
      </c>
      <c r="CG145" s="83" t="s">
        <v>66</v>
      </c>
      <c r="CH145" s="83">
        <v>20</v>
      </c>
      <c r="CJ145" s="83" t="s">
        <v>66</v>
      </c>
      <c r="CK145" s="83">
        <v>20</v>
      </c>
      <c r="CM145" s="83" t="s">
        <v>66</v>
      </c>
      <c r="CN145" s="83">
        <v>20</v>
      </c>
      <c r="CP145" s="83" t="s">
        <v>66</v>
      </c>
      <c r="CQ145" s="83">
        <v>20</v>
      </c>
      <c r="CS145" s="83" t="s">
        <v>66</v>
      </c>
      <c r="CT145" s="83">
        <v>20</v>
      </c>
      <c r="CV145" s="83" t="s">
        <v>66</v>
      </c>
      <c r="CW145" s="83">
        <v>20</v>
      </c>
      <c r="CY145" s="83" t="s">
        <v>66</v>
      </c>
      <c r="CZ145" s="83">
        <v>20</v>
      </c>
    </row>
    <row r="147" spans="1:104" x14ac:dyDescent="0.2">
      <c r="A147" s="83" t="s">
        <v>73</v>
      </c>
      <c r="B147" s="83">
        <v>1</v>
      </c>
      <c r="D147" s="83" t="s">
        <v>73</v>
      </c>
      <c r="E147" s="83">
        <v>1</v>
      </c>
      <c r="G147" s="83" t="s">
        <v>73</v>
      </c>
      <c r="H147" s="83">
        <v>1</v>
      </c>
      <c r="J147" s="83" t="s">
        <v>73</v>
      </c>
      <c r="K147" s="83">
        <v>1</v>
      </c>
      <c r="M147" s="83" t="s">
        <v>73</v>
      </c>
      <c r="N147" s="83">
        <v>1</v>
      </c>
      <c r="P147" s="83" t="s">
        <v>73</v>
      </c>
      <c r="Q147" s="83">
        <v>1</v>
      </c>
      <c r="S147" s="83" t="s">
        <v>73</v>
      </c>
      <c r="T147" s="83">
        <v>1</v>
      </c>
      <c r="V147" s="83" t="s">
        <v>73</v>
      </c>
      <c r="W147" s="83">
        <v>1</v>
      </c>
      <c r="Y147" s="83" t="s">
        <v>73</v>
      </c>
      <c r="Z147" s="83">
        <v>1</v>
      </c>
      <c r="AB147" s="83" t="s">
        <v>73</v>
      </c>
      <c r="AC147" s="83">
        <v>1</v>
      </c>
      <c r="AE147" s="83" t="s">
        <v>73</v>
      </c>
      <c r="AF147" s="83">
        <v>1</v>
      </c>
      <c r="AH147" s="83" t="s">
        <v>73</v>
      </c>
      <c r="AI147" s="83">
        <v>1</v>
      </c>
      <c r="AK147" s="83" t="s">
        <v>73</v>
      </c>
      <c r="AL147" s="83">
        <v>1</v>
      </c>
      <c r="AN147" s="83" t="s">
        <v>73</v>
      </c>
      <c r="AO147" s="83">
        <v>1</v>
      </c>
      <c r="AQ147" s="83" t="s">
        <v>73</v>
      </c>
      <c r="AR147" s="83">
        <v>1</v>
      </c>
      <c r="AT147" s="83" t="s">
        <v>73</v>
      </c>
      <c r="AU147" s="83">
        <v>1</v>
      </c>
      <c r="AW147" s="83" t="s">
        <v>73</v>
      </c>
      <c r="AX147" s="83">
        <v>1</v>
      </c>
      <c r="AZ147" s="83" t="s">
        <v>73</v>
      </c>
      <c r="BA147" s="83">
        <v>1</v>
      </c>
      <c r="BC147" s="83" t="s">
        <v>73</v>
      </c>
      <c r="BD147" s="83">
        <v>1</v>
      </c>
      <c r="BF147" s="83" t="s">
        <v>73</v>
      </c>
      <c r="BG147" s="83">
        <v>1</v>
      </c>
      <c r="BI147" s="83" t="s">
        <v>73</v>
      </c>
      <c r="BJ147" s="83">
        <v>1</v>
      </c>
      <c r="BL147" s="83" t="s">
        <v>73</v>
      </c>
      <c r="BM147" s="83">
        <v>1</v>
      </c>
      <c r="BO147" s="83" t="s">
        <v>73</v>
      </c>
      <c r="BP147" s="83">
        <v>1</v>
      </c>
      <c r="BR147" s="83" t="s">
        <v>73</v>
      </c>
      <c r="BS147" s="83">
        <v>1</v>
      </c>
      <c r="BU147" s="83" t="s">
        <v>73</v>
      </c>
      <c r="BV147" s="83">
        <v>1</v>
      </c>
      <c r="BX147" s="83" t="s">
        <v>73</v>
      </c>
      <c r="BY147" s="83">
        <v>1</v>
      </c>
      <c r="CA147" s="83" t="s">
        <v>73</v>
      </c>
      <c r="CB147" s="83">
        <v>1</v>
      </c>
      <c r="CD147" s="83" t="s">
        <v>73</v>
      </c>
      <c r="CE147" s="83">
        <v>1</v>
      </c>
      <c r="CG147" s="83" t="s">
        <v>73</v>
      </c>
      <c r="CH147" s="83">
        <v>1</v>
      </c>
      <c r="CJ147" s="83" t="s">
        <v>73</v>
      </c>
      <c r="CK147" s="83">
        <v>1</v>
      </c>
      <c r="CM147" s="83" t="s">
        <v>73</v>
      </c>
      <c r="CN147" s="83">
        <v>1</v>
      </c>
      <c r="CP147" s="83" t="s">
        <v>73</v>
      </c>
      <c r="CQ147" s="83">
        <v>1</v>
      </c>
      <c r="CS147" s="83" t="s">
        <v>73</v>
      </c>
      <c r="CT147" s="83">
        <v>1</v>
      </c>
      <c r="CV147" s="83" t="s">
        <v>73</v>
      </c>
      <c r="CW147" s="83">
        <v>1</v>
      </c>
      <c r="CY147" s="83" t="s">
        <v>73</v>
      </c>
      <c r="CZ147" s="83">
        <v>1</v>
      </c>
    </row>
    <row r="149" spans="1:104" x14ac:dyDescent="0.2">
      <c r="A149" s="83" t="s">
        <v>72</v>
      </c>
      <c r="B149" s="83">
        <v>1</v>
      </c>
      <c r="D149" s="83" t="s">
        <v>72</v>
      </c>
      <c r="E149" s="83">
        <v>1</v>
      </c>
      <c r="G149" s="83" t="s">
        <v>72</v>
      </c>
      <c r="H149" s="83">
        <v>1</v>
      </c>
      <c r="J149" s="83" t="s">
        <v>72</v>
      </c>
      <c r="K149" s="83">
        <v>1</v>
      </c>
      <c r="M149" s="83" t="s">
        <v>72</v>
      </c>
      <c r="N149" s="83">
        <v>1</v>
      </c>
      <c r="P149" s="83" t="s">
        <v>72</v>
      </c>
      <c r="Q149" s="83">
        <v>1</v>
      </c>
      <c r="S149" s="83" t="s">
        <v>72</v>
      </c>
      <c r="T149" s="83">
        <v>1</v>
      </c>
      <c r="V149" s="83" t="s">
        <v>72</v>
      </c>
      <c r="W149" s="83">
        <v>1</v>
      </c>
      <c r="Y149" s="83" t="s">
        <v>72</v>
      </c>
      <c r="Z149" s="83">
        <v>1</v>
      </c>
      <c r="AB149" s="83" t="s">
        <v>72</v>
      </c>
      <c r="AC149" s="83">
        <v>1</v>
      </c>
      <c r="AE149" s="83" t="s">
        <v>72</v>
      </c>
      <c r="AF149" s="83">
        <v>1</v>
      </c>
      <c r="AH149" s="83" t="s">
        <v>72</v>
      </c>
      <c r="AI149" s="83">
        <v>1</v>
      </c>
      <c r="AK149" s="83" t="s">
        <v>72</v>
      </c>
      <c r="AL149" s="83">
        <v>1</v>
      </c>
      <c r="AN149" s="83" t="s">
        <v>72</v>
      </c>
      <c r="AO149" s="83">
        <v>1</v>
      </c>
      <c r="AQ149" s="83" t="s">
        <v>72</v>
      </c>
      <c r="AR149" s="83">
        <v>1</v>
      </c>
      <c r="AT149" s="83" t="s">
        <v>72</v>
      </c>
      <c r="AU149" s="83">
        <v>1</v>
      </c>
      <c r="AW149" s="83" t="s">
        <v>72</v>
      </c>
      <c r="AX149" s="83">
        <v>1</v>
      </c>
      <c r="AZ149" s="83" t="s">
        <v>72</v>
      </c>
      <c r="BA149" s="83">
        <v>1</v>
      </c>
      <c r="BC149" s="83" t="s">
        <v>72</v>
      </c>
      <c r="BD149" s="83">
        <v>1</v>
      </c>
      <c r="BF149" s="83" t="s">
        <v>72</v>
      </c>
      <c r="BG149" s="83">
        <v>1</v>
      </c>
      <c r="BI149" s="83" t="s">
        <v>72</v>
      </c>
      <c r="BJ149" s="83">
        <v>1</v>
      </c>
      <c r="BL149" s="83" t="s">
        <v>72</v>
      </c>
      <c r="BM149" s="83">
        <v>1</v>
      </c>
      <c r="BO149" s="83" t="s">
        <v>72</v>
      </c>
      <c r="BP149" s="83">
        <v>1</v>
      </c>
      <c r="BR149" s="83" t="s">
        <v>72</v>
      </c>
      <c r="BS149" s="83">
        <v>1</v>
      </c>
      <c r="BU149" s="83" t="s">
        <v>72</v>
      </c>
      <c r="BV149" s="83">
        <v>1</v>
      </c>
      <c r="BX149" s="83" t="s">
        <v>72</v>
      </c>
      <c r="BY149" s="83">
        <v>1</v>
      </c>
      <c r="CA149" s="83" t="s">
        <v>72</v>
      </c>
      <c r="CB149" s="83">
        <v>1</v>
      </c>
      <c r="CD149" s="83" t="s">
        <v>72</v>
      </c>
      <c r="CE149" s="83">
        <v>1</v>
      </c>
      <c r="CG149" s="83" t="s">
        <v>72</v>
      </c>
      <c r="CH149" s="83">
        <v>1</v>
      </c>
      <c r="CJ149" s="83" t="s">
        <v>72</v>
      </c>
      <c r="CK149" s="83">
        <v>1</v>
      </c>
      <c r="CM149" s="83" t="s">
        <v>72</v>
      </c>
      <c r="CN149" s="83">
        <v>1</v>
      </c>
      <c r="CP149" s="83" t="s">
        <v>72</v>
      </c>
      <c r="CQ149" s="83">
        <v>1</v>
      </c>
      <c r="CS149" s="83" t="s">
        <v>72</v>
      </c>
      <c r="CT149" s="83">
        <v>1</v>
      </c>
      <c r="CV149" s="83" t="s">
        <v>72</v>
      </c>
      <c r="CW149" s="83">
        <v>1</v>
      </c>
      <c r="CY149" s="83" t="s">
        <v>72</v>
      </c>
      <c r="CZ149" s="83">
        <v>1</v>
      </c>
    </row>
    <row r="151" spans="1:104" x14ac:dyDescent="0.2">
      <c r="A151" s="83" t="s">
        <v>71</v>
      </c>
      <c r="B151" s="83">
        <v>0.67896800000000002</v>
      </c>
      <c r="D151" s="83" t="s">
        <v>71</v>
      </c>
      <c r="E151" s="83">
        <v>0.69746399999999997</v>
      </c>
      <c r="G151" s="83" t="s">
        <v>71</v>
      </c>
      <c r="H151" s="83">
        <v>0.70525700000000002</v>
      </c>
      <c r="J151" s="83" t="s">
        <v>71</v>
      </c>
      <c r="K151" s="83">
        <v>0.67668200000000001</v>
      </c>
      <c r="M151" s="83" t="s">
        <v>71</v>
      </c>
      <c r="N151" s="83">
        <v>0.67858799999999997</v>
      </c>
      <c r="P151" s="83" t="s">
        <v>71</v>
      </c>
      <c r="Q151" s="83">
        <v>0.67945100000000003</v>
      </c>
      <c r="S151" s="83" t="s">
        <v>71</v>
      </c>
      <c r="T151" s="83">
        <v>0.69650000000000001</v>
      </c>
      <c r="V151" s="83" t="s">
        <v>71</v>
      </c>
      <c r="W151" s="83">
        <v>0.70490299999999995</v>
      </c>
      <c r="Y151" s="83" t="s">
        <v>71</v>
      </c>
      <c r="Z151" s="83">
        <v>0.68022099999999996</v>
      </c>
      <c r="AB151" s="83" t="s">
        <v>71</v>
      </c>
      <c r="AC151" s="83">
        <v>0.69665100000000002</v>
      </c>
      <c r="AE151" s="83" t="s">
        <v>71</v>
      </c>
      <c r="AF151" s="83">
        <v>0.704982</v>
      </c>
      <c r="AH151" s="83" t="s">
        <v>71</v>
      </c>
      <c r="AI151" s="83">
        <v>0.70194199999999995</v>
      </c>
      <c r="AK151" s="83" t="s">
        <v>71</v>
      </c>
      <c r="AL151" s="83">
        <v>0.70706500000000005</v>
      </c>
      <c r="AN151" s="83" t="s">
        <v>71</v>
      </c>
      <c r="AO151" s="83">
        <v>0.68452199999999996</v>
      </c>
      <c r="AQ151" s="83" t="s">
        <v>71</v>
      </c>
      <c r="AR151" s="83">
        <v>0.70358100000000001</v>
      </c>
      <c r="AT151" s="83" t="s">
        <v>71</v>
      </c>
      <c r="AU151" s="83">
        <v>0.68801199999999996</v>
      </c>
      <c r="AW151" s="83" t="s">
        <v>71</v>
      </c>
      <c r="AX151" s="83">
        <v>0.71303499999999997</v>
      </c>
      <c r="AZ151" s="83" t="s">
        <v>71</v>
      </c>
      <c r="BA151" s="83">
        <v>0.70196999999999998</v>
      </c>
      <c r="BC151" s="83" t="s">
        <v>71</v>
      </c>
      <c r="BD151" s="83">
        <v>0.701071</v>
      </c>
      <c r="BF151" s="83" t="s">
        <v>71</v>
      </c>
      <c r="BG151" s="83">
        <v>0.69287600000000005</v>
      </c>
      <c r="BI151" s="83" t="s">
        <v>71</v>
      </c>
      <c r="BJ151" s="83">
        <v>0.69013599999999997</v>
      </c>
      <c r="BL151" s="83" t="s">
        <v>71</v>
      </c>
      <c r="BM151" s="83">
        <v>0.67709299999999994</v>
      </c>
      <c r="BO151" s="83" t="s">
        <v>71</v>
      </c>
      <c r="BP151" s="83">
        <v>0.66501200000000005</v>
      </c>
      <c r="BR151" s="83" t="s">
        <v>71</v>
      </c>
      <c r="BS151" s="83">
        <v>0.67227800000000004</v>
      </c>
      <c r="BU151" s="83" t="s">
        <v>71</v>
      </c>
      <c r="BV151" s="83">
        <v>0.63973199999999997</v>
      </c>
      <c r="BX151" s="83" t="s">
        <v>71</v>
      </c>
      <c r="BY151" s="83">
        <v>0.65966000000000002</v>
      </c>
      <c r="CA151" s="83" t="s">
        <v>71</v>
      </c>
      <c r="CB151" s="83">
        <v>0.639096</v>
      </c>
      <c r="CD151" s="83" t="s">
        <v>71</v>
      </c>
      <c r="CE151" s="83">
        <v>0.62768199999999996</v>
      </c>
      <c r="CG151" s="83" t="s">
        <v>71</v>
      </c>
      <c r="CH151" s="83">
        <v>0.632467</v>
      </c>
      <c r="CJ151" s="83" t="s">
        <v>71</v>
      </c>
      <c r="CK151" s="83">
        <v>0.63025500000000001</v>
      </c>
      <c r="CM151" s="83" t="s">
        <v>71</v>
      </c>
      <c r="CN151" s="83">
        <v>0.61874399999999996</v>
      </c>
      <c r="CP151" s="83" t="s">
        <v>71</v>
      </c>
      <c r="CQ151" s="83">
        <v>0.617255</v>
      </c>
      <c r="CS151" s="83" t="s">
        <v>71</v>
      </c>
      <c r="CT151" s="83">
        <v>0.63689099999999998</v>
      </c>
      <c r="CV151" s="83" t="s">
        <v>71</v>
      </c>
      <c r="CW151" s="83">
        <v>0.63010299999999997</v>
      </c>
      <c r="CY151" s="83" t="s">
        <v>71</v>
      </c>
      <c r="CZ151" s="83">
        <v>0.62606700000000004</v>
      </c>
    </row>
    <row r="153" spans="1:104" x14ac:dyDescent="0.2">
      <c r="A153" s="83" t="s">
        <v>70</v>
      </c>
      <c r="B153" s="83">
        <v>0.62418099999999999</v>
      </c>
      <c r="D153" s="83" t="s">
        <v>70</v>
      </c>
      <c r="E153" s="83">
        <v>0.63439800000000002</v>
      </c>
      <c r="G153" s="83" t="s">
        <v>70</v>
      </c>
      <c r="H153" s="83">
        <v>0.63782300000000003</v>
      </c>
      <c r="J153" s="83" t="s">
        <v>70</v>
      </c>
      <c r="K153" s="83">
        <v>0.61683299999999996</v>
      </c>
      <c r="M153" s="83" t="s">
        <v>70</v>
      </c>
      <c r="N153" s="83">
        <v>0.61780800000000002</v>
      </c>
      <c r="P153" s="83" t="s">
        <v>70</v>
      </c>
      <c r="Q153" s="83">
        <v>0.61682800000000004</v>
      </c>
      <c r="S153" s="83" t="s">
        <v>70</v>
      </c>
      <c r="T153" s="83">
        <v>0.63147799999999998</v>
      </c>
      <c r="V153" s="83" t="s">
        <v>70</v>
      </c>
      <c r="W153" s="83">
        <v>0.632942</v>
      </c>
      <c r="Y153" s="83" t="s">
        <v>70</v>
      </c>
      <c r="Z153" s="83">
        <v>0.61438999999999999</v>
      </c>
      <c r="AB153" s="83" t="s">
        <v>70</v>
      </c>
      <c r="AC153" s="83">
        <v>0.62561500000000003</v>
      </c>
      <c r="AE153" s="83" t="s">
        <v>70</v>
      </c>
      <c r="AF153" s="83">
        <v>0.62952600000000003</v>
      </c>
      <c r="AH153" s="83" t="s">
        <v>70</v>
      </c>
      <c r="AI153" s="83">
        <v>0.62806300000000004</v>
      </c>
      <c r="AK153" s="83" t="s">
        <v>70</v>
      </c>
      <c r="AL153" s="83">
        <v>0.62903699999999996</v>
      </c>
      <c r="AN153" s="83" t="s">
        <v>70</v>
      </c>
      <c r="AO153" s="83">
        <v>0.61390400000000001</v>
      </c>
      <c r="AQ153" s="83" t="s">
        <v>70</v>
      </c>
      <c r="AR153" s="83">
        <v>0.62707900000000005</v>
      </c>
      <c r="AT153" s="83" t="s">
        <v>70</v>
      </c>
      <c r="AU153" s="83">
        <v>0.61585299999999998</v>
      </c>
      <c r="AW153" s="83" t="s">
        <v>70</v>
      </c>
      <c r="AX153" s="83">
        <v>0.63294099999999998</v>
      </c>
      <c r="AZ153" s="83" t="s">
        <v>70</v>
      </c>
      <c r="BA153" s="83">
        <v>0.62415299999999996</v>
      </c>
      <c r="BC153" s="83" t="s">
        <v>70</v>
      </c>
      <c r="BD153" s="83">
        <v>0.62366299999999997</v>
      </c>
      <c r="BF153" s="83" t="s">
        <v>70</v>
      </c>
      <c r="BG153" s="83">
        <v>0.62372899999999998</v>
      </c>
      <c r="BI153" s="83" t="s">
        <v>70</v>
      </c>
      <c r="BJ153" s="83">
        <v>0.62470400000000004</v>
      </c>
      <c r="BL153" s="83" t="s">
        <v>70</v>
      </c>
      <c r="BM153" s="83">
        <v>0.62031000000000003</v>
      </c>
      <c r="BO153" s="83" t="s">
        <v>70</v>
      </c>
      <c r="BP153" s="83">
        <v>0.61884799999999995</v>
      </c>
      <c r="BR153" s="83" t="s">
        <v>70</v>
      </c>
      <c r="BS153" s="83">
        <v>0.63153800000000004</v>
      </c>
      <c r="BU153" s="83" t="s">
        <v>70</v>
      </c>
      <c r="BV153" s="83">
        <v>0.61591099999999999</v>
      </c>
      <c r="BX153" s="83" t="s">
        <v>70</v>
      </c>
      <c r="BY153" s="83">
        <v>0.63544100000000003</v>
      </c>
      <c r="CA153" s="83" t="s">
        <v>70</v>
      </c>
      <c r="CB153" s="83">
        <v>0.62713799999999997</v>
      </c>
      <c r="CD153" s="83" t="s">
        <v>70</v>
      </c>
      <c r="CE153" s="83">
        <v>0.62274799999999997</v>
      </c>
      <c r="CG153" s="83" t="s">
        <v>70</v>
      </c>
      <c r="CH153" s="83">
        <v>0.62860199999999999</v>
      </c>
      <c r="CJ153" s="83" t="s">
        <v>70</v>
      </c>
      <c r="CK153" s="83">
        <v>0.62762399999999996</v>
      </c>
      <c r="CM153" s="83" t="s">
        <v>70</v>
      </c>
      <c r="CN153" s="83">
        <v>0.62078</v>
      </c>
      <c r="CP153" s="83" t="s">
        <v>70</v>
      </c>
      <c r="CQ153" s="83">
        <v>0.62078800000000001</v>
      </c>
      <c r="CS153" s="83" t="s">
        <v>70</v>
      </c>
      <c r="CT153" s="83">
        <v>0.63397199999999998</v>
      </c>
      <c r="CV153" s="83" t="s">
        <v>70</v>
      </c>
      <c r="CW153" s="83">
        <v>0.63104099999999996</v>
      </c>
      <c r="CY153" s="83" t="s">
        <v>70</v>
      </c>
      <c r="CZ153" s="83">
        <v>0.63006099999999998</v>
      </c>
    </row>
    <row r="155" spans="1:104" x14ac:dyDescent="0.2">
      <c r="A155" s="83" t="s">
        <v>63</v>
      </c>
      <c r="B155" s="83">
        <v>125</v>
      </c>
      <c r="D155" s="83" t="s">
        <v>63</v>
      </c>
      <c r="E155" s="83">
        <v>125</v>
      </c>
      <c r="G155" s="83" t="s">
        <v>63</v>
      </c>
      <c r="H155" s="83">
        <v>125</v>
      </c>
      <c r="J155" s="83" t="s">
        <v>63</v>
      </c>
      <c r="K155" s="83">
        <v>125</v>
      </c>
      <c r="M155" s="83" t="s">
        <v>63</v>
      </c>
      <c r="N155" s="83">
        <v>125</v>
      </c>
      <c r="P155" s="83" t="s">
        <v>63</v>
      </c>
      <c r="Q155" s="83">
        <v>125</v>
      </c>
      <c r="S155" s="83" t="s">
        <v>63</v>
      </c>
      <c r="T155" s="83">
        <v>125</v>
      </c>
      <c r="V155" s="83" t="s">
        <v>63</v>
      </c>
      <c r="W155" s="83">
        <v>125</v>
      </c>
      <c r="Y155" s="83" t="s">
        <v>63</v>
      </c>
      <c r="Z155" s="83">
        <v>125</v>
      </c>
      <c r="AB155" s="83" t="s">
        <v>63</v>
      </c>
      <c r="AC155" s="83">
        <v>125</v>
      </c>
      <c r="AE155" s="83" t="s">
        <v>63</v>
      </c>
      <c r="AF155" s="83">
        <v>125</v>
      </c>
      <c r="AH155" s="83" t="s">
        <v>63</v>
      </c>
      <c r="AI155" s="83">
        <v>125</v>
      </c>
      <c r="AK155" s="83" t="s">
        <v>63</v>
      </c>
      <c r="AL155" s="83">
        <v>125</v>
      </c>
      <c r="AN155" s="83" t="s">
        <v>63</v>
      </c>
      <c r="AO155" s="83">
        <v>125</v>
      </c>
      <c r="AQ155" s="83" t="s">
        <v>63</v>
      </c>
      <c r="AR155" s="83">
        <v>125</v>
      </c>
      <c r="AT155" s="83" t="s">
        <v>63</v>
      </c>
      <c r="AU155" s="83">
        <v>125</v>
      </c>
      <c r="AW155" s="83" t="s">
        <v>63</v>
      </c>
      <c r="AX155" s="83">
        <v>125</v>
      </c>
      <c r="AZ155" s="83" t="s">
        <v>63</v>
      </c>
      <c r="BA155" s="83">
        <v>125</v>
      </c>
      <c r="BC155" s="83" t="s">
        <v>63</v>
      </c>
      <c r="BD155" s="83">
        <v>125</v>
      </c>
      <c r="BF155" s="83" t="s">
        <v>63</v>
      </c>
      <c r="BG155" s="83">
        <v>125</v>
      </c>
      <c r="BI155" s="83" t="s">
        <v>63</v>
      </c>
      <c r="BJ155" s="83">
        <v>125</v>
      </c>
      <c r="BL155" s="83" t="s">
        <v>63</v>
      </c>
      <c r="BM155" s="83">
        <v>125</v>
      </c>
      <c r="BO155" s="83" t="s">
        <v>63</v>
      </c>
      <c r="BP155" s="83">
        <v>125</v>
      </c>
      <c r="BR155" s="83" t="s">
        <v>63</v>
      </c>
      <c r="BS155" s="83">
        <v>125</v>
      </c>
      <c r="BU155" s="83" t="s">
        <v>63</v>
      </c>
      <c r="BV155" s="83">
        <v>125</v>
      </c>
      <c r="BX155" s="83" t="s">
        <v>63</v>
      </c>
      <c r="BY155" s="83">
        <v>125</v>
      </c>
      <c r="CA155" s="83" t="s">
        <v>63</v>
      </c>
      <c r="CB155" s="83">
        <v>125</v>
      </c>
      <c r="CD155" s="83" t="s">
        <v>63</v>
      </c>
      <c r="CE155" s="83">
        <v>125</v>
      </c>
      <c r="CG155" s="83" t="s">
        <v>63</v>
      </c>
      <c r="CH155" s="83">
        <v>125</v>
      </c>
      <c r="CJ155" s="83" t="s">
        <v>63</v>
      </c>
      <c r="CK155" s="83">
        <v>125</v>
      </c>
      <c r="CM155" s="83" t="s">
        <v>63</v>
      </c>
      <c r="CN155" s="83">
        <v>125</v>
      </c>
      <c r="CP155" s="83" t="s">
        <v>63</v>
      </c>
      <c r="CQ155" s="83">
        <v>125</v>
      </c>
      <c r="CS155" s="83" t="s">
        <v>63</v>
      </c>
      <c r="CT155" s="83">
        <v>125</v>
      </c>
      <c r="CV155" s="83" t="s">
        <v>63</v>
      </c>
      <c r="CW155" s="83">
        <v>125</v>
      </c>
      <c r="CY155" s="83" t="s">
        <v>63</v>
      </c>
      <c r="CZ155" s="83">
        <v>125</v>
      </c>
    </row>
    <row r="157" spans="1:104" x14ac:dyDescent="0.2">
      <c r="A157" s="83" t="s">
        <v>61</v>
      </c>
      <c r="B157" s="83">
        <v>12500</v>
      </c>
      <c r="D157" s="83" t="s">
        <v>61</v>
      </c>
      <c r="E157" s="83">
        <v>12500</v>
      </c>
      <c r="G157" s="83" t="s">
        <v>61</v>
      </c>
      <c r="H157" s="83">
        <v>12500</v>
      </c>
      <c r="J157" s="83" t="s">
        <v>61</v>
      </c>
      <c r="K157" s="83">
        <v>12500</v>
      </c>
      <c r="M157" s="83" t="s">
        <v>61</v>
      </c>
      <c r="N157" s="83">
        <v>12500</v>
      </c>
      <c r="P157" s="83" t="s">
        <v>61</v>
      </c>
      <c r="Q157" s="83">
        <v>12500</v>
      </c>
      <c r="S157" s="83" t="s">
        <v>61</v>
      </c>
      <c r="T157" s="83">
        <v>12500</v>
      </c>
      <c r="V157" s="83" t="s">
        <v>61</v>
      </c>
      <c r="W157" s="83">
        <v>12500</v>
      </c>
      <c r="Y157" s="83" t="s">
        <v>61</v>
      </c>
      <c r="Z157" s="83">
        <v>12500</v>
      </c>
      <c r="AB157" s="83" t="s">
        <v>61</v>
      </c>
      <c r="AC157" s="83">
        <v>12500</v>
      </c>
      <c r="AE157" s="83" t="s">
        <v>61</v>
      </c>
      <c r="AF157" s="83">
        <v>12500</v>
      </c>
      <c r="AH157" s="83" t="s">
        <v>61</v>
      </c>
      <c r="AI157" s="83">
        <v>12500</v>
      </c>
      <c r="AK157" s="83" t="s">
        <v>61</v>
      </c>
      <c r="AL157" s="83">
        <v>12500</v>
      </c>
      <c r="AN157" s="83" t="s">
        <v>61</v>
      </c>
      <c r="AO157" s="83">
        <v>12500</v>
      </c>
      <c r="AQ157" s="83" t="s">
        <v>61</v>
      </c>
      <c r="AR157" s="83">
        <v>12500</v>
      </c>
      <c r="AT157" s="83" t="s">
        <v>61</v>
      </c>
      <c r="AU157" s="83">
        <v>12500</v>
      </c>
      <c r="AW157" s="83" t="s">
        <v>61</v>
      </c>
      <c r="AX157" s="83">
        <v>12500</v>
      </c>
      <c r="AZ157" s="83" t="s">
        <v>61</v>
      </c>
      <c r="BA157" s="83">
        <v>12500</v>
      </c>
      <c r="BC157" s="83" t="s">
        <v>61</v>
      </c>
      <c r="BD157" s="83">
        <v>12500</v>
      </c>
      <c r="BF157" s="83" t="s">
        <v>61</v>
      </c>
      <c r="BG157" s="83">
        <v>12500</v>
      </c>
      <c r="BI157" s="83" t="s">
        <v>61</v>
      </c>
      <c r="BJ157" s="83">
        <v>12500</v>
      </c>
      <c r="BL157" s="83" t="s">
        <v>61</v>
      </c>
      <c r="BM157" s="83">
        <v>12500</v>
      </c>
      <c r="BO157" s="83" t="s">
        <v>61</v>
      </c>
      <c r="BP157" s="83">
        <v>12500</v>
      </c>
      <c r="BR157" s="83" t="s">
        <v>61</v>
      </c>
      <c r="BS157" s="83">
        <v>12500</v>
      </c>
      <c r="BU157" s="83" t="s">
        <v>61</v>
      </c>
      <c r="BV157" s="83">
        <v>12500</v>
      </c>
      <c r="BX157" s="83" t="s">
        <v>61</v>
      </c>
      <c r="BY157" s="83">
        <v>12500</v>
      </c>
      <c r="CA157" s="83" t="s">
        <v>61</v>
      </c>
      <c r="CB157" s="83">
        <v>12500</v>
      </c>
      <c r="CD157" s="83" t="s">
        <v>61</v>
      </c>
      <c r="CE157" s="83">
        <v>12500</v>
      </c>
      <c r="CG157" s="83" t="s">
        <v>61</v>
      </c>
      <c r="CH157" s="83">
        <v>12500</v>
      </c>
      <c r="CJ157" s="83" t="s">
        <v>61</v>
      </c>
      <c r="CK157" s="83">
        <v>12500</v>
      </c>
      <c r="CM157" s="83" t="s">
        <v>61</v>
      </c>
      <c r="CN157" s="83">
        <v>12500</v>
      </c>
      <c r="CP157" s="83" t="s">
        <v>61</v>
      </c>
      <c r="CQ157" s="83">
        <v>12500</v>
      </c>
      <c r="CS157" s="83" t="s">
        <v>61</v>
      </c>
      <c r="CT157" s="83">
        <v>12500</v>
      </c>
      <c r="CV157" s="83" t="s">
        <v>61</v>
      </c>
      <c r="CW157" s="83">
        <v>12500</v>
      </c>
      <c r="CY157" s="83" t="s">
        <v>61</v>
      </c>
      <c r="CZ157" s="83">
        <v>12500</v>
      </c>
    </row>
    <row r="159" spans="1:104" x14ac:dyDescent="0.2">
      <c r="A159" s="83" t="s">
        <v>58</v>
      </c>
      <c r="B159" s="83">
        <v>0.2</v>
      </c>
      <c r="D159" s="83" t="s">
        <v>58</v>
      </c>
      <c r="E159" s="83">
        <v>0.2</v>
      </c>
      <c r="G159" s="83" t="s">
        <v>58</v>
      </c>
      <c r="H159" s="83">
        <v>0.2</v>
      </c>
      <c r="J159" s="83" t="s">
        <v>58</v>
      </c>
      <c r="K159" s="83">
        <v>0.2</v>
      </c>
      <c r="M159" s="83" t="s">
        <v>58</v>
      </c>
      <c r="N159" s="83">
        <v>0.2</v>
      </c>
      <c r="P159" s="83" t="s">
        <v>58</v>
      </c>
      <c r="Q159" s="83">
        <v>0.2</v>
      </c>
      <c r="S159" s="83" t="s">
        <v>58</v>
      </c>
      <c r="T159" s="83">
        <v>0.2</v>
      </c>
      <c r="V159" s="83" t="s">
        <v>58</v>
      </c>
      <c r="W159" s="83">
        <v>0.2</v>
      </c>
      <c r="Y159" s="83" t="s">
        <v>58</v>
      </c>
      <c r="Z159" s="83">
        <v>0.2</v>
      </c>
      <c r="AB159" s="83" t="s">
        <v>58</v>
      </c>
      <c r="AC159" s="83">
        <v>0.2</v>
      </c>
      <c r="AE159" s="83" t="s">
        <v>58</v>
      </c>
      <c r="AF159" s="83">
        <v>0.2</v>
      </c>
      <c r="AH159" s="83" t="s">
        <v>58</v>
      </c>
      <c r="AI159" s="83">
        <v>0.2</v>
      </c>
      <c r="AK159" s="83" t="s">
        <v>58</v>
      </c>
      <c r="AL159" s="83">
        <v>0.2</v>
      </c>
      <c r="AN159" s="83" t="s">
        <v>58</v>
      </c>
      <c r="AO159" s="83">
        <v>0.2</v>
      </c>
      <c r="AQ159" s="83" t="s">
        <v>58</v>
      </c>
      <c r="AR159" s="83">
        <v>0.2</v>
      </c>
      <c r="AT159" s="83" t="s">
        <v>58</v>
      </c>
      <c r="AU159" s="83">
        <v>0.2</v>
      </c>
      <c r="AW159" s="83" t="s">
        <v>58</v>
      </c>
      <c r="AX159" s="83">
        <v>0.2</v>
      </c>
      <c r="AZ159" s="83" t="s">
        <v>58</v>
      </c>
      <c r="BA159" s="83">
        <v>0.2</v>
      </c>
      <c r="BC159" s="83" t="s">
        <v>58</v>
      </c>
      <c r="BD159" s="83">
        <v>0.2</v>
      </c>
      <c r="BF159" s="83" t="s">
        <v>58</v>
      </c>
      <c r="BG159" s="83">
        <v>0.2</v>
      </c>
      <c r="BI159" s="83" t="s">
        <v>58</v>
      </c>
      <c r="BJ159" s="83">
        <v>0.2</v>
      </c>
      <c r="BL159" s="83" t="s">
        <v>58</v>
      </c>
      <c r="BM159" s="83">
        <v>0.2</v>
      </c>
      <c r="BO159" s="83" t="s">
        <v>58</v>
      </c>
      <c r="BP159" s="83">
        <v>0.2</v>
      </c>
      <c r="BR159" s="83" t="s">
        <v>58</v>
      </c>
      <c r="BS159" s="83">
        <v>0.2</v>
      </c>
      <c r="BU159" s="83" t="s">
        <v>58</v>
      </c>
      <c r="BV159" s="83">
        <v>0.2</v>
      </c>
      <c r="BX159" s="83" t="s">
        <v>58</v>
      </c>
      <c r="BY159" s="83">
        <v>0.2</v>
      </c>
      <c r="CA159" s="83" t="s">
        <v>58</v>
      </c>
      <c r="CB159" s="83">
        <v>0.2</v>
      </c>
      <c r="CD159" s="83" t="s">
        <v>58</v>
      </c>
      <c r="CE159" s="83">
        <v>0.2</v>
      </c>
      <c r="CG159" s="83" t="s">
        <v>58</v>
      </c>
      <c r="CH159" s="83">
        <v>0.2</v>
      </c>
      <c r="CJ159" s="83" t="s">
        <v>58</v>
      </c>
      <c r="CK159" s="83">
        <v>0.2</v>
      </c>
      <c r="CM159" s="83" t="s">
        <v>58</v>
      </c>
      <c r="CN159" s="83">
        <v>0.2</v>
      </c>
      <c r="CP159" s="83" t="s">
        <v>58</v>
      </c>
      <c r="CQ159" s="83">
        <v>0.2</v>
      </c>
      <c r="CS159" s="83" t="s">
        <v>58</v>
      </c>
      <c r="CT159" s="83">
        <v>0.2</v>
      </c>
      <c r="CV159" s="83" t="s">
        <v>58</v>
      </c>
      <c r="CW159" s="83">
        <v>0.2</v>
      </c>
      <c r="CY159" s="83" t="s">
        <v>58</v>
      </c>
      <c r="CZ159" s="83">
        <v>0.2</v>
      </c>
    </row>
    <row r="161" spans="1:104" x14ac:dyDescent="0.2">
      <c r="A161" s="83" t="s">
        <v>59</v>
      </c>
      <c r="B161" s="83">
        <v>0.02</v>
      </c>
      <c r="D161" s="83" t="s">
        <v>59</v>
      </c>
      <c r="E161" s="83">
        <v>0.02</v>
      </c>
      <c r="G161" s="83" t="s">
        <v>59</v>
      </c>
      <c r="H161" s="83">
        <v>0.02</v>
      </c>
      <c r="J161" s="83" t="s">
        <v>59</v>
      </c>
      <c r="K161" s="83">
        <v>0.02</v>
      </c>
      <c r="M161" s="83" t="s">
        <v>59</v>
      </c>
      <c r="N161" s="83">
        <v>0.02</v>
      </c>
      <c r="P161" s="83" t="s">
        <v>59</v>
      </c>
      <c r="Q161" s="83">
        <v>0.02</v>
      </c>
      <c r="S161" s="83" t="s">
        <v>59</v>
      </c>
      <c r="T161" s="83">
        <v>0.02</v>
      </c>
      <c r="V161" s="83" t="s">
        <v>59</v>
      </c>
      <c r="W161" s="83">
        <v>0.02</v>
      </c>
      <c r="Y161" s="83" t="s">
        <v>59</v>
      </c>
      <c r="Z161" s="83">
        <v>0.02</v>
      </c>
      <c r="AB161" s="83" t="s">
        <v>59</v>
      </c>
      <c r="AC161" s="83">
        <v>0.02</v>
      </c>
      <c r="AE161" s="83" t="s">
        <v>59</v>
      </c>
      <c r="AF161" s="83">
        <v>0.02</v>
      </c>
      <c r="AH161" s="83" t="s">
        <v>59</v>
      </c>
      <c r="AI161" s="83">
        <v>0.02</v>
      </c>
      <c r="AK161" s="83" t="s">
        <v>59</v>
      </c>
      <c r="AL161" s="83">
        <v>0.02</v>
      </c>
      <c r="AN161" s="83" t="s">
        <v>59</v>
      </c>
      <c r="AO161" s="83">
        <v>0.02</v>
      </c>
      <c r="AQ161" s="83" t="s">
        <v>59</v>
      </c>
      <c r="AR161" s="83">
        <v>0.02</v>
      </c>
      <c r="AT161" s="83" t="s">
        <v>59</v>
      </c>
      <c r="AU161" s="83">
        <v>0.02</v>
      </c>
      <c r="AW161" s="83" t="s">
        <v>59</v>
      </c>
      <c r="AX161" s="83">
        <v>0.02</v>
      </c>
      <c r="AZ161" s="83" t="s">
        <v>59</v>
      </c>
      <c r="BA161" s="83">
        <v>0.02</v>
      </c>
      <c r="BC161" s="83" t="s">
        <v>59</v>
      </c>
      <c r="BD161" s="83">
        <v>0.02</v>
      </c>
      <c r="BF161" s="83" t="s">
        <v>59</v>
      </c>
      <c r="BG161" s="83">
        <v>0.02</v>
      </c>
      <c r="BI161" s="83" t="s">
        <v>59</v>
      </c>
      <c r="BJ161" s="83">
        <v>0.02</v>
      </c>
      <c r="BL161" s="83" t="s">
        <v>59</v>
      </c>
      <c r="BM161" s="83">
        <v>0.02</v>
      </c>
      <c r="BO161" s="83" t="s">
        <v>59</v>
      </c>
      <c r="BP161" s="83">
        <v>0.02</v>
      </c>
      <c r="BR161" s="83" t="s">
        <v>59</v>
      </c>
      <c r="BS161" s="83">
        <v>0.02</v>
      </c>
      <c r="BU161" s="83" t="s">
        <v>59</v>
      </c>
      <c r="BV161" s="83">
        <v>0.02</v>
      </c>
      <c r="BX161" s="83" t="s">
        <v>59</v>
      </c>
      <c r="BY161" s="83">
        <v>0.02</v>
      </c>
      <c r="CA161" s="83" t="s">
        <v>59</v>
      </c>
      <c r="CB161" s="83">
        <v>0.02</v>
      </c>
      <c r="CD161" s="83" t="s">
        <v>59</v>
      </c>
      <c r="CE161" s="83">
        <v>0.02</v>
      </c>
      <c r="CG161" s="83" t="s">
        <v>59</v>
      </c>
      <c r="CH161" s="83">
        <v>0.02</v>
      </c>
      <c r="CJ161" s="83" t="s">
        <v>59</v>
      </c>
      <c r="CK161" s="83">
        <v>0.02</v>
      </c>
      <c r="CM161" s="83" t="s">
        <v>59</v>
      </c>
      <c r="CN161" s="83">
        <v>0.02</v>
      </c>
      <c r="CP161" s="83" t="s">
        <v>59</v>
      </c>
      <c r="CQ161" s="83">
        <v>0.02</v>
      </c>
      <c r="CS161" s="83" t="s">
        <v>59</v>
      </c>
      <c r="CT161" s="83">
        <v>0.02</v>
      </c>
      <c r="CV161" s="83" t="s">
        <v>59</v>
      </c>
      <c r="CW161" s="83">
        <v>0.02</v>
      </c>
      <c r="CY161" s="83" t="s">
        <v>59</v>
      </c>
      <c r="CZ161" s="83">
        <v>0.02</v>
      </c>
    </row>
    <row r="163" spans="1:104" x14ac:dyDescent="0.2">
      <c r="A163" s="83" t="s">
        <v>60</v>
      </c>
      <c r="B163" s="83">
        <v>1000</v>
      </c>
      <c r="D163" s="83" t="s">
        <v>60</v>
      </c>
      <c r="E163" s="83">
        <v>1000</v>
      </c>
      <c r="G163" s="83" t="s">
        <v>60</v>
      </c>
      <c r="H163" s="83">
        <v>1000</v>
      </c>
      <c r="J163" s="83" t="s">
        <v>60</v>
      </c>
      <c r="K163" s="83">
        <v>1000</v>
      </c>
      <c r="M163" s="83" t="s">
        <v>60</v>
      </c>
      <c r="N163" s="83">
        <v>1000</v>
      </c>
      <c r="P163" s="83" t="s">
        <v>60</v>
      </c>
      <c r="Q163" s="83">
        <v>1000</v>
      </c>
      <c r="S163" s="83" t="s">
        <v>60</v>
      </c>
      <c r="T163" s="83">
        <v>1000</v>
      </c>
      <c r="V163" s="83" t="s">
        <v>60</v>
      </c>
      <c r="W163" s="83">
        <v>1000</v>
      </c>
      <c r="Y163" s="83" t="s">
        <v>60</v>
      </c>
      <c r="Z163" s="83">
        <v>1000</v>
      </c>
      <c r="AB163" s="83" t="s">
        <v>60</v>
      </c>
      <c r="AC163" s="83">
        <v>1000</v>
      </c>
      <c r="AE163" s="83" t="s">
        <v>60</v>
      </c>
      <c r="AF163" s="83">
        <v>1000</v>
      </c>
      <c r="AH163" s="83" t="s">
        <v>60</v>
      </c>
      <c r="AI163" s="83">
        <v>1000</v>
      </c>
      <c r="AK163" s="83" t="s">
        <v>60</v>
      </c>
      <c r="AL163" s="83">
        <v>1000</v>
      </c>
      <c r="AN163" s="83" t="s">
        <v>60</v>
      </c>
      <c r="AO163" s="83">
        <v>1000</v>
      </c>
      <c r="AQ163" s="83" t="s">
        <v>60</v>
      </c>
      <c r="AR163" s="83">
        <v>1000</v>
      </c>
      <c r="AT163" s="83" t="s">
        <v>60</v>
      </c>
      <c r="AU163" s="83">
        <v>1000</v>
      </c>
      <c r="AW163" s="83" t="s">
        <v>60</v>
      </c>
      <c r="AX163" s="83">
        <v>1000</v>
      </c>
      <c r="AZ163" s="83" t="s">
        <v>60</v>
      </c>
      <c r="BA163" s="83">
        <v>1000</v>
      </c>
      <c r="BC163" s="83" t="s">
        <v>60</v>
      </c>
      <c r="BD163" s="83">
        <v>1000</v>
      </c>
      <c r="BF163" s="83" t="s">
        <v>60</v>
      </c>
      <c r="BG163" s="83">
        <v>1000</v>
      </c>
      <c r="BI163" s="83" t="s">
        <v>60</v>
      </c>
      <c r="BJ163" s="83">
        <v>1000</v>
      </c>
      <c r="BL163" s="83" t="s">
        <v>60</v>
      </c>
      <c r="BM163" s="83">
        <v>1000</v>
      </c>
      <c r="BO163" s="83" t="s">
        <v>60</v>
      </c>
      <c r="BP163" s="83">
        <v>1000</v>
      </c>
      <c r="BR163" s="83" t="s">
        <v>60</v>
      </c>
      <c r="BS163" s="83">
        <v>1000</v>
      </c>
      <c r="BU163" s="83" t="s">
        <v>60</v>
      </c>
      <c r="BV163" s="83">
        <v>1000</v>
      </c>
      <c r="BX163" s="83" t="s">
        <v>60</v>
      </c>
      <c r="BY163" s="83">
        <v>1000</v>
      </c>
      <c r="CA163" s="83" t="s">
        <v>60</v>
      </c>
      <c r="CB163" s="83">
        <v>1000</v>
      </c>
      <c r="CD163" s="83" t="s">
        <v>60</v>
      </c>
      <c r="CE163" s="83">
        <v>1000</v>
      </c>
      <c r="CG163" s="83" t="s">
        <v>60</v>
      </c>
      <c r="CH163" s="83">
        <v>1000</v>
      </c>
      <c r="CJ163" s="83" t="s">
        <v>60</v>
      </c>
      <c r="CK163" s="83">
        <v>1000</v>
      </c>
      <c r="CM163" s="83" t="s">
        <v>60</v>
      </c>
      <c r="CN163" s="83">
        <v>1000</v>
      </c>
      <c r="CP163" s="83" t="s">
        <v>60</v>
      </c>
      <c r="CQ163" s="83">
        <v>1000</v>
      </c>
      <c r="CS163" s="83" t="s">
        <v>60</v>
      </c>
      <c r="CT163" s="83">
        <v>1000</v>
      </c>
      <c r="CV163" s="83" t="s">
        <v>60</v>
      </c>
      <c r="CW163" s="83">
        <v>1000</v>
      </c>
      <c r="CY163" s="83" t="s">
        <v>60</v>
      </c>
      <c r="CZ163" s="83">
        <v>1000</v>
      </c>
    </row>
    <row r="165" spans="1:104" x14ac:dyDescent="0.2">
      <c r="A165" s="83" t="s">
        <v>62</v>
      </c>
      <c r="B165" s="83">
        <v>0.05</v>
      </c>
      <c r="D165" s="83" t="s">
        <v>62</v>
      </c>
      <c r="E165" s="83">
        <v>0.05</v>
      </c>
      <c r="G165" s="83" t="s">
        <v>62</v>
      </c>
      <c r="H165" s="83">
        <v>0.05</v>
      </c>
      <c r="J165" s="83" t="s">
        <v>62</v>
      </c>
      <c r="K165" s="83">
        <v>0.05</v>
      </c>
      <c r="M165" s="83" t="s">
        <v>62</v>
      </c>
      <c r="N165" s="83">
        <v>0.05</v>
      </c>
      <c r="P165" s="83" t="s">
        <v>62</v>
      </c>
      <c r="Q165" s="83">
        <v>0.05</v>
      </c>
      <c r="S165" s="83" t="s">
        <v>62</v>
      </c>
      <c r="T165" s="83">
        <v>0.05</v>
      </c>
      <c r="V165" s="83" t="s">
        <v>62</v>
      </c>
      <c r="W165" s="83">
        <v>0.05</v>
      </c>
      <c r="Y165" s="83" t="s">
        <v>62</v>
      </c>
      <c r="Z165" s="83">
        <v>0.05</v>
      </c>
      <c r="AB165" s="83" t="s">
        <v>62</v>
      </c>
      <c r="AC165" s="83">
        <v>0.05</v>
      </c>
      <c r="AE165" s="83" t="s">
        <v>62</v>
      </c>
      <c r="AF165" s="83">
        <v>0.05</v>
      </c>
      <c r="AH165" s="83" t="s">
        <v>62</v>
      </c>
      <c r="AI165" s="83">
        <v>0.05</v>
      </c>
      <c r="AK165" s="83" t="s">
        <v>62</v>
      </c>
      <c r="AL165" s="83">
        <v>0.05</v>
      </c>
      <c r="AN165" s="83" t="s">
        <v>62</v>
      </c>
      <c r="AO165" s="83">
        <v>0.05</v>
      </c>
      <c r="AQ165" s="83" t="s">
        <v>62</v>
      </c>
      <c r="AR165" s="83">
        <v>0.05</v>
      </c>
      <c r="AT165" s="83" t="s">
        <v>62</v>
      </c>
      <c r="AU165" s="83">
        <v>0.05</v>
      </c>
      <c r="AW165" s="83" t="s">
        <v>62</v>
      </c>
      <c r="AX165" s="83">
        <v>0.05</v>
      </c>
      <c r="AZ165" s="83" t="s">
        <v>62</v>
      </c>
      <c r="BA165" s="83">
        <v>0.05</v>
      </c>
      <c r="BC165" s="83" t="s">
        <v>62</v>
      </c>
      <c r="BD165" s="83">
        <v>0.05</v>
      </c>
      <c r="BF165" s="83" t="s">
        <v>62</v>
      </c>
      <c r="BG165" s="83">
        <v>0.05</v>
      </c>
      <c r="BI165" s="83" t="s">
        <v>62</v>
      </c>
      <c r="BJ165" s="83">
        <v>0.05</v>
      </c>
      <c r="BL165" s="83" t="s">
        <v>62</v>
      </c>
      <c r="BM165" s="83">
        <v>0.05</v>
      </c>
      <c r="BO165" s="83" t="s">
        <v>62</v>
      </c>
      <c r="BP165" s="83">
        <v>0.05</v>
      </c>
      <c r="BR165" s="83" t="s">
        <v>62</v>
      </c>
      <c r="BS165" s="83">
        <v>0.05</v>
      </c>
      <c r="BU165" s="83" t="s">
        <v>62</v>
      </c>
      <c r="BV165" s="83">
        <v>0.05</v>
      </c>
      <c r="BX165" s="83" t="s">
        <v>62</v>
      </c>
      <c r="BY165" s="83">
        <v>0.05</v>
      </c>
      <c r="CA165" s="83" t="s">
        <v>62</v>
      </c>
      <c r="CB165" s="83">
        <v>0.05</v>
      </c>
      <c r="CD165" s="83" t="s">
        <v>62</v>
      </c>
      <c r="CE165" s="83">
        <v>0.05</v>
      </c>
      <c r="CG165" s="83" t="s">
        <v>62</v>
      </c>
      <c r="CH165" s="83">
        <v>0.05</v>
      </c>
      <c r="CJ165" s="83" t="s">
        <v>62</v>
      </c>
      <c r="CK165" s="83">
        <v>0.05</v>
      </c>
      <c r="CM165" s="83" t="s">
        <v>62</v>
      </c>
      <c r="CN165" s="83">
        <v>0.05</v>
      </c>
      <c r="CP165" s="83" t="s">
        <v>62</v>
      </c>
      <c r="CQ165" s="83">
        <v>0.05</v>
      </c>
      <c r="CS165" s="83" t="s">
        <v>62</v>
      </c>
      <c r="CT165" s="83">
        <v>0.05</v>
      </c>
      <c r="CV165" s="83" t="s">
        <v>62</v>
      </c>
      <c r="CW165" s="83">
        <v>0.05</v>
      </c>
      <c r="CY165" s="83" t="s">
        <v>62</v>
      </c>
      <c r="CZ165" s="83">
        <v>0.05</v>
      </c>
    </row>
    <row r="167" spans="1:104" x14ac:dyDescent="0.2">
      <c r="A167" s="83" t="s">
        <v>64</v>
      </c>
      <c r="B167" s="83">
        <v>0.93247100000000005</v>
      </c>
      <c r="D167" s="83" t="s">
        <v>64</v>
      </c>
      <c r="E167" s="83">
        <v>0.94466600000000001</v>
      </c>
      <c r="G167" s="83" t="s">
        <v>64</v>
      </c>
      <c r="H167" s="83">
        <v>0.95218000000000003</v>
      </c>
      <c r="J167" s="83" t="s">
        <v>64</v>
      </c>
      <c r="K167" s="83">
        <v>0.95633199999999996</v>
      </c>
      <c r="M167" s="83" t="s">
        <v>64</v>
      </c>
      <c r="N167" s="83">
        <v>0.96148199999999995</v>
      </c>
      <c r="P167" s="83" t="s">
        <v>64</v>
      </c>
      <c r="Q167" s="83">
        <v>0.96386799999999995</v>
      </c>
      <c r="S167" s="83" t="s">
        <v>64</v>
      </c>
      <c r="T167" s="83">
        <v>0.96680500000000003</v>
      </c>
      <c r="V167" s="83" t="s">
        <v>64</v>
      </c>
      <c r="W167" s="83">
        <v>0.97011099999999995</v>
      </c>
      <c r="Y167" s="83" t="s">
        <v>64</v>
      </c>
      <c r="Z167" s="83">
        <v>0.97163699999999997</v>
      </c>
      <c r="AB167" s="83" t="s">
        <v>64</v>
      </c>
      <c r="AC167" s="83">
        <v>0.971526</v>
      </c>
      <c r="AE167" s="83" t="s">
        <v>64</v>
      </c>
      <c r="AF167" s="83">
        <v>0.97112399999999999</v>
      </c>
      <c r="AH167" s="83" t="s">
        <v>64</v>
      </c>
      <c r="AI167" s="83">
        <v>0.971329</v>
      </c>
      <c r="AK167" s="83" t="s">
        <v>64</v>
      </c>
      <c r="AL167" s="83">
        <v>0.97095399999999998</v>
      </c>
      <c r="AN167" s="83" t="s">
        <v>64</v>
      </c>
      <c r="AO167" s="83">
        <v>0.96825099999999997</v>
      </c>
      <c r="AQ167" s="83" t="s">
        <v>64</v>
      </c>
      <c r="AR167" s="83">
        <v>0.96668799999999999</v>
      </c>
      <c r="AT167" s="83" t="s">
        <v>64</v>
      </c>
      <c r="AU167" s="83">
        <v>0.96273799999999998</v>
      </c>
      <c r="AW167" s="83" t="s">
        <v>64</v>
      </c>
      <c r="AX167" s="83">
        <v>0.95959499999999998</v>
      </c>
      <c r="AZ167" s="83" t="s">
        <v>64</v>
      </c>
      <c r="BA167" s="83">
        <v>0.95716199999999996</v>
      </c>
      <c r="BC167" s="83" t="s">
        <v>64</v>
      </c>
      <c r="BD167" s="83">
        <v>0.95184800000000003</v>
      </c>
      <c r="BF167" s="83" t="s">
        <v>64</v>
      </c>
      <c r="BG167" s="83">
        <v>0.93943699999999997</v>
      </c>
      <c r="BI167" s="83" t="s">
        <v>64</v>
      </c>
      <c r="BJ167" s="83">
        <v>0.92285499999999998</v>
      </c>
      <c r="BL167" s="83" t="s">
        <v>64</v>
      </c>
      <c r="BM167" s="83">
        <v>0.90654500000000005</v>
      </c>
      <c r="BO167" s="83" t="s">
        <v>64</v>
      </c>
      <c r="BP167" s="83">
        <v>0.88271900000000003</v>
      </c>
      <c r="BR167" s="83" t="s">
        <v>64</v>
      </c>
      <c r="BS167" s="83">
        <v>0.85622299999999996</v>
      </c>
      <c r="BU167" s="83" t="s">
        <v>64</v>
      </c>
      <c r="BV167" s="83">
        <v>0.82782999999999995</v>
      </c>
      <c r="BX167" s="83" t="s">
        <v>64</v>
      </c>
      <c r="BY167" s="83">
        <v>0.80561300000000002</v>
      </c>
      <c r="CA167" s="83" t="s">
        <v>64</v>
      </c>
      <c r="CB167" s="83">
        <v>0.78109200000000001</v>
      </c>
      <c r="CD167" s="83" t="s">
        <v>64</v>
      </c>
      <c r="CE167" s="83">
        <v>0.75758599999999998</v>
      </c>
      <c r="CG167" s="83" t="s">
        <v>64</v>
      </c>
      <c r="CH167" s="83">
        <v>0.73926000000000003</v>
      </c>
      <c r="CJ167" s="83" t="s">
        <v>64</v>
      </c>
      <c r="CK167" s="83">
        <v>0.72614100000000004</v>
      </c>
      <c r="CM167" s="83" t="s">
        <v>64</v>
      </c>
      <c r="CN167" s="83">
        <v>0.71282000000000001</v>
      </c>
      <c r="CP167" s="83" t="s">
        <v>64</v>
      </c>
      <c r="CQ167" s="83">
        <v>0.70080900000000002</v>
      </c>
      <c r="CS167" s="83" t="s">
        <v>64</v>
      </c>
      <c r="CT167" s="83">
        <v>0.69050800000000001</v>
      </c>
      <c r="CV167" s="83" t="s">
        <v>64</v>
      </c>
      <c r="CW167" s="83">
        <v>0.67978000000000005</v>
      </c>
      <c r="CY167" s="83" t="s">
        <v>64</v>
      </c>
      <c r="CZ167" s="83">
        <v>0.66916200000000003</v>
      </c>
    </row>
    <row r="169" spans="1:104" x14ac:dyDescent="0.2">
      <c r="A169" s="83" t="s">
        <v>76</v>
      </c>
      <c r="B169" s="83" t="s">
        <v>131</v>
      </c>
      <c r="D169" s="83" t="s">
        <v>76</v>
      </c>
      <c r="E169" s="83" t="s">
        <v>131</v>
      </c>
      <c r="G169" s="83" t="s">
        <v>76</v>
      </c>
      <c r="H169" s="83" t="s">
        <v>131</v>
      </c>
      <c r="J169" s="83" t="s">
        <v>76</v>
      </c>
      <c r="K169" s="83" t="s">
        <v>131</v>
      </c>
      <c r="M169" s="83" t="s">
        <v>76</v>
      </c>
      <c r="N169" s="83" t="s">
        <v>131</v>
      </c>
      <c r="P169" s="83" t="s">
        <v>76</v>
      </c>
      <c r="Q169" s="83" t="s">
        <v>131</v>
      </c>
      <c r="S169" s="83" t="s">
        <v>76</v>
      </c>
      <c r="T169" s="83" t="s">
        <v>131</v>
      </c>
      <c r="V169" s="83" t="s">
        <v>76</v>
      </c>
      <c r="W169" s="83" t="s">
        <v>131</v>
      </c>
      <c r="Y169" s="83" t="s">
        <v>76</v>
      </c>
      <c r="Z169" s="83" t="s">
        <v>131</v>
      </c>
      <c r="AB169" s="83" t="s">
        <v>76</v>
      </c>
      <c r="AC169" s="83" t="s">
        <v>131</v>
      </c>
      <c r="AE169" s="83" t="s">
        <v>76</v>
      </c>
      <c r="AF169" s="83" t="s">
        <v>131</v>
      </c>
      <c r="AH169" s="83" t="s">
        <v>76</v>
      </c>
      <c r="AI169" s="83" t="s">
        <v>131</v>
      </c>
      <c r="AK169" s="83" t="s">
        <v>76</v>
      </c>
      <c r="AL169" s="83" t="s">
        <v>131</v>
      </c>
      <c r="AN169" s="83" t="s">
        <v>76</v>
      </c>
      <c r="AO169" s="83" t="s">
        <v>131</v>
      </c>
      <c r="AQ169" s="83" t="s">
        <v>76</v>
      </c>
      <c r="AR169" s="83" t="s">
        <v>131</v>
      </c>
      <c r="AT169" s="83" t="s">
        <v>76</v>
      </c>
      <c r="AU169" s="83" t="s">
        <v>131</v>
      </c>
      <c r="AW169" s="83" t="s">
        <v>76</v>
      </c>
      <c r="AX169" s="83" t="s">
        <v>131</v>
      </c>
      <c r="AZ169" s="83" t="s">
        <v>76</v>
      </c>
      <c r="BA169" s="83" t="s">
        <v>131</v>
      </c>
      <c r="BC169" s="83" t="s">
        <v>76</v>
      </c>
      <c r="BD169" s="83" t="s">
        <v>131</v>
      </c>
      <c r="BF169" s="83" t="s">
        <v>76</v>
      </c>
      <c r="BG169" s="83" t="s">
        <v>131</v>
      </c>
      <c r="BI169" s="83" t="s">
        <v>76</v>
      </c>
      <c r="BJ169" s="83" t="s">
        <v>131</v>
      </c>
      <c r="BL169" s="83" t="s">
        <v>76</v>
      </c>
      <c r="BM169" s="83" t="s">
        <v>131</v>
      </c>
      <c r="BO169" s="83" t="s">
        <v>76</v>
      </c>
      <c r="BP169" s="83" t="s">
        <v>131</v>
      </c>
      <c r="BR169" s="83" t="s">
        <v>76</v>
      </c>
      <c r="BS169" s="83" t="s">
        <v>131</v>
      </c>
      <c r="BU169" s="83" t="s">
        <v>76</v>
      </c>
      <c r="BV169" s="83" t="s">
        <v>131</v>
      </c>
      <c r="BX169" s="83" t="s">
        <v>76</v>
      </c>
      <c r="BY169" s="83" t="s">
        <v>131</v>
      </c>
      <c r="CA169" s="83" t="s">
        <v>76</v>
      </c>
      <c r="CB169" s="83" t="s">
        <v>131</v>
      </c>
      <c r="CD169" s="83" t="s">
        <v>76</v>
      </c>
      <c r="CE169" s="83" t="s">
        <v>131</v>
      </c>
      <c r="CG169" s="83" t="s">
        <v>76</v>
      </c>
      <c r="CH169" s="83" t="s">
        <v>131</v>
      </c>
      <c r="CJ169" s="83" t="s">
        <v>76</v>
      </c>
      <c r="CK169" s="83" t="s">
        <v>131</v>
      </c>
      <c r="CM169" s="83" t="s">
        <v>76</v>
      </c>
      <c r="CN169" s="83" t="s">
        <v>131</v>
      </c>
      <c r="CP169" s="83" t="s">
        <v>76</v>
      </c>
      <c r="CQ169" s="83" t="s">
        <v>131</v>
      </c>
      <c r="CS169" s="83" t="s">
        <v>76</v>
      </c>
      <c r="CT169" s="83" t="s">
        <v>131</v>
      </c>
      <c r="CV169" s="83" t="s">
        <v>76</v>
      </c>
      <c r="CW169" s="83" t="s">
        <v>131</v>
      </c>
      <c r="CY169" s="83" t="s">
        <v>76</v>
      </c>
      <c r="CZ169" s="83" t="s">
        <v>131</v>
      </c>
    </row>
    <row r="171" spans="1:104" x14ac:dyDescent="0.2">
      <c r="A171" s="83" t="s">
        <v>74</v>
      </c>
      <c r="B171" s="83" t="s">
        <v>131</v>
      </c>
      <c r="D171" s="83" t="s">
        <v>74</v>
      </c>
      <c r="E171" s="83" t="s">
        <v>131</v>
      </c>
      <c r="G171" s="83" t="s">
        <v>74</v>
      </c>
      <c r="H171" s="83" t="s">
        <v>131</v>
      </c>
      <c r="J171" s="83" t="s">
        <v>74</v>
      </c>
      <c r="K171" s="83" t="s">
        <v>131</v>
      </c>
      <c r="M171" s="83" t="s">
        <v>74</v>
      </c>
      <c r="N171" s="83" t="s">
        <v>131</v>
      </c>
      <c r="P171" s="83" t="s">
        <v>74</v>
      </c>
      <c r="Q171" s="83" t="s">
        <v>131</v>
      </c>
      <c r="S171" s="83" t="s">
        <v>74</v>
      </c>
      <c r="T171" s="83" t="s">
        <v>131</v>
      </c>
      <c r="V171" s="83" t="s">
        <v>74</v>
      </c>
      <c r="W171" s="83" t="s">
        <v>131</v>
      </c>
      <c r="Y171" s="83" t="s">
        <v>74</v>
      </c>
      <c r="Z171" s="83" t="s">
        <v>131</v>
      </c>
      <c r="AB171" s="83" t="s">
        <v>74</v>
      </c>
      <c r="AC171" s="83" t="s">
        <v>131</v>
      </c>
      <c r="AE171" s="83" t="s">
        <v>74</v>
      </c>
      <c r="AF171" s="83" t="s">
        <v>131</v>
      </c>
      <c r="AH171" s="83" t="s">
        <v>74</v>
      </c>
      <c r="AI171" s="83" t="s">
        <v>131</v>
      </c>
      <c r="AK171" s="83" t="s">
        <v>74</v>
      </c>
      <c r="AL171" s="83" t="s">
        <v>131</v>
      </c>
      <c r="AN171" s="83" t="s">
        <v>74</v>
      </c>
      <c r="AO171" s="83" t="s">
        <v>131</v>
      </c>
      <c r="AQ171" s="83" t="s">
        <v>74</v>
      </c>
      <c r="AR171" s="83" t="s">
        <v>131</v>
      </c>
      <c r="AT171" s="83" t="s">
        <v>74</v>
      </c>
      <c r="AU171" s="83" t="s">
        <v>131</v>
      </c>
      <c r="AW171" s="83" t="s">
        <v>74</v>
      </c>
      <c r="AX171" s="83" t="s">
        <v>131</v>
      </c>
      <c r="AZ171" s="83" t="s">
        <v>74</v>
      </c>
      <c r="BA171" s="83" t="s">
        <v>131</v>
      </c>
      <c r="BC171" s="83" t="s">
        <v>74</v>
      </c>
      <c r="BD171" s="83" t="s">
        <v>131</v>
      </c>
      <c r="BF171" s="83" t="s">
        <v>74</v>
      </c>
      <c r="BG171" s="83" t="s">
        <v>131</v>
      </c>
      <c r="BI171" s="83" t="s">
        <v>74</v>
      </c>
      <c r="BJ171" s="83" t="s">
        <v>131</v>
      </c>
      <c r="BL171" s="83" t="s">
        <v>74</v>
      </c>
      <c r="BM171" s="83" t="s">
        <v>131</v>
      </c>
      <c r="BO171" s="83" t="s">
        <v>74</v>
      </c>
      <c r="BP171" s="83" t="s">
        <v>131</v>
      </c>
      <c r="BR171" s="83" t="s">
        <v>74</v>
      </c>
      <c r="BS171" s="83" t="s">
        <v>131</v>
      </c>
      <c r="BU171" s="83" t="s">
        <v>74</v>
      </c>
      <c r="BV171" s="83" t="s">
        <v>131</v>
      </c>
      <c r="BX171" s="83" t="s">
        <v>74</v>
      </c>
      <c r="BY171" s="83" t="s">
        <v>131</v>
      </c>
      <c r="CA171" s="83" t="s">
        <v>74</v>
      </c>
      <c r="CB171" s="83" t="s">
        <v>131</v>
      </c>
      <c r="CD171" s="83" t="s">
        <v>74</v>
      </c>
      <c r="CE171" s="83" t="s">
        <v>131</v>
      </c>
      <c r="CG171" s="83" t="s">
        <v>74</v>
      </c>
      <c r="CH171" s="83" t="s">
        <v>131</v>
      </c>
      <c r="CJ171" s="83" t="s">
        <v>74</v>
      </c>
      <c r="CK171" s="83" t="s">
        <v>131</v>
      </c>
      <c r="CM171" s="83" t="s">
        <v>74</v>
      </c>
      <c r="CN171" s="83" t="s">
        <v>131</v>
      </c>
      <c r="CP171" s="83" t="s">
        <v>74</v>
      </c>
      <c r="CQ171" s="83" t="s">
        <v>131</v>
      </c>
      <c r="CS171" s="83" t="s">
        <v>74</v>
      </c>
      <c r="CT171" s="83" t="s">
        <v>131</v>
      </c>
      <c r="CV171" s="83" t="s">
        <v>74</v>
      </c>
      <c r="CW171" s="83" t="s">
        <v>131</v>
      </c>
      <c r="CY171" s="83" t="s">
        <v>74</v>
      </c>
      <c r="CZ171" s="83" t="s">
        <v>131</v>
      </c>
    </row>
    <row r="173" spans="1:104" x14ac:dyDescent="0.2">
      <c r="A173" s="83" t="s">
        <v>75</v>
      </c>
      <c r="B173" s="83" t="s">
        <v>132</v>
      </c>
      <c r="D173" s="83" t="s">
        <v>75</v>
      </c>
      <c r="E173" s="83" t="s">
        <v>132</v>
      </c>
      <c r="G173" s="83" t="s">
        <v>75</v>
      </c>
      <c r="H173" s="83" t="s">
        <v>132</v>
      </c>
      <c r="J173" s="83" t="s">
        <v>75</v>
      </c>
      <c r="K173" s="83" t="s">
        <v>132</v>
      </c>
      <c r="M173" s="83" t="s">
        <v>75</v>
      </c>
      <c r="N173" s="83" t="s">
        <v>132</v>
      </c>
      <c r="P173" s="83" t="s">
        <v>75</v>
      </c>
      <c r="Q173" s="83" t="s">
        <v>132</v>
      </c>
      <c r="S173" s="83" t="s">
        <v>75</v>
      </c>
      <c r="T173" s="83" t="s">
        <v>132</v>
      </c>
      <c r="V173" s="83" t="s">
        <v>75</v>
      </c>
      <c r="W173" s="83" t="s">
        <v>132</v>
      </c>
      <c r="Y173" s="83" t="s">
        <v>75</v>
      </c>
      <c r="Z173" s="83" t="s">
        <v>132</v>
      </c>
      <c r="AB173" s="83" t="s">
        <v>75</v>
      </c>
      <c r="AC173" s="83" t="s">
        <v>132</v>
      </c>
      <c r="AE173" s="83" t="s">
        <v>75</v>
      </c>
      <c r="AF173" s="83" t="s">
        <v>132</v>
      </c>
      <c r="AH173" s="83" t="s">
        <v>75</v>
      </c>
      <c r="AI173" s="83" t="s">
        <v>132</v>
      </c>
      <c r="AK173" s="83" t="s">
        <v>75</v>
      </c>
      <c r="AL173" s="83" t="s">
        <v>132</v>
      </c>
      <c r="AN173" s="83" t="s">
        <v>75</v>
      </c>
      <c r="AO173" s="83" t="s">
        <v>132</v>
      </c>
      <c r="AQ173" s="83" t="s">
        <v>75</v>
      </c>
      <c r="AR173" s="83" t="s">
        <v>132</v>
      </c>
      <c r="AT173" s="83" t="s">
        <v>75</v>
      </c>
      <c r="AU173" s="83" t="s">
        <v>132</v>
      </c>
      <c r="AW173" s="83" t="s">
        <v>75</v>
      </c>
      <c r="AX173" s="83" t="s">
        <v>132</v>
      </c>
      <c r="AZ173" s="83" t="s">
        <v>75</v>
      </c>
      <c r="BA173" s="83" t="s">
        <v>132</v>
      </c>
      <c r="BC173" s="83" t="s">
        <v>75</v>
      </c>
      <c r="BD173" s="83" t="s">
        <v>132</v>
      </c>
      <c r="BF173" s="83" t="s">
        <v>75</v>
      </c>
      <c r="BG173" s="83" t="s">
        <v>132</v>
      </c>
      <c r="BI173" s="83" t="s">
        <v>75</v>
      </c>
      <c r="BJ173" s="83" t="s">
        <v>132</v>
      </c>
      <c r="BL173" s="83" t="s">
        <v>75</v>
      </c>
      <c r="BM173" s="83" t="s">
        <v>132</v>
      </c>
      <c r="BO173" s="83" t="s">
        <v>75</v>
      </c>
      <c r="BP173" s="83" t="s">
        <v>132</v>
      </c>
      <c r="BR173" s="83" t="s">
        <v>75</v>
      </c>
      <c r="BS173" s="83" t="s">
        <v>132</v>
      </c>
      <c r="BU173" s="83" t="s">
        <v>75</v>
      </c>
      <c r="BV173" s="83" t="s">
        <v>132</v>
      </c>
      <c r="BX173" s="83" t="s">
        <v>75</v>
      </c>
      <c r="BY173" s="83" t="s">
        <v>132</v>
      </c>
      <c r="CA173" s="83" t="s">
        <v>75</v>
      </c>
      <c r="CB173" s="83" t="s">
        <v>132</v>
      </c>
      <c r="CD173" s="83" t="s">
        <v>75</v>
      </c>
      <c r="CE173" s="83" t="s">
        <v>132</v>
      </c>
      <c r="CG173" s="83" t="s">
        <v>75</v>
      </c>
      <c r="CH173" s="83" t="s">
        <v>132</v>
      </c>
      <c r="CJ173" s="83" t="s">
        <v>75</v>
      </c>
      <c r="CK173" s="83" t="s">
        <v>132</v>
      </c>
      <c r="CM173" s="83" t="s">
        <v>75</v>
      </c>
      <c r="CN173" s="83" t="s">
        <v>132</v>
      </c>
      <c r="CP173" s="83" t="s">
        <v>75</v>
      </c>
      <c r="CQ173" s="83" t="s">
        <v>132</v>
      </c>
      <c r="CS173" s="83" t="s">
        <v>75</v>
      </c>
      <c r="CT173" s="83" t="s">
        <v>132</v>
      </c>
      <c r="CV173" s="83" t="s">
        <v>75</v>
      </c>
      <c r="CW173" s="83" t="s">
        <v>132</v>
      </c>
      <c r="CY173" s="83" t="s">
        <v>75</v>
      </c>
      <c r="CZ173" s="83" t="s">
        <v>132</v>
      </c>
    </row>
    <row r="175" spans="1:104" x14ac:dyDescent="0.2">
      <c r="A175" s="83" t="s">
        <v>79</v>
      </c>
      <c r="B175" s="83">
        <v>20000</v>
      </c>
      <c r="D175" s="83" t="s">
        <v>79</v>
      </c>
      <c r="E175" s="83">
        <v>20000</v>
      </c>
      <c r="G175" s="83" t="s">
        <v>79</v>
      </c>
      <c r="H175" s="83">
        <v>20000</v>
      </c>
      <c r="J175" s="83" t="s">
        <v>79</v>
      </c>
      <c r="K175" s="83">
        <v>20000</v>
      </c>
      <c r="M175" s="83" t="s">
        <v>79</v>
      </c>
      <c r="N175" s="83">
        <v>20000</v>
      </c>
      <c r="P175" s="83" t="s">
        <v>79</v>
      </c>
      <c r="Q175" s="83">
        <v>20000</v>
      </c>
      <c r="S175" s="83" t="s">
        <v>79</v>
      </c>
      <c r="T175" s="83">
        <v>20000</v>
      </c>
      <c r="V175" s="83" t="s">
        <v>79</v>
      </c>
      <c r="W175" s="83">
        <v>20000</v>
      </c>
      <c r="Y175" s="83" t="s">
        <v>79</v>
      </c>
      <c r="Z175" s="83">
        <v>20000</v>
      </c>
      <c r="AB175" s="83" t="s">
        <v>79</v>
      </c>
      <c r="AC175" s="83">
        <v>20000</v>
      </c>
      <c r="AE175" s="83" t="s">
        <v>79</v>
      </c>
      <c r="AF175" s="83">
        <v>20000</v>
      </c>
      <c r="AH175" s="83" t="s">
        <v>79</v>
      </c>
      <c r="AI175" s="83">
        <v>20000</v>
      </c>
      <c r="AK175" s="83" t="s">
        <v>79</v>
      </c>
      <c r="AL175" s="83">
        <v>20000</v>
      </c>
      <c r="AN175" s="83" t="s">
        <v>79</v>
      </c>
      <c r="AO175" s="83">
        <v>20000</v>
      </c>
      <c r="AQ175" s="83" t="s">
        <v>79</v>
      </c>
      <c r="AR175" s="83">
        <v>20000</v>
      </c>
      <c r="AT175" s="83" t="s">
        <v>79</v>
      </c>
      <c r="AU175" s="83">
        <v>20000</v>
      </c>
      <c r="AW175" s="83" t="s">
        <v>79</v>
      </c>
      <c r="AX175" s="83">
        <v>20000</v>
      </c>
      <c r="AZ175" s="83" t="s">
        <v>79</v>
      </c>
      <c r="BA175" s="83">
        <v>20000</v>
      </c>
      <c r="BC175" s="83" t="s">
        <v>79</v>
      </c>
      <c r="BD175" s="83">
        <v>20000</v>
      </c>
      <c r="BF175" s="83" t="s">
        <v>79</v>
      </c>
      <c r="BG175" s="83">
        <v>20000</v>
      </c>
      <c r="BI175" s="83" t="s">
        <v>79</v>
      </c>
      <c r="BJ175" s="83">
        <v>20000</v>
      </c>
      <c r="BL175" s="83" t="s">
        <v>79</v>
      </c>
      <c r="BM175" s="83">
        <v>20000</v>
      </c>
      <c r="BO175" s="83" t="s">
        <v>79</v>
      </c>
      <c r="BP175" s="83">
        <v>20000</v>
      </c>
      <c r="BR175" s="83" t="s">
        <v>79</v>
      </c>
      <c r="BS175" s="83">
        <v>20000</v>
      </c>
      <c r="BU175" s="83" t="s">
        <v>79</v>
      </c>
      <c r="BV175" s="83">
        <v>20000</v>
      </c>
      <c r="BX175" s="83" t="s">
        <v>79</v>
      </c>
      <c r="BY175" s="83">
        <v>20000</v>
      </c>
      <c r="CA175" s="83" t="s">
        <v>79</v>
      </c>
      <c r="CB175" s="83">
        <v>20000</v>
      </c>
      <c r="CD175" s="83" t="s">
        <v>79</v>
      </c>
      <c r="CE175" s="83">
        <v>20000</v>
      </c>
      <c r="CG175" s="83" t="s">
        <v>79</v>
      </c>
      <c r="CH175" s="83">
        <v>20000</v>
      </c>
      <c r="CJ175" s="83" t="s">
        <v>79</v>
      </c>
      <c r="CK175" s="83">
        <v>20000</v>
      </c>
      <c r="CM175" s="83" t="s">
        <v>79</v>
      </c>
      <c r="CN175" s="83">
        <v>20000</v>
      </c>
      <c r="CP175" s="83" t="s">
        <v>79</v>
      </c>
      <c r="CQ175" s="83">
        <v>20000</v>
      </c>
      <c r="CS175" s="83" t="s">
        <v>79</v>
      </c>
      <c r="CT175" s="83">
        <v>20000</v>
      </c>
      <c r="CV175" s="83" t="s">
        <v>79</v>
      </c>
      <c r="CW175" s="83">
        <v>20000</v>
      </c>
      <c r="CY175" s="83" t="s">
        <v>79</v>
      </c>
      <c r="CZ175" s="83">
        <v>20000</v>
      </c>
    </row>
    <row r="177" spans="1:104" x14ac:dyDescent="0.2">
      <c r="A177" s="83" t="s">
        <v>77</v>
      </c>
      <c r="B177" s="83">
        <v>6</v>
      </c>
      <c r="D177" s="83" t="s">
        <v>77</v>
      </c>
      <c r="E177" s="83">
        <v>6</v>
      </c>
      <c r="G177" s="83" t="s">
        <v>77</v>
      </c>
      <c r="H177" s="83">
        <v>6</v>
      </c>
      <c r="J177" s="83" t="s">
        <v>77</v>
      </c>
      <c r="K177" s="83">
        <v>6</v>
      </c>
      <c r="M177" s="83" t="s">
        <v>77</v>
      </c>
      <c r="N177" s="83">
        <v>6</v>
      </c>
      <c r="P177" s="83" t="s">
        <v>77</v>
      </c>
      <c r="Q177" s="83">
        <v>6</v>
      </c>
      <c r="S177" s="83" t="s">
        <v>77</v>
      </c>
      <c r="T177" s="83">
        <v>6</v>
      </c>
      <c r="V177" s="83" t="s">
        <v>77</v>
      </c>
      <c r="W177" s="83">
        <v>6</v>
      </c>
      <c r="Y177" s="83" t="s">
        <v>77</v>
      </c>
      <c r="Z177" s="83">
        <v>6</v>
      </c>
      <c r="AB177" s="83" t="s">
        <v>77</v>
      </c>
      <c r="AC177" s="83">
        <v>6</v>
      </c>
      <c r="AE177" s="83" t="s">
        <v>77</v>
      </c>
      <c r="AF177" s="83">
        <v>6</v>
      </c>
      <c r="AH177" s="83" t="s">
        <v>77</v>
      </c>
      <c r="AI177" s="83">
        <v>6</v>
      </c>
      <c r="AK177" s="83" t="s">
        <v>77</v>
      </c>
      <c r="AL177" s="83">
        <v>6</v>
      </c>
      <c r="AN177" s="83" t="s">
        <v>77</v>
      </c>
      <c r="AO177" s="83">
        <v>6</v>
      </c>
      <c r="AQ177" s="83" t="s">
        <v>77</v>
      </c>
      <c r="AR177" s="83">
        <v>6</v>
      </c>
      <c r="AT177" s="83" t="s">
        <v>77</v>
      </c>
      <c r="AU177" s="83">
        <v>6</v>
      </c>
      <c r="AW177" s="83" t="s">
        <v>77</v>
      </c>
      <c r="AX177" s="83">
        <v>6</v>
      </c>
      <c r="AZ177" s="83" t="s">
        <v>77</v>
      </c>
      <c r="BA177" s="83">
        <v>6</v>
      </c>
      <c r="BC177" s="83" t="s">
        <v>77</v>
      </c>
      <c r="BD177" s="83">
        <v>6</v>
      </c>
      <c r="BF177" s="83" t="s">
        <v>77</v>
      </c>
      <c r="BG177" s="83">
        <v>6</v>
      </c>
      <c r="BI177" s="83" t="s">
        <v>77</v>
      </c>
      <c r="BJ177" s="83">
        <v>6</v>
      </c>
      <c r="BL177" s="83" t="s">
        <v>77</v>
      </c>
      <c r="BM177" s="83">
        <v>6</v>
      </c>
      <c r="BO177" s="83" t="s">
        <v>77</v>
      </c>
      <c r="BP177" s="83">
        <v>6</v>
      </c>
      <c r="BR177" s="83" t="s">
        <v>77</v>
      </c>
      <c r="BS177" s="83">
        <v>6</v>
      </c>
      <c r="BU177" s="83" t="s">
        <v>77</v>
      </c>
      <c r="BV177" s="83">
        <v>6</v>
      </c>
      <c r="BX177" s="83" t="s">
        <v>77</v>
      </c>
      <c r="BY177" s="83">
        <v>6</v>
      </c>
      <c r="CA177" s="83" t="s">
        <v>77</v>
      </c>
      <c r="CB177" s="83">
        <v>6</v>
      </c>
      <c r="CD177" s="83" t="s">
        <v>77</v>
      </c>
      <c r="CE177" s="83">
        <v>6</v>
      </c>
      <c r="CG177" s="83" t="s">
        <v>77</v>
      </c>
      <c r="CH177" s="83">
        <v>6</v>
      </c>
      <c r="CJ177" s="83" t="s">
        <v>77</v>
      </c>
      <c r="CK177" s="83">
        <v>6</v>
      </c>
      <c r="CM177" s="83" t="s">
        <v>77</v>
      </c>
      <c r="CN177" s="83">
        <v>6</v>
      </c>
      <c r="CP177" s="83" t="s">
        <v>77</v>
      </c>
      <c r="CQ177" s="83">
        <v>6</v>
      </c>
      <c r="CS177" s="83" t="s">
        <v>77</v>
      </c>
      <c r="CT177" s="83">
        <v>6</v>
      </c>
      <c r="CV177" s="83" t="s">
        <v>77</v>
      </c>
      <c r="CW177" s="83">
        <v>6</v>
      </c>
      <c r="CY177" s="83" t="s">
        <v>77</v>
      </c>
      <c r="CZ177" s="83">
        <v>6</v>
      </c>
    </row>
    <row r="179" spans="1:104" x14ac:dyDescent="0.2">
      <c r="A179" s="83" t="s">
        <v>78</v>
      </c>
      <c r="B179" s="83">
        <v>1</v>
      </c>
      <c r="D179" s="83" t="s">
        <v>78</v>
      </c>
      <c r="E179" s="83">
        <v>1</v>
      </c>
      <c r="G179" s="83" t="s">
        <v>78</v>
      </c>
      <c r="H179" s="83">
        <v>1</v>
      </c>
      <c r="J179" s="83" t="s">
        <v>78</v>
      </c>
      <c r="K179" s="83">
        <v>1</v>
      </c>
      <c r="M179" s="83" t="s">
        <v>78</v>
      </c>
      <c r="N179" s="83">
        <v>1</v>
      </c>
      <c r="P179" s="83" t="s">
        <v>78</v>
      </c>
      <c r="Q179" s="83">
        <v>1</v>
      </c>
      <c r="S179" s="83" t="s">
        <v>78</v>
      </c>
      <c r="T179" s="83">
        <v>1</v>
      </c>
      <c r="V179" s="83" t="s">
        <v>78</v>
      </c>
      <c r="W179" s="83">
        <v>1</v>
      </c>
      <c r="Y179" s="83" t="s">
        <v>78</v>
      </c>
      <c r="Z179" s="83">
        <v>1</v>
      </c>
      <c r="AB179" s="83" t="s">
        <v>78</v>
      </c>
      <c r="AC179" s="83">
        <v>1</v>
      </c>
      <c r="AE179" s="83" t="s">
        <v>78</v>
      </c>
      <c r="AF179" s="83">
        <v>1</v>
      </c>
      <c r="AH179" s="83" t="s">
        <v>78</v>
      </c>
      <c r="AI179" s="83">
        <v>1</v>
      </c>
      <c r="AK179" s="83" t="s">
        <v>78</v>
      </c>
      <c r="AL179" s="83">
        <v>1</v>
      </c>
      <c r="AN179" s="83" t="s">
        <v>78</v>
      </c>
      <c r="AO179" s="83">
        <v>1</v>
      </c>
      <c r="AQ179" s="83" t="s">
        <v>78</v>
      </c>
      <c r="AR179" s="83">
        <v>1</v>
      </c>
      <c r="AT179" s="83" t="s">
        <v>78</v>
      </c>
      <c r="AU179" s="83">
        <v>1</v>
      </c>
      <c r="AW179" s="83" t="s">
        <v>78</v>
      </c>
      <c r="AX179" s="83">
        <v>1</v>
      </c>
      <c r="AZ179" s="83" t="s">
        <v>78</v>
      </c>
      <c r="BA179" s="83">
        <v>1</v>
      </c>
      <c r="BC179" s="83" t="s">
        <v>78</v>
      </c>
      <c r="BD179" s="83">
        <v>1</v>
      </c>
      <c r="BF179" s="83" t="s">
        <v>78</v>
      </c>
      <c r="BG179" s="83">
        <v>1</v>
      </c>
      <c r="BI179" s="83" t="s">
        <v>78</v>
      </c>
      <c r="BJ179" s="83">
        <v>1</v>
      </c>
      <c r="BL179" s="83" t="s">
        <v>78</v>
      </c>
      <c r="BM179" s="83">
        <v>1</v>
      </c>
      <c r="BO179" s="83" t="s">
        <v>78</v>
      </c>
      <c r="BP179" s="83">
        <v>1</v>
      </c>
      <c r="BR179" s="83" t="s">
        <v>78</v>
      </c>
      <c r="BS179" s="83">
        <v>1</v>
      </c>
      <c r="BU179" s="83" t="s">
        <v>78</v>
      </c>
      <c r="BV179" s="83">
        <v>1</v>
      </c>
      <c r="BX179" s="83" t="s">
        <v>78</v>
      </c>
      <c r="BY179" s="83">
        <v>1</v>
      </c>
      <c r="CA179" s="83" t="s">
        <v>78</v>
      </c>
      <c r="CB179" s="83">
        <v>1</v>
      </c>
      <c r="CD179" s="83" t="s">
        <v>78</v>
      </c>
      <c r="CE179" s="83">
        <v>1</v>
      </c>
      <c r="CG179" s="83" t="s">
        <v>78</v>
      </c>
      <c r="CH179" s="83">
        <v>1</v>
      </c>
      <c r="CJ179" s="83" t="s">
        <v>78</v>
      </c>
      <c r="CK179" s="83">
        <v>1</v>
      </c>
      <c r="CM179" s="83" t="s">
        <v>78</v>
      </c>
      <c r="CN179" s="83">
        <v>1</v>
      </c>
      <c r="CP179" s="83" t="s">
        <v>78</v>
      </c>
      <c r="CQ179" s="83">
        <v>1</v>
      </c>
      <c r="CS179" s="83" t="s">
        <v>78</v>
      </c>
      <c r="CT179" s="83">
        <v>1</v>
      </c>
      <c r="CV179" s="83" t="s">
        <v>78</v>
      </c>
      <c r="CW179" s="83">
        <v>1</v>
      </c>
      <c r="CY179" s="83" t="s">
        <v>78</v>
      </c>
      <c r="CZ179" s="83">
        <v>1</v>
      </c>
    </row>
    <row r="181" spans="1:104" x14ac:dyDescent="0.2">
      <c r="A181" s="83" t="s">
        <v>81</v>
      </c>
      <c r="B181" s="83">
        <v>20</v>
      </c>
      <c r="D181" s="83" t="s">
        <v>81</v>
      </c>
      <c r="E181" s="83">
        <v>20</v>
      </c>
      <c r="G181" s="83" t="s">
        <v>81</v>
      </c>
      <c r="H181" s="83">
        <v>20</v>
      </c>
      <c r="J181" s="83" t="s">
        <v>81</v>
      </c>
      <c r="K181" s="83">
        <v>20</v>
      </c>
      <c r="M181" s="83" t="s">
        <v>81</v>
      </c>
      <c r="N181" s="83">
        <v>20</v>
      </c>
      <c r="P181" s="83" t="s">
        <v>81</v>
      </c>
      <c r="Q181" s="83">
        <v>20</v>
      </c>
      <c r="S181" s="83" t="s">
        <v>81</v>
      </c>
      <c r="T181" s="83">
        <v>20</v>
      </c>
      <c r="V181" s="83" t="s">
        <v>81</v>
      </c>
      <c r="W181" s="83">
        <v>20</v>
      </c>
      <c r="Y181" s="83" t="s">
        <v>81</v>
      </c>
      <c r="Z181" s="83">
        <v>20</v>
      </c>
      <c r="AB181" s="83" t="s">
        <v>81</v>
      </c>
      <c r="AC181" s="83">
        <v>20</v>
      </c>
      <c r="AE181" s="83" t="s">
        <v>81</v>
      </c>
      <c r="AF181" s="83">
        <v>20</v>
      </c>
      <c r="AH181" s="83" t="s">
        <v>81</v>
      </c>
      <c r="AI181" s="83">
        <v>20</v>
      </c>
      <c r="AK181" s="83" t="s">
        <v>81</v>
      </c>
      <c r="AL181" s="83">
        <v>20</v>
      </c>
      <c r="AN181" s="83" t="s">
        <v>81</v>
      </c>
      <c r="AO181" s="83">
        <v>20</v>
      </c>
      <c r="AQ181" s="83" t="s">
        <v>81</v>
      </c>
      <c r="AR181" s="83">
        <v>20</v>
      </c>
      <c r="AT181" s="83" t="s">
        <v>81</v>
      </c>
      <c r="AU181" s="83">
        <v>20</v>
      </c>
      <c r="AW181" s="83" t="s">
        <v>81</v>
      </c>
      <c r="AX181" s="83">
        <v>20</v>
      </c>
      <c r="AZ181" s="83" t="s">
        <v>81</v>
      </c>
      <c r="BA181" s="83">
        <v>20</v>
      </c>
      <c r="BC181" s="83" t="s">
        <v>81</v>
      </c>
      <c r="BD181" s="83">
        <v>20</v>
      </c>
      <c r="BF181" s="83" t="s">
        <v>81</v>
      </c>
      <c r="BG181" s="83">
        <v>20</v>
      </c>
      <c r="BI181" s="83" t="s">
        <v>81</v>
      </c>
      <c r="BJ181" s="83">
        <v>20</v>
      </c>
      <c r="BL181" s="83" t="s">
        <v>81</v>
      </c>
      <c r="BM181" s="83">
        <v>20</v>
      </c>
      <c r="BO181" s="83" t="s">
        <v>81</v>
      </c>
      <c r="BP181" s="83">
        <v>20</v>
      </c>
      <c r="BR181" s="83" t="s">
        <v>81</v>
      </c>
      <c r="BS181" s="83">
        <v>20</v>
      </c>
      <c r="BU181" s="83" t="s">
        <v>81</v>
      </c>
      <c r="BV181" s="83">
        <v>20</v>
      </c>
      <c r="BX181" s="83" t="s">
        <v>81</v>
      </c>
      <c r="BY181" s="83">
        <v>20</v>
      </c>
      <c r="CA181" s="83" t="s">
        <v>81</v>
      </c>
      <c r="CB181" s="83">
        <v>20</v>
      </c>
      <c r="CD181" s="83" t="s">
        <v>81</v>
      </c>
      <c r="CE181" s="83">
        <v>20</v>
      </c>
      <c r="CG181" s="83" t="s">
        <v>81</v>
      </c>
      <c r="CH181" s="83">
        <v>20</v>
      </c>
      <c r="CJ181" s="83" t="s">
        <v>81</v>
      </c>
      <c r="CK181" s="83">
        <v>20</v>
      </c>
      <c r="CM181" s="83" t="s">
        <v>81</v>
      </c>
      <c r="CN181" s="83">
        <v>20</v>
      </c>
      <c r="CP181" s="83" t="s">
        <v>81</v>
      </c>
      <c r="CQ181" s="83">
        <v>20</v>
      </c>
      <c r="CS181" s="83" t="s">
        <v>81</v>
      </c>
      <c r="CT181" s="83">
        <v>20</v>
      </c>
      <c r="CV181" s="83" t="s">
        <v>81</v>
      </c>
      <c r="CW181" s="83">
        <v>20</v>
      </c>
      <c r="CY181" s="83" t="s">
        <v>81</v>
      </c>
      <c r="CZ181" s="83">
        <v>20</v>
      </c>
    </row>
    <row r="183" spans="1:104" x14ac:dyDescent="0.2">
      <c r="A183" s="83" t="s">
        <v>83</v>
      </c>
      <c r="B183" s="83">
        <v>1</v>
      </c>
      <c r="D183" s="83" t="s">
        <v>83</v>
      </c>
      <c r="E183" s="83">
        <v>1</v>
      </c>
      <c r="G183" s="83" t="s">
        <v>83</v>
      </c>
      <c r="H183" s="83">
        <v>1</v>
      </c>
      <c r="J183" s="83" t="s">
        <v>83</v>
      </c>
      <c r="K183" s="83">
        <v>1</v>
      </c>
      <c r="M183" s="83" t="s">
        <v>83</v>
      </c>
      <c r="N183" s="83">
        <v>1</v>
      </c>
      <c r="P183" s="83" t="s">
        <v>83</v>
      </c>
      <c r="Q183" s="83">
        <v>1</v>
      </c>
      <c r="S183" s="83" t="s">
        <v>83</v>
      </c>
      <c r="T183" s="83">
        <v>1</v>
      </c>
      <c r="V183" s="83" t="s">
        <v>83</v>
      </c>
      <c r="W183" s="83">
        <v>1</v>
      </c>
      <c r="Y183" s="83" t="s">
        <v>83</v>
      </c>
      <c r="Z183" s="83">
        <v>1</v>
      </c>
      <c r="AB183" s="83" t="s">
        <v>83</v>
      </c>
      <c r="AC183" s="83">
        <v>1</v>
      </c>
      <c r="AE183" s="83" t="s">
        <v>83</v>
      </c>
      <c r="AF183" s="83">
        <v>1</v>
      </c>
      <c r="AH183" s="83" t="s">
        <v>83</v>
      </c>
      <c r="AI183" s="83">
        <v>1</v>
      </c>
      <c r="AK183" s="83" t="s">
        <v>83</v>
      </c>
      <c r="AL183" s="83">
        <v>1</v>
      </c>
      <c r="AN183" s="83" t="s">
        <v>83</v>
      </c>
      <c r="AO183" s="83">
        <v>1</v>
      </c>
      <c r="AQ183" s="83" t="s">
        <v>83</v>
      </c>
      <c r="AR183" s="83">
        <v>1</v>
      </c>
      <c r="AT183" s="83" t="s">
        <v>83</v>
      </c>
      <c r="AU183" s="83">
        <v>1</v>
      </c>
      <c r="AW183" s="83" t="s">
        <v>83</v>
      </c>
      <c r="AX183" s="83">
        <v>1</v>
      </c>
      <c r="AZ183" s="83" t="s">
        <v>83</v>
      </c>
      <c r="BA183" s="83">
        <v>1</v>
      </c>
      <c r="BC183" s="83" t="s">
        <v>83</v>
      </c>
      <c r="BD183" s="83">
        <v>1</v>
      </c>
      <c r="BF183" s="83" t="s">
        <v>83</v>
      </c>
      <c r="BG183" s="83">
        <v>1</v>
      </c>
      <c r="BI183" s="83" t="s">
        <v>83</v>
      </c>
      <c r="BJ183" s="83">
        <v>1</v>
      </c>
      <c r="BL183" s="83" t="s">
        <v>83</v>
      </c>
      <c r="BM183" s="83">
        <v>1</v>
      </c>
      <c r="BO183" s="83" t="s">
        <v>83</v>
      </c>
      <c r="BP183" s="83">
        <v>1</v>
      </c>
      <c r="BR183" s="83" t="s">
        <v>83</v>
      </c>
      <c r="BS183" s="83">
        <v>1</v>
      </c>
      <c r="BU183" s="83" t="s">
        <v>83</v>
      </c>
      <c r="BV183" s="83">
        <v>1</v>
      </c>
      <c r="BX183" s="83" t="s">
        <v>83</v>
      </c>
      <c r="BY183" s="83">
        <v>1</v>
      </c>
      <c r="CA183" s="83" t="s">
        <v>83</v>
      </c>
      <c r="CB183" s="83">
        <v>1</v>
      </c>
      <c r="CD183" s="83" t="s">
        <v>83</v>
      </c>
      <c r="CE183" s="83">
        <v>1</v>
      </c>
      <c r="CG183" s="83" t="s">
        <v>83</v>
      </c>
      <c r="CH183" s="83">
        <v>1</v>
      </c>
      <c r="CJ183" s="83" t="s">
        <v>83</v>
      </c>
      <c r="CK183" s="83">
        <v>1</v>
      </c>
      <c r="CM183" s="83" t="s">
        <v>83</v>
      </c>
      <c r="CN183" s="83">
        <v>1</v>
      </c>
      <c r="CP183" s="83" t="s">
        <v>83</v>
      </c>
      <c r="CQ183" s="83">
        <v>1</v>
      </c>
      <c r="CS183" s="83" t="s">
        <v>83</v>
      </c>
      <c r="CT183" s="83">
        <v>1</v>
      </c>
      <c r="CV183" s="83" t="s">
        <v>83</v>
      </c>
      <c r="CW183" s="83">
        <v>1</v>
      </c>
      <c r="CY183" s="83" t="s">
        <v>83</v>
      </c>
      <c r="CZ183" s="83">
        <v>1</v>
      </c>
    </row>
    <row r="185" spans="1:104" x14ac:dyDescent="0.2">
      <c r="A185" s="83" t="s">
        <v>84</v>
      </c>
      <c r="B185" s="83" t="s">
        <v>132</v>
      </c>
      <c r="D185" s="83" t="s">
        <v>84</v>
      </c>
      <c r="E185" s="83" t="s">
        <v>132</v>
      </c>
      <c r="G185" s="83" t="s">
        <v>84</v>
      </c>
      <c r="H185" s="83" t="s">
        <v>132</v>
      </c>
      <c r="J185" s="83" t="s">
        <v>84</v>
      </c>
      <c r="K185" s="83" t="s">
        <v>132</v>
      </c>
      <c r="M185" s="83" t="s">
        <v>84</v>
      </c>
      <c r="N185" s="83" t="s">
        <v>132</v>
      </c>
      <c r="P185" s="83" t="s">
        <v>84</v>
      </c>
      <c r="Q185" s="83" t="s">
        <v>132</v>
      </c>
      <c r="S185" s="83" t="s">
        <v>84</v>
      </c>
      <c r="T185" s="83" t="s">
        <v>132</v>
      </c>
      <c r="V185" s="83" t="s">
        <v>84</v>
      </c>
      <c r="W185" s="83" t="s">
        <v>132</v>
      </c>
      <c r="Y185" s="83" t="s">
        <v>84</v>
      </c>
      <c r="Z185" s="83" t="s">
        <v>132</v>
      </c>
      <c r="AB185" s="83" t="s">
        <v>84</v>
      </c>
      <c r="AC185" s="83" t="s">
        <v>132</v>
      </c>
      <c r="AE185" s="83" t="s">
        <v>84</v>
      </c>
      <c r="AF185" s="83" t="s">
        <v>132</v>
      </c>
      <c r="AH185" s="83" t="s">
        <v>84</v>
      </c>
      <c r="AI185" s="83" t="s">
        <v>132</v>
      </c>
      <c r="AK185" s="83" t="s">
        <v>84</v>
      </c>
      <c r="AL185" s="83" t="s">
        <v>132</v>
      </c>
      <c r="AN185" s="83" t="s">
        <v>84</v>
      </c>
      <c r="AO185" s="83" t="s">
        <v>132</v>
      </c>
      <c r="AQ185" s="83" t="s">
        <v>84</v>
      </c>
      <c r="AR185" s="83" t="s">
        <v>132</v>
      </c>
      <c r="AT185" s="83" t="s">
        <v>84</v>
      </c>
      <c r="AU185" s="83" t="s">
        <v>132</v>
      </c>
      <c r="AW185" s="83" t="s">
        <v>84</v>
      </c>
      <c r="AX185" s="83" t="s">
        <v>132</v>
      </c>
      <c r="AZ185" s="83" t="s">
        <v>84</v>
      </c>
      <c r="BA185" s="83" t="s">
        <v>132</v>
      </c>
      <c r="BC185" s="83" t="s">
        <v>84</v>
      </c>
      <c r="BD185" s="83" t="s">
        <v>132</v>
      </c>
      <c r="BF185" s="83" t="s">
        <v>84</v>
      </c>
      <c r="BG185" s="83" t="s">
        <v>132</v>
      </c>
      <c r="BI185" s="83" t="s">
        <v>84</v>
      </c>
      <c r="BJ185" s="83" t="s">
        <v>132</v>
      </c>
      <c r="BL185" s="83" t="s">
        <v>84</v>
      </c>
      <c r="BM185" s="83" t="s">
        <v>132</v>
      </c>
      <c r="BO185" s="83" t="s">
        <v>84</v>
      </c>
      <c r="BP185" s="83" t="s">
        <v>132</v>
      </c>
      <c r="BR185" s="83" t="s">
        <v>84</v>
      </c>
      <c r="BS185" s="83" t="s">
        <v>132</v>
      </c>
      <c r="BU185" s="83" t="s">
        <v>84</v>
      </c>
      <c r="BV185" s="83" t="s">
        <v>132</v>
      </c>
      <c r="BX185" s="83" t="s">
        <v>84</v>
      </c>
      <c r="BY185" s="83" t="s">
        <v>132</v>
      </c>
      <c r="CA185" s="83" t="s">
        <v>84</v>
      </c>
      <c r="CB185" s="83" t="s">
        <v>132</v>
      </c>
      <c r="CD185" s="83" t="s">
        <v>84</v>
      </c>
      <c r="CE185" s="83" t="s">
        <v>132</v>
      </c>
      <c r="CG185" s="83" t="s">
        <v>84</v>
      </c>
      <c r="CH185" s="83" t="s">
        <v>132</v>
      </c>
      <c r="CJ185" s="83" t="s">
        <v>84</v>
      </c>
      <c r="CK185" s="83" t="s">
        <v>132</v>
      </c>
      <c r="CM185" s="83" t="s">
        <v>84</v>
      </c>
      <c r="CN185" s="83" t="s">
        <v>132</v>
      </c>
      <c r="CP185" s="83" t="s">
        <v>84</v>
      </c>
      <c r="CQ185" s="83" t="s">
        <v>132</v>
      </c>
      <c r="CS185" s="83" t="s">
        <v>84</v>
      </c>
      <c r="CT185" s="83" t="s">
        <v>132</v>
      </c>
      <c r="CV185" s="83" t="s">
        <v>84</v>
      </c>
      <c r="CW185" s="83" t="s">
        <v>132</v>
      </c>
      <c r="CY185" s="83" t="s">
        <v>84</v>
      </c>
      <c r="CZ185" s="83" t="s">
        <v>132</v>
      </c>
    </row>
    <row r="187" spans="1:104" x14ac:dyDescent="0.2">
      <c r="A187" s="83" t="s">
        <v>85</v>
      </c>
      <c r="D187" s="83" t="s">
        <v>85</v>
      </c>
      <c r="G187" s="83" t="s">
        <v>85</v>
      </c>
      <c r="J187" s="83" t="s">
        <v>85</v>
      </c>
      <c r="M187" s="83" t="s">
        <v>85</v>
      </c>
      <c r="P187" s="83" t="s">
        <v>85</v>
      </c>
      <c r="S187" s="83" t="s">
        <v>85</v>
      </c>
      <c r="V187" s="83" t="s">
        <v>85</v>
      </c>
      <c r="Y187" s="83" t="s">
        <v>85</v>
      </c>
      <c r="AB187" s="83" t="s">
        <v>85</v>
      </c>
      <c r="AE187" s="83" t="s">
        <v>85</v>
      </c>
      <c r="AH187" s="83" t="s">
        <v>85</v>
      </c>
      <c r="AK187" s="83" t="s">
        <v>85</v>
      </c>
      <c r="AN187" s="83" t="s">
        <v>85</v>
      </c>
      <c r="AQ187" s="83" t="s">
        <v>85</v>
      </c>
      <c r="AT187" s="83" t="s">
        <v>85</v>
      </c>
      <c r="AW187" s="83" t="s">
        <v>85</v>
      </c>
      <c r="AZ187" s="83" t="s">
        <v>85</v>
      </c>
      <c r="BC187" s="83" t="s">
        <v>85</v>
      </c>
      <c r="BF187" s="83" t="s">
        <v>85</v>
      </c>
      <c r="BI187" s="83" t="s">
        <v>85</v>
      </c>
      <c r="BL187" s="83" t="s">
        <v>85</v>
      </c>
      <c r="BO187" s="83" t="s">
        <v>85</v>
      </c>
      <c r="BR187" s="83" t="s">
        <v>85</v>
      </c>
      <c r="BU187" s="83" t="s">
        <v>85</v>
      </c>
      <c r="BX187" s="83" t="s">
        <v>85</v>
      </c>
      <c r="CA187" s="83" t="s">
        <v>85</v>
      </c>
      <c r="CD187" s="83" t="s">
        <v>85</v>
      </c>
      <c r="CG187" s="83" t="s">
        <v>85</v>
      </c>
      <c r="CJ187" s="83" t="s">
        <v>85</v>
      </c>
      <c r="CM187" s="83" t="s">
        <v>85</v>
      </c>
      <c r="CP187" s="83" t="s">
        <v>85</v>
      </c>
      <c r="CS187" s="83" t="s">
        <v>85</v>
      </c>
      <c r="CV187" s="83" t="s">
        <v>85</v>
      </c>
      <c r="CY187" s="83" t="s">
        <v>85</v>
      </c>
    </row>
    <row r="188" spans="1:104" x14ac:dyDescent="0.2">
      <c r="A188" s="83" t="s">
        <v>99</v>
      </c>
      <c r="B188" s="83">
        <v>1</v>
      </c>
      <c r="D188" s="83" t="s">
        <v>99</v>
      </c>
      <c r="E188" s="83">
        <v>1</v>
      </c>
      <c r="G188" s="83" t="s">
        <v>99</v>
      </c>
      <c r="H188" s="83">
        <v>1</v>
      </c>
      <c r="J188" s="83" t="s">
        <v>99</v>
      </c>
      <c r="K188" s="83">
        <v>1</v>
      </c>
      <c r="M188" s="83" t="s">
        <v>99</v>
      </c>
      <c r="N188" s="83">
        <v>1</v>
      </c>
      <c r="P188" s="83" t="s">
        <v>99</v>
      </c>
      <c r="Q188" s="83">
        <v>1</v>
      </c>
      <c r="S188" s="83" t="s">
        <v>99</v>
      </c>
      <c r="T188" s="83">
        <v>1</v>
      </c>
      <c r="V188" s="83" t="s">
        <v>99</v>
      </c>
      <c r="W188" s="83">
        <v>1</v>
      </c>
      <c r="Y188" s="83" t="s">
        <v>99</v>
      </c>
      <c r="Z188" s="83">
        <v>1</v>
      </c>
      <c r="AB188" s="83" t="s">
        <v>99</v>
      </c>
      <c r="AC188" s="83">
        <v>1</v>
      </c>
      <c r="AE188" s="83" t="s">
        <v>99</v>
      </c>
      <c r="AF188" s="83">
        <v>1</v>
      </c>
      <c r="AH188" s="83" t="s">
        <v>99</v>
      </c>
      <c r="AI188" s="83">
        <v>1</v>
      </c>
      <c r="AK188" s="83" t="s">
        <v>99</v>
      </c>
      <c r="AL188" s="83">
        <v>1</v>
      </c>
      <c r="AN188" s="83" t="s">
        <v>99</v>
      </c>
      <c r="AO188" s="83">
        <v>1</v>
      </c>
      <c r="AQ188" s="83" t="s">
        <v>99</v>
      </c>
      <c r="AR188" s="83">
        <v>1</v>
      </c>
      <c r="AT188" s="83" t="s">
        <v>99</v>
      </c>
      <c r="AU188" s="83">
        <v>1</v>
      </c>
      <c r="AW188" s="83" t="s">
        <v>99</v>
      </c>
      <c r="AX188" s="83">
        <v>1</v>
      </c>
      <c r="AZ188" s="83" t="s">
        <v>99</v>
      </c>
      <c r="BA188" s="83">
        <v>1</v>
      </c>
      <c r="BC188" s="83" t="s">
        <v>99</v>
      </c>
      <c r="BD188" s="83">
        <v>1</v>
      </c>
      <c r="BF188" s="83" t="s">
        <v>99</v>
      </c>
      <c r="BG188" s="83">
        <v>1</v>
      </c>
      <c r="BI188" s="83" t="s">
        <v>99</v>
      </c>
      <c r="BJ188" s="83">
        <v>1</v>
      </c>
      <c r="BL188" s="83" t="s">
        <v>99</v>
      </c>
      <c r="BM188" s="83">
        <v>1</v>
      </c>
      <c r="BO188" s="83" t="s">
        <v>99</v>
      </c>
      <c r="BP188" s="83">
        <v>1</v>
      </c>
      <c r="BR188" s="83" t="s">
        <v>99</v>
      </c>
      <c r="BS188" s="83">
        <v>1</v>
      </c>
      <c r="BU188" s="83" t="s">
        <v>99</v>
      </c>
      <c r="BV188" s="83">
        <v>1</v>
      </c>
      <c r="BX188" s="83" t="s">
        <v>99</v>
      </c>
      <c r="BY188" s="83">
        <v>1</v>
      </c>
      <c r="CA188" s="83" t="s">
        <v>99</v>
      </c>
      <c r="CB188" s="83">
        <v>1</v>
      </c>
      <c r="CD188" s="83" t="s">
        <v>99</v>
      </c>
      <c r="CE188" s="83">
        <v>1</v>
      </c>
      <c r="CG188" s="83" t="s">
        <v>99</v>
      </c>
      <c r="CH188" s="83">
        <v>1</v>
      </c>
      <c r="CJ188" s="83" t="s">
        <v>99</v>
      </c>
      <c r="CK188" s="83">
        <v>1</v>
      </c>
      <c r="CM188" s="83" t="s">
        <v>99</v>
      </c>
      <c r="CN188" s="83">
        <v>1</v>
      </c>
      <c r="CP188" s="83" t="s">
        <v>99</v>
      </c>
      <c r="CQ188" s="83">
        <v>1</v>
      </c>
      <c r="CS188" s="83" t="s">
        <v>99</v>
      </c>
      <c r="CT188" s="83">
        <v>1</v>
      </c>
      <c r="CV188" s="83" t="s">
        <v>99</v>
      </c>
      <c r="CW188" s="83">
        <v>1</v>
      </c>
      <c r="CY188" s="83" t="s">
        <v>99</v>
      </c>
      <c r="CZ188" s="83">
        <v>1</v>
      </c>
    </row>
    <row r="190" spans="1:104" x14ac:dyDescent="0.2">
      <c r="A190" s="83" t="s">
        <v>100</v>
      </c>
      <c r="B190" s="83">
        <v>1</v>
      </c>
      <c r="D190" s="83" t="s">
        <v>100</v>
      </c>
      <c r="E190" s="83">
        <v>1</v>
      </c>
      <c r="G190" s="83" t="s">
        <v>100</v>
      </c>
      <c r="H190" s="83">
        <v>1</v>
      </c>
      <c r="J190" s="83" t="s">
        <v>100</v>
      </c>
      <c r="K190" s="83">
        <v>1</v>
      </c>
      <c r="M190" s="83" t="s">
        <v>100</v>
      </c>
      <c r="N190" s="83">
        <v>1</v>
      </c>
      <c r="P190" s="83" t="s">
        <v>100</v>
      </c>
      <c r="Q190" s="83">
        <v>1</v>
      </c>
      <c r="S190" s="83" t="s">
        <v>100</v>
      </c>
      <c r="T190" s="83">
        <v>1</v>
      </c>
      <c r="V190" s="83" t="s">
        <v>100</v>
      </c>
      <c r="W190" s="83">
        <v>1</v>
      </c>
      <c r="Y190" s="83" t="s">
        <v>100</v>
      </c>
      <c r="Z190" s="83">
        <v>1</v>
      </c>
      <c r="AB190" s="83" t="s">
        <v>100</v>
      </c>
      <c r="AC190" s="83">
        <v>1</v>
      </c>
      <c r="AE190" s="83" t="s">
        <v>100</v>
      </c>
      <c r="AF190" s="83">
        <v>1</v>
      </c>
      <c r="AH190" s="83" t="s">
        <v>100</v>
      </c>
      <c r="AI190" s="83">
        <v>1</v>
      </c>
      <c r="AK190" s="83" t="s">
        <v>100</v>
      </c>
      <c r="AL190" s="83">
        <v>1</v>
      </c>
      <c r="AN190" s="83" t="s">
        <v>100</v>
      </c>
      <c r="AO190" s="83">
        <v>1</v>
      </c>
      <c r="AQ190" s="83" t="s">
        <v>100</v>
      </c>
      <c r="AR190" s="83">
        <v>1</v>
      </c>
      <c r="AT190" s="83" t="s">
        <v>100</v>
      </c>
      <c r="AU190" s="83">
        <v>1</v>
      </c>
      <c r="AW190" s="83" t="s">
        <v>100</v>
      </c>
      <c r="AX190" s="83">
        <v>1</v>
      </c>
      <c r="AZ190" s="83" t="s">
        <v>100</v>
      </c>
      <c r="BA190" s="83">
        <v>1</v>
      </c>
      <c r="BC190" s="83" t="s">
        <v>100</v>
      </c>
      <c r="BD190" s="83">
        <v>1</v>
      </c>
      <c r="BF190" s="83" t="s">
        <v>100</v>
      </c>
      <c r="BG190" s="83">
        <v>1</v>
      </c>
      <c r="BI190" s="83" t="s">
        <v>100</v>
      </c>
      <c r="BJ190" s="83">
        <v>1</v>
      </c>
      <c r="BL190" s="83" t="s">
        <v>100</v>
      </c>
      <c r="BM190" s="83">
        <v>1</v>
      </c>
      <c r="BO190" s="83" t="s">
        <v>100</v>
      </c>
      <c r="BP190" s="83">
        <v>1</v>
      </c>
      <c r="BR190" s="83" t="s">
        <v>100</v>
      </c>
      <c r="BS190" s="83">
        <v>1</v>
      </c>
      <c r="BU190" s="83" t="s">
        <v>100</v>
      </c>
      <c r="BV190" s="83">
        <v>1</v>
      </c>
      <c r="BX190" s="83" t="s">
        <v>100</v>
      </c>
      <c r="BY190" s="83">
        <v>1</v>
      </c>
      <c r="CA190" s="83" t="s">
        <v>100</v>
      </c>
      <c r="CB190" s="83">
        <v>1</v>
      </c>
      <c r="CD190" s="83" t="s">
        <v>100</v>
      </c>
      <c r="CE190" s="83">
        <v>1</v>
      </c>
      <c r="CG190" s="83" t="s">
        <v>100</v>
      </c>
      <c r="CH190" s="83">
        <v>1</v>
      </c>
      <c r="CJ190" s="83" t="s">
        <v>100</v>
      </c>
      <c r="CK190" s="83">
        <v>1</v>
      </c>
      <c r="CM190" s="83" t="s">
        <v>100</v>
      </c>
      <c r="CN190" s="83">
        <v>1</v>
      </c>
      <c r="CP190" s="83" t="s">
        <v>100</v>
      </c>
      <c r="CQ190" s="83">
        <v>1</v>
      </c>
      <c r="CS190" s="83" t="s">
        <v>100</v>
      </c>
      <c r="CT190" s="83">
        <v>1</v>
      </c>
      <c r="CV190" s="83" t="s">
        <v>100</v>
      </c>
      <c r="CW190" s="83">
        <v>1</v>
      </c>
      <c r="CY190" s="83" t="s">
        <v>100</v>
      </c>
      <c r="CZ190" s="83">
        <v>1</v>
      </c>
    </row>
    <row r="192" spans="1:104" x14ac:dyDescent="0.2">
      <c r="A192" s="83" t="s">
        <v>101</v>
      </c>
      <c r="B192" s="83">
        <v>1</v>
      </c>
      <c r="D192" s="83" t="s">
        <v>101</v>
      </c>
      <c r="E192" s="83">
        <v>1</v>
      </c>
      <c r="G192" s="83" t="s">
        <v>101</v>
      </c>
      <c r="H192" s="83">
        <v>1</v>
      </c>
      <c r="J192" s="83" t="s">
        <v>101</v>
      </c>
      <c r="K192" s="83">
        <v>1</v>
      </c>
      <c r="M192" s="83" t="s">
        <v>101</v>
      </c>
      <c r="N192" s="83">
        <v>1</v>
      </c>
      <c r="P192" s="83" t="s">
        <v>101</v>
      </c>
      <c r="Q192" s="83">
        <v>1</v>
      </c>
      <c r="S192" s="83" t="s">
        <v>101</v>
      </c>
      <c r="T192" s="83">
        <v>1</v>
      </c>
      <c r="V192" s="83" t="s">
        <v>101</v>
      </c>
      <c r="W192" s="83">
        <v>1</v>
      </c>
      <c r="Y192" s="83" t="s">
        <v>101</v>
      </c>
      <c r="Z192" s="83">
        <v>1</v>
      </c>
      <c r="AB192" s="83" t="s">
        <v>101</v>
      </c>
      <c r="AC192" s="83">
        <v>1</v>
      </c>
      <c r="AE192" s="83" t="s">
        <v>101</v>
      </c>
      <c r="AF192" s="83">
        <v>1</v>
      </c>
      <c r="AH192" s="83" t="s">
        <v>101</v>
      </c>
      <c r="AI192" s="83">
        <v>1</v>
      </c>
      <c r="AK192" s="83" t="s">
        <v>101</v>
      </c>
      <c r="AL192" s="83">
        <v>1</v>
      </c>
      <c r="AN192" s="83" t="s">
        <v>101</v>
      </c>
      <c r="AO192" s="83">
        <v>1</v>
      </c>
      <c r="AQ192" s="83" t="s">
        <v>101</v>
      </c>
      <c r="AR192" s="83">
        <v>1</v>
      </c>
      <c r="AT192" s="83" t="s">
        <v>101</v>
      </c>
      <c r="AU192" s="83">
        <v>1</v>
      </c>
      <c r="AW192" s="83" t="s">
        <v>101</v>
      </c>
      <c r="AX192" s="83">
        <v>1</v>
      </c>
      <c r="AZ192" s="83" t="s">
        <v>101</v>
      </c>
      <c r="BA192" s="83">
        <v>1</v>
      </c>
      <c r="BC192" s="83" t="s">
        <v>101</v>
      </c>
      <c r="BD192" s="83">
        <v>1</v>
      </c>
      <c r="BF192" s="83" t="s">
        <v>101</v>
      </c>
      <c r="BG192" s="83">
        <v>1</v>
      </c>
      <c r="BI192" s="83" t="s">
        <v>101</v>
      </c>
      <c r="BJ192" s="83">
        <v>1</v>
      </c>
      <c r="BL192" s="83" t="s">
        <v>101</v>
      </c>
      <c r="BM192" s="83">
        <v>1</v>
      </c>
      <c r="BO192" s="83" t="s">
        <v>101</v>
      </c>
      <c r="BP192" s="83">
        <v>1</v>
      </c>
      <c r="BR192" s="83" t="s">
        <v>101</v>
      </c>
      <c r="BS192" s="83">
        <v>1</v>
      </c>
      <c r="BU192" s="83" t="s">
        <v>101</v>
      </c>
      <c r="BV192" s="83">
        <v>1</v>
      </c>
      <c r="BX192" s="83" t="s">
        <v>101</v>
      </c>
      <c r="BY192" s="83">
        <v>1</v>
      </c>
      <c r="CA192" s="83" t="s">
        <v>101</v>
      </c>
      <c r="CB192" s="83">
        <v>1</v>
      </c>
      <c r="CD192" s="83" t="s">
        <v>101</v>
      </c>
      <c r="CE192" s="83">
        <v>1</v>
      </c>
      <c r="CG192" s="83" t="s">
        <v>101</v>
      </c>
      <c r="CH192" s="83">
        <v>1</v>
      </c>
      <c r="CJ192" s="83" t="s">
        <v>101</v>
      </c>
      <c r="CK192" s="83">
        <v>1</v>
      </c>
      <c r="CM192" s="83" t="s">
        <v>101</v>
      </c>
      <c r="CN192" s="83">
        <v>1</v>
      </c>
      <c r="CP192" s="83" t="s">
        <v>101</v>
      </c>
      <c r="CQ192" s="83">
        <v>1</v>
      </c>
      <c r="CS192" s="83" t="s">
        <v>101</v>
      </c>
      <c r="CT192" s="83">
        <v>1</v>
      </c>
      <c r="CV192" s="83" t="s">
        <v>101</v>
      </c>
      <c r="CW192" s="83">
        <v>1</v>
      </c>
      <c r="CY192" s="83" t="s">
        <v>101</v>
      </c>
      <c r="CZ192" s="83">
        <v>1</v>
      </c>
    </row>
    <row r="194" spans="1:104" x14ac:dyDescent="0.2">
      <c r="A194" s="83" t="s">
        <v>102</v>
      </c>
      <c r="B194" s="83">
        <v>1</v>
      </c>
      <c r="D194" s="83" t="s">
        <v>102</v>
      </c>
      <c r="E194" s="83">
        <v>1</v>
      </c>
      <c r="G194" s="83" t="s">
        <v>102</v>
      </c>
      <c r="H194" s="83">
        <v>1</v>
      </c>
      <c r="J194" s="83" t="s">
        <v>102</v>
      </c>
      <c r="K194" s="83">
        <v>1</v>
      </c>
      <c r="M194" s="83" t="s">
        <v>102</v>
      </c>
      <c r="N194" s="83">
        <v>1</v>
      </c>
      <c r="P194" s="83" t="s">
        <v>102</v>
      </c>
      <c r="Q194" s="83">
        <v>1</v>
      </c>
      <c r="S194" s="83" t="s">
        <v>102</v>
      </c>
      <c r="T194" s="83">
        <v>1</v>
      </c>
      <c r="V194" s="83" t="s">
        <v>102</v>
      </c>
      <c r="W194" s="83">
        <v>1</v>
      </c>
      <c r="Y194" s="83" t="s">
        <v>102</v>
      </c>
      <c r="Z194" s="83">
        <v>1</v>
      </c>
      <c r="AB194" s="83" t="s">
        <v>102</v>
      </c>
      <c r="AC194" s="83">
        <v>1</v>
      </c>
      <c r="AE194" s="83" t="s">
        <v>102</v>
      </c>
      <c r="AF194" s="83">
        <v>1</v>
      </c>
      <c r="AH194" s="83" t="s">
        <v>102</v>
      </c>
      <c r="AI194" s="83">
        <v>1</v>
      </c>
      <c r="AK194" s="83" t="s">
        <v>102</v>
      </c>
      <c r="AL194" s="83">
        <v>1</v>
      </c>
      <c r="AN194" s="83" t="s">
        <v>102</v>
      </c>
      <c r="AO194" s="83">
        <v>1</v>
      </c>
      <c r="AQ194" s="83" t="s">
        <v>102</v>
      </c>
      <c r="AR194" s="83">
        <v>1</v>
      </c>
      <c r="AT194" s="83" t="s">
        <v>102</v>
      </c>
      <c r="AU194" s="83">
        <v>1</v>
      </c>
      <c r="AW194" s="83" t="s">
        <v>102</v>
      </c>
      <c r="AX194" s="83">
        <v>1</v>
      </c>
      <c r="AZ194" s="83" t="s">
        <v>102</v>
      </c>
      <c r="BA194" s="83">
        <v>1</v>
      </c>
      <c r="BC194" s="83" t="s">
        <v>102</v>
      </c>
      <c r="BD194" s="83">
        <v>1</v>
      </c>
      <c r="BF194" s="83" t="s">
        <v>102</v>
      </c>
      <c r="BG194" s="83">
        <v>1</v>
      </c>
      <c r="BI194" s="83" t="s">
        <v>102</v>
      </c>
      <c r="BJ194" s="83">
        <v>1</v>
      </c>
      <c r="BL194" s="83" t="s">
        <v>102</v>
      </c>
      <c r="BM194" s="83">
        <v>1</v>
      </c>
      <c r="BO194" s="83" t="s">
        <v>102</v>
      </c>
      <c r="BP194" s="83">
        <v>1</v>
      </c>
      <c r="BR194" s="83" t="s">
        <v>102</v>
      </c>
      <c r="BS194" s="83">
        <v>1</v>
      </c>
      <c r="BU194" s="83" t="s">
        <v>102</v>
      </c>
      <c r="BV194" s="83">
        <v>1</v>
      </c>
      <c r="BX194" s="83" t="s">
        <v>102</v>
      </c>
      <c r="BY194" s="83">
        <v>1</v>
      </c>
      <c r="CA194" s="83" t="s">
        <v>102</v>
      </c>
      <c r="CB194" s="83">
        <v>1</v>
      </c>
      <c r="CD194" s="83" t="s">
        <v>102</v>
      </c>
      <c r="CE194" s="83">
        <v>1</v>
      </c>
      <c r="CG194" s="83" t="s">
        <v>102</v>
      </c>
      <c r="CH194" s="83">
        <v>1</v>
      </c>
      <c r="CJ194" s="83" t="s">
        <v>102</v>
      </c>
      <c r="CK194" s="83">
        <v>1</v>
      </c>
      <c r="CM194" s="83" t="s">
        <v>102</v>
      </c>
      <c r="CN194" s="83">
        <v>1</v>
      </c>
      <c r="CP194" s="83" t="s">
        <v>102</v>
      </c>
      <c r="CQ194" s="83">
        <v>1</v>
      </c>
      <c r="CS194" s="83" t="s">
        <v>102</v>
      </c>
      <c r="CT194" s="83">
        <v>1</v>
      </c>
      <c r="CV194" s="83" t="s">
        <v>102</v>
      </c>
      <c r="CW194" s="83">
        <v>1</v>
      </c>
      <c r="CY194" s="83" t="s">
        <v>102</v>
      </c>
      <c r="CZ194" s="83">
        <v>1</v>
      </c>
    </row>
    <row r="196" spans="1:104" x14ac:dyDescent="0.2">
      <c r="A196" s="83" t="s">
        <v>103</v>
      </c>
      <c r="B196" s="83">
        <v>1</v>
      </c>
      <c r="D196" s="83" t="s">
        <v>103</v>
      </c>
      <c r="E196" s="83">
        <v>1</v>
      </c>
      <c r="G196" s="83" t="s">
        <v>103</v>
      </c>
      <c r="H196" s="83">
        <v>1</v>
      </c>
      <c r="J196" s="83" t="s">
        <v>103</v>
      </c>
      <c r="K196" s="83">
        <v>1</v>
      </c>
      <c r="M196" s="83" t="s">
        <v>103</v>
      </c>
      <c r="N196" s="83">
        <v>1</v>
      </c>
      <c r="P196" s="83" t="s">
        <v>103</v>
      </c>
      <c r="Q196" s="83">
        <v>1</v>
      </c>
      <c r="S196" s="83" t="s">
        <v>103</v>
      </c>
      <c r="T196" s="83">
        <v>1</v>
      </c>
      <c r="V196" s="83" t="s">
        <v>103</v>
      </c>
      <c r="W196" s="83">
        <v>1</v>
      </c>
      <c r="Y196" s="83" t="s">
        <v>103</v>
      </c>
      <c r="Z196" s="83">
        <v>1</v>
      </c>
      <c r="AB196" s="83" t="s">
        <v>103</v>
      </c>
      <c r="AC196" s="83">
        <v>1</v>
      </c>
      <c r="AE196" s="83" t="s">
        <v>103</v>
      </c>
      <c r="AF196" s="83">
        <v>1</v>
      </c>
      <c r="AH196" s="83" t="s">
        <v>103</v>
      </c>
      <c r="AI196" s="83">
        <v>1</v>
      </c>
      <c r="AK196" s="83" t="s">
        <v>103</v>
      </c>
      <c r="AL196" s="83">
        <v>1</v>
      </c>
      <c r="AN196" s="83" t="s">
        <v>103</v>
      </c>
      <c r="AO196" s="83">
        <v>1</v>
      </c>
      <c r="AQ196" s="83" t="s">
        <v>103</v>
      </c>
      <c r="AR196" s="83">
        <v>1</v>
      </c>
      <c r="AT196" s="83" t="s">
        <v>103</v>
      </c>
      <c r="AU196" s="83">
        <v>1</v>
      </c>
      <c r="AW196" s="83" t="s">
        <v>103</v>
      </c>
      <c r="AX196" s="83">
        <v>1</v>
      </c>
      <c r="AZ196" s="83" t="s">
        <v>103</v>
      </c>
      <c r="BA196" s="83">
        <v>1</v>
      </c>
      <c r="BC196" s="83" t="s">
        <v>103</v>
      </c>
      <c r="BD196" s="83">
        <v>1</v>
      </c>
      <c r="BF196" s="83" t="s">
        <v>103</v>
      </c>
      <c r="BG196" s="83">
        <v>1</v>
      </c>
      <c r="BI196" s="83" t="s">
        <v>103</v>
      </c>
      <c r="BJ196" s="83">
        <v>1</v>
      </c>
      <c r="BL196" s="83" t="s">
        <v>103</v>
      </c>
      <c r="BM196" s="83">
        <v>1</v>
      </c>
      <c r="BO196" s="83" t="s">
        <v>103</v>
      </c>
      <c r="BP196" s="83">
        <v>1</v>
      </c>
      <c r="BR196" s="83" t="s">
        <v>103</v>
      </c>
      <c r="BS196" s="83">
        <v>1</v>
      </c>
      <c r="BU196" s="83" t="s">
        <v>103</v>
      </c>
      <c r="BV196" s="83">
        <v>1</v>
      </c>
      <c r="BX196" s="83" t="s">
        <v>103</v>
      </c>
      <c r="BY196" s="83">
        <v>1</v>
      </c>
      <c r="CA196" s="83" t="s">
        <v>103</v>
      </c>
      <c r="CB196" s="83">
        <v>1</v>
      </c>
      <c r="CD196" s="83" t="s">
        <v>103</v>
      </c>
      <c r="CE196" s="83">
        <v>1</v>
      </c>
      <c r="CG196" s="83" t="s">
        <v>103</v>
      </c>
      <c r="CH196" s="83">
        <v>1</v>
      </c>
      <c r="CJ196" s="83" t="s">
        <v>103</v>
      </c>
      <c r="CK196" s="83">
        <v>1</v>
      </c>
      <c r="CM196" s="83" t="s">
        <v>103</v>
      </c>
      <c r="CN196" s="83">
        <v>1</v>
      </c>
      <c r="CP196" s="83" t="s">
        <v>103</v>
      </c>
      <c r="CQ196" s="83">
        <v>1</v>
      </c>
      <c r="CS196" s="83" t="s">
        <v>103</v>
      </c>
      <c r="CT196" s="83">
        <v>1</v>
      </c>
      <c r="CV196" s="83" t="s">
        <v>103</v>
      </c>
      <c r="CW196" s="83">
        <v>1</v>
      </c>
      <c r="CY196" s="83" t="s">
        <v>103</v>
      </c>
      <c r="CZ196" s="83">
        <v>1</v>
      </c>
    </row>
    <row r="198" spans="1:104" x14ac:dyDescent="0.2">
      <c r="A198" s="83" t="s">
        <v>104</v>
      </c>
      <c r="B198" s="83">
        <v>1</v>
      </c>
      <c r="D198" s="83" t="s">
        <v>104</v>
      </c>
      <c r="E198" s="83">
        <v>1</v>
      </c>
      <c r="G198" s="83" t="s">
        <v>104</v>
      </c>
      <c r="H198" s="83">
        <v>1</v>
      </c>
      <c r="J198" s="83" t="s">
        <v>104</v>
      </c>
      <c r="K198" s="83">
        <v>1</v>
      </c>
      <c r="M198" s="83" t="s">
        <v>104</v>
      </c>
      <c r="N198" s="83">
        <v>1</v>
      </c>
      <c r="P198" s="83" t="s">
        <v>104</v>
      </c>
      <c r="Q198" s="83">
        <v>1</v>
      </c>
      <c r="S198" s="83" t="s">
        <v>104</v>
      </c>
      <c r="T198" s="83">
        <v>1</v>
      </c>
      <c r="V198" s="83" t="s">
        <v>104</v>
      </c>
      <c r="W198" s="83">
        <v>1</v>
      </c>
      <c r="Y198" s="83" t="s">
        <v>104</v>
      </c>
      <c r="Z198" s="83">
        <v>1</v>
      </c>
      <c r="AB198" s="83" t="s">
        <v>104</v>
      </c>
      <c r="AC198" s="83">
        <v>1</v>
      </c>
      <c r="AE198" s="83" t="s">
        <v>104</v>
      </c>
      <c r="AF198" s="83">
        <v>1</v>
      </c>
      <c r="AH198" s="83" t="s">
        <v>104</v>
      </c>
      <c r="AI198" s="83">
        <v>1</v>
      </c>
      <c r="AK198" s="83" t="s">
        <v>104</v>
      </c>
      <c r="AL198" s="83">
        <v>1</v>
      </c>
      <c r="AN198" s="83" t="s">
        <v>104</v>
      </c>
      <c r="AO198" s="83">
        <v>1</v>
      </c>
      <c r="AQ198" s="83" t="s">
        <v>104</v>
      </c>
      <c r="AR198" s="83">
        <v>1</v>
      </c>
      <c r="AT198" s="83" t="s">
        <v>104</v>
      </c>
      <c r="AU198" s="83">
        <v>1</v>
      </c>
      <c r="AW198" s="83" t="s">
        <v>104</v>
      </c>
      <c r="AX198" s="83">
        <v>1</v>
      </c>
      <c r="AZ198" s="83" t="s">
        <v>104</v>
      </c>
      <c r="BA198" s="83">
        <v>1</v>
      </c>
      <c r="BC198" s="83" t="s">
        <v>104</v>
      </c>
      <c r="BD198" s="83">
        <v>1</v>
      </c>
      <c r="BF198" s="83" t="s">
        <v>104</v>
      </c>
      <c r="BG198" s="83">
        <v>1</v>
      </c>
      <c r="BI198" s="83" t="s">
        <v>104</v>
      </c>
      <c r="BJ198" s="83">
        <v>1</v>
      </c>
      <c r="BL198" s="83" t="s">
        <v>104</v>
      </c>
      <c r="BM198" s="83">
        <v>1</v>
      </c>
      <c r="BO198" s="83" t="s">
        <v>104</v>
      </c>
      <c r="BP198" s="83">
        <v>1</v>
      </c>
      <c r="BR198" s="83" t="s">
        <v>104</v>
      </c>
      <c r="BS198" s="83">
        <v>1</v>
      </c>
      <c r="BU198" s="83" t="s">
        <v>104</v>
      </c>
      <c r="BV198" s="83">
        <v>1</v>
      </c>
      <c r="BX198" s="83" t="s">
        <v>104</v>
      </c>
      <c r="BY198" s="83">
        <v>1</v>
      </c>
      <c r="CA198" s="83" t="s">
        <v>104</v>
      </c>
      <c r="CB198" s="83">
        <v>1</v>
      </c>
      <c r="CD198" s="83" t="s">
        <v>104</v>
      </c>
      <c r="CE198" s="83">
        <v>1</v>
      </c>
      <c r="CG198" s="83" t="s">
        <v>104</v>
      </c>
      <c r="CH198" s="83">
        <v>1</v>
      </c>
      <c r="CJ198" s="83" t="s">
        <v>104</v>
      </c>
      <c r="CK198" s="83">
        <v>1</v>
      </c>
      <c r="CM198" s="83" t="s">
        <v>104</v>
      </c>
      <c r="CN198" s="83">
        <v>1</v>
      </c>
      <c r="CP198" s="83" t="s">
        <v>104</v>
      </c>
      <c r="CQ198" s="83">
        <v>1</v>
      </c>
      <c r="CS198" s="83" t="s">
        <v>104</v>
      </c>
      <c r="CT198" s="83">
        <v>1</v>
      </c>
      <c r="CV198" s="83" t="s">
        <v>104</v>
      </c>
      <c r="CW198" s="83">
        <v>1</v>
      </c>
      <c r="CY198" s="83" t="s">
        <v>104</v>
      </c>
      <c r="CZ198" s="83">
        <v>1</v>
      </c>
    </row>
    <row r="200" spans="1:104" x14ac:dyDescent="0.2">
      <c r="A200" s="83" t="s">
        <v>105</v>
      </c>
      <c r="B200" s="83">
        <v>1</v>
      </c>
      <c r="D200" s="83" t="s">
        <v>105</v>
      </c>
      <c r="E200" s="83">
        <v>1</v>
      </c>
      <c r="G200" s="83" t="s">
        <v>105</v>
      </c>
      <c r="H200" s="83">
        <v>1</v>
      </c>
      <c r="J200" s="83" t="s">
        <v>105</v>
      </c>
      <c r="K200" s="83">
        <v>1</v>
      </c>
      <c r="M200" s="83" t="s">
        <v>105</v>
      </c>
      <c r="N200" s="83">
        <v>1</v>
      </c>
      <c r="P200" s="83" t="s">
        <v>105</v>
      </c>
      <c r="Q200" s="83">
        <v>1</v>
      </c>
      <c r="S200" s="83" t="s">
        <v>105</v>
      </c>
      <c r="T200" s="83">
        <v>1</v>
      </c>
      <c r="V200" s="83" t="s">
        <v>105</v>
      </c>
      <c r="W200" s="83">
        <v>1</v>
      </c>
      <c r="Y200" s="83" t="s">
        <v>105</v>
      </c>
      <c r="Z200" s="83">
        <v>1</v>
      </c>
      <c r="AB200" s="83" t="s">
        <v>105</v>
      </c>
      <c r="AC200" s="83">
        <v>1</v>
      </c>
      <c r="AE200" s="83" t="s">
        <v>105</v>
      </c>
      <c r="AF200" s="83">
        <v>1</v>
      </c>
      <c r="AH200" s="83" t="s">
        <v>105</v>
      </c>
      <c r="AI200" s="83">
        <v>1</v>
      </c>
      <c r="AK200" s="83" t="s">
        <v>105</v>
      </c>
      <c r="AL200" s="83">
        <v>1</v>
      </c>
      <c r="AN200" s="83" t="s">
        <v>105</v>
      </c>
      <c r="AO200" s="83">
        <v>1</v>
      </c>
      <c r="AQ200" s="83" t="s">
        <v>105</v>
      </c>
      <c r="AR200" s="83">
        <v>1</v>
      </c>
      <c r="AT200" s="83" t="s">
        <v>105</v>
      </c>
      <c r="AU200" s="83">
        <v>1</v>
      </c>
      <c r="AW200" s="83" t="s">
        <v>105</v>
      </c>
      <c r="AX200" s="83">
        <v>1</v>
      </c>
      <c r="AZ200" s="83" t="s">
        <v>105</v>
      </c>
      <c r="BA200" s="83">
        <v>1</v>
      </c>
      <c r="BC200" s="83" t="s">
        <v>105</v>
      </c>
      <c r="BD200" s="83">
        <v>1</v>
      </c>
      <c r="BF200" s="83" t="s">
        <v>105</v>
      </c>
      <c r="BG200" s="83">
        <v>1</v>
      </c>
      <c r="BI200" s="83" t="s">
        <v>105</v>
      </c>
      <c r="BJ200" s="83">
        <v>1</v>
      </c>
      <c r="BL200" s="83" t="s">
        <v>105</v>
      </c>
      <c r="BM200" s="83">
        <v>1</v>
      </c>
      <c r="BO200" s="83" t="s">
        <v>105</v>
      </c>
      <c r="BP200" s="83">
        <v>1</v>
      </c>
      <c r="BR200" s="83" t="s">
        <v>105</v>
      </c>
      <c r="BS200" s="83">
        <v>1</v>
      </c>
      <c r="BU200" s="83" t="s">
        <v>105</v>
      </c>
      <c r="BV200" s="83">
        <v>1</v>
      </c>
      <c r="BX200" s="83" t="s">
        <v>105</v>
      </c>
      <c r="BY200" s="83">
        <v>1</v>
      </c>
      <c r="CA200" s="83" t="s">
        <v>105</v>
      </c>
      <c r="CB200" s="83">
        <v>1</v>
      </c>
      <c r="CD200" s="83" t="s">
        <v>105</v>
      </c>
      <c r="CE200" s="83">
        <v>1</v>
      </c>
      <c r="CG200" s="83" t="s">
        <v>105</v>
      </c>
      <c r="CH200" s="83">
        <v>1</v>
      </c>
      <c r="CJ200" s="83" t="s">
        <v>105</v>
      </c>
      <c r="CK200" s="83">
        <v>1</v>
      </c>
      <c r="CM200" s="83" t="s">
        <v>105</v>
      </c>
      <c r="CN200" s="83">
        <v>1</v>
      </c>
      <c r="CP200" s="83" t="s">
        <v>105</v>
      </c>
      <c r="CQ200" s="83">
        <v>1</v>
      </c>
      <c r="CS200" s="83" t="s">
        <v>105</v>
      </c>
      <c r="CT200" s="83">
        <v>1</v>
      </c>
      <c r="CV200" s="83" t="s">
        <v>105</v>
      </c>
      <c r="CW200" s="83">
        <v>1</v>
      </c>
      <c r="CY200" s="83" t="s">
        <v>105</v>
      </c>
      <c r="CZ200" s="83">
        <v>1</v>
      </c>
    </row>
    <row r="202" spans="1:104" x14ac:dyDescent="0.2">
      <c r="A202" s="83" t="s">
        <v>106</v>
      </c>
      <c r="B202" s="83">
        <v>1</v>
      </c>
      <c r="D202" s="83" t="s">
        <v>106</v>
      </c>
      <c r="E202" s="83">
        <v>1</v>
      </c>
      <c r="G202" s="83" t="s">
        <v>106</v>
      </c>
      <c r="H202" s="83">
        <v>1</v>
      </c>
      <c r="J202" s="83" t="s">
        <v>106</v>
      </c>
      <c r="K202" s="83">
        <v>1</v>
      </c>
      <c r="M202" s="83" t="s">
        <v>106</v>
      </c>
      <c r="N202" s="83">
        <v>1</v>
      </c>
      <c r="P202" s="83" t="s">
        <v>106</v>
      </c>
      <c r="Q202" s="83">
        <v>1</v>
      </c>
      <c r="S202" s="83" t="s">
        <v>106</v>
      </c>
      <c r="T202" s="83">
        <v>1</v>
      </c>
      <c r="V202" s="83" t="s">
        <v>106</v>
      </c>
      <c r="W202" s="83">
        <v>1</v>
      </c>
      <c r="Y202" s="83" t="s">
        <v>106</v>
      </c>
      <c r="Z202" s="83">
        <v>1</v>
      </c>
      <c r="AB202" s="83" t="s">
        <v>106</v>
      </c>
      <c r="AC202" s="83">
        <v>1</v>
      </c>
      <c r="AE202" s="83" t="s">
        <v>106</v>
      </c>
      <c r="AF202" s="83">
        <v>1</v>
      </c>
      <c r="AH202" s="83" t="s">
        <v>106</v>
      </c>
      <c r="AI202" s="83">
        <v>1</v>
      </c>
      <c r="AK202" s="83" t="s">
        <v>106</v>
      </c>
      <c r="AL202" s="83">
        <v>1</v>
      </c>
      <c r="AN202" s="83" t="s">
        <v>106</v>
      </c>
      <c r="AO202" s="83">
        <v>1</v>
      </c>
      <c r="AQ202" s="83" t="s">
        <v>106</v>
      </c>
      <c r="AR202" s="83">
        <v>1</v>
      </c>
      <c r="AT202" s="83" t="s">
        <v>106</v>
      </c>
      <c r="AU202" s="83">
        <v>1</v>
      </c>
      <c r="AW202" s="83" t="s">
        <v>106</v>
      </c>
      <c r="AX202" s="83">
        <v>1</v>
      </c>
      <c r="AZ202" s="83" t="s">
        <v>106</v>
      </c>
      <c r="BA202" s="83">
        <v>1</v>
      </c>
      <c r="BC202" s="83" t="s">
        <v>106</v>
      </c>
      <c r="BD202" s="83">
        <v>1</v>
      </c>
      <c r="BF202" s="83" t="s">
        <v>106</v>
      </c>
      <c r="BG202" s="83">
        <v>1</v>
      </c>
      <c r="BI202" s="83" t="s">
        <v>106</v>
      </c>
      <c r="BJ202" s="83">
        <v>1</v>
      </c>
      <c r="BL202" s="83" t="s">
        <v>106</v>
      </c>
      <c r="BM202" s="83">
        <v>1</v>
      </c>
      <c r="BO202" s="83" t="s">
        <v>106</v>
      </c>
      <c r="BP202" s="83">
        <v>1</v>
      </c>
      <c r="BR202" s="83" t="s">
        <v>106</v>
      </c>
      <c r="BS202" s="83">
        <v>1</v>
      </c>
      <c r="BU202" s="83" t="s">
        <v>106</v>
      </c>
      <c r="BV202" s="83">
        <v>1</v>
      </c>
      <c r="BX202" s="83" t="s">
        <v>106</v>
      </c>
      <c r="BY202" s="83">
        <v>1</v>
      </c>
      <c r="CA202" s="83" t="s">
        <v>106</v>
      </c>
      <c r="CB202" s="83">
        <v>1</v>
      </c>
      <c r="CD202" s="83" t="s">
        <v>106</v>
      </c>
      <c r="CE202" s="83">
        <v>1</v>
      </c>
      <c r="CG202" s="83" t="s">
        <v>106</v>
      </c>
      <c r="CH202" s="83">
        <v>1</v>
      </c>
      <c r="CJ202" s="83" t="s">
        <v>106</v>
      </c>
      <c r="CK202" s="83">
        <v>1</v>
      </c>
      <c r="CM202" s="83" t="s">
        <v>106</v>
      </c>
      <c r="CN202" s="83">
        <v>1</v>
      </c>
      <c r="CP202" s="83" t="s">
        <v>106</v>
      </c>
      <c r="CQ202" s="83">
        <v>1</v>
      </c>
      <c r="CS202" s="83" t="s">
        <v>106</v>
      </c>
      <c r="CT202" s="83">
        <v>1</v>
      </c>
      <c r="CV202" s="83" t="s">
        <v>106</v>
      </c>
      <c r="CW202" s="83">
        <v>1</v>
      </c>
      <c r="CY202" s="83" t="s">
        <v>106</v>
      </c>
      <c r="CZ202" s="83">
        <v>1</v>
      </c>
    </row>
    <row r="204" spans="1:104" x14ac:dyDescent="0.2">
      <c r="A204" s="83" t="s">
        <v>107</v>
      </c>
      <c r="B204" s="83">
        <v>1</v>
      </c>
      <c r="D204" s="83" t="s">
        <v>107</v>
      </c>
      <c r="E204" s="83">
        <v>1</v>
      </c>
      <c r="G204" s="83" t="s">
        <v>107</v>
      </c>
      <c r="H204" s="83">
        <v>1</v>
      </c>
      <c r="J204" s="83" t="s">
        <v>107</v>
      </c>
      <c r="K204" s="83">
        <v>1</v>
      </c>
      <c r="M204" s="83" t="s">
        <v>107</v>
      </c>
      <c r="N204" s="83">
        <v>1</v>
      </c>
      <c r="P204" s="83" t="s">
        <v>107</v>
      </c>
      <c r="Q204" s="83">
        <v>1</v>
      </c>
      <c r="S204" s="83" t="s">
        <v>107</v>
      </c>
      <c r="T204" s="83">
        <v>1</v>
      </c>
      <c r="V204" s="83" t="s">
        <v>107</v>
      </c>
      <c r="W204" s="83">
        <v>1</v>
      </c>
      <c r="Y204" s="83" t="s">
        <v>107</v>
      </c>
      <c r="Z204" s="83">
        <v>1</v>
      </c>
      <c r="AB204" s="83" t="s">
        <v>107</v>
      </c>
      <c r="AC204" s="83">
        <v>1</v>
      </c>
      <c r="AE204" s="83" t="s">
        <v>107</v>
      </c>
      <c r="AF204" s="83">
        <v>1</v>
      </c>
      <c r="AH204" s="83" t="s">
        <v>107</v>
      </c>
      <c r="AI204" s="83">
        <v>1</v>
      </c>
      <c r="AK204" s="83" t="s">
        <v>107</v>
      </c>
      <c r="AL204" s="83">
        <v>1</v>
      </c>
      <c r="AN204" s="83" t="s">
        <v>107</v>
      </c>
      <c r="AO204" s="83">
        <v>1</v>
      </c>
      <c r="AQ204" s="83" t="s">
        <v>107</v>
      </c>
      <c r="AR204" s="83">
        <v>1</v>
      </c>
      <c r="AT204" s="83" t="s">
        <v>107</v>
      </c>
      <c r="AU204" s="83">
        <v>1</v>
      </c>
      <c r="AW204" s="83" t="s">
        <v>107</v>
      </c>
      <c r="AX204" s="83">
        <v>1</v>
      </c>
      <c r="AZ204" s="83" t="s">
        <v>107</v>
      </c>
      <c r="BA204" s="83">
        <v>1</v>
      </c>
      <c r="BC204" s="83" t="s">
        <v>107</v>
      </c>
      <c r="BD204" s="83">
        <v>1</v>
      </c>
      <c r="BF204" s="83" t="s">
        <v>107</v>
      </c>
      <c r="BG204" s="83">
        <v>1</v>
      </c>
      <c r="BI204" s="83" t="s">
        <v>107</v>
      </c>
      <c r="BJ204" s="83">
        <v>1</v>
      </c>
      <c r="BL204" s="83" t="s">
        <v>107</v>
      </c>
      <c r="BM204" s="83">
        <v>1</v>
      </c>
      <c r="BO204" s="83" t="s">
        <v>107</v>
      </c>
      <c r="BP204" s="83">
        <v>1</v>
      </c>
      <c r="BR204" s="83" t="s">
        <v>107</v>
      </c>
      <c r="BS204" s="83">
        <v>1</v>
      </c>
      <c r="BU204" s="83" t="s">
        <v>107</v>
      </c>
      <c r="BV204" s="83">
        <v>1</v>
      </c>
      <c r="BX204" s="83" t="s">
        <v>107</v>
      </c>
      <c r="BY204" s="83">
        <v>1</v>
      </c>
      <c r="CA204" s="83" t="s">
        <v>107</v>
      </c>
      <c r="CB204" s="83">
        <v>1</v>
      </c>
      <c r="CD204" s="83" t="s">
        <v>107</v>
      </c>
      <c r="CE204" s="83">
        <v>1</v>
      </c>
      <c r="CG204" s="83" t="s">
        <v>107</v>
      </c>
      <c r="CH204" s="83">
        <v>1</v>
      </c>
      <c r="CJ204" s="83" t="s">
        <v>107</v>
      </c>
      <c r="CK204" s="83">
        <v>1</v>
      </c>
      <c r="CM204" s="83" t="s">
        <v>107</v>
      </c>
      <c r="CN204" s="83">
        <v>1</v>
      </c>
      <c r="CP204" s="83" t="s">
        <v>107</v>
      </c>
      <c r="CQ204" s="83">
        <v>1</v>
      </c>
      <c r="CS204" s="83" t="s">
        <v>107</v>
      </c>
      <c r="CT204" s="83">
        <v>1</v>
      </c>
      <c r="CV204" s="83" t="s">
        <v>107</v>
      </c>
      <c r="CW204" s="83">
        <v>1</v>
      </c>
      <c r="CY204" s="83" t="s">
        <v>107</v>
      </c>
      <c r="CZ204" s="83">
        <v>1</v>
      </c>
    </row>
    <row r="206" spans="1:104" x14ac:dyDescent="0.2">
      <c r="A206" s="83" t="s">
        <v>108</v>
      </c>
      <c r="B206" s="83" t="s">
        <v>132</v>
      </c>
      <c r="D206" s="83" t="s">
        <v>108</v>
      </c>
      <c r="E206" s="83" t="s">
        <v>132</v>
      </c>
      <c r="G206" s="83" t="s">
        <v>108</v>
      </c>
      <c r="H206" s="83" t="s">
        <v>132</v>
      </c>
      <c r="J206" s="83" t="s">
        <v>108</v>
      </c>
      <c r="K206" s="83" t="s">
        <v>132</v>
      </c>
      <c r="M206" s="83" t="s">
        <v>108</v>
      </c>
      <c r="N206" s="83" t="s">
        <v>132</v>
      </c>
      <c r="P206" s="83" t="s">
        <v>108</v>
      </c>
      <c r="Q206" s="83" t="s">
        <v>132</v>
      </c>
      <c r="S206" s="83" t="s">
        <v>108</v>
      </c>
      <c r="T206" s="83" t="s">
        <v>132</v>
      </c>
      <c r="V206" s="83" t="s">
        <v>108</v>
      </c>
      <c r="W206" s="83" t="s">
        <v>132</v>
      </c>
      <c r="Y206" s="83" t="s">
        <v>108</v>
      </c>
      <c r="Z206" s="83" t="s">
        <v>132</v>
      </c>
      <c r="AB206" s="83" t="s">
        <v>108</v>
      </c>
      <c r="AC206" s="83" t="s">
        <v>132</v>
      </c>
      <c r="AE206" s="83" t="s">
        <v>108</v>
      </c>
      <c r="AF206" s="83" t="s">
        <v>132</v>
      </c>
      <c r="AH206" s="83" t="s">
        <v>108</v>
      </c>
      <c r="AI206" s="83" t="s">
        <v>132</v>
      </c>
      <c r="AK206" s="83" t="s">
        <v>108</v>
      </c>
      <c r="AL206" s="83" t="s">
        <v>132</v>
      </c>
      <c r="AN206" s="83" t="s">
        <v>108</v>
      </c>
      <c r="AO206" s="83" t="s">
        <v>132</v>
      </c>
      <c r="AQ206" s="83" t="s">
        <v>108</v>
      </c>
      <c r="AR206" s="83" t="s">
        <v>132</v>
      </c>
      <c r="AT206" s="83" t="s">
        <v>108</v>
      </c>
      <c r="AU206" s="83" t="s">
        <v>132</v>
      </c>
      <c r="AW206" s="83" t="s">
        <v>108</v>
      </c>
      <c r="AX206" s="83" t="s">
        <v>132</v>
      </c>
      <c r="AZ206" s="83" t="s">
        <v>108</v>
      </c>
      <c r="BA206" s="83" t="s">
        <v>132</v>
      </c>
      <c r="BC206" s="83" t="s">
        <v>108</v>
      </c>
      <c r="BD206" s="83" t="s">
        <v>132</v>
      </c>
      <c r="BF206" s="83" t="s">
        <v>108</v>
      </c>
      <c r="BG206" s="83" t="s">
        <v>132</v>
      </c>
      <c r="BI206" s="83" t="s">
        <v>108</v>
      </c>
      <c r="BJ206" s="83" t="s">
        <v>132</v>
      </c>
      <c r="BL206" s="83" t="s">
        <v>108</v>
      </c>
      <c r="BM206" s="83" t="s">
        <v>132</v>
      </c>
      <c r="BO206" s="83" t="s">
        <v>108</v>
      </c>
      <c r="BP206" s="83" t="s">
        <v>132</v>
      </c>
      <c r="BR206" s="83" t="s">
        <v>108</v>
      </c>
      <c r="BS206" s="83" t="s">
        <v>132</v>
      </c>
      <c r="BU206" s="83" t="s">
        <v>108</v>
      </c>
      <c r="BV206" s="83" t="s">
        <v>132</v>
      </c>
      <c r="BX206" s="83" t="s">
        <v>108</v>
      </c>
      <c r="BY206" s="83" t="s">
        <v>132</v>
      </c>
      <c r="CA206" s="83" t="s">
        <v>108</v>
      </c>
      <c r="CB206" s="83" t="s">
        <v>132</v>
      </c>
      <c r="CD206" s="83" t="s">
        <v>108</v>
      </c>
      <c r="CE206" s="83" t="s">
        <v>132</v>
      </c>
      <c r="CG206" s="83" t="s">
        <v>108</v>
      </c>
      <c r="CH206" s="83" t="s">
        <v>132</v>
      </c>
      <c r="CJ206" s="83" t="s">
        <v>108</v>
      </c>
      <c r="CK206" s="83" t="s">
        <v>132</v>
      </c>
      <c r="CM206" s="83" t="s">
        <v>108</v>
      </c>
      <c r="CN206" s="83" t="s">
        <v>132</v>
      </c>
      <c r="CP206" s="83" t="s">
        <v>108</v>
      </c>
      <c r="CQ206" s="83" t="s">
        <v>132</v>
      </c>
      <c r="CS206" s="83" t="s">
        <v>108</v>
      </c>
      <c r="CT206" s="83" t="s">
        <v>132</v>
      </c>
      <c r="CV206" s="83" t="s">
        <v>108</v>
      </c>
      <c r="CW206" s="83" t="s">
        <v>132</v>
      </c>
      <c r="CY206" s="83" t="s">
        <v>108</v>
      </c>
      <c r="CZ206" s="83" t="s">
        <v>132</v>
      </c>
    </row>
    <row r="208" spans="1:104" x14ac:dyDescent="0.2">
      <c r="A208" s="83" t="s">
        <v>109</v>
      </c>
      <c r="B208" s="83">
        <v>1</v>
      </c>
      <c r="D208" s="83" t="s">
        <v>109</v>
      </c>
      <c r="E208" s="83">
        <v>1</v>
      </c>
      <c r="G208" s="83" t="s">
        <v>109</v>
      </c>
      <c r="H208" s="83">
        <v>1</v>
      </c>
      <c r="J208" s="83" t="s">
        <v>109</v>
      </c>
      <c r="K208" s="83">
        <v>1</v>
      </c>
      <c r="M208" s="83" t="s">
        <v>109</v>
      </c>
      <c r="N208" s="83">
        <v>1</v>
      </c>
      <c r="P208" s="83" t="s">
        <v>109</v>
      </c>
      <c r="Q208" s="83">
        <v>1</v>
      </c>
      <c r="S208" s="83" t="s">
        <v>109</v>
      </c>
      <c r="T208" s="83">
        <v>1</v>
      </c>
      <c r="V208" s="83" t="s">
        <v>109</v>
      </c>
      <c r="W208" s="83">
        <v>1</v>
      </c>
      <c r="Y208" s="83" t="s">
        <v>109</v>
      </c>
      <c r="Z208" s="83">
        <v>1</v>
      </c>
      <c r="AB208" s="83" t="s">
        <v>109</v>
      </c>
      <c r="AC208" s="83">
        <v>1</v>
      </c>
      <c r="AE208" s="83" t="s">
        <v>109</v>
      </c>
      <c r="AF208" s="83">
        <v>1</v>
      </c>
      <c r="AH208" s="83" t="s">
        <v>109</v>
      </c>
      <c r="AI208" s="83">
        <v>1</v>
      </c>
      <c r="AK208" s="83" t="s">
        <v>109</v>
      </c>
      <c r="AL208" s="83">
        <v>1</v>
      </c>
      <c r="AN208" s="83" t="s">
        <v>109</v>
      </c>
      <c r="AO208" s="83">
        <v>1</v>
      </c>
      <c r="AQ208" s="83" t="s">
        <v>109</v>
      </c>
      <c r="AR208" s="83">
        <v>1</v>
      </c>
      <c r="AT208" s="83" t="s">
        <v>109</v>
      </c>
      <c r="AU208" s="83">
        <v>1</v>
      </c>
      <c r="AW208" s="83" t="s">
        <v>109</v>
      </c>
      <c r="AX208" s="83">
        <v>1</v>
      </c>
      <c r="AZ208" s="83" t="s">
        <v>109</v>
      </c>
      <c r="BA208" s="83">
        <v>1</v>
      </c>
      <c r="BC208" s="83" t="s">
        <v>109</v>
      </c>
      <c r="BD208" s="83">
        <v>1</v>
      </c>
      <c r="BF208" s="83" t="s">
        <v>109</v>
      </c>
      <c r="BG208" s="83">
        <v>1</v>
      </c>
      <c r="BI208" s="83" t="s">
        <v>109</v>
      </c>
      <c r="BJ208" s="83">
        <v>1</v>
      </c>
      <c r="BL208" s="83" t="s">
        <v>109</v>
      </c>
      <c r="BM208" s="83">
        <v>1</v>
      </c>
      <c r="BO208" s="83" t="s">
        <v>109</v>
      </c>
      <c r="BP208" s="83">
        <v>1</v>
      </c>
      <c r="BR208" s="83" t="s">
        <v>109</v>
      </c>
      <c r="BS208" s="83">
        <v>1</v>
      </c>
      <c r="BU208" s="83" t="s">
        <v>109</v>
      </c>
      <c r="BV208" s="83">
        <v>1</v>
      </c>
      <c r="BX208" s="83" t="s">
        <v>109</v>
      </c>
      <c r="BY208" s="83">
        <v>1</v>
      </c>
      <c r="CA208" s="83" t="s">
        <v>109</v>
      </c>
      <c r="CB208" s="83">
        <v>1</v>
      </c>
      <c r="CD208" s="83" t="s">
        <v>109</v>
      </c>
      <c r="CE208" s="83">
        <v>1</v>
      </c>
      <c r="CG208" s="83" t="s">
        <v>109</v>
      </c>
      <c r="CH208" s="83">
        <v>1</v>
      </c>
      <c r="CJ208" s="83" t="s">
        <v>109</v>
      </c>
      <c r="CK208" s="83">
        <v>1</v>
      </c>
      <c r="CM208" s="83" t="s">
        <v>109</v>
      </c>
      <c r="CN208" s="83">
        <v>1</v>
      </c>
      <c r="CP208" s="83" t="s">
        <v>109</v>
      </c>
      <c r="CQ208" s="83">
        <v>1</v>
      </c>
      <c r="CS208" s="83" t="s">
        <v>109</v>
      </c>
      <c r="CT208" s="83">
        <v>1</v>
      </c>
      <c r="CV208" s="83" t="s">
        <v>109</v>
      </c>
      <c r="CW208" s="83">
        <v>1</v>
      </c>
      <c r="CY208" s="83" t="s">
        <v>109</v>
      </c>
      <c r="CZ208" s="83">
        <v>1</v>
      </c>
    </row>
    <row r="210" spans="1:104" x14ac:dyDescent="0.2">
      <c r="A210" s="83" t="s">
        <v>110</v>
      </c>
      <c r="B210" s="83">
        <v>1</v>
      </c>
      <c r="D210" s="83" t="s">
        <v>110</v>
      </c>
      <c r="E210" s="83">
        <v>1</v>
      </c>
      <c r="G210" s="83" t="s">
        <v>110</v>
      </c>
      <c r="H210" s="83">
        <v>1</v>
      </c>
      <c r="J210" s="83" t="s">
        <v>110</v>
      </c>
      <c r="K210" s="83">
        <v>1</v>
      </c>
      <c r="M210" s="83" t="s">
        <v>110</v>
      </c>
      <c r="N210" s="83">
        <v>1</v>
      </c>
      <c r="P210" s="83" t="s">
        <v>110</v>
      </c>
      <c r="Q210" s="83">
        <v>1</v>
      </c>
      <c r="S210" s="83" t="s">
        <v>110</v>
      </c>
      <c r="T210" s="83">
        <v>1</v>
      </c>
      <c r="V210" s="83" t="s">
        <v>110</v>
      </c>
      <c r="W210" s="83">
        <v>1</v>
      </c>
      <c r="Y210" s="83" t="s">
        <v>110</v>
      </c>
      <c r="Z210" s="83">
        <v>1</v>
      </c>
      <c r="AB210" s="83" t="s">
        <v>110</v>
      </c>
      <c r="AC210" s="83">
        <v>1</v>
      </c>
      <c r="AE210" s="83" t="s">
        <v>110</v>
      </c>
      <c r="AF210" s="83">
        <v>1</v>
      </c>
      <c r="AH210" s="83" t="s">
        <v>110</v>
      </c>
      <c r="AI210" s="83">
        <v>1</v>
      </c>
      <c r="AK210" s="83" t="s">
        <v>110</v>
      </c>
      <c r="AL210" s="83">
        <v>1</v>
      </c>
      <c r="AN210" s="83" t="s">
        <v>110</v>
      </c>
      <c r="AO210" s="83">
        <v>1</v>
      </c>
      <c r="AQ210" s="83" t="s">
        <v>110</v>
      </c>
      <c r="AR210" s="83">
        <v>1</v>
      </c>
      <c r="AT210" s="83" t="s">
        <v>110</v>
      </c>
      <c r="AU210" s="83">
        <v>1</v>
      </c>
      <c r="AW210" s="83" t="s">
        <v>110</v>
      </c>
      <c r="AX210" s="83">
        <v>1</v>
      </c>
      <c r="AZ210" s="83" t="s">
        <v>110</v>
      </c>
      <c r="BA210" s="83">
        <v>1</v>
      </c>
      <c r="BC210" s="83" t="s">
        <v>110</v>
      </c>
      <c r="BD210" s="83">
        <v>1</v>
      </c>
      <c r="BF210" s="83" t="s">
        <v>110</v>
      </c>
      <c r="BG210" s="83">
        <v>1</v>
      </c>
      <c r="BI210" s="83" t="s">
        <v>110</v>
      </c>
      <c r="BJ210" s="83">
        <v>1</v>
      </c>
      <c r="BL210" s="83" t="s">
        <v>110</v>
      </c>
      <c r="BM210" s="83">
        <v>1</v>
      </c>
      <c r="BO210" s="83" t="s">
        <v>110</v>
      </c>
      <c r="BP210" s="83">
        <v>1</v>
      </c>
      <c r="BR210" s="83" t="s">
        <v>110</v>
      </c>
      <c r="BS210" s="83">
        <v>1</v>
      </c>
      <c r="BU210" s="83" t="s">
        <v>110</v>
      </c>
      <c r="BV210" s="83">
        <v>1</v>
      </c>
      <c r="BX210" s="83" t="s">
        <v>110</v>
      </c>
      <c r="BY210" s="83">
        <v>1</v>
      </c>
      <c r="CA210" s="83" t="s">
        <v>110</v>
      </c>
      <c r="CB210" s="83">
        <v>1</v>
      </c>
      <c r="CD210" s="83" t="s">
        <v>110</v>
      </c>
      <c r="CE210" s="83">
        <v>1</v>
      </c>
      <c r="CG210" s="83" t="s">
        <v>110</v>
      </c>
      <c r="CH210" s="83">
        <v>1</v>
      </c>
      <c r="CJ210" s="83" t="s">
        <v>110</v>
      </c>
      <c r="CK210" s="83">
        <v>1</v>
      </c>
      <c r="CM210" s="83" t="s">
        <v>110</v>
      </c>
      <c r="CN210" s="83">
        <v>1</v>
      </c>
      <c r="CP210" s="83" t="s">
        <v>110</v>
      </c>
      <c r="CQ210" s="83">
        <v>1</v>
      </c>
      <c r="CS210" s="83" t="s">
        <v>110</v>
      </c>
      <c r="CT210" s="83">
        <v>1</v>
      </c>
      <c r="CV210" s="83" t="s">
        <v>110</v>
      </c>
      <c r="CW210" s="83">
        <v>1</v>
      </c>
      <c r="CY210" s="83" t="s">
        <v>110</v>
      </c>
      <c r="CZ210" s="83">
        <v>1</v>
      </c>
    </row>
    <row r="212" spans="1:104" x14ac:dyDescent="0.2">
      <c r="A212" s="83" t="s">
        <v>91</v>
      </c>
      <c r="B212" s="83">
        <v>1</v>
      </c>
      <c r="D212" s="83" t="s">
        <v>91</v>
      </c>
      <c r="E212" s="83">
        <v>1</v>
      </c>
      <c r="G212" s="83" t="s">
        <v>91</v>
      </c>
      <c r="H212" s="83">
        <v>1</v>
      </c>
      <c r="J212" s="83" t="s">
        <v>91</v>
      </c>
      <c r="K212" s="83">
        <v>1</v>
      </c>
      <c r="M212" s="83" t="s">
        <v>91</v>
      </c>
      <c r="N212" s="83">
        <v>1</v>
      </c>
      <c r="P212" s="83" t="s">
        <v>91</v>
      </c>
      <c r="Q212" s="83">
        <v>1</v>
      </c>
      <c r="S212" s="83" t="s">
        <v>91</v>
      </c>
      <c r="T212" s="83">
        <v>1</v>
      </c>
      <c r="V212" s="83" t="s">
        <v>91</v>
      </c>
      <c r="W212" s="83">
        <v>1</v>
      </c>
      <c r="Y212" s="83" t="s">
        <v>91</v>
      </c>
      <c r="Z212" s="83">
        <v>1</v>
      </c>
      <c r="AB212" s="83" t="s">
        <v>91</v>
      </c>
      <c r="AC212" s="83">
        <v>1</v>
      </c>
      <c r="AE212" s="83" t="s">
        <v>91</v>
      </c>
      <c r="AF212" s="83">
        <v>1</v>
      </c>
      <c r="AH212" s="83" t="s">
        <v>91</v>
      </c>
      <c r="AI212" s="83">
        <v>1</v>
      </c>
      <c r="AK212" s="83" t="s">
        <v>91</v>
      </c>
      <c r="AL212" s="83">
        <v>1</v>
      </c>
      <c r="AN212" s="83" t="s">
        <v>91</v>
      </c>
      <c r="AO212" s="83">
        <v>1</v>
      </c>
      <c r="AQ212" s="83" t="s">
        <v>91</v>
      </c>
      <c r="AR212" s="83">
        <v>1</v>
      </c>
      <c r="AT212" s="83" t="s">
        <v>91</v>
      </c>
      <c r="AU212" s="83">
        <v>1</v>
      </c>
      <c r="AW212" s="83" t="s">
        <v>91</v>
      </c>
      <c r="AX212" s="83">
        <v>1</v>
      </c>
      <c r="AZ212" s="83" t="s">
        <v>91</v>
      </c>
      <c r="BA212" s="83">
        <v>1</v>
      </c>
      <c r="BC212" s="83" t="s">
        <v>91</v>
      </c>
      <c r="BD212" s="83">
        <v>1</v>
      </c>
      <c r="BF212" s="83" t="s">
        <v>91</v>
      </c>
      <c r="BG212" s="83">
        <v>1</v>
      </c>
      <c r="BI212" s="83" t="s">
        <v>91</v>
      </c>
      <c r="BJ212" s="83">
        <v>1</v>
      </c>
      <c r="BL212" s="83" t="s">
        <v>91</v>
      </c>
      <c r="BM212" s="83">
        <v>1</v>
      </c>
      <c r="BO212" s="83" t="s">
        <v>91</v>
      </c>
      <c r="BP212" s="83">
        <v>1</v>
      </c>
      <c r="BR212" s="83" t="s">
        <v>91</v>
      </c>
      <c r="BS212" s="83">
        <v>1</v>
      </c>
      <c r="BU212" s="83" t="s">
        <v>91</v>
      </c>
      <c r="BV212" s="83">
        <v>1</v>
      </c>
      <c r="BX212" s="83" t="s">
        <v>91</v>
      </c>
      <c r="BY212" s="83">
        <v>1</v>
      </c>
      <c r="CA212" s="83" t="s">
        <v>91</v>
      </c>
      <c r="CB212" s="83">
        <v>1</v>
      </c>
      <c r="CD212" s="83" t="s">
        <v>91</v>
      </c>
      <c r="CE212" s="83">
        <v>1</v>
      </c>
      <c r="CG212" s="83" t="s">
        <v>91</v>
      </c>
      <c r="CH212" s="83">
        <v>1</v>
      </c>
      <c r="CJ212" s="83" t="s">
        <v>91</v>
      </c>
      <c r="CK212" s="83">
        <v>1</v>
      </c>
      <c r="CM212" s="83" t="s">
        <v>91</v>
      </c>
      <c r="CN212" s="83">
        <v>1</v>
      </c>
      <c r="CP212" s="83" t="s">
        <v>91</v>
      </c>
      <c r="CQ212" s="83">
        <v>1</v>
      </c>
      <c r="CS212" s="83" t="s">
        <v>91</v>
      </c>
      <c r="CT212" s="83">
        <v>1</v>
      </c>
      <c r="CV212" s="83" t="s">
        <v>91</v>
      </c>
      <c r="CW212" s="83">
        <v>1</v>
      </c>
      <c r="CY212" s="83" t="s">
        <v>91</v>
      </c>
      <c r="CZ212" s="83">
        <v>1</v>
      </c>
    </row>
    <row r="214" spans="1:104" x14ac:dyDescent="0.2">
      <c r="A214" s="83" t="s">
        <v>92</v>
      </c>
      <c r="B214" s="83">
        <v>1</v>
      </c>
      <c r="D214" s="83" t="s">
        <v>92</v>
      </c>
      <c r="E214" s="83">
        <v>1</v>
      </c>
      <c r="G214" s="83" t="s">
        <v>92</v>
      </c>
      <c r="H214" s="83">
        <v>1</v>
      </c>
      <c r="J214" s="83" t="s">
        <v>92</v>
      </c>
      <c r="K214" s="83">
        <v>1</v>
      </c>
      <c r="M214" s="83" t="s">
        <v>92</v>
      </c>
      <c r="N214" s="83">
        <v>1</v>
      </c>
      <c r="P214" s="83" t="s">
        <v>92</v>
      </c>
      <c r="Q214" s="83">
        <v>1</v>
      </c>
      <c r="S214" s="83" t="s">
        <v>92</v>
      </c>
      <c r="T214" s="83">
        <v>1</v>
      </c>
      <c r="V214" s="83" t="s">
        <v>92</v>
      </c>
      <c r="W214" s="83">
        <v>1</v>
      </c>
      <c r="Y214" s="83" t="s">
        <v>92</v>
      </c>
      <c r="Z214" s="83">
        <v>1</v>
      </c>
      <c r="AB214" s="83" t="s">
        <v>92</v>
      </c>
      <c r="AC214" s="83">
        <v>1</v>
      </c>
      <c r="AE214" s="83" t="s">
        <v>92</v>
      </c>
      <c r="AF214" s="83">
        <v>1</v>
      </c>
      <c r="AH214" s="83" t="s">
        <v>92</v>
      </c>
      <c r="AI214" s="83">
        <v>1</v>
      </c>
      <c r="AK214" s="83" t="s">
        <v>92</v>
      </c>
      <c r="AL214" s="83">
        <v>1</v>
      </c>
      <c r="AN214" s="83" t="s">
        <v>92</v>
      </c>
      <c r="AO214" s="83">
        <v>1</v>
      </c>
      <c r="AQ214" s="83" t="s">
        <v>92</v>
      </c>
      <c r="AR214" s="83">
        <v>1</v>
      </c>
      <c r="AT214" s="83" t="s">
        <v>92</v>
      </c>
      <c r="AU214" s="83">
        <v>1</v>
      </c>
      <c r="AW214" s="83" t="s">
        <v>92</v>
      </c>
      <c r="AX214" s="83">
        <v>1</v>
      </c>
      <c r="AZ214" s="83" t="s">
        <v>92</v>
      </c>
      <c r="BA214" s="83">
        <v>1</v>
      </c>
      <c r="BC214" s="83" t="s">
        <v>92</v>
      </c>
      <c r="BD214" s="83">
        <v>1</v>
      </c>
      <c r="BF214" s="83" t="s">
        <v>92</v>
      </c>
      <c r="BG214" s="83">
        <v>1</v>
      </c>
      <c r="BI214" s="83" t="s">
        <v>92</v>
      </c>
      <c r="BJ214" s="83">
        <v>1</v>
      </c>
      <c r="BL214" s="83" t="s">
        <v>92</v>
      </c>
      <c r="BM214" s="83">
        <v>1</v>
      </c>
      <c r="BO214" s="83" t="s">
        <v>92</v>
      </c>
      <c r="BP214" s="83">
        <v>1</v>
      </c>
      <c r="BR214" s="83" t="s">
        <v>92</v>
      </c>
      <c r="BS214" s="83">
        <v>1</v>
      </c>
      <c r="BU214" s="83" t="s">
        <v>92</v>
      </c>
      <c r="BV214" s="83">
        <v>1</v>
      </c>
      <c r="BX214" s="83" t="s">
        <v>92</v>
      </c>
      <c r="BY214" s="83">
        <v>1</v>
      </c>
      <c r="CA214" s="83" t="s">
        <v>92</v>
      </c>
      <c r="CB214" s="83">
        <v>1</v>
      </c>
      <c r="CD214" s="83" t="s">
        <v>92</v>
      </c>
      <c r="CE214" s="83">
        <v>1</v>
      </c>
      <c r="CG214" s="83" t="s">
        <v>92</v>
      </c>
      <c r="CH214" s="83">
        <v>1</v>
      </c>
      <c r="CJ214" s="83" t="s">
        <v>92</v>
      </c>
      <c r="CK214" s="83">
        <v>1</v>
      </c>
      <c r="CM214" s="83" t="s">
        <v>92</v>
      </c>
      <c r="CN214" s="83">
        <v>1</v>
      </c>
      <c r="CP214" s="83" t="s">
        <v>92</v>
      </c>
      <c r="CQ214" s="83">
        <v>1</v>
      </c>
      <c r="CS214" s="83" t="s">
        <v>92</v>
      </c>
      <c r="CT214" s="83">
        <v>1</v>
      </c>
      <c r="CV214" s="83" t="s">
        <v>92</v>
      </c>
      <c r="CW214" s="83">
        <v>1</v>
      </c>
      <c r="CY214" s="83" t="s">
        <v>92</v>
      </c>
      <c r="CZ214" s="83">
        <v>1</v>
      </c>
    </row>
    <row r="216" spans="1:104" x14ac:dyDescent="0.2">
      <c r="A216" s="83" t="s">
        <v>93</v>
      </c>
      <c r="B216" s="83">
        <v>1</v>
      </c>
      <c r="D216" s="83" t="s">
        <v>93</v>
      </c>
      <c r="E216" s="83">
        <v>1</v>
      </c>
      <c r="G216" s="83" t="s">
        <v>93</v>
      </c>
      <c r="H216" s="83">
        <v>1</v>
      </c>
      <c r="J216" s="83" t="s">
        <v>93</v>
      </c>
      <c r="K216" s="83">
        <v>1</v>
      </c>
      <c r="M216" s="83" t="s">
        <v>93</v>
      </c>
      <c r="N216" s="83">
        <v>1</v>
      </c>
      <c r="P216" s="83" t="s">
        <v>93</v>
      </c>
      <c r="Q216" s="83">
        <v>1</v>
      </c>
      <c r="S216" s="83" t="s">
        <v>93</v>
      </c>
      <c r="T216" s="83">
        <v>1</v>
      </c>
      <c r="V216" s="83" t="s">
        <v>93</v>
      </c>
      <c r="W216" s="83">
        <v>1</v>
      </c>
      <c r="Y216" s="83" t="s">
        <v>93</v>
      </c>
      <c r="Z216" s="83">
        <v>1</v>
      </c>
      <c r="AB216" s="83" t="s">
        <v>93</v>
      </c>
      <c r="AC216" s="83">
        <v>1</v>
      </c>
      <c r="AE216" s="83" t="s">
        <v>93</v>
      </c>
      <c r="AF216" s="83">
        <v>1</v>
      </c>
      <c r="AH216" s="83" t="s">
        <v>93</v>
      </c>
      <c r="AI216" s="83">
        <v>1</v>
      </c>
      <c r="AK216" s="83" t="s">
        <v>93</v>
      </c>
      <c r="AL216" s="83">
        <v>1</v>
      </c>
      <c r="AN216" s="83" t="s">
        <v>93</v>
      </c>
      <c r="AO216" s="83">
        <v>1</v>
      </c>
      <c r="AQ216" s="83" t="s">
        <v>93</v>
      </c>
      <c r="AR216" s="83">
        <v>1</v>
      </c>
      <c r="AT216" s="83" t="s">
        <v>93</v>
      </c>
      <c r="AU216" s="83">
        <v>1</v>
      </c>
      <c r="AW216" s="83" t="s">
        <v>93</v>
      </c>
      <c r="AX216" s="83">
        <v>1</v>
      </c>
      <c r="AZ216" s="83" t="s">
        <v>93</v>
      </c>
      <c r="BA216" s="83">
        <v>1</v>
      </c>
      <c r="BC216" s="83" t="s">
        <v>93</v>
      </c>
      <c r="BD216" s="83">
        <v>1</v>
      </c>
      <c r="BF216" s="83" t="s">
        <v>93</v>
      </c>
      <c r="BG216" s="83">
        <v>1</v>
      </c>
      <c r="BI216" s="83" t="s">
        <v>93</v>
      </c>
      <c r="BJ216" s="83">
        <v>1</v>
      </c>
      <c r="BL216" s="83" t="s">
        <v>93</v>
      </c>
      <c r="BM216" s="83">
        <v>1</v>
      </c>
      <c r="BO216" s="83" t="s">
        <v>93</v>
      </c>
      <c r="BP216" s="83">
        <v>1</v>
      </c>
      <c r="BR216" s="83" t="s">
        <v>93</v>
      </c>
      <c r="BS216" s="83">
        <v>1</v>
      </c>
      <c r="BU216" s="83" t="s">
        <v>93</v>
      </c>
      <c r="BV216" s="83">
        <v>1</v>
      </c>
      <c r="BX216" s="83" t="s">
        <v>93</v>
      </c>
      <c r="BY216" s="83">
        <v>1</v>
      </c>
      <c r="CA216" s="83" t="s">
        <v>93</v>
      </c>
      <c r="CB216" s="83">
        <v>1</v>
      </c>
      <c r="CD216" s="83" t="s">
        <v>93</v>
      </c>
      <c r="CE216" s="83">
        <v>1</v>
      </c>
      <c r="CG216" s="83" t="s">
        <v>93</v>
      </c>
      <c r="CH216" s="83">
        <v>1</v>
      </c>
      <c r="CJ216" s="83" t="s">
        <v>93</v>
      </c>
      <c r="CK216" s="83">
        <v>1</v>
      </c>
      <c r="CM216" s="83" t="s">
        <v>93</v>
      </c>
      <c r="CN216" s="83">
        <v>1</v>
      </c>
      <c r="CP216" s="83" t="s">
        <v>93</v>
      </c>
      <c r="CQ216" s="83">
        <v>1</v>
      </c>
      <c r="CS216" s="83" t="s">
        <v>93</v>
      </c>
      <c r="CT216" s="83">
        <v>1</v>
      </c>
      <c r="CV216" s="83" t="s">
        <v>93</v>
      </c>
      <c r="CW216" s="83">
        <v>1</v>
      </c>
      <c r="CY216" s="83" t="s">
        <v>93</v>
      </c>
      <c r="CZ216" s="83">
        <v>1</v>
      </c>
    </row>
    <row r="218" spans="1:104" x14ac:dyDescent="0.2">
      <c r="A218" s="83" t="s">
        <v>94</v>
      </c>
      <c r="B218" s="83">
        <v>1</v>
      </c>
      <c r="D218" s="83" t="s">
        <v>94</v>
      </c>
      <c r="E218" s="83">
        <v>1</v>
      </c>
      <c r="G218" s="83" t="s">
        <v>94</v>
      </c>
      <c r="H218" s="83">
        <v>1</v>
      </c>
      <c r="J218" s="83" t="s">
        <v>94</v>
      </c>
      <c r="K218" s="83">
        <v>1</v>
      </c>
      <c r="M218" s="83" t="s">
        <v>94</v>
      </c>
      <c r="N218" s="83">
        <v>1</v>
      </c>
      <c r="P218" s="83" t="s">
        <v>94</v>
      </c>
      <c r="Q218" s="83">
        <v>1</v>
      </c>
      <c r="S218" s="83" t="s">
        <v>94</v>
      </c>
      <c r="T218" s="83">
        <v>1</v>
      </c>
      <c r="V218" s="83" t="s">
        <v>94</v>
      </c>
      <c r="W218" s="83">
        <v>1</v>
      </c>
      <c r="Y218" s="83" t="s">
        <v>94</v>
      </c>
      <c r="Z218" s="83">
        <v>1</v>
      </c>
      <c r="AB218" s="83" t="s">
        <v>94</v>
      </c>
      <c r="AC218" s="83">
        <v>1</v>
      </c>
      <c r="AE218" s="83" t="s">
        <v>94</v>
      </c>
      <c r="AF218" s="83">
        <v>1</v>
      </c>
      <c r="AH218" s="83" t="s">
        <v>94</v>
      </c>
      <c r="AI218" s="83">
        <v>1</v>
      </c>
      <c r="AK218" s="83" t="s">
        <v>94</v>
      </c>
      <c r="AL218" s="83">
        <v>1</v>
      </c>
      <c r="AN218" s="83" t="s">
        <v>94</v>
      </c>
      <c r="AO218" s="83">
        <v>1</v>
      </c>
      <c r="AQ218" s="83" t="s">
        <v>94</v>
      </c>
      <c r="AR218" s="83">
        <v>1</v>
      </c>
      <c r="AT218" s="83" t="s">
        <v>94</v>
      </c>
      <c r="AU218" s="83">
        <v>1</v>
      </c>
      <c r="AW218" s="83" t="s">
        <v>94</v>
      </c>
      <c r="AX218" s="83">
        <v>1</v>
      </c>
      <c r="AZ218" s="83" t="s">
        <v>94</v>
      </c>
      <c r="BA218" s="83">
        <v>1</v>
      </c>
      <c r="BC218" s="83" t="s">
        <v>94</v>
      </c>
      <c r="BD218" s="83">
        <v>1</v>
      </c>
      <c r="BF218" s="83" t="s">
        <v>94</v>
      </c>
      <c r="BG218" s="83">
        <v>1</v>
      </c>
      <c r="BI218" s="83" t="s">
        <v>94</v>
      </c>
      <c r="BJ218" s="83">
        <v>1</v>
      </c>
      <c r="BL218" s="83" t="s">
        <v>94</v>
      </c>
      <c r="BM218" s="83">
        <v>1</v>
      </c>
      <c r="BO218" s="83" t="s">
        <v>94</v>
      </c>
      <c r="BP218" s="83">
        <v>1</v>
      </c>
      <c r="BR218" s="83" t="s">
        <v>94</v>
      </c>
      <c r="BS218" s="83">
        <v>1</v>
      </c>
      <c r="BU218" s="83" t="s">
        <v>94</v>
      </c>
      <c r="BV218" s="83">
        <v>1</v>
      </c>
      <c r="BX218" s="83" t="s">
        <v>94</v>
      </c>
      <c r="BY218" s="83">
        <v>1</v>
      </c>
      <c r="CA218" s="83" t="s">
        <v>94</v>
      </c>
      <c r="CB218" s="83">
        <v>1</v>
      </c>
      <c r="CD218" s="83" t="s">
        <v>94</v>
      </c>
      <c r="CE218" s="83">
        <v>1</v>
      </c>
      <c r="CG218" s="83" t="s">
        <v>94</v>
      </c>
      <c r="CH218" s="83">
        <v>1</v>
      </c>
      <c r="CJ218" s="83" t="s">
        <v>94</v>
      </c>
      <c r="CK218" s="83">
        <v>1</v>
      </c>
      <c r="CM218" s="83" t="s">
        <v>94</v>
      </c>
      <c r="CN218" s="83">
        <v>1</v>
      </c>
      <c r="CP218" s="83" t="s">
        <v>94</v>
      </c>
      <c r="CQ218" s="83">
        <v>1</v>
      </c>
      <c r="CS218" s="83" t="s">
        <v>94</v>
      </c>
      <c r="CT218" s="83">
        <v>1</v>
      </c>
      <c r="CV218" s="83" t="s">
        <v>94</v>
      </c>
      <c r="CW218" s="83">
        <v>1</v>
      </c>
      <c r="CY218" s="83" t="s">
        <v>94</v>
      </c>
      <c r="CZ218" s="83">
        <v>1</v>
      </c>
    </row>
    <row r="220" spans="1:104" x14ac:dyDescent="0.2">
      <c r="A220" s="83" t="s">
        <v>95</v>
      </c>
      <c r="B220" s="83">
        <v>1</v>
      </c>
      <c r="D220" s="83" t="s">
        <v>95</v>
      </c>
      <c r="E220" s="83">
        <v>1</v>
      </c>
      <c r="G220" s="83" t="s">
        <v>95</v>
      </c>
      <c r="H220" s="83">
        <v>1</v>
      </c>
      <c r="J220" s="83" t="s">
        <v>95</v>
      </c>
      <c r="K220" s="83">
        <v>1</v>
      </c>
      <c r="M220" s="83" t="s">
        <v>95</v>
      </c>
      <c r="N220" s="83">
        <v>1</v>
      </c>
      <c r="P220" s="83" t="s">
        <v>95</v>
      </c>
      <c r="Q220" s="83">
        <v>1</v>
      </c>
      <c r="S220" s="83" t="s">
        <v>95</v>
      </c>
      <c r="T220" s="83">
        <v>1</v>
      </c>
      <c r="V220" s="83" t="s">
        <v>95</v>
      </c>
      <c r="W220" s="83">
        <v>1</v>
      </c>
      <c r="Y220" s="83" t="s">
        <v>95</v>
      </c>
      <c r="Z220" s="83">
        <v>1</v>
      </c>
      <c r="AB220" s="83" t="s">
        <v>95</v>
      </c>
      <c r="AC220" s="83">
        <v>1</v>
      </c>
      <c r="AE220" s="83" t="s">
        <v>95</v>
      </c>
      <c r="AF220" s="83">
        <v>1</v>
      </c>
      <c r="AH220" s="83" t="s">
        <v>95</v>
      </c>
      <c r="AI220" s="83">
        <v>1</v>
      </c>
      <c r="AK220" s="83" t="s">
        <v>95</v>
      </c>
      <c r="AL220" s="83">
        <v>1</v>
      </c>
      <c r="AN220" s="83" t="s">
        <v>95</v>
      </c>
      <c r="AO220" s="83">
        <v>1</v>
      </c>
      <c r="AQ220" s="83" t="s">
        <v>95</v>
      </c>
      <c r="AR220" s="83">
        <v>1</v>
      </c>
      <c r="AT220" s="83" t="s">
        <v>95</v>
      </c>
      <c r="AU220" s="83">
        <v>1</v>
      </c>
      <c r="AW220" s="83" t="s">
        <v>95</v>
      </c>
      <c r="AX220" s="83">
        <v>1</v>
      </c>
      <c r="AZ220" s="83" t="s">
        <v>95</v>
      </c>
      <c r="BA220" s="83">
        <v>1</v>
      </c>
      <c r="BC220" s="83" t="s">
        <v>95</v>
      </c>
      <c r="BD220" s="83">
        <v>1</v>
      </c>
      <c r="BF220" s="83" t="s">
        <v>95</v>
      </c>
      <c r="BG220" s="83">
        <v>1</v>
      </c>
      <c r="BI220" s="83" t="s">
        <v>95</v>
      </c>
      <c r="BJ220" s="83">
        <v>1</v>
      </c>
      <c r="BL220" s="83" t="s">
        <v>95</v>
      </c>
      <c r="BM220" s="83">
        <v>1</v>
      </c>
      <c r="BO220" s="83" t="s">
        <v>95</v>
      </c>
      <c r="BP220" s="83">
        <v>1</v>
      </c>
      <c r="BR220" s="83" t="s">
        <v>95</v>
      </c>
      <c r="BS220" s="83">
        <v>1</v>
      </c>
      <c r="BU220" s="83" t="s">
        <v>95</v>
      </c>
      <c r="BV220" s="83">
        <v>1</v>
      </c>
      <c r="BX220" s="83" t="s">
        <v>95</v>
      </c>
      <c r="BY220" s="83">
        <v>1</v>
      </c>
      <c r="CA220" s="83" t="s">
        <v>95</v>
      </c>
      <c r="CB220" s="83">
        <v>1</v>
      </c>
      <c r="CD220" s="83" t="s">
        <v>95</v>
      </c>
      <c r="CE220" s="83">
        <v>1</v>
      </c>
      <c r="CG220" s="83" t="s">
        <v>95</v>
      </c>
      <c r="CH220" s="83">
        <v>1</v>
      </c>
      <c r="CJ220" s="83" t="s">
        <v>95</v>
      </c>
      <c r="CK220" s="83">
        <v>1</v>
      </c>
      <c r="CM220" s="83" t="s">
        <v>95</v>
      </c>
      <c r="CN220" s="83">
        <v>1</v>
      </c>
      <c r="CP220" s="83" t="s">
        <v>95</v>
      </c>
      <c r="CQ220" s="83">
        <v>1</v>
      </c>
      <c r="CS220" s="83" t="s">
        <v>95</v>
      </c>
      <c r="CT220" s="83">
        <v>1</v>
      </c>
      <c r="CV220" s="83" t="s">
        <v>95</v>
      </c>
      <c r="CW220" s="83">
        <v>1</v>
      </c>
      <c r="CY220" s="83" t="s">
        <v>95</v>
      </c>
      <c r="CZ220" s="83">
        <v>1</v>
      </c>
    </row>
    <row r="222" spans="1:104" x14ac:dyDescent="0.2">
      <c r="A222" s="83" t="s">
        <v>98</v>
      </c>
      <c r="B222" s="83">
        <v>1</v>
      </c>
      <c r="D222" s="83" t="s">
        <v>98</v>
      </c>
      <c r="E222" s="83">
        <v>1</v>
      </c>
      <c r="G222" s="83" t="s">
        <v>98</v>
      </c>
      <c r="H222" s="83">
        <v>1</v>
      </c>
      <c r="J222" s="83" t="s">
        <v>98</v>
      </c>
      <c r="K222" s="83">
        <v>1</v>
      </c>
      <c r="M222" s="83" t="s">
        <v>98</v>
      </c>
      <c r="N222" s="83">
        <v>1</v>
      </c>
      <c r="P222" s="83" t="s">
        <v>98</v>
      </c>
      <c r="Q222" s="83">
        <v>1</v>
      </c>
      <c r="S222" s="83" t="s">
        <v>98</v>
      </c>
      <c r="T222" s="83">
        <v>1</v>
      </c>
      <c r="V222" s="83" t="s">
        <v>98</v>
      </c>
      <c r="W222" s="83">
        <v>1</v>
      </c>
      <c r="Y222" s="83" t="s">
        <v>98</v>
      </c>
      <c r="Z222" s="83">
        <v>1</v>
      </c>
      <c r="AB222" s="83" t="s">
        <v>98</v>
      </c>
      <c r="AC222" s="83">
        <v>1</v>
      </c>
      <c r="AE222" s="83" t="s">
        <v>98</v>
      </c>
      <c r="AF222" s="83">
        <v>1</v>
      </c>
      <c r="AH222" s="83" t="s">
        <v>98</v>
      </c>
      <c r="AI222" s="83">
        <v>1</v>
      </c>
      <c r="AK222" s="83" t="s">
        <v>98</v>
      </c>
      <c r="AL222" s="83">
        <v>1</v>
      </c>
      <c r="AN222" s="83" t="s">
        <v>98</v>
      </c>
      <c r="AO222" s="83">
        <v>1</v>
      </c>
      <c r="AQ222" s="83" t="s">
        <v>98</v>
      </c>
      <c r="AR222" s="83">
        <v>1</v>
      </c>
      <c r="AT222" s="83" t="s">
        <v>98</v>
      </c>
      <c r="AU222" s="83">
        <v>1</v>
      </c>
      <c r="AW222" s="83" t="s">
        <v>98</v>
      </c>
      <c r="AX222" s="83">
        <v>1</v>
      </c>
      <c r="AZ222" s="83" t="s">
        <v>98</v>
      </c>
      <c r="BA222" s="83">
        <v>1</v>
      </c>
      <c r="BC222" s="83" t="s">
        <v>98</v>
      </c>
      <c r="BD222" s="83">
        <v>1</v>
      </c>
      <c r="BF222" s="83" t="s">
        <v>98</v>
      </c>
      <c r="BG222" s="83">
        <v>1</v>
      </c>
      <c r="BI222" s="83" t="s">
        <v>98</v>
      </c>
      <c r="BJ222" s="83">
        <v>1</v>
      </c>
      <c r="BL222" s="83" t="s">
        <v>98</v>
      </c>
      <c r="BM222" s="83">
        <v>1</v>
      </c>
      <c r="BO222" s="83" t="s">
        <v>98</v>
      </c>
      <c r="BP222" s="83">
        <v>1</v>
      </c>
      <c r="BR222" s="83" t="s">
        <v>98</v>
      </c>
      <c r="BS222" s="83">
        <v>1</v>
      </c>
      <c r="BU222" s="83" t="s">
        <v>98</v>
      </c>
      <c r="BV222" s="83">
        <v>1</v>
      </c>
      <c r="BX222" s="83" t="s">
        <v>98</v>
      </c>
      <c r="BY222" s="83">
        <v>1</v>
      </c>
      <c r="CA222" s="83" t="s">
        <v>98</v>
      </c>
      <c r="CB222" s="83">
        <v>1</v>
      </c>
      <c r="CD222" s="83" t="s">
        <v>98</v>
      </c>
      <c r="CE222" s="83">
        <v>1</v>
      </c>
      <c r="CG222" s="83" t="s">
        <v>98</v>
      </c>
      <c r="CH222" s="83">
        <v>1</v>
      </c>
      <c r="CJ222" s="83" t="s">
        <v>98</v>
      </c>
      <c r="CK222" s="83">
        <v>1</v>
      </c>
      <c r="CM222" s="83" t="s">
        <v>98</v>
      </c>
      <c r="CN222" s="83">
        <v>1</v>
      </c>
      <c r="CP222" s="83" t="s">
        <v>98</v>
      </c>
      <c r="CQ222" s="83">
        <v>1</v>
      </c>
      <c r="CS222" s="83" t="s">
        <v>98</v>
      </c>
      <c r="CT222" s="83">
        <v>1</v>
      </c>
      <c r="CV222" s="83" t="s">
        <v>98</v>
      </c>
      <c r="CW222" s="83">
        <v>1</v>
      </c>
      <c r="CY222" s="83" t="s">
        <v>98</v>
      </c>
      <c r="CZ222" s="83">
        <v>1</v>
      </c>
    </row>
    <row r="224" spans="1:104" x14ac:dyDescent="0.2">
      <c r="A224" s="83" t="s">
        <v>96</v>
      </c>
      <c r="B224" s="83">
        <v>1</v>
      </c>
      <c r="D224" s="83" t="s">
        <v>96</v>
      </c>
      <c r="E224" s="83">
        <v>1</v>
      </c>
      <c r="G224" s="83" t="s">
        <v>96</v>
      </c>
      <c r="H224" s="83">
        <v>1</v>
      </c>
      <c r="J224" s="83" t="s">
        <v>96</v>
      </c>
      <c r="K224" s="83">
        <v>1</v>
      </c>
      <c r="M224" s="83" t="s">
        <v>96</v>
      </c>
      <c r="N224" s="83">
        <v>1</v>
      </c>
      <c r="P224" s="83" t="s">
        <v>96</v>
      </c>
      <c r="Q224" s="83">
        <v>1</v>
      </c>
      <c r="S224" s="83" t="s">
        <v>96</v>
      </c>
      <c r="T224" s="83">
        <v>1</v>
      </c>
      <c r="V224" s="83" t="s">
        <v>96</v>
      </c>
      <c r="W224" s="83">
        <v>1</v>
      </c>
      <c r="Y224" s="83" t="s">
        <v>96</v>
      </c>
      <c r="Z224" s="83">
        <v>1</v>
      </c>
      <c r="AB224" s="83" t="s">
        <v>96</v>
      </c>
      <c r="AC224" s="83">
        <v>1</v>
      </c>
      <c r="AE224" s="83" t="s">
        <v>96</v>
      </c>
      <c r="AF224" s="83">
        <v>1</v>
      </c>
      <c r="AH224" s="83" t="s">
        <v>96</v>
      </c>
      <c r="AI224" s="83">
        <v>1</v>
      </c>
      <c r="AK224" s="83" t="s">
        <v>96</v>
      </c>
      <c r="AL224" s="83">
        <v>1</v>
      </c>
      <c r="AN224" s="83" t="s">
        <v>96</v>
      </c>
      <c r="AO224" s="83">
        <v>1</v>
      </c>
      <c r="AQ224" s="83" t="s">
        <v>96</v>
      </c>
      <c r="AR224" s="83">
        <v>1</v>
      </c>
      <c r="AT224" s="83" t="s">
        <v>96</v>
      </c>
      <c r="AU224" s="83">
        <v>1</v>
      </c>
      <c r="AW224" s="83" t="s">
        <v>96</v>
      </c>
      <c r="AX224" s="83">
        <v>1</v>
      </c>
      <c r="AZ224" s="83" t="s">
        <v>96</v>
      </c>
      <c r="BA224" s="83">
        <v>1</v>
      </c>
      <c r="BC224" s="83" t="s">
        <v>96</v>
      </c>
      <c r="BD224" s="83">
        <v>1</v>
      </c>
      <c r="BF224" s="83" t="s">
        <v>96</v>
      </c>
      <c r="BG224" s="83">
        <v>1</v>
      </c>
      <c r="BI224" s="83" t="s">
        <v>96</v>
      </c>
      <c r="BJ224" s="83">
        <v>1</v>
      </c>
      <c r="BL224" s="83" t="s">
        <v>96</v>
      </c>
      <c r="BM224" s="83">
        <v>1</v>
      </c>
      <c r="BO224" s="83" t="s">
        <v>96</v>
      </c>
      <c r="BP224" s="83">
        <v>1</v>
      </c>
      <c r="BR224" s="83" t="s">
        <v>96</v>
      </c>
      <c r="BS224" s="83">
        <v>1</v>
      </c>
      <c r="BU224" s="83" t="s">
        <v>96</v>
      </c>
      <c r="BV224" s="83">
        <v>1</v>
      </c>
      <c r="BX224" s="83" t="s">
        <v>96</v>
      </c>
      <c r="BY224" s="83">
        <v>1</v>
      </c>
      <c r="CA224" s="83" t="s">
        <v>96</v>
      </c>
      <c r="CB224" s="83">
        <v>1</v>
      </c>
      <c r="CD224" s="83" t="s">
        <v>96</v>
      </c>
      <c r="CE224" s="83">
        <v>1</v>
      </c>
      <c r="CG224" s="83" t="s">
        <v>96</v>
      </c>
      <c r="CH224" s="83">
        <v>1</v>
      </c>
      <c r="CJ224" s="83" t="s">
        <v>96</v>
      </c>
      <c r="CK224" s="83">
        <v>1</v>
      </c>
      <c r="CM224" s="83" t="s">
        <v>96</v>
      </c>
      <c r="CN224" s="83">
        <v>1</v>
      </c>
      <c r="CP224" s="83" t="s">
        <v>96</v>
      </c>
      <c r="CQ224" s="83">
        <v>1</v>
      </c>
      <c r="CS224" s="83" t="s">
        <v>96</v>
      </c>
      <c r="CT224" s="83">
        <v>1</v>
      </c>
      <c r="CV224" s="83" t="s">
        <v>96</v>
      </c>
      <c r="CW224" s="83">
        <v>1</v>
      </c>
      <c r="CY224" s="83" t="s">
        <v>96</v>
      </c>
      <c r="CZ224" s="83">
        <v>1</v>
      </c>
    </row>
    <row r="226" spans="1:104" x14ac:dyDescent="0.2">
      <c r="A226" s="83" t="s">
        <v>97</v>
      </c>
      <c r="B226" s="83">
        <v>1</v>
      </c>
      <c r="D226" s="83" t="s">
        <v>97</v>
      </c>
      <c r="E226" s="83">
        <v>1</v>
      </c>
      <c r="G226" s="83" t="s">
        <v>97</v>
      </c>
      <c r="H226" s="83">
        <v>1</v>
      </c>
      <c r="J226" s="83" t="s">
        <v>97</v>
      </c>
      <c r="K226" s="83">
        <v>1</v>
      </c>
      <c r="M226" s="83" t="s">
        <v>97</v>
      </c>
      <c r="N226" s="83">
        <v>1</v>
      </c>
      <c r="P226" s="83" t="s">
        <v>97</v>
      </c>
      <c r="Q226" s="83">
        <v>1</v>
      </c>
      <c r="S226" s="83" t="s">
        <v>97</v>
      </c>
      <c r="T226" s="83">
        <v>1</v>
      </c>
      <c r="V226" s="83" t="s">
        <v>97</v>
      </c>
      <c r="W226" s="83">
        <v>1</v>
      </c>
      <c r="Y226" s="83" t="s">
        <v>97</v>
      </c>
      <c r="Z226" s="83">
        <v>1</v>
      </c>
      <c r="AB226" s="83" t="s">
        <v>97</v>
      </c>
      <c r="AC226" s="83">
        <v>1</v>
      </c>
      <c r="AE226" s="83" t="s">
        <v>97</v>
      </c>
      <c r="AF226" s="83">
        <v>1</v>
      </c>
      <c r="AH226" s="83" t="s">
        <v>97</v>
      </c>
      <c r="AI226" s="83">
        <v>1</v>
      </c>
      <c r="AK226" s="83" t="s">
        <v>97</v>
      </c>
      <c r="AL226" s="83">
        <v>1</v>
      </c>
      <c r="AN226" s="83" t="s">
        <v>97</v>
      </c>
      <c r="AO226" s="83">
        <v>1</v>
      </c>
      <c r="AQ226" s="83" t="s">
        <v>97</v>
      </c>
      <c r="AR226" s="83">
        <v>1</v>
      </c>
      <c r="AT226" s="83" t="s">
        <v>97</v>
      </c>
      <c r="AU226" s="83">
        <v>1</v>
      </c>
      <c r="AW226" s="83" t="s">
        <v>97</v>
      </c>
      <c r="AX226" s="83">
        <v>1</v>
      </c>
      <c r="AZ226" s="83" t="s">
        <v>97</v>
      </c>
      <c r="BA226" s="83">
        <v>1</v>
      </c>
      <c r="BC226" s="83" t="s">
        <v>97</v>
      </c>
      <c r="BD226" s="83">
        <v>1</v>
      </c>
      <c r="BF226" s="83" t="s">
        <v>97</v>
      </c>
      <c r="BG226" s="83">
        <v>1</v>
      </c>
      <c r="BI226" s="83" t="s">
        <v>97</v>
      </c>
      <c r="BJ226" s="83">
        <v>1</v>
      </c>
      <c r="BL226" s="83" t="s">
        <v>97</v>
      </c>
      <c r="BM226" s="83">
        <v>1</v>
      </c>
      <c r="BO226" s="83" t="s">
        <v>97</v>
      </c>
      <c r="BP226" s="83">
        <v>1</v>
      </c>
      <c r="BR226" s="83" t="s">
        <v>97</v>
      </c>
      <c r="BS226" s="83">
        <v>1</v>
      </c>
      <c r="BU226" s="83" t="s">
        <v>97</v>
      </c>
      <c r="BV226" s="83">
        <v>1</v>
      </c>
      <c r="BX226" s="83" t="s">
        <v>97</v>
      </c>
      <c r="BY226" s="83">
        <v>1</v>
      </c>
      <c r="CA226" s="83" t="s">
        <v>97</v>
      </c>
      <c r="CB226" s="83">
        <v>1</v>
      </c>
      <c r="CD226" s="83" t="s">
        <v>97</v>
      </c>
      <c r="CE226" s="83">
        <v>1</v>
      </c>
      <c r="CG226" s="83" t="s">
        <v>97</v>
      </c>
      <c r="CH226" s="83">
        <v>1</v>
      </c>
      <c r="CJ226" s="83" t="s">
        <v>97</v>
      </c>
      <c r="CK226" s="83">
        <v>1</v>
      </c>
      <c r="CM226" s="83" t="s">
        <v>97</v>
      </c>
      <c r="CN226" s="83">
        <v>1</v>
      </c>
      <c r="CP226" s="83" t="s">
        <v>97</v>
      </c>
      <c r="CQ226" s="83">
        <v>1</v>
      </c>
      <c r="CS226" s="83" t="s">
        <v>97</v>
      </c>
      <c r="CT226" s="83">
        <v>1</v>
      </c>
      <c r="CV226" s="83" t="s">
        <v>97</v>
      </c>
      <c r="CW226" s="83">
        <v>1</v>
      </c>
      <c r="CY226" s="83" t="s">
        <v>97</v>
      </c>
      <c r="CZ226" s="83">
        <v>1</v>
      </c>
    </row>
    <row r="228" spans="1:104" x14ac:dyDescent="0.2">
      <c r="A228" s="83" t="s">
        <v>111</v>
      </c>
      <c r="B228" s="83">
        <v>1</v>
      </c>
      <c r="D228" s="83" t="s">
        <v>111</v>
      </c>
      <c r="E228" s="83">
        <v>1</v>
      </c>
      <c r="G228" s="83" t="s">
        <v>111</v>
      </c>
      <c r="H228" s="83">
        <v>1</v>
      </c>
      <c r="J228" s="83" t="s">
        <v>111</v>
      </c>
      <c r="K228" s="83">
        <v>1</v>
      </c>
      <c r="M228" s="83" t="s">
        <v>111</v>
      </c>
      <c r="N228" s="83">
        <v>1</v>
      </c>
      <c r="P228" s="83" t="s">
        <v>111</v>
      </c>
      <c r="Q228" s="83">
        <v>1</v>
      </c>
      <c r="S228" s="83" t="s">
        <v>111</v>
      </c>
      <c r="T228" s="83">
        <v>1</v>
      </c>
      <c r="V228" s="83" t="s">
        <v>111</v>
      </c>
      <c r="W228" s="83">
        <v>1</v>
      </c>
      <c r="Y228" s="83" t="s">
        <v>111</v>
      </c>
      <c r="Z228" s="83">
        <v>1</v>
      </c>
      <c r="AB228" s="83" t="s">
        <v>111</v>
      </c>
      <c r="AC228" s="83">
        <v>1</v>
      </c>
      <c r="AE228" s="83" t="s">
        <v>111</v>
      </c>
      <c r="AF228" s="83">
        <v>1</v>
      </c>
      <c r="AH228" s="83" t="s">
        <v>111</v>
      </c>
      <c r="AI228" s="83">
        <v>1</v>
      </c>
      <c r="AK228" s="83" t="s">
        <v>111</v>
      </c>
      <c r="AL228" s="83">
        <v>1</v>
      </c>
      <c r="AN228" s="83" t="s">
        <v>111</v>
      </c>
      <c r="AO228" s="83">
        <v>1</v>
      </c>
      <c r="AQ228" s="83" t="s">
        <v>111</v>
      </c>
      <c r="AR228" s="83">
        <v>1</v>
      </c>
      <c r="AT228" s="83" t="s">
        <v>111</v>
      </c>
      <c r="AU228" s="83">
        <v>1</v>
      </c>
      <c r="AW228" s="83" t="s">
        <v>111</v>
      </c>
      <c r="AX228" s="83">
        <v>1</v>
      </c>
      <c r="AZ228" s="83" t="s">
        <v>111</v>
      </c>
      <c r="BA228" s="83">
        <v>1</v>
      </c>
      <c r="BC228" s="83" t="s">
        <v>111</v>
      </c>
      <c r="BD228" s="83">
        <v>1</v>
      </c>
      <c r="BF228" s="83" t="s">
        <v>111</v>
      </c>
      <c r="BG228" s="83">
        <v>1</v>
      </c>
      <c r="BI228" s="83" t="s">
        <v>111</v>
      </c>
      <c r="BJ228" s="83">
        <v>1</v>
      </c>
      <c r="BL228" s="83" t="s">
        <v>111</v>
      </c>
      <c r="BM228" s="83">
        <v>1</v>
      </c>
      <c r="BO228" s="83" t="s">
        <v>111</v>
      </c>
      <c r="BP228" s="83">
        <v>1</v>
      </c>
      <c r="BR228" s="83" t="s">
        <v>111</v>
      </c>
      <c r="BS228" s="83">
        <v>1</v>
      </c>
      <c r="BU228" s="83" t="s">
        <v>111</v>
      </c>
      <c r="BV228" s="83">
        <v>1</v>
      </c>
      <c r="BX228" s="83" t="s">
        <v>111</v>
      </c>
      <c r="BY228" s="83">
        <v>1</v>
      </c>
      <c r="CA228" s="83" t="s">
        <v>111</v>
      </c>
      <c r="CB228" s="83">
        <v>1</v>
      </c>
      <c r="CD228" s="83" t="s">
        <v>111</v>
      </c>
      <c r="CE228" s="83">
        <v>1</v>
      </c>
      <c r="CG228" s="83" t="s">
        <v>111</v>
      </c>
      <c r="CH228" s="83">
        <v>1</v>
      </c>
      <c r="CJ228" s="83" t="s">
        <v>111</v>
      </c>
      <c r="CK228" s="83">
        <v>1</v>
      </c>
      <c r="CM228" s="83" t="s">
        <v>111</v>
      </c>
      <c r="CN228" s="83">
        <v>1</v>
      </c>
      <c r="CP228" s="83" t="s">
        <v>111</v>
      </c>
      <c r="CQ228" s="83">
        <v>1</v>
      </c>
      <c r="CS228" s="83" t="s">
        <v>111</v>
      </c>
      <c r="CT228" s="83">
        <v>1</v>
      </c>
      <c r="CV228" s="83" t="s">
        <v>111</v>
      </c>
      <c r="CW228" s="83">
        <v>1</v>
      </c>
      <c r="CY228" s="83" t="s">
        <v>111</v>
      </c>
      <c r="CZ228" s="83">
        <v>1</v>
      </c>
    </row>
    <row r="230" spans="1:104" x14ac:dyDescent="0.2">
      <c r="A230" s="83" t="s">
        <v>112</v>
      </c>
      <c r="B230" s="83">
        <v>1</v>
      </c>
      <c r="D230" s="83" t="s">
        <v>112</v>
      </c>
      <c r="E230" s="83">
        <v>1</v>
      </c>
      <c r="G230" s="83" t="s">
        <v>112</v>
      </c>
      <c r="H230" s="83">
        <v>1</v>
      </c>
      <c r="J230" s="83" t="s">
        <v>112</v>
      </c>
      <c r="K230" s="83">
        <v>1</v>
      </c>
      <c r="M230" s="83" t="s">
        <v>112</v>
      </c>
      <c r="N230" s="83">
        <v>1</v>
      </c>
      <c r="P230" s="83" t="s">
        <v>112</v>
      </c>
      <c r="Q230" s="83">
        <v>1</v>
      </c>
      <c r="S230" s="83" t="s">
        <v>112</v>
      </c>
      <c r="T230" s="83">
        <v>1</v>
      </c>
      <c r="V230" s="83" t="s">
        <v>112</v>
      </c>
      <c r="W230" s="83">
        <v>1</v>
      </c>
      <c r="Y230" s="83" t="s">
        <v>112</v>
      </c>
      <c r="Z230" s="83">
        <v>1</v>
      </c>
      <c r="AB230" s="83" t="s">
        <v>112</v>
      </c>
      <c r="AC230" s="83">
        <v>1</v>
      </c>
      <c r="AE230" s="83" t="s">
        <v>112</v>
      </c>
      <c r="AF230" s="83">
        <v>1</v>
      </c>
      <c r="AH230" s="83" t="s">
        <v>112</v>
      </c>
      <c r="AI230" s="83">
        <v>1</v>
      </c>
      <c r="AK230" s="83" t="s">
        <v>112</v>
      </c>
      <c r="AL230" s="83">
        <v>1</v>
      </c>
      <c r="AN230" s="83" t="s">
        <v>112</v>
      </c>
      <c r="AO230" s="83">
        <v>1</v>
      </c>
      <c r="AQ230" s="83" t="s">
        <v>112</v>
      </c>
      <c r="AR230" s="83">
        <v>1</v>
      </c>
      <c r="AT230" s="83" t="s">
        <v>112</v>
      </c>
      <c r="AU230" s="83">
        <v>1</v>
      </c>
      <c r="AW230" s="83" t="s">
        <v>112</v>
      </c>
      <c r="AX230" s="83">
        <v>1</v>
      </c>
      <c r="AZ230" s="83" t="s">
        <v>112</v>
      </c>
      <c r="BA230" s="83">
        <v>1</v>
      </c>
      <c r="BC230" s="83" t="s">
        <v>112</v>
      </c>
      <c r="BD230" s="83">
        <v>1</v>
      </c>
      <c r="BF230" s="83" t="s">
        <v>112</v>
      </c>
      <c r="BG230" s="83">
        <v>1</v>
      </c>
      <c r="BI230" s="83" t="s">
        <v>112</v>
      </c>
      <c r="BJ230" s="83">
        <v>1</v>
      </c>
      <c r="BL230" s="83" t="s">
        <v>112</v>
      </c>
      <c r="BM230" s="83">
        <v>1</v>
      </c>
      <c r="BO230" s="83" t="s">
        <v>112</v>
      </c>
      <c r="BP230" s="83">
        <v>1</v>
      </c>
      <c r="BR230" s="83" t="s">
        <v>112</v>
      </c>
      <c r="BS230" s="83">
        <v>1</v>
      </c>
      <c r="BU230" s="83" t="s">
        <v>112</v>
      </c>
      <c r="BV230" s="83">
        <v>1</v>
      </c>
      <c r="BX230" s="83" t="s">
        <v>112</v>
      </c>
      <c r="BY230" s="83">
        <v>1</v>
      </c>
      <c r="CA230" s="83" t="s">
        <v>112</v>
      </c>
      <c r="CB230" s="83">
        <v>1</v>
      </c>
      <c r="CD230" s="83" t="s">
        <v>112</v>
      </c>
      <c r="CE230" s="83">
        <v>1</v>
      </c>
      <c r="CG230" s="83" t="s">
        <v>112</v>
      </c>
      <c r="CH230" s="83">
        <v>1</v>
      </c>
      <c r="CJ230" s="83" t="s">
        <v>112</v>
      </c>
      <c r="CK230" s="83">
        <v>1</v>
      </c>
      <c r="CM230" s="83" t="s">
        <v>112</v>
      </c>
      <c r="CN230" s="83">
        <v>1</v>
      </c>
      <c r="CP230" s="83" t="s">
        <v>112</v>
      </c>
      <c r="CQ230" s="83">
        <v>1</v>
      </c>
      <c r="CS230" s="83" t="s">
        <v>112</v>
      </c>
      <c r="CT230" s="83">
        <v>1</v>
      </c>
      <c r="CV230" s="83" t="s">
        <v>112</v>
      </c>
      <c r="CW230" s="83">
        <v>1</v>
      </c>
      <c r="CY230" s="83" t="s">
        <v>112</v>
      </c>
      <c r="CZ230" s="83">
        <v>1</v>
      </c>
    </row>
    <row r="232" spans="1:104" x14ac:dyDescent="0.2">
      <c r="A232" s="83" t="s">
        <v>149</v>
      </c>
      <c r="B232" s="83">
        <v>1</v>
      </c>
      <c r="D232" s="83" t="s">
        <v>149</v>
      </c>
      <c r="E232" s="83">
        <v>1</v>
      </c>
      <c r="G232" s="83" t="s">
        <v>149</v>
      </c>
      <c r="H232" s="83">
        <v>1</v>
      </c>
      <c r="J232" s="83" t="s">
        <v>149</v>
      </c>
      <c r="K232" s="83">
        <v>1</v>
      </c>
      <c r="M232" s="83" t="s">
        <v>149</v>
      </c>
      <c r="N232" s="83">
        <v>1</v>
      </c>
      <c r="P232" s="83" t="s">
        <v>149</v>
      </c>
      <c r="Q232" s="83">
        <v>1</v>
      </c>
      <c r="S232" s="83" t="s">
        <v>149</v>
      </c>
      <c r="T232" s="83">
        <v>1</v>
      </c>
      <c r="V232" s="83" t="s">
        <v>149</v>
      </c>
      <c r="W232" s="83">
        <v>1</v>
      </c>
      <c r="Y232" s="83" t="s">
        <v>149</v>
      </c>
      <c r="Z232" s="83">
        <v>1</v>
      </c>
      <c r="AB232" s="83" t="s">
        <v>149</v>
      </c>
      <c r="AC232" s="83">
        <v>1</v>
      </c>
      <c r="AE232" s="83" t="s">
        <v>149</v>
      </c>
      <c r="AF232" s="83">
        <v>1</v>
      </c>
      <c r="AH232" s="83" t="s">
        <v>149</v>
      </c>
      <c r="AI232" s="83">
        <v>1</v>
      </c>
      <c r="AK232" s="83" t="s">
        <v>149</v>
      </c>
      <c r="AL232" s="83">
        <v>1</v>
      </c>
      <c r="AN232" s="83" t="s">
        <v>149</v>
      </c>
      <c r="AO232" s="83">
        <v>1</v>
      </c>
      <c r="AQ232" s="83" t="s">
        <v>149</v>
      </c>
      <c r="AR232" s="83">
        <v>1</v>
      </c>
      <c r="AT232" s="83" t="s">
        <v>149</v>
      </c>
      <c r="AU232" s="83">
        <v>1</v>
      </c>
      <c r="AW232" s="83" t="s">
        <v>149</v>
      </c>
      <c r="AX232" s="83">
        <v>1</v>
      </c>
      <c r="AZ232" s="83" t="s">
        <v>149</v>
      </c>
      <c r="BA232" s="83">
        <v>1</v>
      </c>
      <c r="BC232" s="83" t="s">
        <v>149</v>
      </c>
      <c r="BD232" s="83">
        <v>1</v>
      </c>
      <c r="BF232" s="83" t="s">
        <v>149</v>
      </c>
      <c r="BG232" s="83">
        <v>1</v>
      </c>
      <c r="BI232" s="83" t="s">
        <v>149</v>
      </c>
      <c r="BJ232" s="83">
        <v>1</v>
      </c>
      <c r="BL232" s="83" t="s">
        <v>149</v>
      </c>
      <c r="BM232" s="83">
        <v>1</v>
      </c>
      <c r="BO232" s="83" t="s">
        <v>149</v>
      </c>
      <c r="BP232" s="83">
        <v>1</v>
      </c>
      <c r="BR232" s="83" t="s">
        <v>149</v>
      </c>
      <c r="BS232" s="83">
        <v>1</v>
      </c>
      <c r="BU232" s="83" t="s">
        <v>149</v>
      </c>
      <c r="BV232" s="83">
        <v>1</v>
      </c>
      <c r="BX232" s="83" t="s">
        <v>149</v>
      </c>
      <c r="BY232" s="83">
        <v>1</v>
      </c>
      <c r="CA232" s="83" t="s">
        <v>149</v>
      </c>
      <c r="CB232" s="83">
        <v>1</v>
      </c>
      <c r="CD232" s="83" t="s">
        <v>149</v>
      </c>
      <c r="CE232" s="83">
        <v>1</v>
      </c>
      <c r="CG232" s="83" t="s">
        <v>149</v>
      </c>
      <c r="CH232" s="83">
        <v>1</v>
      </c>
      <c r="CJ232" s="83" t="s">
        <v>149</v>
      </c>
      <c r="CK232" s="83">
        <v>1</v>
      </c>
      <c r="CM232" s="83" t="s">
        <v>149</v>
      </c>
      <c r="CN232" s="83">
        <v>1</v>
      </c>
      <c r="CP232" s="83" t="s">
        <v>149</v>
      </c>
      <c r="CQ232" s="83">
        <v>1</v>
      </c>
      <c r="CS232" s="83" t="s">
        <v>149</v>
      </c>
      <c r="CT232" s="83">
        <v>1</v>
      </c>
      <c r="CV232" s="83" t="s">
        <v>149</v>
      </c>
      <c r="CW232" s="83">
        <v>1</v>
      </c>
      <c r="CY232" s="83" t="s">
        <v>149</v>
      </c>
      <c r="CZ232" s="83">
        <v>1</v>
      </c>
    </row>
    <row r="234" spans="1:104" x14ac:dyDescent="0.2">
      <c r="A234" s="83" t="s">
        <v>150</v>
      </c>
      <c r="B234" s="83">
        <v>1</v>
      </c>
      <c r="D234" s="83" t="s">
        <v>150</v>
      </c>
      <c r="E234" s="83">
        <v>1</v>
      </c>
      <c r="G234" s="83" t="s">
        <v>150</v>
      </c>
      <c r="H234" s="83">
        <v>1</v>
      </c>
      <c r="J234" s="83" t="s">
        <v>150</v>
      </c>
      <c r="K234" s="83">
        <v>1</v>
      </c>
      <c r="M234" s="83" t="s">
        <v>150</v>
      </c>
      <c r="N234" s="83">
        <v>1</v>
      </c>
      <c r="P234" s="83" t="s">
        <v>150</v>
      </c>
      <c r="Q234" s="83">
        <v>1</v>
      </c>
      <c r="S234" s="83" t="s">
        <v>150</v>
      </c>
      <c r="T234" s="83">
        <v>1</v>
      </c>
      <c r="V234" s="83" t="s">
        <v>150</v>
      </c>
      <c r="W234" s="83">
        <v>1</v>
      </c>
      <c r="Y234" s="83" t="s">
        <v>150</v>
      </c>
      <c r="Z234" s="83">
        <v>1</v>
      </c>
      <c r="AB234" s="83" t="s">
        <v>150</v>
      </c>
      <c r="AC234" s="83">
        <v>1</v>
      </c>
      <c r="AE234" s="83" t="s">
        <v>150</v>
      </c>
      <c r="AF234" s="83">
        <v>1</v>
      </c>
      <c r="AH234" s="83" t="s">
        <v>150</v>
      </c>
      <c r="AI234" s="83">
        <v>1</v>
      </c>
      <c r="AK234" s="83" t="s">
        <v>150</v>
      </c>
      <c r="AL234" s="83">
        <v>1</v>
      </c>
      <c r="AN234" s="83" t="s">
        <v>150</v>
      </c>
      <c r="AO234" s="83">
        <v>1</v>
      </c>
      <c r="AQ234" s="83" t="s">
        <v>150</v>
      </c>
      <c r="AR234" s="83">
        <v>1</v>
      </c>
      <c r="AT234" s="83" t="s">
        <v>150</v>
      </c>
      <c r="AU234" s="83">
        <v>1</v>
      </c>
      <c r="AW234" s="83" t="s">
        <v>150</v>
      </c>
      <c r="AX234" s="83">
        <v>1</v>
      </c>
      <c r="AZ234" s="83" t="s">
        <v>150</v>
      </c>
      <c r="BA234" s="83">
        <v>1</v>
      </c>
      <c r="BC234" s="83" t="s">
        <v>150</v>
      </c>
      <c r="BD234" s="83">
        <v>1</v>
      </c>
      <c r="BF234" s="83" t="s">
        <v>150</v>
      </c>
      <c r="BG234" s="83">
        <v>1</v>
      </c>
      <c r="BI234" s="83" t="s">
        <v>150</v>
      </c>
      <c r="BJ234" s="83">
        <v>1</v>
      </c>
      <c r="BL234" s="83" t="s">
        <v>150</v>
      </c>
      <c r="BM234" s="83">
        <v>1</v>
      </c>
      <c r="BO234" s="83" t="s">
        <v>150</v>
      </c>
      <c r="BP234" s="83">
        <v>1</v>
      </c>
      <c r="BR234" s="83" t="s">
        <v>150</v>
      </c>
      <c r="BS234" s="83">
        <v>1</v>
      </c>
      <c r="BU234" s="83" t="s">
        <v>150</v>
      </c>
      <c r="BV234" s="83">
        <v>1</v>
      </c>
      <c r="BX234" s="83" t="s">
        <v>150</v>
      </c>
      <c r="BY234" s="83">
        <v>1</v>
      </c>
      <c r="CA234" s="83" t="s">
        <v>150</v>
      </c>
      <c r="CB234" s="83">
        <v>1</v>
      </c>
      <c r="CD234" s="83" t="s">
        <v>150</v>
      </c>
      <c r="CE234" s="83">
        <v>1</v>
      </c>
      <c r="CG234" s="83" t="s">
        <v>150</v>
      </c>
      <c r="CH234" s="83">
        <v>1</v>
      </c>
      <c r="CJ234" s="83" t="s">
        <v>150</v>
      </c>
      <c r="CK234" s="83">
        <v>1</v>
      </c>
      <c r="CM234" s="83" t="s">
        <v>150</v>
      </c>
      <c r="CN234" s="83">
        <v>1</v>
      </c>
      <c r="CP234" s="83" t="s">
        <v>150</v>
      </c>
      <c r="CQ234" s="83">
        <v>1</v>
      </c>
      <c r="CS234" s="83" t="s">
        <v>150</v>
      </c>
      <c r="CT234" s="83">
        <v>1</v>
      </c>
      <c r="CV234" s="83" t="s">
        <v>150</v>
      </c>
      <c r="CW234" s="83">
        <v>1</v>
      </c>
      <c r="CY234" s="83" t="s">
        <v>150</v>
      </c>
      <c r="CZ234" s="83">
        <v>1</v>
      </c>
    </row>
    <row r="236" spans="1:104" x14ac:dyDescent="0.2">
      <c r="A236" s="83" t="s">
        <v>134</v>
      </c>
      <c r="B236" s="83">
        <v>1</v>
      </c>
      <c r="D236" s="83" t="s">
        <v>134</v>
      </c>
      <c r="E236" s="83">
        <v>1</v>
      </c>
      <c r="G236" s="83" t="s">
        <v>134</v>
      </c>
      <c r="H236" s="83">
        <v>1</v>
      </c>
      <c r="J236" s="83" t="s">
        <v>134</v>
      </c>
      <c r="K236" s="83">
        <v>1</v>
      </c>
      <c r="M236" s="83" t="s">
        <v>134</v>
      </c>
      <c r="N236" s="83">
        <v>1</v>
      </c>
      <c r="P236" s="83" t="s">
        <v>134</v>
      </c>
      <c r="Q236" s="83">
        <v>1</v>
      </c>
      <c r="S236" s="83" t="s">
        <v>134</v>
      </c>
      <c r="T236" s="83">
        <v>1</v>
      </c>
      <c r="V236" s="83" t="s">
        <v>134</v>
      </c>
      <c r="W236" s="83">
        <v>1</v>
      </c>
      <c r="Y236" s="83" t="s">
        <v>134</v>
      </c>
      <c r="Z236" s="83">
        <v>1</v>
      </c>
      <c r="AB236" s="83" t="s">
        <v>134</v>
      </c>
      <c r="AC236" s="83">
        <v>1</v>
      </c>
      <c r="AE236" s="83" t="s">
        <v>134</v>
      </c>
      <c r="AF236" s="83">
        <v>1</v>
      </c>
      <c r="AH236" s="83" t="s">
        <v>134</v>
      </c>
      <c r="AI236" s="83">
        <v>1</v>
      </c>
      <c r="AK236" s="83" t="s">
        <v>134</v>
      </c>
      <c r="AL236" s="83">
        <v>1</v>
      </c>
      <c r="AN236" s="83" t="s">
        <v>134</v>
      </c>
      <c r="AO236" s="83">
        <v>1</v>
      </c>
      <c r="AQ236" s="83" t="s">
        <v>134</v>
      </c>
      <c r="AR236" s="83">
        <v>1</v>
      </c>
      <c r="AT236" s="83" t="s">
        <v>134</v>
      </c>
      <c r="AU236" s="83">
        <v>1</v>
      </c>
      <c r="AW236" s="83" t="s">
        <v>134</v>
      </c>
      <c r="AX236" s="83">
        <v>1</v>
      </c>
      <c r="AZ236" s="83" t="s">
        <v>134</v>
      </c>
      <c r="BA236" s="83">
        <v>1</v>
      </c>
      <c r="BC236" s="83" t="s">
        <v>134</v>
      </c>
      <c r="BD236" s="83">
        <v>1</v>
      </c>
      <c r="BF236" s="83" t="s">
        <v>134</v>
      </c>
      <c r="BG236" s="83">
        <v>1</v>
      </c>
      <c r="BI236" s="83" t="s">
        <v>134</v>
      </c>
      <c r="BJ236" s="83">
        <v>1</v>
      </c>
      <c r="BL236" s="83" t="s">
        <v>134</v>
      </c>
      <c r="BM236" s="83">
        <v>1</v>
      </c>
      <c r="BO236" s="83" t="s">
        <v>134</v>
      </c>
      <c r="BP236" s="83">
        <v>1</v>
      </c>
      <c r="BR236" s="83" t="s">
        <v>134</v>
      </c>
      <c r="BS236" s="83">
        <v>1</v>
      </c>
      <c r="BU236" s="83" t="s">
        <v>134</v>
      </c>
      <c r="BV236" s="83">
        <v>1</v>
      </c>
      <c r="BX236" s="83" t="s">
        <v>134</v>
      </c>
      <c r="BY236" s="83">
        <v>1</v>
      </c>
      <c r="CA236" s="83" t="s">
        <v>134</v>
      </c>
      <c r="CB236" s="83">
        <v>1</v>
      </c>
      <c r="CD236" s="83" t="s">
        <v>134</v>
      </c>
      <c r="CE236" s="83">
        <v>1</v>
      </c>
      <c r="CG236" s="83" t="s">
        <v>134</v>
      </c>
      <c r="CH236" s="83">
        <v>1</v>
      </c>
      <c r="CJ236" s="83" t="s">
        <v>134</v>
      </c>
      <c r="CK236" s="83">
        <v>1</v>
      </c>
      <c r="CM236" s="83" t="s">
        <v>134</v>
      </c>
      <c r="CN236" s="83">
        <v>1</v>
      </c>
      <c r="CP236" s="83" t="s">
        <v>134</v>
      </c>
      <c r="CQ236" s="83">
        <v>1</v>
      </c>
      <c r="CS236" s="83" t="s">
        <v>134</v>
      </c>
      <c r="CT236" s="83">
        <v>1</v>
      </c>
      <c r="CV236" s="83" t="s">
        <v>134</v>
      </c>
      <c r="CW236" s="83">
        <v>1</v>
      </c>
      <c r="CY236" s="83" t="s">
        <v>134</v>
      </c>
      <c r="CZ236" s="83">
        <v>1</v>
      </c>
    </row>
    <row r="238" spans="1:104" x14ac:dyDescent="0.2">
      <c r="A238" s="83" t="s">
        <v>133</v>
      </c>
      <c r="B238" s="83">
        <v>1</v>
      </c>
      <c r="D238" s="83" t="s">
        <v>133</v>
      </c>
      <c r="E238" s="83">
        <v>1</v>
      </c>
      <c r="G238" s="83" t="s">
        <v>133</v>
      </c>
      <c r="H238" s="83">
        <v>1</v>
      </c>
      <c r="J238" s="83" t="s">
        <v>133</v>
      </c>
      <c r="K238" s="83">
        <v>1</v>
      </c>
      <c r="M238" s="83" t="s">
        <v>133</v>
      </c>
      <c r="N238" s="83">
        <v>1</v>
      </c>
      <c r="P238" s="83" t="s">
        <v>133</v>
      </c>
      <c r="Q238" s="83">
        <v>1</v>
      </c>
      <c r="S238" s="83" t="s">
        <v>133</v>
      </c>
      <c r="T238" s="83">
        <v>1</v>
      </c>
      <c r="V238" s="83" t="s">
        <v>133</v>
      </c>
      <c r="W238" s="83">
        <v>1</v>
      </c>
      <c r="Y238" s="83" t="s">
        <v>133</v>
      </c>
      <c r="Z238" s="83">
        <v>1</v>
      </c>
      <c r="AB238" s="83" t="s">
        <v>133</v>
      </c>
      <c r="AC238" s="83">
        <v>1</v>
      </c>
      <c r="AE238" s="83" t="s">
        <v>133</v>
      </c>
      <c r="AF238" s="83">
        <v>1</v>
      </c>
      <c r="AH238" s="83" t="s">
        <v>133</v>
      </c>
      <c r="AI238" s="83">
        <v>1</v>
      </c>
      <c r="AK238" s="83" t="s">
        <v>133</v>
      </c>
      <c r="AL238" s="83">
        <v>1</v>
      </c>
      <c r="AN238" s="83" t="s">
        <v>133</v>
      </c>
      <c r="AO238" s="83">
        <v>1</v>
      </c>
      <c r="AQ238" s="83" t="s">
        <v>133</v>
      </c>
      <c r="AR238" s="83">
        <v>1</v>
      </c>
      <c r="AT238" s="83" t="s">
        <v>133</v>
      </c>
      <c r="AU238" s="83">
        <v>1</v>
      </c>
      <c r="AW238" s="83" t="s">
        <v>133</v>
      </c>
      <c r="AX238" s="83">
        <v>1</v>
      </c>
      <c r="AZ238" s="83" t="s">
        <v>133</v>
      </c>
      <c r="BA238" s="83">
        <v>1</v>
      </c>
      <c r="BC238" s="83" t="s">
        <v>133</v>
      </c>
      <c r="BD238" s="83">
        <v>1</v>
      </c>
      <c r="BF238" s="83" t="s">
        <v>133</v>
      </c>
      <c r="BG238" s="83">
        <v>1</v>
      </c>
      <c r="BI238" s="83" t="s">
        <v>133</v>
      </c>
      <c r="BJ238" s="83">
        <v>1</v>
      </c>
      <c r="BL238" s="83" t="s">
        <v>133</v>
      </c>
      <c r="BM238" s="83">
        <v>1</v>
      </c>
      <c r="BO238" s="83" t="s">
        <v>133</v>
      </c>
      <c r="BP238" s="83">
        <v>1</v>
      </c>
      <c r="BR238" s="83" t="s">
        <v>133</v>
      </c>
      <c r="BS238" s="83">
        <v>1</v>
      </c>
      <c r="BU238" s="83" t="s">
        <v>133</v>
      </c>
      <c r="BV238" s="83">
        <v>1</v>
      </c>
      <c r="BX238" s="83" t="s">
        <v>133</v>
      </c>
      <c r="BY238" s="83">
        <v>1</v>
      </c>
      <c r="CA238" s="83" t="s">
        <v>133</v>
      </c>
      <c r="CB238" s="83">
        <v>1</v>
      </c>
      <c r="CD238" s="83" t="s">
        <v>133</v>
      </c>
      <c r="CE238" s="83">
        <v>1</v>
      </c>
      <c r="CG238" s="83" t="s">
        <v>133</v>
      </c>
      <c r="CH238" s="83">
        <v>1</v>
      </c>
      <c r="CJ238" s="83" t="s">
        <v>133</v>
      </c>
      <c r="CK238" s="83">
        <v>1</v>
      </c>
      <c r="CM238" s="83" t="s">
        <v>133</v>
      </c>
      <c r="CN238" s="83">
        <v>1</v>
      </c>
      <c r="CP238" s="83" t="s">
        <v>133</v>
      </c>
      <c r="CQ238" s="83">
        <v>1</v>
      </c>
      <c r="CS238" s="83" t="s">
        <v>133</v>
      </c>
      <c r="CT238" s="83">
        <v>1</v>
      </c>
      <c r="CV238" s="83" t="s">
        <v>133</v>
      </c>
      <c r="CW238" s="83">
        <v>1</v>
      </c>
      <c r="CY238" s="83" t="s">
        <v>133</v>
      </c>
      <c r="CZ238" s="83">
        <v>1</v>
      </c>
    </row>
    <row r="240" spans="1:104" x14ac:dyDescent="0.2">
      <c r="A240" s="83" t="s">
        <v>135</v>
      </c>
      <c r="B240" s="83">
        <v>1</v>
      </c>
      <c r="D240" s="83" t="s">
        <v>135</v>
      </c>
      <c r="E240" s="83">
        <v>1</v>
      </c>
      <c r="G240" s="83" t="s">
        <v>135</v>
      </c>
      <c r="H240" s="83">
        <v>1</v>
      </c>
      <c r="J240" s="83" t="s">
        <v>135</v>
      </c>
      <c r="K240" s="83">
        <v>1</v>
      </c>
      <c r="M240" s="83" t="s">
        <v>135</v>
      </c>
      <c r="N240" s="83">
        <v>1</v>
      </c>
      <c r="P240" s="83" t="s">
        <v>135</v>
      </c>
      <c r="Q240" s="83">
        <v>1</v>
      </c>
      <c r="S240" s="83" t="s">
        <v>135</v>
      </c>
      <c r="T240" s="83">
        <v>1</v>
      </c>
      <c r="V240" s="83" t="s">
        <v>135</v>
      </c>
      <c r="W240" s="83">
        <v>1</v>
      </c>
      <c r="Y240" s="83" t="s">
        <v>135</v>
      </c>
      <c r="Z240" s="83">
        <v>1</v>
      </c>
      <c r="AB240" s="83" t="s">
        <v>135</v>
      </c>
      <c r="AC240" s="83">
        <v>1</v>
      </c>
      <c r="AE240" s="83" t="s">
        <v>135</v>
      </c>
      <c r="AF240" s="83">
        <v>1</v>
      </c>
      <c r="AH240" s="83" t="s">
        <v>135</v>
      </c>
      <c r="AI240" s="83">
        <v>1</v>
      </c>
      <c r="AK240" s="83" t="s">
        <v>135</v>
      </c>
      <c r="AL240" s="83">
        <v>1</v>
      </c>
      <c r="AN240" s="83" t="s">
        <v>135</v>
      </c>
      <c r="AO240" s="83">
        <v>1</v>
      </c>
      <c r="AQ240" s="83" t="s">
        <v>135</v>
      </c>
      <c r="AR240" s="83">
        <v>1</v>
      </c>
      <c r="AT240" s="83" t="s">
        <v>135</v>
      </c>
      <c r="AU240" s="83">
        <v>1</v>
      </c>
      <c r="AW240" s="83" t="s">
        <v>135</v>
      </c>
      <c r="AX240" s="83">
        <v>1</v>
      </c>
      <c r="AZ240" s="83" t="s">
        <v>135</v>
      </c>
      <c r="BA240" s="83">
        <v>1</v>
      </c>
      <c r="BC240" s="83" t="s">
        <v>135</v>
      </c>
      <c r="BD240" s="83">
        <v>1</v>
      </c>
      <c r="BF240" s="83" t="s">
        <v>135</v>
      </c>
      <c r="BG240" s="83">
        <v>1</v>
      </c>
      <c r="BI240" s="83" t="s">
        <v>135</v>
      </c>
      <c r="BJ240" s="83">
        <v>1</v>
      </c>
      <c r="BL240" s="83" t="s">
        <v>135</v>
      </c>
      <c r="BM240" s="83">
        <v>1</v>
      </c>
      <c r="BO240" s="83" t="s">
        <v>135</v>
      </c>
      <c r="BP240" s="83">
        <v>1</v>
      </c>
      <c r="BR240" s="83" t="s">
        <v>135</v>
      </c>
      <c r="BS240" s="83">
        <v>1</v>
      </c>
      <c r="BU240" s="83" t="s">
        <v>135</v>
      </c>
      <c r="BV240" s="83">
        <v>1</v>
      </c>
      <c r="BX240" s="83" t="s">
        <v>135</v>
      </c>
      <c r="BY240" s="83">
        <v>1</v>
      </c>
      <c r="CA240" s="83" t="s">
        <v>135</v>
      </c>
      <c r="CB240" s="83">
        <v>1</v>
      </c>
      <c r="CD240" s="83" t="s">
        <v>135</v>
      </c>
      <c r="CE240" s="83">
        <v>1</v>
      </c>
      <c r="CG240" s="83" t="s">
        <v>135</v>
      </c>
      <c r="CH240" s="83">
        <v>1</v>
      </c>
      <c r="CJ240" s="83" t="s">
        <v>135</v>
      </c>
      <c r="CK240" s="83">
        <v>1</v>
      </c>
      <c r="CM240" s="83" t="s">
        <v>135</v>
      </c>
      <c r="CN240" s="83">
        <v>1</v>
      </c>
      <c r="CP240" s="83" t="s">
        <v>135</v>
      </c>
      <c r="CQ240" s="83">
        <v>1</v>
      </c>
      <c r="CS240" s="83" t="s">
        <v>135</v>
      </c>
      <c r="CT240" s="83">
        <v>1</v>
      </c>
      <c r="CV240" s="83" t="s">
        <v>135</v>
      </c>
      <c r="CW240" s="83">
        <v>1</v>
      </c>
      <c r="CY240" s="83" t="s">
        <v>135</v>
      </c>
      <c r="CZ240" s="83">
        <v>1</v>
      </c>
    </row>
    <row r="242" spans="1:104" x14ac:dyDescent="0.2">
      <c r="A242" s="83" t="s">
        <v>136</v>
      </c>
      <c r="B242" s="83">
        <v>1</v>
      </c>
      <c r="D242" s="83" t="s">
        <v>136</v>
      </c>
      <c r="E242" s="83">
        <v>1</v>
      </c>
      <c r="G242" s="83" t="s">
        <v>136</v>
      </c>
      <c r="H242" s="83">
        <v>1</v>
      </c>
      <c r="J242" s="83" t="s">
        <v>136</v>
      </c>
      <c r="K242" s="83">
        <v>1</v>
      </c>
      <c r="M242" s="83" t="s">
        <v>136</v>
      </c>
      <c r="N242" s="83">
        <v>1</v>
      </c>
      <c r="P242" s="83" t="s">
        <v>136</v>
      </c>
      <c r="Q242" s="83">
        <v>1</v>
      </c>
      <c r="S242" s="83" t="s">
        <v>136</v>
      </c>
      <c r="T242" s="83">
        <v>1</v>
      </c>
      <c r="V242" s="83" t="s">
        <v>136</v>
      </c>
      <c r="W242" s="83">
        <v>1</v>
      </c>
      <c r="Y242" s="83" t="s">
        <v>136</v>
      </c>
      <c r="Z242" s="83">
        <v>1</v>
      </c>
      <c r="AB242" s="83" t="s">
        <v>136</v>
      </c>
      <c r="AC242" s="83">
        <v>1</v>
      </c>
      <c r="AE242" s="83" t="s">
        <v>136</v>
      </c>
      <c r="AF242" s="83">
        <v>1</v>
      </c>
      <c r="AH242" s="83" t="s">
        <v>136</v>
      </c>
      <c r="AI242" s="83">
        <v>1</v>
      </c>
      <c r="AK242" s="83" t="s">
        <v>136</v>
      </c>
      <c r="AL242" s="83">
        <v>1</v>
      </c>
      <c r="AN242" s="83" t="s">
        <v>136</v>
      </c>
      <c r="AO242" s="83">
        <v>1</v>
      </c>
      <c r="AQ242" s="83" t="s">
        <v>136</v>
      </c>
      <c r="AR242" s="83">
        <v>1</v>
      </c>
      <c r="AT242" s="83" t="s">
        <v>136</v>
      </c>
      <c r="AU242" s="83">
        <v>1</v>
      </c>
      <c r="AW242" s="83" t="s">
        <v>136</v>
      </c>
      <c r="AX242" s="83">
        <v>1</v>
      </c>
      <c r="AZ242" s="83" t="s">
        <v>136</v>
      </c>
      <c r="BA242" s="83">
        <v>1</v>
      </c>
      <c r="BC242" s="83" t="s">
        <v>136</v>
      </c>
      <c r="BD242" s="83">
        <v>1</v>
      </c>
      <c r="BF242" s="83" t="s">
        <v>136</v>
      </c>
      <c r="BG242" s="83">
        <v>1</v>
      </c>
      <c r="BI242" s="83" t="s">
        <v>136</v>
      </c>
      <c r="BJ242" s="83">
        <v>1</v>
      </c>
      <c r="BL242" s="83" t="s">
        <v>136</v>
      </c>
      <c r="BM242" s="83">
        <v>1</v>
      </c>
      <c r="BO242" s="83" t="s">
        <v>136</v>
      </c>
      <c r="BP242" s="83">
        <v>1</v>
      </c>
      <c r="BR242" s="83" t="s">
        <v>136</v>
      </c>
      <c r="BS242" s="83">
        <v>1</v>
      </c>
      <c r="BU242" s="83" t="s">
        <v>136</v>
      </c>
      <c r="BV242" s="83">
        <v>1</v>
      </c>
      <c r="BX242" s="83" t="s">
        <v>136</v>
      </c>
      <c r="BY242" s="83">
        <v>1</v>
      </c>
      <c r="CA242" s="83" t="s">
        <v>136</v>
      </c>
      <c r="CB242" s="83">
        <v>1</v>
      </c>
      <c r="CD242" s="83" t="s">
        <v>136</v>
      </c>
      <c r="CE242" s="83">
        <v>1</v>
      </c>
      <c r="CG242" s="83" t="s">
        <v>136</v>
      </c>
      <c r="CH242" s="83">
        <v>1</v>
      </c>
      <c r="CJ242" s="83" t="s">
        <v>136</v>
      </c>
      <c r="CK242" s="83">
        <v>1</v>
      </c>
      <c r="CM242" s="83" t="s">
        <v>136</v>
      </c>
      <c r="CN242" s="83">
        <v>1</v>
      </c>
      <c r="CP242" s="83" t="s">
        <v>136</v>
      </c>
      <c r="CQ242" s="83">
        <v>1</v>
      </c>
      <c r="CS242" s="83" t="s">
        <v>136</v>
      </c>
      <c r="CT242" s="83">
        <v>1</v>
      </c>
      <c r="CV242" s="83" t="s">
        <v>136</v>
      </c>
      <c r="CW242" s="83">
        <v>1</v>
      </c>
      <c r="CY242" s="83" t="s">
        <v>136</v>
      </c>
      <c r="CZ242" s="83">
        <v>1</v>
      </c>
    </row>
    <row r="244" spans="1:104" x14ac:dyDescent="0.2">
      <c r="A244" s="83" t="s">
        <v>137</v>
      </c>
      <c r="B244" s="83">
        <v>1</v>
      </c>
      <c r="D244" s="83" t="s">
        <v>137</v>
      </c>
      <c r="E244" s="83">
        <v>1</v>
      </c>
      <c r="G244" s="83" t="s">
        <v>137</v>
      </c>
      <c r="H244" s="83">
        <v>1</v>
      </c>
      <c r="J244" s="83" t="s">
        <v>137</v>
      </c>
      <c r="K244" s="83">
        <v>1</v>
      </c>
      <c r="M244" s="83" t="s">
        <v>137</v>
      </c>
      <c r="N244" s="83">
        <v>1</v>
      </c>
      <c r="P244" s="83" t="s">
        <v>137</v>
      </c>
      <c r="Q244" s="83">
        <v>1</v>
      </c>
      <c r="S244" s="83" t="s">
        <v>137</v>
      </c>
      <c r="T244" s="83">
        <v>1</v>
      </c>
      <c r="V244" s="83" t="s">
        <v>137</v>
      </c>
      <c r="W244" s="83">
        <v>1</v>
      </c>
      <c r="Y244" s="83" t="s">
        <v>137</v>
      </c>
      <c r="Z244" s="83">
        <v>1</v>
      </c>
      <c r="AB244" s="83" t="s">
        <v>137</v>
      </c>
      <c r="AC244" s="83">
        <v>1</v>
      </c>
      <c r="AE244" s="83" t="s">
        <v>137</v>
      </c>
      <c r="AF244" s="83">
        <v>1</v>
      </c>
      <c r="AH244" s="83" t="s">
        <v>137</v>
      </c>
      <c r="AI244" s="83">
        <v>1</v>
      </c>
      <c r="AK244" s="83" t="s">
        <v>137</v>
      </c>
      <c r="AL244" s="83">
        <v>1</v>
      </c>
      <c r="AN244" s="83" t="s">
        <v>137</v>
      </c>
      <c r="AO244" s="83">
        <v>1</v>
      </c>
      <c r="AQ244" s="83" t="s">
        <v>137</v>
      </c>
      <c r="AR244" s="83">
        <v>1</v>
      </c>
      <c r="AT244" s="83" t="s">
        <v>137</v>
      </c>
      <c r="AU244" s="83">
        <v>1</v>
      </c>
      <c r="AW244" s="83" t="s">
        <v>137</v>
      </c>
      <c r="AX244" s="83">
        <v>1</v>
      </c>
      <c r="AZ244" s="83" t="s">
        <v>137</v>
      </c>
      <c r="BA244" s="83">
        <v>1</v>
      </c>
      <c r="BC244" s="83" t="s">
        <v>137</v>
      </c>
      <c r="BD244" s="83">
        <v>1</v>
      </c>
      <c r="BF244" s="83" t="s">
        <v>137</v>
      </c>
      <c r="BG244" s="83">
        <v>1</v>
      </c>
      <c r="BI244" s="83" t="s">
        <v>137</v>
      </c>
      <c r="BJ244" s="83">
        <v>1</v>
      </c>
      <c r="BL244" s="83" t="s">
        <v>137</v>
      </c>
      <c r="BM244" s="83">
        <v>1</v>
      </c>
      <c r="BO244" s="83" t="s">
        <v>137</v>
      </c>
      <c r="BP244" s="83">
        <v>1</v>
      </c>
      <c r="BR244" s="83" t="s">
        <v>137</v>
      </c>
      <c r="BS244" s="83">
        <v>1</v>
      </c>
      <c r="BU244" s="83" t="s">
        <v>137</v>
      </c>
      <c r="BV244" s="83">
        <v>1</v>
      </c>
      <c r="BX244" s="83" t="s">
        <v>137</v>
      </c>
      <c r="BY244" s="83">
        <v>1</v>
      </c>
      <c r="CA244" s="83" t="s">
        <v>137</v>
      </c>
      <c r="CB244" s="83">
        <v>1</v>
      </c>
      <c r="CD244" s="83" t="s">
        <v>137</v>
      </c>
      <c r="CE244" s="83">
        <v>1</v>
      </c>
      <c r="CG244" s="83" t="s">
        <v>137</v>
      </c>
      <c r="CH244" s="83">
        <v>1</v>
      </c>
      <c r="CJ244" s="83" t="s">
        <v>137</v>
      </c>
      <c r="CK244" s="83">
        <v>1</v>
      </c>
      <c r="CM244" s="83" t="s">
        <v>137</v>
      </c>
      <c r="CN244" s="83">
        <v>1</v>
      </c>
      <c r="CP244" s="83" t="s">
        <v>137</v>
      </c>
      <c r="CQ244" s="83">
        <v>1</v>
      </c>
      <c r="CS244" s="83" t="s">
        <v>137</v>
      </c>
      <c r="CT244" s="83">
        <v>1</v>
      </c>
      <c r="CV244" s="83" t="s">
        <v>137</v>
      </c>
      <c r="CW244" s="83">
        <v>1</v>
      </c>
      <c r="CY244" s="83" t="s">
        <v>137</v>
      </c>
      <c r="CZ244" s="83">
        <v>1</v>
      </c>
    </row>
    <row r="246" spans="1:104" x14ac:dyDescent="0.2">
      <c r="A246" s="83" t="s">
        <v>138</v>
      </c>
      <c r="B246" s="83">
        <v>1</v>
      </c>
      <c r="D246" s="83" t="s">
        <v>138</v>
      </c>
      <c r="E246" s="83">
        <v>1</v>
      </c>
      <c r="G246" s="83" t="s">
        <v>138</v>
      </c>
      <c r="H246" s="83">
        <v>1</v>
      </c>
      <c r="J246" s="83" t="s">
        <v>138</v>
      </c>
      <c r="K246" s="83">
        <v>1</v>
      </c>
      <c r="M246" s="83" t="s">
        <v>138</v>
      </c>
      <c r="N246" s="83">
        <v>1</v>
      </c>
      <c r="P246" s="83" t="s">
        <v>138</v>
      </c>
      <c r="Q246" s="83">
        <v>1</v>
      </c>
      <c r="S246" s="83" t="s">
        <v>138</v>
      </c>
      <c r="T246" s="83">
        <v>1</v>
      </c>
      <c r="V246" s="83" t="s">
        <v>138</v>
      </c>
      <c r="W246" s="83">
        <v>1</v>
      </c>
      <c r="Y246" s="83" t="s">
        <v>138</v>
      </c>
      <c r="Z246" s="83">
        <v>1</v>
      </c>
      <c r="AB246" s="83" t="s">
        <v>138</v>
      </c>
      <c r="AC246" s="83">
        <v>1</v>
      </c>
      <c r="AE246" s="83" t="s">
        <v>138</v>
      </c>
      <c r="AF246" s="83">
        <v>1</v>
      </c>
      <c r="AH246" s="83" t="s">
        <v>138</v>
      </c>
      <c r="AI246" s="83">
        <v>1</v>
      </c>
      <c r="AK246" s="83" t="s">
        <v>138</v>
      </c>
      <c r="AL246" s="83">
        <v>1</v>
      </c>
      <c r="AN246" s="83" t="s">
        <v>138</v>
      </c>
      <c r="AO246" s="83">
        <v>1</v>
      </c>
      <c r="AQ246" s="83" t="s">
        <v>138</v>
      </c>
      <c r="AR246" s="83">
        <v>1</v>
      </c>
      <c r="AT246" s="83" t="s">
        <v>138</v>
      </c>
      <c r="AU246" s="83">
        <v>1</v>
      </c>
      <c r="AW246" s="83" t="s">
        <v>138</v>
      </c>
      <c r="AX246" s="83">
        <v>1</v>
      </c>
      <c r="AZ246" s="83" t="s">
        <v>138</v>
      </c>
      <c r="BA246" s="83">
        <v>1</v>
      </c>
      <c r="BC246" s="83" t="s">
        <v>138</v>
      </c>
      <c r="BD246" s="83">
        <v>1</v>
      </c>
      <c r="BF246" s="83" t="s">
        <v>138</v>
      </c>
      <c r="BG246" s="83">
        <v>1</v>
      </c>
      <c r="BI246" s="83" t="s">
        <v>138</v>
      </c>
      <c r="BJ246" s="83">
        <v>1</v>
      </c>
      <c r="BL246" s="83" t="s">
        <v>138</v>
      </c>
      <c r="BM246" s="83">
        <v>1</v>
      </c>
      <c r="BO246" s="83" t="s">
        <v>138</v>
      </c>
      <c r="BP246" s="83">
        <v>1</v>
      </c>
      <c r="BR246" s="83" t="s">
        <v>138</v>
      </c>
      <c r="BS246" s="83">
        <v>1</v>
      </c>
      <c r="BU246" s="83" t="s">
        <v>138</v>
      </c>
      <c r="BV246" s="83">
        <v>1</v>
      </c>
      <c r="BX246" s="83" t="s">
        <v>138</v>
      </c>
      <c r="BY246" s="83">
        <v>1</v>
      </c>
      <c r="CA246" s="83" t="s">
        <v>138</v>
      </c>
      <c r="CB246" s="83">
        <v>1</v>
      </c>
      <c r="CD246" s="83" t="s">
        <v>138</v>
      </c>
      <c r="CE246" s="83">
        <v>1</v>
      </c>
      <c r="CG246" s="83" t="s">
        <v>138</v>
      </c>
      <c r="CH246" s="83">
        <v>1</v>
      </c>
      <c r="CJ246" s="83" t="s">
        <v>138</v>
      </c>
      <c r="CK246" s="83">
        <v>1</v>
      </c>
      <c r="CM246" s="83" t="s">
        <v>138</v>
      </c>
      <c r="CN246" s="83">
        <v>1</v>
      </c>
      <c r="CP246" s="83" t="s">
        <v>138</v>
      </c>
      <c r="CQ246" s="83">
        <v>1</v>
      </c>
      <c r="CS246" s="83" t="s">
        <v>138</v>
      </c>
      <c r="CT246" s="83">
        <v>1</v>
      </c>
      <c r="CV246" s="83" t="s">
        <v>138</v>
      </c>
      <c r="CW246" s="83">
        <v>1</v>
      </c>
      <c r="CY246" s="83" t="s">
        <v>138</v>
      </c>
      <c r="CZ246" s="83">
        <v>1</v>
      </c>
    </row>
    <row r="248" spans="1:104" x14ac:dyDescent="0.2">
      <c r="A248" s="83" t="s">
        <v>139</v>
      </c>
      <c r="B248" s="83">
        <v>1</v>
      </c>
      <c r="D248" s="83" t="s">
        <v>139</v>
      </c>
      <c r="E248" s="83">
        <v>1</v>
      </c>
      <c r="G248" s="83" t="s">
        <v>139</v>
      </c>
      <c r="H248" s="83">
        <v>1</v>
      </c>
      <c r="J248" s="83" t="s">
        <v>139</v>
      </c>
      <c r="K248" s="83">
        <v>1</v>
      </c>
      <c r="M248" s="83" t="s">
        <v>139</v>
      </c>
      <c r="N248" s="83">
        <v>1</v>
      </c>
      <c r="P248" s="83" t="s">
        <v>139</v>
      </c>
      <c r="Q248" s="83">
        <v>1</v>
      </c>
      <c r="S248" s="83" t="s">
        <v>139</v>
      </c>
      <c r="T248" s="83">
        <v>1</v>
      </c>
      <c r="V248" s="83" t="s">
        <v>139</v>
      </c>
      <c r="W248" s="83">
        <v>1</v>
      </c>
      <c r="Y248" s="83" t="s">
        <v>139</v>
      </c>
      <c r="Z248" s="83">
        <v>1</v>
      </c>
      <c r="AB248" s="83" t="s">
        <v>139</v>
      </c>
      <c r="AC248" s="83">
        <v>1</v>
      </c>
      <c r="AE248" s="83" t="s">
        <v>139</v>
      </c>
      <c r="AF248" s="83">
        <v>1</v>
      </c>
      <c r="AH248" s="83" t="s">
        <v>139</v>
      </c>
      <c r="AI248" s="83">
        <v>1</v>
      </c>
      <c r="AK248" s="83" t="s">
        <v>139</v>
      </c>
      <c r="AL248" s="83">
        <v>1</v>
      </c>
      <c r="AN248" s="83" t="s">
        <v>139</v>
      </c>
      <c r="AO248" s="83">
        <v>1</v>
      </c>
      <c r="AQ248" s="83" t="s">
        <v>139</v>
      </c>
      <c r="AR248" s="83">
        <v>1</v>
      </c>
      <c r="AT248" s="83" t="s">
        <v>139</v>
      </c>
      <c r="AU248" s="83">
        <v>1</v>
      </c>
      <c r="AW248" s="83" t="s">
        <v>139</v>
      </c>
      <c r="AX248" s="83">
        <v>1</v>
      </c>
      <c r="AZ248" s="83" t="s">
        <v>139</v>
      </c>
      <c r="BA248" s="83">
        <v>1</v>
      </c>
      <c r="BC248" s="83" t="s">
        <v>139</v>
      </c>
      <c r="BD248" s="83">
        <v>1</v>
      </c>
      <c r="BF248" s="83" t="s">
        <v>139</v>
      </c>
      <c r="BG248" s="83">
        <v>1</v>
      </c>
      <c r="BI248" s="83" t="s">
        <v>139</v>
      </c>
      <c r="BJ248" s="83">
        <v>1</v>
      </c>
      <c r="BL248" s="83" t="s">
        <v>139</v>
      </c>
      <c r="BM248" s="83">
        <v>1</v>
      </c>
      <c r="BO248" s="83" t="s">
        <v>139</v>
      </c>
      <c r="BP248" s="83">
        <v>1</v>
      </c>
      <c r="BR248" s="83" t="s">
        <v>139</v>
      </c>
      <c r="BS248" s="83">
        <v>1</v>
      </c>
      <c r="BU248" s="83" t="s">
        <v>139</v>
      </c>
      <c r="BV248" s="83">
        <v>1</v>
      </c>
      <c r="BX248" s="83" t="s">
        <v>139</v>
      </c>
      <c r="BY248" s="83">
        <v>1</v>
      </c>
      <c r="CA248" s="83" t="s">
        <v>139</v>
      </c>
      <c r="CB248" s="83">
        <v>1</v>
      </c>
      <c r="CD248" s="83" t="s">
        <v>139</v>
      </c>
      <c r="CE248" s="83">
        <v>1</v>
      </c>
      <c r="CG248" s="83" t="s">
        <v>139</v>
      </c>
      <c r="CH248" s="83">
        <v>1</v>
      </c>
      <c r="CJ248" s="83" t="s">
        <v>139</v>
      </c>
      <c r="CK248" s="83">
        <v>1</v>
      </c>
      <c r="CM248" s="83" t="s">
        <v>139</v>
      </c>
      <c r="CN248" s="83">
        <v>1</v>
      </c>
      <c r="CP248" s="83" t="s">
        <v>139</v>
      </c>
      <c r="CQ248" s="83">
        <v>1</v>
      </c>
      <c r="CS248" s="83" t="s">
        <v>139</v>
      </c>
      <c r="CT248" s="83">
        <v>1</v>
      </c>
      <c r="CV248" s="83" t="s">
        <v>139</v>
      </c>
      <c r="CW248" s="83">
        <v>1</v>
      </c>
      <c r="CY248" s="83" t="s">
        <v>139</v>
      </c>
      <c r="CZ248" s="83">
        <v>1</v>
      </c>
    </row>
    <row r="250" spans="1:104" x14ac:dyDescent="0.2">
      <c r="A250" s="83" t="s">
        <v>140</v>
      </c>
      <c r="B250" s="83">
        <v>1</v>
      </c>
      <c r="D250" s="83" t="s">
        <v>140</v>
      </c>
      <c r="E250" s="83">
        <v>1</v>
      </c>
      <c r="G250" s="83" t="s">
        <v>140</v>
      </c>
      <c r="H250" s="83">
        <v>1</v>
      </c>
      <c r="J250" s="83" t="s">
        <v>140</v>
      </c>
      <c r="K250" s="83">
        <v>1</v>
      </c>
      <c r="M250" s="83" t="s">
        <v>140</v>
      </c>
      <c r="N250" s="83">
        <v>1</v>
      </c>
      <c r="P250" s="83" t="s">
        <v>140</v>
      </c>
      <c r="Q250" s="83">
        <v>1</v>
      </c>
      <c r="S250" s="83" t="s">
        <v>140</v>
      </c>
      <c r="T250" s="83">
        <v>1</v>
      </c>
      <c r="V250" s="83" t="s">
        <v>140</v>
      </c>
      <c r="W250" s="83">
        <v>1</v>
      </c>
      <c r="Y250" s="83" t="s">
        <v>140</v>
      </c>
      <c r="Z250" s="83">
        <v>1</v>
      </c>
      <c r="AB250" s="83" t="s">
        <v>140</v>
      </c>
      <c r="AC250" s="83">
        <v>1</v>
      </c>
      <c r="AE250" s="83" t="s">
        <v>140</v>
      </c>
      <c r="AF250" s="83">
        <v>1</v>
      </c>
      <c r="AH250" s="83" t="s">
        <v>140</v>
      </c>
      <c r="AI250" s="83">
        <v>1</v>
      </c>
      <c r="AK250" s="83" t="s">
        <v>140</v>
      </c>
      <c r="AL250" s="83">
        <v>1</v>
      </c>
      <c r="AN250" s="83" t="s">
        <v>140</v>
      </c>
      <c r="AO250" s="83">
        <v>1</v>
      </c>
      <c r="AQ250" s="83" t="s">
        <v>140</v>
      </c>
      <c r="AR250" s="83">
        <v>1</v>
      </c>
      <c r="AT250" s="83" t="s">
        <v>140</v>
      </c>
      <c r="AU250" s="83">
        <v>1</v>
      </c>
      <c r="AW250" s="83" t="s">
        <v>140</v>
      </c>
      <c r="AX250" s="83">
        <v>1</v>
      </c>
      <c r="AZ250" s="83" t="s">
        <v>140</v>
      </c>
      <c r="BA250" s="83">
        <v>1</v>
      </c>
      <c r="BC250" s="83" t="s">
        <v>140</v>
      </c>
      <c r="BD250" s="83">
        <v>1</v>
      </c>
      <c r="BF250" s="83" t="s">
        <v>140</v>
      </c>
      <c r="BG250" s="83">
        <v>1</v>
      </c>
      <c r="BI250" s="83" t="s">
        <v>140</v>
      </c>
      <c r="BJ250" s="83">
        <v>1</v>
      </c>
      <c r="BL250" s="83" t="s">
        <v>140</v>
      </c>
      <c r="BM250" s="83">
        <v>1</v>
      </c>
      <c r="BO250" s="83" t="s">
        <v>140</v>
      </c>
      <c r="BP250" s="83">
        <v>1</v>
      </c>
      <c r="BR250" s="83" t="s">
        <v>140</v>
      </c>
      <c r="BS250" s="83">
        <v>1</v>
      </c>
      <c r="BU250" s="83" t="s">
        <v>140</v>
      </c>
      <c r="BV250" s="83">
        <v>1</v>
      </c>
      <c r="BX250" s="83" t="s">
        <v>140</v>
      </c>
      <c r="BY250" s="83">
        <v>1</v>
      </c>
      <c r="CA250" s="83" t="s">
        <v>140</v>
      </c>
      <c r="CB250" s="83">
        <v>1</v>
      </c>
      <c r="CD250" s="83" t="s">
        <v>140</v>
      </c>
      <c r="CE250" s="83">
        <v>1</v>
      </c>
      <c r="CG250" s="83" t="s">
        <v>140</v>
      </c>
      <c r="CH250" s="83">
        <v>1</v>
      </c>
      <c r="CJ250" s="83" t="s">
        <v>140</v>
      </c>
      <c r="CK250" s="83">
        <v>1</v>
      </c>
      <c r="CM250" s="83" t="s">
        <v>140</v>
      </c>
      <c r="CN250" s="83">
        <v>1</v>
      </c>
      <c r="CP250" s="83" t="s">
        <v>140</v>
      </c>
      <c r="CQ250" s="83">
        <v>1</v>
      </c>
      <c r="CS250" s="83" t="s">
        <v>140</v>
      </c>
      <c r="CT250" s="83">
        <v>1</v>
      </c>
      <c r="CV250" s="83" t="s">
        <v>140</v>
      </c>
      <c r="CW250" s="83">
        <v>1</v>
      </c>
      <c r="CY250" s="83" t="s">
        <v>140</v>
      </c>
      <c r="CZ250" s="83">
        <v>1</v>
      </c>
    </row>
    <row r="252" spans="1:104" x14ac:dyDescent="0.2">
      <c r="A252" s="83" t="s">
        <v>141</v>
      </c>
      <c r="B252" s="83">
        <v>1</v>
      </c>
      <c r="D252" s="83" t="s">
        <v>141</v>
      </c>
      <c r="E252" s="83">
        <v>1</v>
      </c>
      <c r="G252" s="83" t="s">
        <v>141</v>
      </c>
      <c r="H252" s="83">
        <v>1</v>
      </c>
      <c r="J252" s="83" t="s">
        <v>141</v>
      </c>
      <c r="K252" s="83">
        <v>1</v>
      </c>
      <c r="M252" s="83" t="s">
        <v>141</v>
      </c>
      <c r="N252" s="83">
        <v>1</v>
      </c>
      <c r="P252" s="83" t="s">
        <v>141</v>
      </c>
      <c r="Q252" s="83">
        <v>1</v>
      </c>
      <c r="S252" s="83" t="s">
        <v>141</v>
      </c>
      <c r="T252" s="83">
        <v>1</v>
      </c>
      <c r="V252" s="83" t="s">
        <v>141</v>
      </c>
      <c r="W252" s="83">
        <v>1</v>
      </c>
      <c r="Y252" s="83" t="s">
        <v>141</v>
      </c>
      <c r="Z252" s="83">
        <v>1</v>
      </c>
      <c r="AB252" s="83" t="s">
        <v>141</v>
      </c>
      <c r="AC252" s="83">
        <v>1</v>
      </c>
      <c r="AE252" s="83" t="s">
        <v>141</v>
      </c>
      <c r="AF252" s="83">
        <v>1</v>
      </c>
      <c r="AH252" s="83" t="s">
        <v>141</v>
      </c>
      <c r="AI252" s="83">
        <v>1</v>
      </c>
      <c r="AK252" s="83" t="s">
        <v>141</v>
      </c>
      <c r="AL252" s="83">
        <v>1</v>
      </c>
      <c r="AN252" s="83" t="s">
        <v>141</v>
      </c>
      <c r="AO252" s="83">
        <v>1</v>
      </c>
      <c r="AQ252" s="83" t="s">
        <v>141</v>
      </c>
      <c r="AR252" s="83">
        <v>1</v>
      </c>
      <c r="AT252" s="83" t="s">
        <v>141</v>
      </c>
      <c r="AU252" s="83">
        <v>1</v>
      </c>
      <c r="AW252" s="83" t="s">
        <v>141</v>
      </c>
      <c r="AX252" s="83">
        <v>1</v>
      </c>
      <c r="AZ252" s="83" t="s">
        <v>141</v>
      </c>
      <c r="BA252" s="83">
        <v>1</v>
      </c>
      <c r="BC252" s="83" t="s">
        <v>141</v>
      </c>
      <c r="BD252" s="83">
        <v>1</v>
      </c>
      <c r="BF252" s="83" t="s">
        <v>141</v>
      </c>
      <c r="BG252" s="83">
        <v>1</v>
      </c>
      <c r="BI252" s="83" t="s">
        <v>141</v>
      </c>
      <c r="BJ252" s="83">
        <v>1</v>
      </c>
      <c r="BL252" s="83" t="s">
        <v>141</v>
      </c>
      <c r="BM252" s="83">
        <v>1</v>
      </c>
      <c r="BO252" s="83" t="s">
        <v>141</v>
      </c>
      <c r="BP252" s="83">
        <v>1</v>
      </c>
      <c r="BR252" s="83" t="s">
        <v>141</v>
      </c>
      <c r="BS252" s="83">
        <v>1</v>
      </c>
      <c r="BU252" s="83" t="s">
        <v>141</v>
      </c>
      <c r="BV252" s="83">
        <v>1</v>
      </c>
      <c r="BX252" s="83" t="s">
        <v>141</v>
      </c>
      <c r="BY252" s="83">
        <v>1</v>
      </c>
      <c r="CA252" s="83" t="s">
        <v>141</v>
      </c>
      <c r="CB252" s="83">
        <v>1</v>
      </c>
      <c r="CD252" s="83" t="s">
        <v>141</v>
      </c>
      <c r="CE252" s="83">
        <v>1</v>
      </c>
      <c r="CG252" s="83" t="s">
        <v>141</v>
      </c>
      <c r="CH252" s="83">
        <v>1</v>
      </c>
      <c r="CJ252" s="83" t="s">
        <v>141</v>
      </c>
      <c r="CK252" s="83">
        <v>1</v>
      </c>
      <c r="CM252" s="83" t="s">
        <v>141</v>
      </c>
      <c r="CN252" s="83">
        <v>1</v>
      </c>
      <c r="CP252" s="83" t="s">
        <v>141</v>
      </c>
      <c r="CQ252" s="83">
        <v>1</v>
      </c>
      <c r="CS252" s="83" t="s">
        <v>141</v>
      </c>
      <c r="CT252" s="83">
        <v>1</v>
      </c>
      <c r="CV252" s="83" t="s">
        <v>141</v>
      </c>
      <c r="CW252" s="83">
        <v>1</v>
      </c>
      <c r="CY252" s="83" t="s">
        <v>141</v>
      </c>
      <c r="CZ252" s="83">
        <v>1</v>
      </c>
    </row>
    <row r="254" spans="1:104" x14ac:dyDescent="0.2">
      <c r="A254" s="83" t="s">
        <v>142</v>
      </c>
      <c r="B254" s="83">
        <v>1</v>
      </c>
      <c r="D254" s="83" t="s">
        <v>142</v>
      </c>
      <c r="E254" s="83">
        <v>1</v>
      </c>
      <c r="G254" s="83" t="s">
        <v>142</v>
      </c>
      <c r="H254" s="83">
        <v>1</v>
      </c>
      <c r="J254" s="83" t="s">
        <v>142</v>
      </c>
      <c r="K254" s="83">
        <v>1</v>
      </c>
      <c r="M254" s="83" t="s">
        <v>142</v>
      </c>
      <c r="N254" s="83">
        <v>1</v>
      </c>
      <c r="P254" s="83" t="s">
        <v>142</v>
      </c>
      <c r="Q254" s="83">
        <v>1</v>
      </c>
      <c r="S254" s="83" t="s">
        <v>142</v>
      </c>
      <c r="T254" s="83">
        <v>1</v>
      </c>
      <c r="V254" s="83" t="s">
        <v>142</v>
      </c>
      <c r="W254" s="83">
        <v>1</v>
      </c>
      <c r="Y254" s="83" t="s">
        <v>142</v>
      </c>
      <c r="Z254" s="83">
        <v>1</v>
      </c>
      <c r="AB254" s="83" t="s">
        <v>142</v>
      </c>
      <c r="AC254" s="83">
        <v>1</v>
      </c>
      <c r="AE254" s="83" t="s">
        <v>142</v>
      </c>
      <c r="AF254" s="83">
        <v>1</v>
      </c>
      <c r="AH254" s="83" t="s">
        <v>142</v>
      </c>
      <c r="AI254" s="83">
        <v>1</v>
      </c>
      <c r="AK254" s="83" t="s">
        <v>142</v>
      </c>
      <c r="AL254" s="83">
        <v>1</v>
      </c>
      <c r="AN254" s="83" t="s">
        <v>142</v>
      </c>
      <c r="AO254" s="83">
        <v>1</v>
      </c>
      <c r="AQ254" s="83" t="s">
        <v>142</v>
      </c>
      <c r="AR254" s="83">
        <v>1</v>
      </c>
      <c r="AT254" s="83" t="s">
        <v>142</v>
      </c>
      <c r="AU254" s="83">
        <v>1</v>
      </c>
      <c r="AW254" s="83" t="s">
        <v>142</v>
      </c>
      <c r="AX254" s="83">
        <v>1</v>
      </c>
      <c r="AZ254" s="83" t="s">
        <v>142</v>
      </c>
      <c r="BA254" s="83">
        <v>1</v>
      </c>
      <c r="BC254" s="83" t="s">
        <v>142</v>
      </c>
      <c r="BD254" s="83">
        <v>1</v>
      </c>
      <c r="BF254" s="83" t="s">
        <v>142</v>
      </c>
      <c r="BG254" s="83">
        <v>1</v>
      </c>
      <c r="BI254" s="83" t="s">
        <v>142</v>
      </c>
      <c r="BJ254" s="83">
        <v>1</v>
      </c>
      <c r="BL254" s="83" t="s">
        <v>142</v>
      </c>
      <c r="BM254" s="83">
        <v>1</v>
      </c>
      <c r="BO254" s="83" t="s">
        <v>142</v>
      </c>
      <c r="BP254" s="83">
        <v>1</v>
      </c>
      <c r="BR254" s="83" t="s">
        <v>142</v>
      </c>
      <c r="BS254" s="83">
        <v>1</v>
      </c>
      <c r="BU254" s="83" t="s">
        <v>142</v>
      </c>
      <c r="BV254" s="83">
        <v>1</v>
      </c>
      <c r="BX254" s="83" t="s">
        <v>142</v>
      </c>
      <c r="BY254" s="83">
        <v>1</v>
      </c>
      <c r="CA254" s="83" t="s">
        <v>142</v>
      </c>
      <c r="CB254" s="83">
        <v>1</v>
      </c>
      <c r="CD254" s="83" t="s">
        <v>142</v>
      </c>
      <c r="CE254" s="83">
        <v>1</v>
      </c>
      <c r="CG254" s="83" t="s">
        <v>142</v>
      </c>
      <c r="CH254" s="83">
        <v>1</v>
      </c>
      <c r="CJ254" s="83" t="s">
        <v>142</v>
      </c>
      <c r="CK254" s="83">
        <v>1</v>
      </c>
      <c r="CM254" s="83" t="s">
        <v>142</v>
      </c>
      <c r="CN254" s="83">
        <v>1</v>
      </c>
      <c r="CP254" s="83" t="s">
        <v>142</v>
      </c>
      <c r="CQ254" s="83">
        <v>1</v>
      </c>
      <c r="CS254" s="83" t="s">
        <v>142</v>
      </c>
      <c r="CT254" s="83">
        <v>1</v>
      </c>
      <c r="CV254" s="83" t="s">
        <v>142</v>
      </c>
      <c r="CW254" s="83">
        <v>1</v>
      </c>
      <c r="CY254" s="83" t="s">
        <v>142</v>
      </c>
      <c r="CZ254" s="83">
        <v>1</v>
      </c>
    </row>
    <row r="256" spans="1:104" x14ac:dyDescent="0.2">
      <c r="A256" s="83" t="s">
        <v>143</v>
      </c>
      <c r="B256" s="83">
        <v>1</v>
      </c>
      <c r="D256" s="83" t="s">
        <v>143</v>
      </c>
      <c r="E256" s="83">
        <v>1</v>
      </c>
      <c r="G256" s="83" t="s">
        <v>143</v>
      </c>
      <c r="H256" s="83">
        <v>1</v>
      </c>
      <c r="J256" s="83" t="s">
        <v>143</v>
      </c>
      <c r="K256" s="83">
        <v>1</v>
      </c>
      <c r="M256" s="83" t="s">
        <v>143</v>
      </c>
      <c r="N256" s="83">
        <v>1</v>
      </c>
      <c r="P256" s="83" t="s">
        <v>143</v>
      </c>
      <c r="Q256" s="83">
        <v>1</v>
      </c>
      <c r="S256" s="83" t="s">
        <v>143</v>
      </c>
      <c r="T256" s="83">
        <v>1</v>
      </c>
      <c r="V256" s="83" t="s">
        <v>143</v>
      </c>
      <c r="W256" s="83">
        <v>1</v>
      </c>
      <c r="Y256" s="83" t="s">
        <v>143</v>
      </c>
      <c r="Z256" s="83">
        <v>1</v>
      </c>
      <c r="AB256" s="83" t="s">
        <v>143</v>
      </c>
      <c r="AC256" s="83">
        <v>1</v>
      </c>
      <c r="AE256" s="83" t="s">
        <v>143</v>
      </c>
      <c r="AF256" s="83">
        <v>1</v>
      </c>
      <c r="AH256" s="83" t="s">
        <v>143</v>
      </c>
      <c r="AI256" s="83">
        <v>1</v>
      </c>
      <c r="AK256" s="83" t="s">
        <v>143</v>
      </c>
      <c r="AL256" s="83">
        <v>1</v>
      </c>
      <c r="AN256" s="83" t="s">
        <v>143</v>
      </c>
      <c r="AO256" s="83">
        <v>1</v>
      </c>
      <c r="AQ256" s="83" t="s">
        <v>143</v>
      </c>
      <c r="AR256" s="83">
        <v>1</v>
      </c>
      <c r="AT256" s="83" t="s">
        <v>143</v>
      </c>
      <c r="AU256" s="83">
        <v>1</v>
      </c>
      <c r="AW256" s="83" t="s">
        <v>143</v>
      </c>
      <c r="AX256" s="83">
        <v>1</v>
      </c>
      <c r="AZ256" s="83" t="s">
        <v>143</v>
      </c>
      <c r="BA256" s="83">
        <v>1</v>
      </c>
      <c r="BC256" s="83" t="s">
        <v>143</v>
      </c>
      <c r="BD256" s="83">
        <v>1</v>
      </c>
      <c r="BF256" s="83" t="s">
        <v>143</v>
      </c>
      <c r="BG256" s="83">
        <v>1</v>
      </c>
      <c r="BI256" s="83" t="s">
        <v>143</v>
      </c>
      <c r="BJ256" s="83">
        <v>1</v>
      </c>
      <c r="BL256" s="83" t="s">
        <v>143</v>
      </c>
      <c r="BM256" s="83">
        <v>1</v>
      </c>
      <c r="BO256" s="83" t="s">
        <v>143</v>
      </c>
      <c r="BP256" s="83">
        <v>1</v>
      </c>
      <c r="BR256" s="83" t="s">
        <v>143</v>
      </c>
      <c r="BS256" s="83">
        <v>1</v>
      </c>
      <c r="BU256" s="83" t="s">
        <v>143</v>
      </c>
      <c r="BV256" s="83">
        <v>1</v>
      </c>
      <c r="BX256" s="83" t="s">
        <v>143</v>
      </c>
      <c r="BY256" s="83">
        <v>1</v>
      </c>
      <c r="CA256" s="83" t="s">
        <v>143</v>
      </c>
      <c r="CB256" s="83">
        <v>1</v>
      </c>
      <c r="CD256" s="83" t="s">
        <v>143</v>
      </c>
      <c r="CE256" s="83">
        <v>1</v>
      </c>
      <c r="CG256" s="83" t="s">
        <v>143</v>
      </c>
      <c r="CH256" s="83">
        <v>1</v>
      </c>
      <c r="CJ256" s="83" t="s">
        <v>143</v>
      </c>
      <c r="CK256" s="83">
        <v>1</v>
      </c>
      <c r="CM256" s="83" t="s">
        <v>143</v>
      </c>
      <c r="CN256" s="83">
        <v>1</v>
      </c>
      <c r="CP256" s="83" t="s">
        <v>143</v>
      </c>
      <c r="CQ256" s="83">
        <v>1</v>
      </c>
      <c r="CS256" s="83" t="s">
        <v>143</v>
      </c>
      <c r="CT256" s="83">
        <v>1</v>
      </c>
      <c r="CV256" s="83" t="s">
        <v>143</v>
      </c>
      <c r="CW256" s="83">
        <v>1</v>
      </c>
      <c r="CY256" s="83" t="s">
        <v>143</v>
      </c>
      <c r="CZ256" s="83">
        <v>1</v>
      </c>
    </row>
    <row r="258" spans="1:104" x14ac:dyDescent="0.2">
      <c r="A258" s="83" t="s">
        <v>144</v>
      </c>
      <c r="B258" s="83">
        <v>1</v>
      </c>
      <c r="D258" s="83" t="s">
        <v>144</v>
      </c>
      <c r="E258" s="83">
        <v>1</v>
      </c>
      <c r="G258" s="83" t="s">
        <v>144</v>
      </c>
      <c r="H258" s="83">
        <v>1</v>
      </c>
      <c r="J258" s="83" t="s">
        <v>144</v>
      </c>
      <c r="K258" s="83">
        <v>1</v>
      </c>
      <c r="M258" s="83" t="s">
        <v>144</v>
      </c>
      <c r="N258" s="83">
        <v>1</v>
      </c>
      <c r="P258" s="83" t="s">
        <v>144</v>
      </c>
      <c r="Q258" s="83">
        <v>1</v>
      </c>
      <c r="S258" s="83" t="s">
        <v>144</v>
      </c>
      <c r="T258" s="83">
        <v>1</v>
      </c>
      <c r="V258" s="83" t="s">
        <v>144</v>
      </c>
      <c r="W258" s="83">
        <v>1</v>
      </c>
      <c r="Y258" s="83" t="s">
        <v>144</v>
      </c>
      <c r="Z258" s="83">
        <v>1</v>
      </c>
      <c r="AB258" s="83" t="s">
        <v>144</v>
      </c>
      <c r="AC258" s="83">
        <v>1</v>
      </c>
      <c r="AE258" s="83" t="s">
        <v>144</v>
      </c>
      <c r="AF258" s="83">
        <v>1</v>
      </c>
      <c r="AH258" s="83" t="s">
        <v>144</v>
      </c>
      <c r="AI258" s="83">
        <v>1</v>
      </c>
      <c r="AK258" s="83" t="s">
        <v>144</v>
      </c>
      <c r="AL258" s="83">
        <v>1</v>
      </c>
      <c r="AN258" s="83" t="s">
        <v>144</v>
      </c>
      <c r="AO258" s="83">
        <v>1</v>
      </c>
      <c r="AQ258" s="83" t="s">
        <v>144</v>
      </c>
      <c r="AR258" s="83">
        <v>1</v>
      </c>
      <c r="AT258" s="83" t="s">
        <v>144</v>
      </c>
      <c r="AU258" s="83">
        <v>1</v>
      </c>
      <c r="AW258" s="83" t="s">
        <v>144</v>
      </c>
      <c r="AX258" s="83">
        <v>1</v>
      </c>
      <c r="AZ258" s="83" t="s">
        <v>144</v>
      </c>
      <c r="BA258" s="83">
        <v>1</v>
      </c>
      <c r="BC258" s="83" t="s">
        <v>144</v>
      </c>
      <c r="BD258" s="83">
        <v>1</v>
      </c>
      <c r="BF258" s="83" t="s">
        <v>144</v>
      </c>
      <c r="BG258" s="83">
        <v>1</v>
      </c>
      <c r="BI258" s="83" t="s">
        <v>144</v>
      </c>
      <c r="BJ258" s="83">
        <v>1</v>
      </c>
      <c r="BL258" s="83" t="s">
        <v>144</v>
      </c>
      <c r="BM258" s="83">
        <v>1</v>
      </c>
      <c r="BO258" s="83" t="s">
        <v>144</v>
      </c>
      <c r="BP258" s="83">
        <v>1</v>
      </c>
      <c r="BR258" s="83" t="s">
        <v>144</v>
      </c>
      <c r="BS258" s="83">
        <v>1</v>
      </c>
      <c r="BU258" s="83" t="s">
        <v>144</v>
      </c>
      <c r="BV258" s="83">
        <v>1</v>
      </c>
      <c r="BX258" s="83" t="s">
        <v>144</v>
      </c>
      <c r="BY258" s="83">
        <v>1</v>
      </c>
      <c r="CA258" s="83" t="s">
        <v>144</v>
      </c>
      <c r="CB258" s="83">
        <v>1</v>
      </c>
      <c r="CD258" s="83" t="s">
        <v>144</v>
      </c>
      <c r="CE258" s="83">
        <v>1</v>
      </c>
      <c r="CG258" s="83" t="s">
        <v>144</v>
      </c>
      <c r="CH258" s="83">
        <v>1</v>
      </c>
      <c r="CJ258" s="83" t="s">
        <v>144</v>
      </c>
      <c r="CK258" s="83">
        <v>1</v>
      </c>
      <c r="CM258" s="83" t="s">
        <v>144</v>
      </c>
      <c r="CN258" s="83">
        <v>1</v>
      </c>
      <c r="CP258" s="83" t="s">
        <v>144</v>
      </c>
      <c r="CQ258" s="83">
        <v>1</v>
      </c>
      <c r="CS258" s="83" t="s">
        <v>144</v>
      </c>
      <c r="CT258" s="83">
        <v>1</v>
      </c>
      <c r="CV258" s="83" t="s">
        <v>144</v>
      </c>
      <c r="CW258" s="83">
        <v>1</v>
      </c>
      <c r="CY258" s="83" t="s">
        <v>144</v>
      </c>
      <c r="CZ258" s="83">
        <v>1</v>
      </c>
    </row>
    <row r="260" spans="1:104" x14ac:dyDescent="0.2">
      <c r="A260" s="83" t="s">
        <v>145</v>
      </c>
      <c r="B260" s="83">
        <v>1</v>
      </c>
      <c r="D260" s="83" t="s">
        <v>145</v>
      </c>
      <c r="E260" s="83">
        <v>1</v>
      </c>
      <c r="G260" s="83" t="s">
        <v>145</v>
      </c>
      <c r="H260" s="83">
        <v>1</v>
      </c>
      <c r="J260" s="83" t="s">
        <v>145</v>
      </c>
      <c r="K260" s="83">
        <v>1</v>
      </c>
      <c r="M260" s="83" t="s">
        <v>145</v>
      </c>
      <c r="N260" s="83">
        <v>1</v>
      </c>
      <c r="P260" s="83" t="s">
        <v>145</v>
      </c>
      <c r="Q260" s="83">
        <v>1</v>
      </c>
      <c r="S260" s="83" t="s">
        <v>145</v>
      </c>
      <c r="T260" s="83">
        <v>1</v>
      </c>
      <c r="V260" s="83" t="s">
        <v>145</v>
      </c>
      <c r="W260" s="83">
        <v>1</v>
      </c>
      <c r="Y260" s="83" t="s">
        <v>145</v>
      </c>
      <c r="Z260" s="83">
        <v>1</v>
      </c>
      <c r="AB260" s="83" t="s">
        <v>145</v>
      </c>
      <c r="AC260" s="83">
        <v>1</v>
      </c>
      <c r="AE260" s="83" t="s">
        <v>145</v>
      </c>
      <c r="AF260" s="83">
        <v>1</v>
      </c>
      <c r="AH260" s="83" t="s">
        <v>145</v>
      </c>
      <c r="AI260" s="83">
        <v>1</v>
      </c>
      <c r="AK260" s="83" t="s">
        <v>145</v>
      </c>
      <c r="AL260" s="83">
        <v>1</v>
      </c>
      <c r="AN260" s="83" t="s">
        <v>145</v>
      </c>
      <c r="AO260" s="83">
        <v>1</v>
      </c>
      <c r="AQ260" s="83" t="s">
        <v>145</v>
      </c>
      <c r="AR260" s="83">
        <v>1</v>
      </c>
      <c r="AT260" s="83" t="s">
        <v>145</v>
      </c>
      <c r="AU260" s="83">
        <v>1</v>
      </c>
      <c r="AW260" s="83" t="s">
        <v>145</v>
      </c>
      <c r="AX260" s="83">
        <v>1</v>
      </c>
      <c r="AZ260" s="83" t="s">
        <v>145</v>
      </c>
      <c r="BA260" s="83">
        <v>1</v>
      </c>
      <c r="BC260" s="83" t="s">
        <v>145</v>
      </c>
      <c r="BD260" s="83">
        <v>1</v>
      </c>
      <c r="BF260" s="83" t="s">
        <v>145</v>
      </c>
      <c r="BG260" s="83">
        <v>1</v>
      </c>
      <c r="BI260" s="83" t="s">
        <v>145</v>
      </c>
      <c r="BJ260" s="83">
        <v>1</v>
      </c>
      <c r="BL260" s="83" t="s">
        <v>145</v>
      </c>
      <c r="BM260" s="83">
        <v>1</v>
      </c>
      <c r="BO260" s="83" t="s">
        <v>145</v>
      </c>
      <c r="BP260" s="83">
        <v>1</v>
      </c>
      <c r="BR260" s="83" t="s">
        <v>145</v>
      </c>
      <c r="BS260" s="83">
        <v>1</v>
      </c>
      <c r="BU260" s="83" t="s">
        <v>145</v>
      </c>
      <c r="BV260" s="83">
        <v>1</v>
      </c>
      <c r="BX260" s="83" t="s">
        <v>145</v>
      </c>
      <c r="BY260" s="83">
        <v>1</v>
      </c>
      <c r="CA260" s="83" t="s">
        <v>145</v>
      </c>
      <c r="CB260" s="83">
        <v>1</v>
      </c>
      <c r="CD260" s="83" t="s">
        <v>145</v>
      </c>
      <c r="CE260" s="83">
        <v>1</v>
      </c>
      <c r="CG260" s="83" t="s">
        <v>145</v>
      </c>
      <c r="CH260" s="83">
        <v>1</v>
      </c>
      <c r="CJ260" s="83" t="s">
        <v>145</v>
      </c>
      <c r="CK260" s="83">
        <v>1</v>
      </c>
      <c r="CM260" s="83" t="s">
        <v>145</v>
      </c>
      <c r="CN260" s="83">
        <v>1</v>
      </c>
      <c r="CP260" s="83" t="s">
        <v>145</v>
      </c>
      <c r="CQ260" s="83">
        <v>1</v>
      </c>
      <c r="CS260" s="83" t="s">
        <v>145</v>
      </c>
      <c r="CT260" s="83">
        <v>1</v>
      </c>
      <c r="CV260" s="83" t="s">
        <v>145</v>
      </c>
      <c r="CW260" s="83">
        <v>1</v>
      </c>
      <c r="CY260" s="83" t="s">
        <v>145</v>
      </c>
      <c r="CZ260" s="83">
        <v>1</v>
      </c>
    </row>
    <row r="262" spans="1:104" x14ac:dyDescent="0.2">
      <c r="A262" s="83" t="s">
        <v>146</v>
      </c>
      <c r="B262" s="83">
        <v>1</v>
      </c>
      <c r="D262" s="83" t="s">
        <v>146</v>
      </c>
      <c r="E262" s="83">
        <v>1</v>
      </c>
      <c r="G262" s="83" t="s">
        <v>146</v>
      </c>
      <c r="H262" s="83">
        <v>1</v>
      </c>
      <c r="J262" s="83" t="s">
        <v>146</v>
      </c>
      <c r="K262" s="83">
        <v>1</v>
      </c>
      <c r="M262" s="83" t="s">
        <v>146</v>
      </c>
      <c r="N262" s="83">
        <v>1</v>
      </c>
      <c r="P262" s="83" t="s">
        <v>146</v>
      </c>
      <c r="Q262" s="83">
        <v>1</v>
      </c>
      <c r="S262" s="83" t="s">
        <v>146</v>
      </c>
      <c r="T262" s="83">
        <v>1</v>
      </c>
      <c r="V262" s="83" t="s">
        <v>146</v>
      </c>
      <c r="W262" s="83">
        <v>1</v>
      </c>
      <c r="Y262" s="83" t="s">
        <v>146</v>
      </c>
      <c r="Z262" s="83">
        <v>1</v>
      </c>
      <c r="AB262" s="83" t="s">
        <v>146</v>
      </c>
      <c r="AC262" s="83">
        <v>1</v>
      </c>
      <c r="AE262" s="83" t="s">
        <v>146</v>
      </c>
      <c r="AF262" s="83">
        <v>1</v>
      </c>
      <c r="AH262" s="83" t="s">
        <v>146</v>
      </c>
      <c r="AI262" s="83">
        <v>1</v>
      </c>
      <c r="AK262" s="83" t="s">
        <v>146</v>
      </c>
      <c r="AL262" s="83">
        <v>1</v>
      </c>
      <c r="AN262" s="83" t="s">
        <v>146</v>
      </c>
      <c r="AO262" s="83">
        <v>1</v>
      </c>
      <c r="AQ262" s="83" t="s">
        <v>146</v>
      </c>
      <c r="AR262" s="83">
        <v>1</v>
      </c>
      <c r="AT262" s="83" t="s">
        <v>146</v>
      </c>
      <c r="AU262" s="83">
        <v>1</v>
      </c>
      <c r="AW262" s="83" t="s">
        <v>146</v>
      </c>
      <c r="AX262" s="83">
        <v>1</v>
      </c>
      <c r="AZ262" s="83" t="s">
        <v>146</v>
      </c>
      <c r="BA262" s="83">
        <v>1</v>
      </c>
      <c r="BC262" s="83" t="s">
        <v>146</v>
      </c>
      <c r="BD262" s="83">
        <v>1</v>
      </c>
      <c r="BF262" s="83" t="s">
        <v>146</v>
      </c>
      <c r="BG262" s="83">
        <v>1</v>
      </c>
      <c r="BI262" s="83" t="s">
        <v>146</v>
      </c>
      <c r="BJ262" s="83">
        <v>1</v>
      </c>
      <c r="BL262" s="83" t="s">
        <v>146</v>
      </c>
      <c r="BM262" s="83">
        <v>1</v>
      </c>
      <c r="BO262" s="83" t="s">
        <v>146</v>
      </c>
      <c r="BP262" s="83">
        <v>1</v>
      </c>
      <c r="BR262" s="83" t="s">
        <v>146</v>
      </c>
      <c r="BS262" s="83">
        <v>1</v>
      </c>
      <c r="BU262" s="83" t="s">
        <v>146</v>
      </c>
      <c r="BV262" s="83">
        <v>1</v>
      </c>
      <c r="BX262" s="83" t="s">
        <v>146</v>
      </c>
      <c r="BY262" s="83">
        <v>1</v>
      </c>
      <c r="CA262" s="83" t="s">
        <v>146</v>
      </c>
      <c r="CB262" s="83">
        <v>1</v>
      </c>
      <c r="CD262" s="83" t="s">
        <v>146</v>
      </c>
      <c r="CE262" s="83">
        <v>1</v>
      </c>
      <c r="CG262" s="83" t="s">
        <v>146</v>
      </c>
      <c r="CH262" s="83">
        <v>1</v>
      </c>
      <c r="CJ262" s="83" t="s">
        <v>146</v>
      </c>
      <c r="CK262" s="83">
        <v>1</v>
      </c>
      <c r="CM262" s="83" t="s">
        <v>146</v>
      </c>
      <c r="CN262" s="83">
        <v>1</v>
      </c>
      <c r="CP262" s="83" t="s">
        <v>146</v>
      </c>
      <c r="CQ262" s="83">
        <v>1</v>
      </c>
      <c r="CS262" s="83" t="s">
        <v>146</v>
      </c>
      <c r="CT262" s="83">
        <v>1</v>
      </c>
      <c r="CV262" s="83" t="s">
        <v>146</v>
      </c>
      <c r="CW262" s="83">
        <v>1</v>
      </c>
      <c r="CY262" s="83" t="s">
        <v>146</v>
      </c>
      <c r="CZ262" s="83">
        <v>1</v>
      </c>
    </row>
    <row r="264" spans="1:104" x14ac:dyDescent="0.2">
      <c r="A264" s="83" t="s">
        <v>147</v>
      </c>
      <c r="B264" s="83">
        <v>1</v>
      </c>
      <c r="D264" s="83" t="s">
        <v>147</v>
      </c>
      <c r="E264" s="83">
        <v>1</v>
      </c>
      <c r="G264" s="83" t="s">
        <v>147</v>
      </c>
      <c r="H264" s="83">
        <v>1</v>
      </c>
      <c r="J264" s="83" t="s">
        <v>147</v>
      </c>
      <c r="K264" s="83">
        <v>1</v>
      </c>
      <c r="M264" s="83" t="s">
        <v>147</v>
      </c>
      <c r="N264" s="83">
        <v>1</v>
      </c>
      <c r="P264" s="83" t="s">
        <v>147</v>
      </c>
      <c r="Q264" s="83">
        <v>1</v>
      </c>
      <c r="S264" s="83" t="s">
        <v>147</v>
      </c>
      <c r="T264" s="83">
        <v>1</v>
      </c>
      <c r="V264" s="83" t="s">
        <v>147</v>
      </c>
      <c r="W264" s="83">
        <v>1</v>
      </c>
      <c r="Y264" s="83" t="s">
        <v>147</v>
      </c>
      <c r="Z264" s="83">
        <v>1</v>
      </c>
      <c r="AB264" s="83" t="s">
        <v>147</v>
      </c>
      <c r="AC264" s="83">
        <v>1</v>
      </c>
      <c r="AE264" s="83" t="s">
        <v>147</v>
      </c>
      <c r="AF264" s="83">
        <v>1</v>
      </c>
      <c r="AH264" s="83" t="s">
        <v>147</v>
      </c>
      <c r="AI264" s="83">
        <v>1</v>
      </c>
      <c r="AK264" s="83" t="s">
        <v>147</v>
      </c>
      <c r="AL264" s="83">
        <v>1</v>
      </c>
      <c r="AN264" s="83" t="s">
        <v>147</v>
      </c>
      <c r="AO264" s="83">
        <v>1</v>
      </c>
      <c r="AQ264" s="83" t="s">
        <v>147</v>
      </c>
      <c r="AR264" s="83">
        <v>1</v>
      </c>
      <c r="AT264" s="83" t="s">
        <v>147</v>
      </c>
      <c r="AU264" s="83">
        <v>1</v>
      </c>
      <c r="AW264" s="83" t="s">
        <v>147</v>
      </c>
      <c r="AX264" s="83">
        <v>1</v>
      </c>
      <c r="AZ264" s="83" t="s">
        <v>147</v>
      </c>
      <c r="BA264" s="83">
        <v>1</v>
      </c>
      <c r="BC264" s="83" t="s">
        <v>147</v>
      </c>
      <c r="BD264" s="83">
        <v>1</v>
      </c>
      <c r="BF264" s="83" t="s">
        <v>147</v>
      </c>
      <c r="BG264" s="83">
        <v>1</v>
      </c>
      <c r="BI264" s="83" t="s">
        <v>147</v>
      </c>
      <c r="BJ264" s="83">
        <v>1</v>
      </c>
      <c r="BL264" s="83" t="s">
        <v>147</v>
      </c>
      <c r="BM264" s="83">
        <v>1</v>
      </c>
      <c r="BO264" s="83" t="s">
        <v>147</v>
      </c>
      <c r="BP264" s="83">
        <v>1</v>
      </c>
      <c r="BR264" s="83" t="s">
        <v>147</v>
      </c>
      <c r="BS264" s="83">
        <v>1</v>
      </c>
      <c r="BU264" s="83" t="s">
        <v>147</v>
      </c>
      <c r="BV264" s="83">
        <v>1</v>
      </c>
      <c r="BX264" s="83" t="s">
        <v>147</v>
      </c>
      <c r="BY264" s="83">
        <v>1</v>
      </c>
      <c r="CA264" s="83" t="s">
        <v>147</v>
      </c>
      <c r="CB264" s="83">
        <v>1</v>
      </c>
      <c r="CD264" s="83" t="s">
        <v>147</v>
      </c>
      <c r="CE264" s="83">
        <v>1</v>
      </c>
      <c r="CG264" s="83" t="s">
        <v>147</v>
      </c>
      <c r="CH264" s="83">
        <v>1</v>
      </c>
      <c r="CJ264" s="83" t="s">
        <v>147</v>
      </c>
      <c r="CK264" s="83">
        <v>1</v>
      </c>
      <c r="CM264" s="83" t="s">
        <v>147</v>
      </c>
      <c r="CN264" s="83">
        <v>1</v>
      </c>
      <c r="CP264" s="83" t="s">
        <v>147</v>
      </c>
      <c r="CQ264" s="83">
        <v>1</v>
      </c>
      <c r="CS264" s="83" t="s">
        <v>147</v>
      </c>
      <c r="CT264" s="83">
        <v>1</v>
      </c>
      <c r="CV264" s="83" t="s">
        <v>147</v>
      </c>
      <c r="CW264" s="83">
        <v>1</v>
      </c>
      <c r="CY264" s="83" t="s">
        <v>147</v>
      </c>
      <c r="CZ264" s="83">
        <v>1</v>
      </c>
    </row>
    <row r="266" spans="1:104" x14ac:dyDescent="0.2">
      <c r="A266" s="83" t="s">
        <v>148</v>
      </c>
      <c r="B266" s="83">
        <v>1</v>
      </c>
      <c r="D266" s="83" t="s">
        <v>148</v>
      </c>
      <c r="E266" s="83">
        <v>1</v>
      </c>
      <c r="G266" s="83" t="s">
        <v>148</v>
      </c>
      <c r="H266" s="83">
        <v>1</v>
      </c>
      <c r="J266" s="83" t="s">
        <v>148</v>
      </c>
      <c r="K266" s="83">
        <v>1</v>
      </c>
      <c r="M266" s="83" t="s">
        <v>148</v>
      </c>
      <c r="N266" s="83">
        <v>1</v>
      </c>
      <c r="P266" s="83" t="s">
        <v>148</v>
      </c>
      <c r="Q266" s="83">
        <v>1</v>
      </c>
      <c r="S266" s="83" t="s">
        <v>148</v>
      </c>
      <c r="T266" s="83">
        <v>1</v>
      </c>
      <c r="V266" s="83" t="s">
        <v>148</v>
      </c>
      <c r="W266" s="83">
        <v>1</v>
      </c>
      <c r="Y266" s="83" t="s">
        <v>148</v>
      </c>
      <c r="Z266" s="83">
        <v>1</v>
      </c>
      <c r="AB266" s="83" t="s">
        <v>148</v>
      </c>
      <c r="AC266" s="83">
        <v>1</v>
      </c>
      <c r="AE266" s="83" t="s">
        <v>148</v>
      </c>
      <c r="AF266" s="83">
        <v>1</v>
      </c>
      <c r="AH266" s="83" t="s">
        <v>148</v>
      </c>
      <c r="AI266" s="83">
        <v>1</v>
      </c>
      <c r="AK266" s="83" t="s">
        <v>148</v>
      </c>
      <c r="AL266" s="83">
        <v>1</v>
      </c>
      <c r="AN266" s="83" t="s">
        <v>148</v>
      </c>
      <c r="AO266" s="83">
        <v>1</v>
      </c>
      <c r="AQ266" s="83" t="s">
        <v>148</v>
      </c>
      <c r="AR266" s="83">
        <v>1</v>
      </c>
      <c r="AT266" s="83" t="s">
        <v>148</v>
      </c>
      <c r="AU266" s="83">
        <v>1</v>
      </c>
      <c r="AW266" s="83" t="s">
        <v>148</v>
      </c>
      <c r="AX266" s="83">
        <v>1</v>
      </c>
      <c r="AZ266" s="83" t="s">
        <v>148</v>
      </c>
      <c r="BA266" s="83">
        <v>1</v>
      </c>
      <c r="BC266" s="83" t="s">
        <v>148</v>
      </c>
      <c r="BD266" s="83">
        <v>1</v>
      </c>
      <c r="BF266" s="83" t="s">
        <v>148</v>
      </c>
      <c r="BG266" s="83">
        <v>1</v>
      </c>
      <c r="BI266" s="83" t="s">
        <v>148</v>
      </c>
      <c r="BJ266" s="83">
        <v>1</v>
      </c>
      <c r="BL266" s="83" t="s">
        <v>148</v>
      </c>
      <c r="BM266" s="83">
        <v>1</v>
      </c>
      <c r="BO266" s="83" t="s">
        <v>148</v>
      </c>
      <c r="BP266" s="83">
        <v>1</v>
      </c>
      <c r="BR266" s="83" t="s">
        <v>148</v>
      </c>
      <c r="BS266" s="83">
        <v>1</v>
      </c>
      <c r="BU266" s="83" t="s">
        <v>148</v>
      </c>
      <c r="BV266" s="83">
        <v>1</v>
      </c>
      <c r="BX266" s="83" t="s">
        <v>148</v>
      </c>
      <c r="BY266" s="83">
        <v>1</v>
      </c>
      <c r="CA266" s="83" t="s">
        <v>148</v>
      </c>
      <c r="CB266" s="83">
        <v>1</v>
      </c>
      <c r="CD266" s="83" t="s">
        <v>148</v>
      </c>
      <c r="CE266" s="83">
        <v>1</v>
      </c>
      <c r="CG266" s="83" t="s">
        <v>148</v>
      </c>
      <c r="CH266" s="83">
        <v>1</v>
      </c>
      <c r="CJ266" s="83" t="s">
        <v>148</v>
      </c>
      <c r="CK266" s="83">
        <v>1</v>
      </c>
      <c r="CM266" s="83" t="s">
        <v>148</v>
      </c>
      <c r="CN266" s="83">
        <v>1</v>
      </c>
      <c r="CP266" s="83" t="s">
        <v>148</v>
      </c>
      <c r="CQ266" s="83">
        <v>1</v>
      </c>
      <c r="CS266" s="83" t="s">
        <v>148</v>
      </c>
      <c r="CT266" s="83">
        <v>1</v>
      </c>
      <c r="CV266" s="83" t="s">
        <v>148</v>
      </c>
      <c r="CW266" s="83">
        <v>1</v>
      </c>
      <c r="CY266" s="83" t="s">
        <v>148</v>
      </c>
      <c r="CZ266" s="83">
        <v>1</v>
      </c>
    </row>
    <row r="268" spans="1:104" x14ac:dyDescent="0.2">
      <c r="A268" s="83" t="s">
        <v>113</v>
      </c>
      <c r="D268" s="83" t="s">
        <v>113</v>
      </c>
      <c r="G268" s="83" t="s">
        <v>113</v>
      </c>
      <c r="J268" s="83" t="s">
        <v>113</v>
      </c>
      <c r="M268" s="83" t="s">
        <v>113</v>
      </c>
      <c r="P268" s="83" t="s">
        <v>113</v>
      </c>
      <c r="S268" s="83" t="s">
        <v>113</v>
      </c>
      <c r="V268" s="83" t="s">
        <v>113</v>
      </c>
      <c r="Y268" s="83" t="s">
        <v>113</v>
      </c>
      <c r="AB268" s="83" t="s">
        <v>113</v>
      </c>
      <c r="AE268" s="83" t="s">
        <v>113</v>
      </c>
      <c r="AH268" s="83" t="s">
        <v>113</v>
      </c>
      <c r="AK268" s="83" t="s">
        <v>113</v>
      </c>
      <c r="AN268" s="83" t="s">
        <v>113</v>
      </c>
      <c r="AQ268" s="83" t="s">
        <v>113</v>
      </c>
      <c r="AT268" s="83" t="s">
        <v>113</v>
      </c>
      <c r="AW268" s="83" t="s">
        <v>113</v>
      </c>
      <c r="AZ268" s="83" t="s">
        <v>113</v>
      </c>
      <c r="BC268" s="83" t="s">
        <v>113</v>
      </c>
      <c r="BF268" s="83" t="s">
        <v>113</v>
      </c>
      <c r="BI268" s="83" t="s">
        <v>113</v>
      </c>
      <c r="BL268" s="83" t="s">
        <v>113</v>
      </c>
      <c r="BO268" s="83" t="s">
        <v>113</v>
      </c>
      <c r="BR268" s="83" t="s">
        <v>113</v>
      </c>
      <c r="BU268" s="83" t="s">
        <v>113</v>
      </c>
      <c r="BX268" s="83" t="s">
        <v>113</v>
      </c>
      <c r="CA268" s="83" t="s">
        <v>113</v>
      </c>
      <c r="CD268" s="83" t="s">
        <v>113</v>
      </c>
      <c r="CG268" s="83" t="s">
        <v>113</v>
      </c>
      <c r="CJ268" s="83" t="s">
        <v>113</v>
      </c>
      <c r="CM268" s="83" t="s">
        <v>113</v>
      </c>
      <c r="CP268" s="83" t="s">
        <v>113</v>
      </c>
      <c r="CS268" s="83" t="s">
        <v>113</v>
      </c>
      <c r="CV268" s="83" t="s">
        <v>113</v>
      </c>
      <c r="CY268" s="83" t="s">
        <v>113</v>
      </c>
    </row>
    <row r="269" spans="1:104" x14ac:dyDescent="0.2">
      <c r="A269" s="83" t="s">
        <v>114</v>
      </c>
      <c r="B269" s="83" t="s">
        <v>132</v>
      </c>
      <c r="D269" s="83" t="s">
        <v>114</v>
      </c>
      <c r="E269" s="83" t="s">
        <v>132</v>
      </c>
      <c r="G269" s="83" t="s">
        <v>114</v>
      </c>
      <c r="H269" s="83" t="s">
        <v>132</v>
      </c>
      <c r="J269" s="83" t="s">
        <v>114</v>
      </c>
      <c r="K269" s="83" t="s">
        <v>132</v>
      </c>
      <c r="M269" s="83" t="s">
        <v>114</v>
      </c>
      <c r="N269" s="83" t="s">
        <v>132</v>
      </c>
      <c r="P269" s="83" t="s">
        <v>114</v>
      </c>
      <c r="Q269" s="83" t="s">
        <v>132</v>
      </c>
      <c r="S269" s="83" t="s">
        <v>114</v>
      </c>
      <c r="T269" s="83" t="s">
        <v>132</v>
      </c>
      <c r="V269" s="83" t="s">
        <v>114</v>
      </c>
      <c r="W269" s="83" t="s">
        <v>132</v>
      </c>
      <c r="Y269" s="83" t="s">
        <v>114</v>
      </c>
      <c r="Z269" s="83" t="s">
        <v>132</v>
      </c>
      <c r="AB269" s="83" t="s">
        <v>114</v>
      </c>
      <c r="AC269" s="83" t="s">
        <v>132</v>
      </c>
      <c r="AE269" s="83" t="s">
        <v>114</v>
      </c>
      <c r="AF269" s="83" t="s">
        <v>132</v>
      </c>
      <c r="AH269" s="83" t="s">
        <v>114</v>
      </c>
      <c r="AI269" s="83" t="s">
        <v>132</v>
      </c>
      <c r="AK269" s="83" t="s">
        <v>114</v>
      </c>
      <c r="AL269" s="83" t="s">
        <v>132</v>
      </c>
      <c r="AN269" s="83" t="s">
        <v>114</v>
      </c>
      <c r="AO269" s="83" t="s">
        <v>132</v>
      </c>
      <c r="AQ269" s="83" t="s">
        <v>114</v>
      </c>
      <c r="AR269" s="83" t="s">
        <v>132</v>
      </c>
      <c r="AT269" s="83" t="s">
        <v>114</v>
      </c>
      <c r="AU269" s="83" t="s">
        <v>132</v>
      </c>
      <c r="AW269" s="83" t="s">
        <v>114</v>
      </c>
      <c r="AX269" s="83" t="s">
        <v>132</v>
      </c>
      <c r="AZ269" s="83" t="s">
        <v>114</v>
      </c>
      <c r="BA269" s="83" t="s">
        <v>132</v>
      </c>
      <c r="BC269" s="83" t="s">
        <v>114</v>
      </c>
      <c r="BD269" s="83" t="s">
        <v>132</v>
      </c>
      <c r="BF269" s="83" t="s">
        <v>114</v>
      </c>
      <c r="BG269" s="83" t="s">
        <v>132</v>
      </c>
      <c r="BI269" s="83" t="s">
        <v>114</v>
      </c>
      <c r="BJ269" s="83" t="s">
        <v>132</v>
      </c>
      <c r="BL269" s="83" t="s">
        <v>114</v>
      </c>
      <c r="BM269" s="83" t="s">
        <v>132</v>
      </c>
      <c r="BO269" s="83" t="s">
        <v>114</v>
      </c>
      <c r="BP269" s="83" t="s">
        <v>132</v>
      </c>
      <c r="BR269" s="83" t="s">
        <v>114</v>
      </c>
      <c r="BS269" s="83" t="s">
        <v>132</v>
      </c>
      <c r="BU269" s="83" t="s">
        <v>114</v>
      </c>
      <c r="BV269" s="83" t="s">
        <v>132</v>
      </c>
      <c r="BX269" s="83" t="s">
        <v>114</v>
      </c>
      <c r="BY269" s="83" t="s">
        <v>132</v>
      </c>
      <c r="CA269" s="83" t="s">
        <v>114</v>
      </c>
      <c r="CB269" s="83" t="s">
        <v>132</v>
      </c>
      <c r="CD269" s="83" t="s">
        <v>114</v>
      </c>
      <c r="CE269" s="83" t="s">
        <v>132</v>
      </c>
      <c r="CG269" s="83" t="s">
        <v>114</v>
      </c>
      <c r="CH269" s="83" t="s">
        <v>132</v>
      </c>
      <c r="CJ269" s="83" t="s">
        <v>114</v>
      </c>
      <c r="CK269" s="83" t="s">
        <v>132</v>
      </c>
      <c r="CM269" s="83" t="s">
        <v>114</v>
      </c>
      <c r="CN269" s="83" t="s">
        <v>132</v>
      </c>
      <c r="CP269" s="83" t="s">
        <v>114</v>
      </c>
      <c r="CQ269" s="83" t="s">
        <v>132</v>
      </c>
      <c r="CS269" s="83" t="s">
        <v>114</v>
      </c>
      <c r="CT269" s="83" t="s">
        <v>132</v>
      </c>
      <c r="CV269" s="83" t="s">
        <v>114</v>
      </c>
      <c r="CW269" s="83" t="s">
        <v>132</v>
      </c>
      <c r="CY269" s="83" t="s">
        <v>114</v>
      </c>
      <c r="CZ269" s="83" t="s">
        <v>132</v>
      </c>
    </row>
    <row r="271" spans="1:104" x14ac:dyDescent="0.2">
      <c r="A271" s="83" t="s">
        <v>115</v>
      </c>
      <c r="B271" s="83" t="s">
        <v>151</v>
      </c>
      <c r="D271" s="83" t="s">
        <v>115</v>
      </c>
      <c r="E271" s="83" t="s">
        <v>151</v>
      </c>
      <c r="G271" s="83" t="s">
        <v>115</v>
      </c>
      <c r="H271" s="83" t="s">
        <v>151</v>
      </c>
      <c r="J271" s="83" t="s">
        <v>115</v>
      </c>
      <c r="K271" s="83" t="s">
        <v>151</v>
      </c>
      <c r="M271" s="83" t="s">
        <v>115</v>
      </c>
      <c r="N271" s="83" t="s">
        <v>151</v>
      </c>
      <c r="P271" s="83" t="s">
        <v>115</v>
      </c>
      <c r="Q271" s="83" t="s">
        <v>151</v>
      </c>
      <c r="S271" s="83" t="s">
        <v>115</v>
      </c>
      <c r="T271" s="83" t="s">
        <v>151</v>
      </c>
      <c r="V271" s="83" t="s">
        <v>115</v>
      </c>
      <c r="W271" s="83" t="s">
        <v>151</v>
      </c>
      <c r="Y271" s="83" t="s">
        <v>115</v>
      </c>
      <c r="Z271" s="83" t="s">
        <v>151</v>
      </c>
      <c r="AB271" s="83" t="s">
        <v>115</v>
      </c>
      <c r="AC271" s="83" t="s">
        <v>151</v>
      </c>
      <c r="AE271" s="83" t="s">
        <v>115</v>
      </c>
      <c r="AF271" s="83" t="s">
        <v>151</v>
      </c>
      <c r="AH271" s="83" t="s">
        <v>115</v>
      </c>
      <c r="AI271" s="83" t="s">
        <v>151</v>
      </c>
      <c r="AK271" s="83" t="s">
        <v>115</v>
      </c>
      <c r="AL271" s="83" t="s">
        <v>151</v>
      </c>
      <c r="AN271" s="83" t="s">
        <v>115</v>
      </c>
      <c r="AO271" s="83" t="s">
        <v>151</v>
      </c>
      <c r="AQ271" s="83" t="s">
        <v>115</v>
      </c>
      <c r="AR271" s="83" t="s">
        <v>151</v>
      </c>
      <c r="AT271" s="83" t="s">
        <v>115</v>
      </c>
      <c r="AU271" s="83" t="s">
        <v>151</v>
      </c>
      <c r="AW271" s="83" t="s">
        <v>115</v>
      </c>
      <c r="AX271" s="83" t="s">
        <v>151</v>
      </c>
      <c r="AZ271" s="83" t="s">
        <v>115</v>
      </c>
      <c r="BA271" s="83" t="s">
        <v>151</v>
      </c>
      <c r="BC271" s="83" t="s">
        <v>115</v>
      </c>
      <c r="BD271" s="83" t="s">
        <v>151</v>
      </c>
      <c r="BF271" s="83" t="s">
        <v>115</v>
      </c>
      <c r="BG271" s="83" t="s">
        <v>151</v>
      </c>
      <c r="BI271" s="83" t="s">
        <v>115</v>
      </c>
      <c r="BJ271" s="83" t="s">
        <v>151</v>
      </c>
      <c r="BL271" s="83" t="s">
        <v>115</v>
      </c>
      <c r="BM271" s="83" t="s">
        <v>151</v>
      </c>
      <c r="BO271" s="83" t="s">
        <v>115</v>
      </c>
      <c r="BP271" s="83" t="s">
        <v>151</v>
      </c>
      <c r="BR271" s="83" t="s">
        <v>115</v>
      </c>
      <c r="BS271" s="83" t="s">
        <v>151</v>
      </c>
      <c r="BU271" s="83" t="s">
        <v>115</v>
      </c>
      <c r="BV271" s="83" t="s">
        <v>151</v>
      </c>
      <c r="BX271" s="83" t="s">
        <v>115</v>
      </c>
      <c r="BY271" s="83" t="s">
        <v>151</v>
      </c>
      <c r="CA271" s="83" t="s">
        <v>115</v>
      </c>
      <c r="CB271" s="83" t="s">
        <v>151</v>
      </c>
      <c r="CD271" s="83" t="s">
        <v>115</v>
      </c>
      <c r="CE271" s="83" t="s">
        <v>151</v>
      </c>
      <c r="CG271" s="83" t="s">
        <v>115</v>
      </c>
      <c r="CH271" s="83" t="s">
        <v>151</v>
      </c>
      <c r="CJ271" s="83" t="s">
        <v>115</v>
      </c>
      <c r="CK271" s="83" t="s">
        <v>151</v>
      </c>
      <c r="CM271" s="83" t="s">
        <v>115</v>
      </c>
      <c r="CN271" s="83" t="s">
        <v>151</v>
      </c>
      <c r="CP271" s="83" t="s">
        <v>115</v>
      </c>
      <c r="CQ271" s="83" t="s">
        <v>151</v>
      </c>
      <c r="CS271" s="83" t="s">
        <v>115</v>
      </c>
      <c r="CT271" s="83" t="s">
        <v>151</v>
      </c>
      <c r="CV271" s="83" t="s">
        <v>115</v>
      </c>
      <c r="CW271" s="83" t="s">
        <v>151</v>
      </c>
      <c r="CY271" s="83" t="s">
        <v>115</v>
      </c>
      <c r="CZ271" s="83" t="s">
        <v>151</v>
      </c>
    </row>
    <row r="273" spans="1:104" x14ac:dyDescent="0.2">
      <c r="A273" s="83" t="s">
        <v>116</v>
      </c>
      <c r="B273" s="83" t="s">
        <v>151</v>
      </c>
      <c r="D273" s="83" t="s">
        <v>116</v>
      </c>
      <c r="E273" s="83" t="s">
        <v>151</v>
      </c>
      <c r="G273" s="83" t="s">
        <v>116</v>
      </c>
      <c r="H273" s="83" t="s">
        <v>151</v>
      </c>
      <c r="J273" s="83" t="s">
        <v>116</v>
      </c>
      <c r="K273" s="83" t="s">
        <v>151</v>
      </c>
      <c r="M273" s="83" t="s">
        <v>116</v>
      </c>
      <c r="N273" s="83" t="s">
        <v>151</v>
      </c>
      <c r="P273" s="83" t="s">
        <v>116</v>
      </c>
      <c r="Q273" s="83" t="s">
        <v>151</v>
      </c>
      <c r="S273" s="83" t="s">
        <v>116</v>
      </c>
      <c r="T273" s="83" t="s">
        <v>151</v>
      </c>
      <c r="V273" s="83" t="s">
        <v>116</v>
      </c>
      <c r="W273" s="83" t="s">
        <v>151</v>
      </c>
      <c r="Y273" s="83" t="s">
        <v>116</v>
      </c>
      <c r="Z273" s="83" t="s">
        <v>151</v>
      </c>
      <c r="AB273" s="83" t="s">
        <v>116</v>
      </c>
      <c r="AC273" s="83" t="s">
        <v>151</v>
      </c>
      <c r="AE273" s="83" t="s">
        <v>116</v>
      </c>
      <c r="AF273" s="83" t="s">
        <v>151</v>
      </c>
      <c r="AH273" s="83" t="s">
        <v>116</v>
      </c>
      <c r="AI273" s="83" t="s">
        <v>151</v>
      </c>
      <c r="AK273" s="83" t="s">
        <v>116</v>
      </c>
      <c r="AL273" s="83" t="s">
        <v>151</v>
      </c>
      <c r="AN273" s="83" t="s">
        <v>116</v>
      </c>
      <c r="AO273" s="83" t="s">
        <v>151</v>
      </c>
      <c r="AQ273" s="83" t="s">
        <v>116</v>
      </c>
      <c r="AR273" s="83" t="s">
        <v>151</v>
      </c>
      <c r="AT273" s="83" t="s">
        <v>116</v>
      </c>
      <c r="AU273" s="83" t="s">
        <v>151</v>
      </c>
      <c r="AW273" s="83" t="s">
        <v>116</v>
      </c>
      <c r="AX273" s="83" t="s">
        <v>151</v>
      </c>
      <c r="AZ273" s="83" t="s">
        <v>116</v>
      </c>
      <c r="BA273" s="83" t="s">
        <v>151</v>
      </c>
      <c r="BC273" s="83" t="s">
        <v>116</v>
      </c>
      <c r="BD273" s="83" t="s">
        <v>151</v>
      </c>
      <c r="BF273" s="83" t="s">
        <v>116</v>
      </c>
      <c r="BG273" s="83" t="s">
        <v>151</v>
      </c>
      <c r="BI273" s="83" t="s">
        <v>116</v>
      </c>
      <c r="BJ273" s="83" t="s">
        <v>151</v>
      </c>
      <c r="BL273" s="83" t="s">
        <v>116</v>
      </c>
      <c r="BM273" s="83" t="s">
        <v>151</v>
      </c>
      <c r="BO273" s="83" t="s">
        <v>116</v>
      </c>
      <c r="BP273" s="83" t="s">
        <v>151</v>
      </c>
      <c r="BR273" s="83" t="s">
        <v>116</v>
      </c>
      <c r="BS273" s="83" t="s">
        <v>151</v>
      </c>
      <c r="BU273" s="83" t="s">
        <v>116</v>
      </c>
      <c r="BV273" s="83" t="s">
        <v>151</v>
      </c>
      <c r="BX273" s="83" t="s">
        <v>116</v>
      </c>
      <c r="BY273" s="83" t="s">
        <v>151</v>
      </c>
      <c r="CA273" s="83" t="s">
        <v>116</v>
      </c>
      <c r="CB273" s="83" t="s">
        <v>151</v>
      </c>
      <c r="CD273" s="83" t="s">
        <v>116</v>
      </c>
      <c r="CE273" s="83" t="s">
        <v>151</v>
      </c>
      <c r="CG273" s="83" t="s">
        <v>116</v>
      </c>
      <c r="CH273" s="83" t="s">
        <v>151</v>
      </c>
      <c r="CJ273" s="83" t="s">
        <v>116</v>
      </c>
      <c r="CK273" s="83" t="s">
        <v>151</v>
      </c>
      <c r="CM273" s="83" t="s">
        <v>116</v>
      </c>
      <c r="CN273" s="83" t="s">
        <v>151</v>
      </c>
      <c r="CP273" s="83" t="s">
        <v>116</v>
      </c>
      <c r="CQ273" s="83" t="s">
        <v>151</v>
      </c>
      <c r="CS273" s="83" t="s">
        <v>116</v>
      </c>
      <c r="CT273" s="83" t="s">
        <v>151</v>
      </c>
      <c r="CV273" s="83" t="s">
        <v>116</v>
      </c>
      <c r="CW273" s="83" t="s">
        <v>151</v>
      </c>
      <c r="CY273" s="83" t="s">
        <v>116</v>
      </c>
      <c r="CZ273" s="83" t="s">
        <v>151</v>
      </c>
    </row>
    <row r="275" spans="1:104" x14ac:dyDescent="0.2">
      <c r="A275" s="83" t="s">
        <v>117</v>
      </c>
      <c r="B275" s="83" t="s">
        <v>132</v>
      </c>
      <c r="D275" s="83" t="s">
        <v>117</v>
      </c>
      <c r="E275" s="83" t="s">
        <v>132</v>
      </c>
      <c r="G275" s="83" t="s">
        <v>117</v>
      </c>
      <c r="H275" s="83" t="s">
        <v>132</v>
      </c>
      <c r="J275" s="83" t="s">
        <v>117</v>
      </c>
      <c r="K275" s="83" t="s">
        <v>132</v>
      </c>
      <c r="M275" s="83" t="s">
        <v>117</v>
      </c>
      <c r="N275" s="83" t="s">
        <v>132</v>
      </c>
      <c r="P275" s="83" t="s">
        <v>117</v>
      </c>
      <c r="Q275" s="83" t="s">
        <v>132</v>
      </c>
      <c r="S275" s="83" t="s">
        <v>117</v>
      </c>
      <c r="T275" s="83" t="s">
        <v>132</v>
      </c>
      <c r="V275" s="83" t="s">
        <v>117</v>
      </c>
      <c r="W275" s="83" t="s">
        <v>132</v>
      </c>
      <c r="Y275" s="83" t="s">
        <v>117</v>
      </c>
      <c r="Z275" s="83" t="s">
        <v>132</v>
      </c>
      <c r="AB275" s="83" t="s">
        <v>117</v>
      </c>
      <c r="AC275" s="83" t="s">
        <v>132</v>
      </c>
      <c r="AE275" s="83" t="s">
        <v>117</v>
      </c>
      <c r="AF275" s="83" t="s">
        <v>132</v>
      </c>
      <c r="AH275" s="83" t="s">
        <v>117</v>
      </c>
      <c r="AI275" s="83" t="s">
        <v>132</v>
      </c>
      <c r="AK275" s="83" t="s">
        <v>117</v>
      </c>
      <c r="AL275" s="83" t="s">
        <v>132</v>
      </c>
      <c r="AN275" s="83" t="s">
        <v>117</v>
      </c>
      <c r="AO275" s="83" t="s">
        <v>132</v>
      </c>
      <c r="AQ275" s="83" t="s">
        <v>117</v>
      </c>
      <c r="AR275" s="83" t="s">
        <v>132</v>
      </c>
      <c r="AT275" s="83" t="s">
        <v>117</v>
      </c>
      <c r="AU275" s="83" t="s">
        <v>132</v>
      </c>
      <c r="AW275" s="83" t="s">
        <v>117</v>
      </c>
      <c r="AX275" s="83" t="s">
        <v>132</v>
      </c>
      <c r="AZ275" s="83" t="s">
        <v>117</v>
      </c>
      <c r="BA275" s="83" t="s">
        <v>132</v>
      </c>
      <c r="BC275" s="83" t="s">
        <v>117</v>
      </c>
      <c r="BD275" s="83" t="s">
        <v>132</v>
      </c>
      <c r="BF275" s="83" t="s">
        <v>117</v>
      </c>
      <c r="BG275" s="83" t="s">
        <v>132</v>
      </c>
      <c r="BI275" s="83" t="s">
        <v>117</v>
      </c>
      <c r="BJ275" s="83" t="s">
        <v>132</v>
      </c>
      <c r="BL275" s="83" t="s">
        <v>117</v>
      </c>
      <c r="BM275" s="83" t="s">
        <v>132</v>
      </c>
      <c r="BO275" s="83" t="s">
        <v>117</v>
      </c>
      <c r="BP275" s="83" t="s">
        <v>132</v>
      </c>
      <c r="BR275" s="83" t="s">
        <v>117</v>
      </c>
      <c r="BS275" s="83" t="s">
        <v>132</v>
      </c>
      <c r="BU275" s="83" t="s">
        <v>117</v>
      </c>
      <c r="BV275" s="83" t="s">
        <v>132</v>
      </c>
      <c r="BX275" s="83" t="s">
        <v>117</v>
      </c>
      <c r="BY275" s="83" t="s">
        <v>132</v>
      </c>
      <c r="CA275" s="83" t="s">
        <v>117</v>
      </c>
      <c r="CB275" s="83" t="s">
        <v>132</v>
      </c>
      <c r="CD275" s="83" t="s">
        <v>117</v>
      </c>
      <c r="CE275" s="83" t="s">
        <v>132</v>
      </c>
      <c r="CG275" s="83" t="s">
        <v>117</v>
      </c>
      <c r="CH275" s="83" t="s">
        <v>132</v>
      </c>
      <c r="CJ275" s="83" t="s">
        <v>117</v>
      </c>
      <c r="CK275" s="83" t="s">
        <v>132</v>
      </c>
      <c r="CM275" s="83" t="s">
        <v>117</v>
      </c>
      <c r="CN275" s="83" t="s">
        <v>132</v>
      </c>
      <c r="CP275" s="83" t="s">
        <v>117</v>
      </c>
      <c r="CQ275" s="83" t="s">
        <v>132</v>
      </c>
      <c r="CS275" s="83" t="s">
        <v>117</v>
      </c>
      <c r="CT275" s="83" t="s">
        <v>132</v>
      </c>
      <c r="CV275" s="83" t="s">
        <v>117</v>
      </c>
      <c r="CW275" s="83" t="s">
        <v>132</v>
      </c>
      <c r="CY275" s="83" t="s">
        <v>117</v>
      </c>
      <c r="CZ275" s="83" t="s">
        <v>132</v>
      </c>
    </row>
    <row r="277" spans="1:104" x14ac:dyDescent="0.2">
      <c r="A277" s="83" t="s">
        <v>118</v>
      </c>
      <c r="B277" s="83" t="s">
        <v>151</v>
      </c>
      <c r="D277" s="83" t="s">
        <v>118</v>
      </c>
      <c r="E277" s="83" t="s">
        <v>151</v>
      </c>
      <c r="G277" s="83" t="s">
        <v>118</v>
      </c>
      <c r="H277" s="83" t="s">
        <v>151</v>
      </c>
      <c r="J277" s="83" t="s">
        <v>118</v>
      </c>
      <c r="K277" s="83" t="s">
        <v>151</v>
      </c>
      <c r="M277" s="83" t="s">
        <v>118</v>
      </c>
      <c r="N277" s="83" t="s">
        <v>151</v>
      </c>
      <c r="P277" s="83" t="s">
        <v>118</v>
      </c>
      <c r="Q277" s="83" t="s">
        <v>151</v>
      </c>
      <c r="S277" s="83" t="s">
        <v>118</v>
      </c>
      <c r="T277" s="83" t="s">
        <v>151</v>
      </c>
      <c r="V277" s="83" t="s">
        <v>118</v>
      </c>
      <c r="W277" s="83" t="s">
        <v>151</v>
      </c>
      <c r="Y277" s="83" t="s">
        <v>118</v>
      </c>
      <c r="Z277" s="83" t="s">
        <v>151</v>
      </c>
      <c r="AB277" s="83" t="s">
        <v>118</v>
      </c>
      <c r="AC277" s="83" t="s">
        <v>151</v>
      </c>
      <c r="AE277" s="83" t="s">
        <v>118</v>
      </c>
      <c r="AF277" s="83" t="s">
        <v>151</v>
      </c>
      <c r="AH277" s="83" t="s">
        <v>118</v>
      </c>
      <c r="AI277" s="83" t="s">
        <v>151</v>
      </c>
      <c r="AK277" s="83" t="s">
        <v>118</v>
      </c>
      <c r="AL277" s="83" t="s">
        <v>151</v>
      </c>
      <c r="AN277" s="83" t="s">
        <v>118</v>
      </c>
      <c r="AO277" s="83" t="s">
        <v>151</v>
      </c>
      <c r="AQ277" s="83" t="s">
        <v>118</v>
      </c>
      <c r="AR277" s="83" t="s">
        <v>151</v>
      </c>
      <c r="AT277" s="83" t="s">
        <v>118</v>
      </c>
      <c r="AU277" s="83" t="s">
        <v>151</v>
      </c>
      <c r="AW277" s="83" t="s">
        <v>118</v>
      </c>
      <c r="AX277" s="83" t="s">
        <v>151</v>
      </c>
      <c r="AZ277" s="83" t="s">
        <v>118</v>
      </c>
      <c r="BA277" s="83" t="s">
        <v>151</v>
      </c>
      <c r="BC277" s="83" t="s">
        <v>118</v>
      </c>
      <c r="BD277" s="83" t="s">
        <v>151</v>
      </c>
      <c r="BF277" s="83" t="s">
        <v>118</v>
      </c>
      <c r="BG277" s="83" t="s">
        <v>151</v>
      </c>
      <c r="BI277" s="83" t="s">
        <v>118</v>
      </c>
      <c r="BJ277" s="83" t="s">
        <v>151</v>
      </c>
      <c r="BL277" s="83" t="s">
        <v>118</v>
      </c>
      <c r="BM277" s="83" t="s">
        <v>151</v>
      </c>
      <c r="BO277" s="83" t="s">
        <v>118</v>
      </c>
      <c r="BP277" s="83" t="s">
        <v>151</v>
      </c>
      <c r="BR277" s="83" t="s">
        <v>118</v>
      </c>
      <c r="BS277" s="83" t="s">
        <v>151</v>
      </c>
      <c r="BU277" s="83" t="s">
        <v>118</v>
      </c>
      <c r="BV277" s="83" t="s">
        <v>151</v>
      </c>
      <c r="BX277" s="83" t="s">
        <v>118</v>
      </c>
      <c r="BY277" s="83" t="s">
        <v>151</v>
      </c>
      <c r="CA277" s="83" t="s">
        <v>118</v>
      </c>
      <c r="CB277" s="83" t="s">
        <v>151</v>
      </c>
      <c r="CD277" s="83" t="s">
        <v>118</v>
      </c>
      <c r="CE277" s="83" t="s">
        <v>151</v>
      </c>
      <c r="CG277" s="83" t="s">
        <v>118</v>
      </c>
      <c r="CH277" s="83" t="s">
        <v>151</v>
      </c>
      <c r="CJ277" s="83" t="s">
        <v>118</v>
      </c>
      <c r="CK277" s="83" t="s">
        <v>151</v>
      </c>
      <c r="CM277" s="83" t="s">
        <v>118</v>
      </c>
      <c r="CN277" s="83" t="s">
        <v>151</v>
      </c>
      <c r="CP277" s="83" t="s">
        <v>118</v>
      </c>
      <c r="CQ277" s="83" t="s">
        <v>151</v>
      </c>
      <c r="CS277" s="83" t="s">
        <v>118</v>
      </c>
      <c r="CT277" s="83" t="s">
        <v>151</v>
      </c>
      <c r="CV277" s="83" t="s">
        <v>118</v>
      </c>
      <c r="CW277" s="83" t="s">
        <v>151</v>
      </c>
      <c r="CY277" s="83" t="s">
        <v>118</v>
      </c>
      <c r="CZ277" s="83" t="s">
        <v>151</v>
      </c>
    </row>
    <row r="279" spans="1:104" x14ac:dyDescent="0.2">
      <c r="A279" s="83" t="s">
        <v>119</v>
      </c>
      <c r="B279" s="83" t="s">
        <v>132</v>
      </c>
      <c r="D279" s="83" t="s">
        <v>119</v>
      </c>
      <c r="E279" s="83" t="s">
        <v>132</v>
      </c>
      <c r="G279" s="83" t="s">
        <v>119</v>
      </c>
      <c r="H279" s="83" t="s">
        <v>132</v>
      </c>
      <c r="J279" s="83" t="s">
        <v>119</v>
      </c>
      <c r="K279" s="83" t="s">
        <v>132</v>
      </c>
      <c r="M279" s="83" t="s">
        <v>119</v>
      </c>
      <c r="N279" s="83" t="s">
        <v>132</v>
      </c>
      <c r="P279" s="83" t="s">
        <v>119</v>
      </c>
      <c r="Q279" s="83" t="s">
        <v>132</v>
      </c>
      <c r="S279" s="83" t="s">
        <v>119</v>
      </c>
      <c r="T279" s="83" t="s">
        <v>132</v>
      </c>
      <c r="V279" s="83" t="s">
        <v>119</v>
      </c>
      <c r="W279" s="83" t="s">
        <v>132</v>
      </c>
      <c r="Y279" s="83" t="s">
        <v>119</v>
      </c>
      <c r="Z279" s="83" t="s">
        <v>132</v>
      </c>
      <c r="AB279" s="83" t="s">
        <v>119</v>
      </c>
      <c r="AC279" s="83" t="s">
        <v>132</v>
      </c>
      <c r="AE279" s="83" t="s">
        <v>119</v>
      </c>
      <c r="AF279" s="83" t="s">
        <v>132</v>
      </c>
      <c r="AH279" s="83" t="s">
        <v>119</v>
      </c>
      <c r="AI279" s="83" t="s">
        <v>132</v>
      </c>
      <c r="AK279" s="83" t="s">
        <v>119</v>
      </c>
      <c r="AL279" s="83" t="s">
        <v>132</v>
      </c>
      <c r="AN279" s="83" t="s">
        <v>119</v>
      </c>
      <c r="AO279" s="83" t="s">
        <v>132</v>
      </c>
      <c r="AQ279" s="83" t="s">
        <v>119</v>
      </c>
      <c r="AR279" s="83" t="s">
        <v>132</v>
      </c>
      <c r="AT279" s="83" t="s">
        <v>119</v>
      </c>
      <c r="AU279" s="83" t="s">
        <v>132</v>
      </c>
      <c r="AW279" s="83" t="s">
        <v>119</v>
      </c>
      <c r="AX279" s="83" t="s">
        <v>132</v>
      </c>
      <c r="AZ279" s="83" t="s">
        <v>119</v>
      </c>
      <c r="BA279" s="83" t="s">
        <v>132</v>
      </c>
      <c r="BC279" s="83" t="s">
        <v>119</v>
      </c>
      <c r="BD279" s="83" t="s">
        <v>132</v>
      </c>
      <c r="BF279" s="83" t="s">
        <v>119</v>
      </c>
      <c r="BG279" s="83" t="s">
        <v>132</v>
      </c>
      <c r="BI279" s="83" t="s">
        <v>119</v>
      </c>
      <c r="BJ279" s="83" t="s">
        <v>132</v>
      </c>
      <c r="BL279" s="83" t="s">
        <v>119</v>
      </c>
      <c r="BM279" s="83" t="s">
        <v>132</v>
      </c>
      <c r="BO279" s="83" t="s">
        <v>119</v>
      </c>
      <c r="BP279" s="83" t="s">
        <v>132</v>
      </c>
      <c r="BR279" s="83" t="s">
        <v>119</v>
      </c>
      <c r="BS279" s="83" t="s">
        <v>132</v>
      </c>
      <c r="BU279" s="83" t="s">
        <v>119</v>
      </c>
      <c r="BV279" s="83" t="s">
        <v>132</v>
      </c>
      <c r="BX279" s="83" t="s">
        <v>119</v>
      </c>
      <c r="BY279" s="83" t="s">
        <v>132</v>
      </c>
      <c r="CA279" s="83" t="s">
        <v>119</v>
      </c>
      <c r="CB279" s="83" t="s">
        <v>132</v>
      </c>
      <c r="CD279" s="83" t="s">
        <v>119</v>
      </c>
      <c r="CE279" s="83" t="s">
        <v>132</v>
      </c>
      <c r="CG279" s="83" t="s">
        <v>119</v>
      </c>
      <c r="CH279" s="83" t="s">
        <v>132</v>
      </c>
      <c r="CJ279" s="83" t="s">
        <v>119</v>
      </c>
      <c r="CK279" s="83" t="s">
        <v>132</v>
      </c>
      <c r="CM279" s="83" t="s">
        <v>119</v>
      </c>
      <c r="CN279" s="83" t="s">
        <v>132</v>
      </c>
      <c r="CP279" s="83" t="s">
        <v>119</v>
      </c>
      <c r="CQ279" s="83" t="s">
        <v>132</v>
      </c>
      <c r="CS279" s="83" t="s">
        <v>119</v>
      </c>
      <c r="CT279" s="83" t="s">
        <v>132</v>
      </c>
      <c r="CV279" s="83" t="s">
        <v>119</v>
      </c>
      <c r="CW279" s="83" t="s">
        <v>132</v>
      </c>
      <c r="CY279" s="83" t="s">
        <v>119</v>
      </c>
      <c r="CZ279" s="83" t="s">
        <v>132</v>
      </c>
    </row>
    <row r="281" spans="1:104" x14ac:dyDescent="0.2">
      <c r="A281" s="83" t="s">
        <v>120</v>
      </c>
      <c r="B281" s="83" t="s">
        <v>151</v>
      </c>
      <c r="D281" s="83" t="s">
        <v>120</v>
      </c>
      <c r="E281" s="83" t="s">
        <v>151</v>
      </c>
      <c r="G281" s="83" t="s">
        <v>120</v>
      </c>
      <c r="H281" s="83" t="s">
        <v>151</v>
      </c>
      <c r="J281" s="83" t="s">
        <v>120</v>
      </c>
      <c r="K281" s="83" t="s">
        <v>151</v>
      </c>
      <c r="M281" s="83" t="s">
        <v>120</v>
      </c>
      <c r="N281" s="83" t="s">
        <v>151</v>
      </c>
      <c r="P281" s="83" t="s">
        <v>120</v>
      </c>
      <c r="Q281" s="83" t="s">
        <v>151</v>
      </c>
      <c r="S281" s="83" t="s">
        <v>120</v>
      </c>
      <c r="T281" s="83" t="s">
        <v>151</v>
      </c>
      <c r="V281" s="83" t="s">
        <v>120</v>
      </c>
      <c r="W281" s="83" t="s">
        <v>151</v>
      </c>
      <c r="Y281" s="83" t="s">
        <v>120</v>
      </c>
      <c r="Z281" s="83" t="s">
        <v>151</v>
      </c>
      <c r="AB281" s="83" t="s">
        <v>120</v>
      </c>
      <c r="AC281" s="83" t="s">
        <v>151</v>
      </c>
      <c r="AE281" s="83" t="s">
        <v>120</v>
      </c>
      <c r="AF281" s="83" t="s">
        <v>151</v>
      </c>
      <c r="AH281" s="83" t="s">
        <v>120</v>
      </c>
      <c r="AI281" s="83" t="s">
        <v>151</v>
      </c>
      <c r="AK281" s="83" t="s">
        <v>120</v>
      </c>
      <c r="AL281" s="83" t="s">
        <v>151</v>
      </c>
      <c r="AN281" s="83" t="s">
        <v>120</v>
      </c>
      <c r="AO281" s="83" t="s">
        <v>151</v>
      </c>
      <c r="AQ281" s="83" t="s">
        <v>120</v>
      </c>
      <c r="AR281" s="83" t="s">
        <v>151</v>
      </c>
      <c r="AT281" s="83" t="s">
        <v>120</v>
      </c>
      <c r="AU281" s="83" t="s">
        <v>151</v>
      </c>
      <c r="AW281" s="83" t="s">
        <v>120</v>
      </c>
      <c r="AX281" s="83" t="s">
        <v>151</v>
      </c>
      <c r="AZ281" s="83" t="s">
        <v>120</v>
      </c>
      <c r="BA281" s="83" t="s">
        <v>151</v>
      </c>
      <c r="BC281" s="83" t="s">
        <v>120</v>
      </c>
      <c r="BD281" s="83" t="s">
        <v>151</v>
      </c>
      <c r="BF281" s="83" t="s">
        <v>120</v>
      </c>
      <c r="BG281" s="83" t="s">
        <v>151</v>
      </c>
      <c r="BI281" s="83" t="s">
        <v>120</v>
      </c>
      <c r="BJ281" s="83" t="s">
        <v>151</v>
      </c>
      <c r="BL281" s="83" t="s">
        <v>120</v>
      </c>
      <c r="BM281" s="83" t="s">
        <v>151</v>
      </c>
      <c r="BO281" s="83" t="s">
        <v>120</v>
      </c>
      <c r="BP281" s="83" t="s">
        <v>151</v>
      </c>
      <c r="BR281" s="83" t="s">
        <v>120</v>
      </c>
      <c r="BS281" s="83" t="s">
        <v>151</v>
      </c>
      <c r="BU281" s="83" t="s">
        <v>120</v>
      </c>
      <c r="BV281" s="83" t="s">
        <v>151</v>
      </c>
      <c r="BX281" s="83" t="s">
        <v>120</v>
      </c>
      <c r="BY281" s="83" t="s">
        <v>151</v>
      </c>
      <c r="CA281" s="83" t="s">
        <v>120</v>
      </c>
      <c r="CB281" s="83" t="s">
        <v>151</v>
      </c>
      <c r="CD281" s="83" t="s">
        <v>120</v>
      </c>
      <c r="CE281" s="83" t="s">
        <v>151</v>
      </c>
      <c r="CG281" s="83" t="s">
        <v>120</v>
      </c>
      <c r="CH281" s="83" t="s">
        <v>151</v>
      </c>
      <c r="CJ281" s="83" t="s">
        <v>120</v>
      </c>
      <c r="CK281" s="83" t="s">
        <v>151</v>
      </c>
      <c r="CM281" s="83" t="s">
        <v>120</v>
      </c>
      <c r="CN281" s="83" t="s">
        <v>151</v>
      </c>
      <c r="CP281" s="83" t="s">
        <v>120</v>
      </c>
      <c r="CQ281" s="83" t="s">
        <v>151</v>
      </c>
      <c r="CS281" s="83" t="s">
        <v>120</v>
      </c>
      <c r="CT281" s="83" t="s">
        <v>151</v>
      </c>
      <c r="CV281" s="83" t="s">
        <v>120</v>
      </c>
      <c r="CW281" s="83" t="s">
        <v>151</v>
      </c>
      <c r="CY281" s="83" t="s">
        <v>120</v>
      </c>
      <c r="CZ281" s="83" t="s">
        <v>151</v>
      </c>
    </row>
    <row r="283" spans="1:104" x14ac:dyDescent="0.2">
      <c r="A283" s="83" t="s">
        <v>121</v>
      </c>
      <c r="B283" s="83">
        <v>1</v>
      </c>
      <c r="D283" s="83" t="s">
        <v>121</v>
      </c>
      <c r="E283" s="83">
        <v>1</v>
      </c>
      <c r="G283" s="83" t="s">
        <v>121</v>
      </c>
      <c r="H283" s="83">
        <v>1</v>
      </c>
      <c r="J283" s="83" t="s">
        <v>121</v>
      </c>
      <c r="K283" s="83">
        <v>1</v>
      </c>
      <c r="M283" s="83" t="s">
        <v>121</v>
      </c>
      <c r="N283" s="83">
        <v>1</v>
      </c>
      <c r="P283" s="83" t="s">
        <v>121</v>
      </c>
      <c r="Q283" s="83">
        <v>1</v>
      </c>
      <c r="S283" s="83" t="s">
        <v>121</v>
      </c>
      <c r="T283" s="83">
        <v>1</v>
      </c>
      <c r="V283" s="83" t="s">
        <v>121</v>
      </c>
      <c r="W283" s="83">
        <v>1</v>
      </c>
      <c r="Y283" s="83" t="s">
        <v>121</v>
      </c>
      <c r="Z283" s="83">
        <v>1</v>
      </c>
      <c r="AB283" s="83" t="s">
        <v>121</v>
      </c>
      <c r="AC283" s="83">
        <v>1</v>
      </c>
      <c r="AE283" s="83" t="s">
        <v>121</v>
      </c>
      <c r="AF283" s="83">
        <v>1</v>
      </c>
      <c r="AH283" s="83" t="s">
        <v>121</v>
      </c>
      <c r="AI283" s="83">
        <v>1</v>
      </c>
      <c r="AK283" s="83" t="s">
        <v>121</v>
      </c>
      <c r="AL283" s="83">
        <v>1</v>
      </c>
      <c r="AN283" s="83" t="s">
        <v>121</v>
      </c>
      <c r="AO283" s="83">
        <v>1</v>
      </c>
      <c r="AQ283" s="83" t="s">
        <v>121</v>
      </c>
      <c r="AR283" s="83">
        <v>1</v>
      </c>
      <c r="AT283" s="83" t="s">
        <v>121</v>
      </c>
      <c r="AU283" s="83">
        <v>1</v>
      </c>
      <c r="AW283" s="83" t="s">
        <v>121</v>
      </c>
      <c r="AX283" s="83">
        <v>1</v>
      </c>
      <c r="AZ283" s="83" t="s">
        <v>121</v>
      </c>
      <c r="BA283" s="83">
        <v>1</v>
      </c>
      <c r="BC283" s="83" t="s">
        <v>121</v>
      </c>
      <c r="BD283" s="83">
        <v>1</v>
      </c>
      <c r="BF283" s="83" t="s">
        <v>121</v>
      </c>
      <c r="BG283" s="83">
        <v>1</v>
      </c>
      <c r="BI283" s="83" t="s">
        <v>121</v>
      </c>
      <c r="BJ283" s="83">
        <v>1</v>
      </c>
      <c r="BL283" s="83" t="s">
        <v>121</v>
      </c>
      <c r="BM283" s="83">
        <v>1</v>
      </c>
      <c r="BO283" s="83" t="s">
        <v>121</v>
      </c>
      <c r="BP283" s="83">
        <v>1</v>
      </c>
      <c r="BR283" s="83" t="s">
        <v>121</v>
      </c>
      <c r="BS283" s="83">
        <v>1</v>
      </c>
      <c r="BU283" s="83" t="s">
        <v>121</v>
      </c>
      <c r="BV283" s="83">
        <v>1</v>
      </c>
      <c r="BX283" s="83" t="s">
        <v>121</v>
      </c>
      <c r="BY283" s="83">
        <v>1</v>
      </c>
      <c r="CA283" s="83" t="s">
        <v>121</v>
      </c>
      <c r="CB283" s="83">
        <v>1</v>
      </c>
      <c r="CD283" s="83" t="s">
        <v>121</v>
      </c>
      <c r="CE283" s="83">
        <v>1</v>
      </c>
      <c r="CG283" s="83" t="s">
        <v>121</v>
      </c>
      <c r="CH283" s="83">
        <v>1</v>
      </c>
      <c r="CJ283" s="83" t="s">
        <v>121</v>
      </c>
      <c r="CK283" s="83">
        <v>1</v>
      </c>
      <c r="CM283" s="83" t="s">
        <v>121</v>
      </c>
      <c r="CN283" s="83">
        <v>1</v>
      </c>
      <c r="CP283" s="83" t="s">
        <v>121</v>
      </c>
      <c r="CQ283" s="83">
        <v>1</v>
      </c>
      <c r="CS283" s="83" t="s">
        <v>121</v>
      </c>
      <c r="CT283" s="83">
        <v>1</v>
      </c>
      <c r="CV283" s="83" t="s">
        <v>121</v>
      </c>
      <c r="CW283" s="83">
        <v>1</v>
      </c>
      <c r="CY283" s="83" t="s">
        <v>121</v>
      </c>
      <c r="CZ283" s="83">
        <v>1</v>
      </c>
    </row>
    <row r="285" spans="1:104" x14ac:dyDescent="0.2">
      <c r="A285" s="83" t="s">
        <v>122</v>
      </c>
      <c r="B285" s="83">
        <v>1</v>
      </c>
      <c r="D285" s="83" t="s">
        <v>122</v>
      </c>
      <c r="E285" s="83">
        <v>1</v>
      </c>
      <c r="G285" s="83" t="s">
        <v>122</v>
      </c>
      <c r="H285" s="83">
        <v>1</v>
      </c>
      <c r="J285" s="83" t="s">
        <v>122</v>
      </c>
      <c r="K285" s="83">
        <v>1</v>
      </c>
      <c r="M285" s="83" t="s">
        <v>122</v>
      </c>
      <c r="N285" s="83">
        <v>1</v>
      </c>
      <c r="P285" s="83" t="s">
        <v>122</v>
      </c>
      <c r="Q285" s="83">
        <v>1</v>
      </c>
      <c r="S285" s="83" t="s">
        <v>122</v>
      </c>
      <c r="T285" s="83">
        <v>1</v>
      </c>
      <c r="V285" s="83" t="s">
        <v>122</v>
      </c>
      <c r="W285" s="83">
        <v>1</v>
      </c>
      <c r="Y285" s="83" t="s">
        <v>122</v>
      </c>
      <c r="Z285" s="83">
        <v>1</v>
      </c>
      <c r="AB285" s="83" t="s">
        <v>122</v>
      </c>
      <c r="AC285" s="83">
        <v>1</v>
      </c>
      <c r="AE285" s="83" t="s">
        <v>122</v>
      </c>
      <c r="AF285" s="83">
        <v>1</v>
      </c>
      <c r="AH285" s="83" t="s">
        <v>122</v>
      </c>
      <c r="AI285" s="83">
        <v>1</v>
      </c>
      <c r="AK285" s="83" t="s">
        <v>122</v>
      </c>
      <c r="AL285" s="83">
        <v>1</v>
      </c>
      <c r="AN285" s="83" t="s">
        <v>122</v>
      </c>
      <c r="AO285" s="83">
        <v>1</v>
      </c>
      <c r="AQ285" s="83" t="s">
        <v>122</v>
      </c>
      <c r="AR285" s="83">
        <v>1</v>
      </c>
      <c r="AT285" s="83" t="s">
        <v>122</v>
      </c>
      <c r="AU285" s="83">
        <v>1</v>
      </c>
      <c r="AW285" s="83" t="s">
        <v>122</v>
      </c>
      <c r="AX285" s="83">
        <v>1</v>
      </c>
      <c r="AZ285" s="83" t="s">
        <v>122</v>
      </c>
      <c r="BA285" s="83">
        <v>1</v>
      </c>
      <c r="BC285" s="83" t="s">
        <v>122</v>
      </c>
      <c r="BD285" s="83">
        <v>1</v>
      </c>
      <c r="BF285" s="83" t="s">
        <v>122</v>
      </c>
      <c r="BG285" s="83">
        <v>1</v>
      </c>
      <c r="BI285" s="83" t="s">
        <v>122</v>
      </c>
      <c r="BJ285" s="83">
        <v>1</v>
      </c>
      <c r="BL285" s="83" t="s">
        <v>122</v>
      </c>
      <c r="BM285" s="83">
        <v>1</v>
      </c>
      <c r="BO285" s="83" t="s">
        <v>122</v>
      </c>
      <c r="BP285" s="83">
        <v>1</v>
      </c>
      <c r="BR285" s="83" t="s">
        <v>122</v>
      </c>
      <c r="BS285" s="83">
        <v>1</v>
      </c>
      <c r="BU285" s="83" t="s">
        <v>122</v>
      </c>
      <c r="BV285" s="83">
        <v>1</v>
      </c>
      <c r="BX285" s="83" t="s">
        <v>122</v>
      </c>
      <c r="BY285" s="83">
        <v>1</v>
      </c>
      <c r="CA285" s="83" t="s">
        <v>122</v>
      </c>
      <c r="CB285" s="83">
        <v>1</v>
      </c>
      <c r="CD285" s="83" t="s">
        <v>122</v>
      </c>
      <c r="CE285" s="83">
        <v>1</v>
      </c>
      <c r="CG285" s="83" t="s">
        <v>122</v>
      </c>
      <c r="CH285" s="83">
        <v>1</v>
      </c>
      <c r="CJ285" s="83" t="s">
        <v>122</v>
      </c>
      <c r="CK285" s="83">
        <v>1</v>
      </c>
      <c r="CM285" s="83" t="s">
        <v>122</v>
      </c>
      <c r="CN285" s="83">
        <v>1</v>
      </c>
      <c r="CP285" s="83" t="s">
        <v>122</v>
      </c>
      <c r="CQ285" s="83">
        <v>1</v>
      </c>
      <c r="CS285" s="83" t="s">
        <v>122</v>
      </c>
      <c r="CT285" s="83">
        <v>1</v>
      </c>
      <c r="CV285" s="83" t="s">
        <v>122</v>
      </c>
      <c r="CW285" s="83">
        <v>1</v>
      </c>
      <c r="CY285" s="83" t="s">
        <v>122</v>
      </c>
      <c r="CZ285" s="83">
        <v>1</v>
      </c>
    </row>
    <row r="287" spans="1:104" x14ac:dyDescent="0.2">
      <c r="A287" s="83" t="s">
        <v>123</v>
      </c>
      <c r="B287" s="83">
        <v>1</v>
      </c>
      <c r="D287" s="83" t="s">
        <v>123</v>
      </c>
      <c r="E287" s="83">
        <v>1</v>
      </c>
      <c r="G287" s="83" t="s">
        <v>123</v>
      </c>
      <c r="H287" s="83">
        <v>1</v>
      </c>
      <c r="J287" s="83" t="s">
        <v>123</v>
      </c>
      <c r="K287" s="83">
        <v>1</v>
      </c>
      <c r="M287" s="83" t="s">
        <v>123</v>
      </c>
      <c r="N287" s="83">
        <v>1</v>
      </c>
      <c r="P287" s="83" t="s">
        <v>123</v>
      </c>
      <c r="Q287" s="83">
        <v>1</v>
      </c>
      <c r="S287" s="83" t="s">
        <v>123</v>
      </c>
      <c r="T287" s="83">
        <v>1</v>
      </c>
      <c r="V287" s="83" t="s">
        <v>123</v>
      </c>
      <c r="W287" s="83">
        <v>1</v>
      </c>
      <c r="Y287" s="83" t="s">
        <v>123</v>
      </c>
      <c r="Z287" s="83">
        <v>1</v>
      </c>
      <c r="AB287" s="83" t="s">
        <v>123</v>
      </c>
      <c r="AC287" s="83">
        <v>1</v>
      </c>
      <c r="AE287" s="83" t="s">
        <v>123</v>
      </c>
      <c r="AF287" s="83">
        <v>1</v>
      </c>
      <c r="AH287" s="83" t="s">
        <v>123</v>
      </c>
      <c r="AI287" s="83">
        <v>1</v>
      </c>
      <c r="AK287" s="83" t="s">
        <v>123</v>
      </c>
      <c r="AL287" s="83">
        <v>1</v>
      </c>
      <c r="AN287" s="83" t="s">
        <v>123</v>
      </c>
      <c r="AO287" s="83">
        <v>1</v>
      </c>
      <c r="AQ287" s="83" t="s">
        <v>123</v>
      </c>
      <c r="AR287" s="83">
        <v>1</v>
      </c>
      <c r="AT287" s="83" t="s">
        <v>123</v>
      </c>
      <c r="AU287" s="83">
        <v>1</v>
      </c>
      <c r="AW287" s="83" t="s">
        <v>123</v>
      </c>
      <c r="AX287" s="83">
        <v>1</v>
      </c>
      <c r="AZ287" s="83" t="s">
        <v>123</v>
      </c>
      <c r="BA287" s="83">
        <v>1</v>
      </c>
      <c r="BC287" s="83" t="s">
        <v>123</v>
      </c>
      <c r="BD287" s="83">
        <v>1</v>
      </c>
      <c r="BF287" s="83" t="s">
        <v>123</v>
      </c>
      <c r="BG287" s="83">
        <v>1</v>
      </c>
      <c r="BI287" s="83" t="s">
        <v>123</v>
      </c>
      <c r="BJ287" s="83">
        <v>1</v>
      </c>
      <c r="BL287" s="83" t="s">
        <v>123</v>
      </c>
      <c r="BM287" s="83">
        <v>1</v>
      </c>
      <c r="BO287" s="83" t="s">
        <v>123</v>
      </c>
      <c r="BP287" s="83">
        <v>1</v>
      </c>
      <c r="BR287" s="83" t="s">
        <v>123</v>
      </c>
      <c r="BS287" s="83">
        <v>1</v>
      </c>
      <c r="BU287" s="83" t="s">
        <v>123</v>
      </c>
      <c r="BV287" s="83">
        <v>1</v>
      </c>
      <c r="BX287" s="83" t="s">
        <v>123</v>
      </c>
      <c r="BY287" s="83">
        <v>1</v>
      </c>
      <c r="CA287" s="83" t="s">
        <v>123</v>
      </c>
      <c r="CB287" s="83">
        <v>1</v>
      </c>
      <c r="CD287" s="83" t="s">
        <v>123</v>
      </c>
      <c r="CE287" s="83">
        <v>1</v>
      </c>
      <c r="CG287" s="83" t="s">
        <v>123</v>
      </c>
      <c r="CH287" s="83">
        <v>1</v>
      </c>
      <c r="CJ287" s="83" t="s">
        <v>123</v>
      </c>
      <c r="CK287" s="83">
        <v>1</v>
      </c>
      <c r="CM287" s="83" t="s">
        <v>123</v>
      </c>
      <c r="CN287" s="83">
        <v>1</v>
      </c>
      <c r="CP287" s="83" t="s">
        <v>123</v>
      </c>
      <c r="CQ287" s="83">
        <v>1</v>
      </c>
      <c r="CS287" s="83" t="s">
        <v>123</v>
      </c>
      <c r="CT287" s="83">
        <v>1</v>
      </c>
      <c r="CV287" s="83" t="s">
        <v>123</v>
      </c>
      <c r="CW287" s="83">
        <v>1</v>
      </c>
      <c r="CY287" s="83" t="s">
        <v>123</v>
      </c>
      <c r="CZ287" s="83">
        <v>1</v>
      </c>
    </row>
    <row r="289" spans="1:104" x14ac:dyDescent="0.2">
      <c r="A289" s="83" t="s">
        <v>124</v>
      </c>
      <c r="B289" s="83" t="s">
        <v>151</v>
      </c>
      <c r="D289" s="83" t="s">
        <v>124</v>
      </c>
      <c r="E289" s="83" t="s">
        <v>151</v>
      </c>
      <c r="G289" s="83" t="s">
        <v>124</v>
      </c>
      <c r="H289" s="83" t="s">
        <v>151</v>
      </c>
      <c r="J289" s="83" t="s">
        <v>124</v>
      </c>
      <c r="K289" s="83" t="s">
        <v>151</v>
      </c>
      <c r="M289" s="83" t="s">
        <v>124</v>
      </c>
      <c r="N289" s="83" t="s">
        <v>151</v>
      </c>
      <c r="P289" s="83" t="s">
        <v>124</v>
      </c>
      <c r="Q289" s="83" t="s">
        <v>151</v>
      </c>
      <c r="S289" s="83" t="s">
        <v>124</v>
      </c>
      <c r="T289" s="83" t="s">
        <v>151</v>
      </c>
      <c r="V289" s="83" t="s">
        <v>124</v>
      </c>
      <c r="W289" s="83" t="s">
        <v>151</v>
      </c>
      <c r="Y289" s="83" t="s">
        <v>124</v>
      </c>
      <c r="Z289" s="83" t="s">
        <v>151</v>
      </c>
      <c r="AB289" s="83" t="s">
        <v>124</v>
      </c>
      <c r="AC289" s="83" t="s">
        <v>151</v>
      </c>
      <c r="AE289" s="83" t="s">
        <v>124</v>
      </c>
      <c r="AF289" s="83" t="s">
        <v>151</v>
      </c>
      <c r="AH289" s="83" t="s">
        <v>124</v>
      </c>
      <c r="AI289" s="83" t="s">
        <v>151</v>
      </c>
      <c r="AK289" s="83" t="s">
        <v>124</v>
      </c>
      <c r="AL289" s="83" t="s">
        <v>151</v>
      </c>
      <c r="AN289" s="83" t="s">
        <v>124</v>
      </c>
      <c r="AO289" s="83" t="s">
        <v>151</v>
      </c>
      <c r="AQ289" s="83" t="s">
        <v>124</v>
      </c>
      <c r="AR289" s="83" t="s">
        <v>151</v>
      </c>
      <c r="AT289" s="83" t="s">
        <v>124</v>
      </c>
      <c r="AU289" s="83" t="s">
        <v>151</v>
      </c>
      <c r="AW289" s="83" t="s">
        <v>124</v>
      </c>
      <c r="AX289" s="83" t="s">
        <v>151</v>
      </c>
      <c r="AZ289" s="83" t="s">
        <v>124</v>
      </c>
      <c r="BA289" s="83" t="s">
        <v>151</v>
      </c>
      <c r="BC289" s="83" t="s">
        <v>124</v>
      </c>
      <c r="BD289" s="83" t="s">
        <v>151</v>
      </c>
      <c r="BF289" s="83" t="s">
        <v>124</v>
      </c>
      <c r="BG289" s="83" t="s">
        <v>151</v>
      </c>
      <c r="BI289" s="83" t="s">
        <v>124</v>
      </c>
      <c r="BJ289" s="83" t="s">
        <v>151</v>
      </c>
      <c r="BL289" s="83" t="s">
        <v>124</v>
      </c>
      <c r="BM289" s="83" t="s">
        <v>151</v>
      </c>
      <c r="BO289" s="83" t="s">
        <v>124</v>
      </c>
      <c r="BP289" s="83" t="s">
        <v>151</v>
      </c>
      <c r="BR289" s="83" t="s">
        <v>124</v>
      </c>
      <c r="BS289" s="83" t="s">
        <v>151</v>
      </c>
      <c r="BU289" s="83" t="s">
        <v>124</v>
      </c>
      <c r="BV289" s="83" t="s">
        <v>151</v>
      </c>
      <c r="BX289" s="83" t="s">
        <v>124</v>
      </c>
      <c r="BY289" s="83" t="s">
        <v>151</v>
      </c>
      <c r="CA289" s="83" t="s">
        <v>124</v>
      </c>
      <c r="CB289" s="83" t="s">
        <v>151</v>
      </c>
      <c r="CD289" s="83" t="s">
        <v>124</v>
      </c>
      <c r="CE289" s="83" t="s">
        <v>151</v>
      </c>
      <c r="CG289" s="83" t="s">
        <v>124</v>
      </c>
      <c r="CH289" s="83" t="s">
        <v>151</v>
      </c>
      <c r="CJ289" s="83" t="s">
        <v>124</v>
      </c>
      <c r="CK289" s="83" t="s">
        <v>151</v>
      </c>
      <c r="CM289" s="83" t="s">
        <v>124</v>
      </c>
      <c r="CN289" s="83" t="s">
        <v>151</v>
      </c>
      <c r="CP289" s="83" t="s">
        <v>124</v>
      </c>
      <c r="CQ289" s="83" t="s">
        <v>151</v>
      </c>
      <c r="CS289" s="83" t="s">
        <v>124</v>
      </c>
      <c r="CT289" s="83" t="s">
        <v>151</v>
      </c>
      <c r="CV289" s="83" t="s">
        <v>124</v>
      </c>
      <c r="CW289" s="83" t="s">
        <v>151</v>
      </c>
      <c r="CY289" s="83" t="s">
        <v>124</v>
      </c>
      <c r="CZ289" s="83" t="s">
        <v>151</v>
      </c>
    </row>
    <row r="291" spans="1:104" x14ac:dyDescent="0.2">
      <c r="A291" s="83" t="s">
        <v>125</v>
      </c>
      <c r="B291" s="83" t="s">
        <v>151</v>
      </c>
      <c r="D291" s="83" t="s">
        <v>125</v>
      </c>
      <c r="E291" s="83" t="s">
        <v>151</v>
      </c>
      <c r="G291" s="83" t="s">
        <v>125</v>
      </c>
      <c r="H291" s="83" t="s">
        <v>151</v>
      </c>
      <c r="J291" s="83" t="s">
        <v>125</v>
      </c>
      <c r="K291" s="83" t="s">
        <v>151</v>
      </c>
      <c r="M291" s="83" t="s">
        <v>125</v>
      </c>
      <c r="N291" s="83" t="s">
        <v>151</v>
      </c>
      <c r="P291" s="83" t="s">
        <v>125</v>
      </c>
      <c r="Q291" s="83" t="s">
        <v>151</v>
      </c>
      <c r="S291" s="83" t="s">
        <v>125</v>
      </c>
      <c r="T291" s="83" t="s">
        <v>151</v>
      </c>
      <c r="V291" s="83" t="s">
        <v>125</v>
      </c>
      <c r="W291" s="83" t="s">
        <v>151</v>
      </c>
      <c r="Y291" s="83" t="s">
        <v>125</v>
      </c>
      <c r="Z291" s="83" t="s">
        <v>151</v>
      </c>
      <c r="AB291" s="83" t="s">
        <v>125</v>
      </c>
      <c r="AC291" s="83" t="s">
        <v>151</v>
      </c>
      <c r="AE291" s="83" t="s">
        <v>125</v>
      </c>
      <c r="AF291" s="83" t="s">
        <v>151</v>
      </c>
      <c r="AH291" s="83" t="s">
        <v>125</v>
      </c>
      <c r="AI291" s="83" t="s">
        <v>151</v>
      </c>
      <c r="AK291" s="83" t="s">
        <v>125</v>
      </c>
      <c r="AL291" s="83" t="s">
        <v>151</v>
      </c>
      <c r="AN291" s="83" t="s">
        <v>125</v>
      </c>
      <c r="AO291" s="83" t="s">
        <v>151</v>
      </c>
      <c r="AQ291" s="83" t="s">
        <v>125</v>
      </c>
      <c r="AR291" s="83" t="s">
        <v>151</v>
      </c>
      <c r="AT291" s="83" t="s">
        <v>125</v>
      </c>
      <c r="AU291" s="83" t="s">
        <v>151</v>
      </c>
      <c r="AW291" s="83" t="s">
        <v>125</v>
      </c>
      <c r="AX291" s="83" t="s">
        <v>151</v>
      </c>
      <c r="AZ291" s="83" t="s">
        <v>125</v>
      </c>
      <c r="BA291" s="83" t="s">
        <v>151</v>
      </c>
      <c r="BC291" s="83" t="s">
        <v>125</v>
      </c>
      <c r="BD291" s="83" t="s">
        <v>151</v>
      </c>
      <c r="BF291" s="83" t="s">
        <v>125</v>
      </c>
      <c r="BG291" s="83" t="s">
        <v>151</v>
      </c>
      <c r="BI291" s="83" t="s">
        <v>125</v>
      </c>
      <c r="BJ291" s="83" t="s">
        <v>151</v>
      </c>
      <c r="BL291" s="83" t="s">
        <v>125</v>
      </c>
      <c r="BM291" s="83" t="s">
        <v>151</v>
      </c>
      <c r="BO291" s="83" t="s">
        <v>125</v>
      </c>
      <c r="BP291" s="83" t="s">
        <v>151</v>
      </c>
      <c r="BR291" s="83" t="s">
        <v>125</v>
      </c>
      <c r="BS291" s="83" t="s">
        <v>151</v>
      </c>
      <c r="BU291" s="83" t="s">
        <v>125</v>
      </c>
      <c r="BV291" s="83" t="s">
        <v>151</v>
      </c>
      <c r="BX291" s="83" t="s">
        <v>125</v>
      </c>
      <c r="BY291" s="83" t="s">
        <v>151</v>
      </c>
      <c r="CA291" s="83" t="s">
        <v>125</v>
      </c>
      <c r="CB291" s="83" t="s">
        <v>151</v>
      </c>
      <c r="CD291" s="83" t="s">
        <v>125</v>
      </c>
      <c r="CE291" s="83" t="s">
        <v>151</v>
      </c>
      <c r="CG291" s="83" t="s">
        <v>125</v>
      </c>
      <c r="CH291" s="83" t="s">
        <v>151</v>
      </c>
      <c r="CJ291" s="83" t="s">
        <v>125</v>
      </c>
      <c r="CK291" s="83" t="s">
        <v>151</v>
      </c>
      <c r="CM291" s="83" t="s">
        <v>125</v>
      </c>
      <c r="CN291" s="83" t="s">
        <v>151</v>
      </c>
      <c r="CP291" s="83" t="s">
        <v>125</v>
      </c>
      <c r="CQ291" s="83" t="s">
        <v>151</v>
      </c>
      <c r="CS291" s="83" t="s">
        <v>125</v>
      </c>
      <c r="CT291" s="83" t="s">
        <v>151</v>
      </c>
      <c r="CV291" s="83" t="s">
        <v>125</v>
      </c>
      <c r="CW291" s="83" t="s">
        <v>151</v>
      </c>
      <c r="CY291" s="83" t="s">
        <v>125</v>
      </c>
      <c r="CZ291" s="83" t="s">
        <v>151</v>
      </c>
    </row>
    <row r="293" spans="1:104" x14ac:dyDescent="0.2">
      <c r="A293" s="83" t="s">
        <v>126</v>
      </c>
      <c r="B293" s="83">
        <v>1</v>
      </c>
      <c r="D293" s="83" t="s">
        <v>126</v>
      </c>
      <c r="E293" s="83">
        <v>1</v>
      </c>
      <c r="G293" s="83" t="s">
        <v>126</v>
      </c>
      <c r="H293" s="83">
        <v>1</v>
      </c>
      <c r="J293" s="83" t="s">
        <v>126</v>
      </c>
      <c r="K293" s="83">
        <v>1</v>
      </c>
      <c r="M293" s="83" t="s">
        <v>126</v>
      </c>
      <c r="N293" s="83">
        <v>1</v>
      </c>
      <c r="P293" s="83" t="s">
        <v>126</v>
      </c>
      <c r="Q293" s="83">
        <v>1</v>
      </c>
      <c r="S293" s="83" t="s">
        <v>126</v>
      </c>
      <c r="T293" s="83">
        <v>1</v>
      </c>
      <c r="V293" s="83" t="s">
        <v>126</v>
      </c>
      <c r="W293" s="83">
        <v>1</v>
      </c>
      <c r="Y293" s="83" t="s">
        <v>126</v>
      </c>
      <c r="Z293" s="83">
        <v>1</v>
      </c>
      <c r="AB293" s="83" t="s">
        <v>126</v>
      </c>
      <c r="AC293" s="83">
        <v>1</v>
      </c>
      <c r="AE293" s="83" t="s">
        <v>126</v>
      </c>
      <c r="AF293" s="83">
        <v>1</v>
      </c>
      <c r="AH293" s="83" t="s">
        <v>126</v>
      </c>
      <c r="AI293" s="83">
        <v>1</v>
      </c>
      <c r="AK293" s="83" t="s">
        <v>126</v>
      </c>
      <c r="AL293" s="83">
        <v>1</v>
      </c>
      <c r="AN293" s="83" t="s">
        <v>126</v>
      </c>
      <c r="AO293" s="83">
        <v>1</v>
      </c>
      <c r="AQ293" s="83" t="s">
        <v>126</v>
      </c>
      <c r="AR293" s="83">
        <v>1</v>
      </c>
      <c r="AT293" s="83" t="s">
        <v>126</v>
      </c>
      <c r="AU293" s="83">
        <v>1</v>
      </c>
      <c r="AW293" s="83" t="s">
        <v>126</v>
      </c>
      <c r="AX293" s="83">
        <v>1</v>
      </c>
      <c r="AZ293" s="83" t="s">
        <v>126</v>
      </c>
      <c r="BA293" s="83">
        <v>1</v>
      </c>
      <c r="BC293" s="83" t="s">
        <v>126</v>
      </c>
      <c r="BD293" s="83">
        <v>1</v>
      </c>
      <c r="BF293" s="83" t="s">
        <v>126</v>
      </c>
      <c r="BG293" s="83">
        <v>1</v>
      </c>
      <c r="BI293" s="83" t="s">
        <v>126</v>
      </c>
      <c r="BJ293" s="83">
        <v>1</v>
      </c>
      <c r="BL293" s="83" t="s">
        <v>126</v>
      </c>
      <c r="BM293" s="83">
        <v>1</v>
      </c>
      <c r="BO293" s="83" t="s">
        <v>126</v>
      </c>
      <c r="BP293" s="83">
        <v>1</v>
      </c>
      <c r="BR293" s="83" t="s">
        <v>126</v>
      </c>
      <c r="BS293" s="83">
        <v>1</v>
      </c>
      <c r="BU293" s="83" t="s">
        <v>126</v>
      </c>
      <c r="BV293" s="83">
        <v>1</v>
      </c>
      <c r="BX293" s="83" t="s">
        <v>126</v>
      </c>
      <c r="BY293" s="83">
        <v>1</v>
      </c>
      <c r="CA293" s="83" t="s">
        <v>126</v>
      </c>
      <c r="CB293" s="83">
        <v>1</v>
      </c>
      <c r="CD293" s="83" t="s">
        <v>126</v>
      </c>
      <c r="CE293" s="83">
        <v>1</v>
      </c>
      <c r="CG293" s="83" t="s">
        <v>126</v>
      </c>
      <c r="CH293" s="83">
        <v>1</v>
      </c>
      <c r="CJ293" s="83" t="s">
        <v>126</v>
      </c>
      <c r="CK293" s="83">
        <v>1</v>
      </c>
      <c r="CM293" s="83" t="s">
        <v>126</v>
      </c>
      <c r="CN293" s="83">
        <v>1</v>
      </c>
      <c r="CP293" s="83" t="s">
        <v>126</v>
      </c>
      <c r="CQ293" s="83">
        <v>1</v>
      </c>
      <c r="CS293" s="83" t="s">
        <v>126</v>
      </c>
      <c r="CT293" s="83">
        <v>1</v>
      </c>
      <c r="CV293" s="83" t="s">
        <v>126</v>
      </c>
      <c r="CW293" s="83">
        <v>1</v>
      </c>
      <c r="CY293" s="83" t="s">
        <v>126</v>
      </c>
      <c r="CZ293" s="83">
        <v>1</v>
      </c>
    </row>
    <row r="295" spans="1:104" x14ac:dyDescent="0.2">
      <c r="A295" s="83" t="s">
        <v>127</v>
      </c>
      <c r="B295" s="83">
        <v>1</v>
      </c>
      <c r="D295" s="83" t="s">
        <v>127</v>
      </c>
      <c r="E295" s="83">
        <v>1</v>
      </c>
      <c r="G295" s="83" t="s">
        <v>127</v>
      </c>
      <c r="H295" s="83">
        <v>1</v>
      </c>
      <c r="J295" s="83" t="s">
        <v>127</v>
      </c>
      <c r="K295" s="83">
        <v>1</v>
      </c>
      <c r="M295" s="83" t="s">
        <v>127</v>
      </c>
      <c r="N295" s="83">
        <v>1</v>
      </c>
      <c r="P295" s="83" t="s">
        <v>127</v>
      </c>
      <c r="Q295" s="83">
        <v>1</v>
      </c>
      <c r="S295" s="83" t="s">
        <v>127</v>
      </c>
      <c r="T295" s="83">
        <v>1</v>
      </c>
      <c r="V295" s="83" t="s">
        <v>127</v>
      </c>
      <c r="W295" s="83">
        <v>1</v>
      </c>
      <c r="Y295" s="83" t="s">
        <v>127</v>
      </c>
      <c r="Z295" s="83">
        <v>1</v>
      </c>
      <c r="AB295" s="83" t="s">
        <v>127</v>
      </c>
      <c r="AC295" s="83">
        <v>1</v>
      </c>
      <c r="AE295" s="83" t="s">
        <v>127</v>
      </c>
      <c r="AF295" s="83">
        <v>1</v>
      </c>
      <c r="AH295" s="83" t="s">
        <v>127</v>
      </c>
      <c r="AI295" s="83">
        <v>1</v>
      </c>
      <c r="AK295" s="83" t="s">
        <v>127</v>
      </c>
      <c r="AL295" s="83">
        <v>1</v>
      </c>
      <c r="AN295" s="83" t="s">
        <v>127</v>
      </c>
      <c r="AO295" s="83">
        <v>1</v>
      </c>
      <c r="AQ295" s="83" t="s">
        <v>127</v>
      </c>
      <c r="AR295" s="83">
        <v>1</v>
      </c>
      <c r="AT295" s="83" t="s">
        <v>127</v>
      </c>
      <c r="AU295" s="83">
        <v>1</v>
      </c>
      <c r="AW295" s="83" t="s">
        <v>127</v>
      </c>
      <c r="AX295" s="83">
        <v>1</v>
      </c>
      <c r="AZ295" s="83" t="s">
        <v>127</v>
      </c>
      <c r="BA295" s="83">
        <v>1</v>
      </c>
      <c r="BC295" s="83" t="s">
        <v>127</v>
      </c>
      <c r="BD295" s="83">
        <v>1</v>
      </c>
      <c r="BF295" s="83" t="s">
        <v>127</v>
      </c>
      <c r="BG295" s="83">
        <v>1</v>
      </c>
      <c r="BI295" s="83" t="s">
        <v>127</v>
      </c>
      <c r="BJ295" s="83">
        <v>1</v>
      </c>
      <c r="BL295" s="83" t="s">
        <v>127</v>
      </c>
      <c r="BM295" s="83">
        <v>1</v>
      </c>
      <c r="BO295" s="83" t="s">
        <v>127</v>
      </c>
      <c r="BP295" s="83">
        <v>1</v>
      </c>
      <c r="BR295" s="83" t="s">
        <v>127</v>
      </c>
      <c r="BS295" s="83">
        <v>1</v>
      </c>
      <c r="BU295" s="83" t="s">
        <v>127</v>
      </c>
      <c r="BV295" s="83">
        <v>1</v>
      </c>
      <c r="BX295" s="83" t="s">
        <v>127</v>
      </c>
      <c r="BY295" s="83">
        <v>1</v>
      </c>
      <c r="CA295" s="83" t="s">
        <v>127</v>
      </c>
      <c r="CB295" s="83">
        <v>1</v>
      </c>
      <c r="CD295" s="83" t="s">
        <v>127</v>
      </c>
      <c r="CE295" s="83">
        <v>1</v>
      </c>
      <c r="CG295" s="83" t="s">
        <v>127</v>
      </c>
      <c r="CH295" s="83">
        <v>1</v>
      </c>
      <c r="CJ295" s="83" t="s">
        <v>127</v>
      </c>
      <c r="CK295" s="83">
        <v>1</v>
      </c>
      <c r="CM295" s="83" t="s">
        <v>127</v>
      </c>
      <c r="CN295" s="83">
        <v>1</v>
      </c>
      <c r="CP295" s="83" t="s">
        <v>127</v>
      </c>
      <c r="CQ295" s="83">
        <v>1</v>
      </c>
      <c r="CS295" s="83" t="s">
        <v>127</v>
      </c>
      <c r="CT295" s="83">
        <v>1</v>
      </c>
      <c r="CV295" s="83" t="s">
        <v>127</v>
      </c>
      <c r="CW295" s="83">
        <v>1</v>
      </c>
      <c r="CY295" s="83" t="s">
        <v>127</v>
      </c>
      <c r="CZ295" s="83">
        <v>1</v>
      </c>
    </row>
    <row r="297" spans="1:104" x14ac:dyDescent="0.2">
      <c r="A297" s="83" t="s">
        <v>128</v>
      </c>
      <c r="B297" s="83" t="s">
        <v>151</v>
      </c>
      <c r="D297" s="83" t="s">
        <v>128</v>
      </c>
      <c r="E297" s="83" t="s">
        <v>151</v>
      </c>
      <c r="G297" s="83" t="s">
        <v>128</v>
      </c>
      <c r="H297" s="83" t="s">
        <v>151</v>
      </c>
      <c r="J297" s="83" t="s">
        <v>128</v>
      </c>
      <c r="K297" s="83" t="s">
        <v>151</v>
      </c>
      <c r="M297" s="83" t="s">
        <v>128</v>
      </c>
      <c r="N297" s="83" t="s">
        <v>151</v>
      </c>
      <c r="P297" s="83" t="s">
        <v>128</v>
      </c>
      <c r="Q297" s="83" t="s">
        <v>151</v>
      </c>
      <c r="S297" s="83" t="s">
        <v>128</v>
      </c>
      <c r="T297" s="83" t="s">
        <v>151</v>
      </c>
      <c r="V297" s="83" t="s">
        <v>128</v>
      </c>
      <c r="W297" s="83" t="s">
        <v>151</v>
      </c>
      <c r="Y297" s="83" t="s">
        <v>128</v>
      </c>
      <c r="Z297" s="83" t="s">
        <v>151</v>
      </c>
      <c r="AB297" s="83" t="s">
        <v>128</v>
      </c>
      <c r="AC297" s="83" t="s">
        <v>151</v>
      </c>
      <c r="AE297" s="83" t="s">
        <v>128</v>
      </c>
      <c r="AF297" s="83" t="s">
        <v>151</v>
      </c>
      <c r="AH297" s="83" t="s">
        <v>128</v>
      </c>
      <c r="AI297" s="83" t="s">
        <v>151</v>
      </c>
      <c r="AK297" s="83" t="s">
        <v>128</v>
      </c>
      <c r="AL297" s="83" t="s">
        <v>151</v>
      </c>
      <c r="AN297" s="83" t="s">
        <v>128</v>
      </c>
      <c r="AO297" s="83" t="s">
        <v>151</v>
      </c>
      <c r="AQ297" s="83" t="s">
        <v>128</v>
      </c>
      <c r="AR297" s="83" t="s">
        <v>151</v>
      </c>
      <c r="AT297" s="83" t="s">
        <v>128</v>
      </c>
      <c r="AU297" s="83" t="s">
        <v>151</v>
      </c>
      <c r="AW297" s="83" t="s">
        <v>128</v>
      </c>
      <c r="AX297" s="83" t="s">
        <v>151</v>
      </c>
      <c r="AZ297" s="83" t="s">
        <v>128</v>
      </c>
      <c r="BA297" s="83" t="s">
        <v>151</v>
      </c>
      <c r="BC297" s="83" t="s">
        <v>128</v>
      </c>
      <c r="BD297" s="83" t="s">
        <v>151</v>
      </c>
      <c r="BF297" s="83" t="s">
        <v>128</v>
      </c>
      <c r="BG297" s="83" t="s">
        <v>151</v>
      </c>
      <c r="BI297" s="83" t="s">
        <v>128</v>
      </c>
      <c r="BJ297" s="83" t="s">
        <v>151</v>
      </c>
      <c r="BL297" s="83" t="s">
        <v>128</v>
      </c>
      <c r="BM297" s="83" t="s">
        <v>151</v>
      </c>
      <c r="BO297" s="83" t="s">
        <v>128</v>
      </c>
      <c r="BP297" s="83" t="s">
        <v>151</v>
      </c>
      <c r="BR297" s="83" t="s">
        <v>128</v>
      </c>
      <c r="BS297" s="83" t="s">
        <v>151</v>
      </c>
      <c r="BU297" s="83" t="s">
        <v>128</v>
      </c>
      <c r="BV297" s="83" t="s">
        <v>151</v>
      </c>
      <c r="BX297" s="83" t="s">
        <v>128</v>
      </c>
      <c r="BY297" s="83" t="s">
        <v>151</v>
      </c>
      <c r="CA297" s="83" t="s">
        <v>128</v>
      </c>
      <c r="CB297" s="83" t="s">
        <v>151</v>
      </c>
      <c r="CD297" s="83" t="s">
        <v>128</v>
      </c>
      <c r="CE297" s="83" t="s">
        <v>151</v>
      </c>
      <c r="CG297" s="83" t="s">
        <v>128</v>
      </c>
      <c r="CH297" s="83" t="s">
        <v>151</v>
      </c>
      <c r="CJ297" s="83" t="s">
        <v>128</v>
      </c>
      <c r="CK297" s="83" t="s">
        <v>151</v>
      </c>
      <c r="CM297" s="83" t="s">
        <v>128</v>
      </c>
      <c r="CN297" s="83" t="s">
        <v>151</v>
      </c>
      <c r="CP297" s="83" t="s">
        <v>128</v>
      </c>
      <c r="CQ297" s="83" t="s">
        <v>151</v>
      </c>
      <c r="CS297" s="83" t="s">
        <v>128</v>
      </c>
      <c r="CT297" s="83" t="s">
        <v>151</v>
      </c>
      <c r="CV297" s="83" t="s">
        <v>128</v>
      </c>
      <c r="CW297" s="83" t="s">
        <v>151</v>
      </c>
      <c r="CY297" s="83" t="s">
        <v>128</v>
      </c>
      <c r="CZ297" s="83" t="s">
        <v>151</v>
      </c>
    </row>
    <row r="299" spans="1:104" x14ac:dyDescent="0.2">
      <c r="A299" s="83" t="s">
        <v>152</v>
      </c>
      <c r="B299" s="83" t="s">
        <v>151</v>
      </c>
      <c r="D299" s="83" t="s">
        <v>152</v>
      </c>
      <c r="E299" s="83" t="s">
        <v>151</v>
      </c>
      <c r="G299" s="83" t="s">
        <v>152</v>
      </c>
      <c r="H299" s="83" t="s">
        <v>151</v>
      </c>
      <c r="J299" s="83" t="s">
        <v>152</v>
      </c>
      <c r="K299" s="83" t="s">
        <v>151</v>
      </c>
      <c r="M299" s="83" t="s">
        <v>152</v>
      </c>
      <c r="N299" s="83" t="s">
        <v>151</v>
      </c>
      <c r="P299" s="83" t="s">
        <v>152</v>
      </c>
      <c r="Q299" s="83" t="s">
        <v>151</v>
      </c>
      <c r="S299" s="83" t="s">
        <v>152</v>
      </c>
      <c r="T299" s="83" t="s">
        <v>151</v>
      </c>
      <c r="V299" s="83" t="s">
        <v>152</v>
      </c>
      <c r="W299" s="83" t="s">
        <v>151</v>
      </c>
      <c r="Y299" s="83" t="s">
        <v>152</v>
      </c>
      <c r="Z299" s="83" t="s">
        <v>151</v>
      </c>
      <c r="AB299" s="83" t="s">
        <v>152</v>
      </c>
      <c r="AC299" s="83" t="s">
        <v>151</v>
      </c>
      <c r="AE299" s="83" t="s">
        <v>152</v>
      </c>
      <c r="AF299" s="83" t="s">
        <v>151</v>
      </c>
      <c r="AH299" s="83" t="s">
        <v>152</v>
      </c>
      <c r="AI299" s="83" t="s">
        <v>151</v>
      </c>
      <c r="AK299" s="83" t="s">
        <v>152</v>
      </c>
      <c r="AL299" s="83" t="s">
        <v>151</v>
      </c>
      <c r="AN299" s="83" t="s">
        <v>152</v>
      </c>
      <c r="AO299" s="83" t="s">
        <v>151</v>
      </c>
      <c r="AQ299" s="83" t="s">
        <v>152</v>
      </c>
      <c r="AR299" s="83" t="s">
        <v>151</v>
      </c>
      <c r="AT299" s="83" t="s">
        <v>152</v>
      </c>
      <c r="AU299" s="83" t="s">
        <v>151</v>
      </c>
      <c r="AW299" s="83" t="s">
        <v>152</v>
      </c>
      <c r="AX299" s="83" t="s">
        <v>151</v>
      </c>
      <c r="AZ299" s="83" t="s">
        <v>152</v>
      </c>
      <c r="BA299" s="83" t="s">
        <v>151</v>
      </c>
      <c r="BC299" s="83" t="s">
        <v>152</v>
      </c>
      <c r="BD299" s="83" t="s">
        <v>151</v>
      </c>
      <c r="BF299" s="83" t="s">
        <v>152</v>
      </c>
      <c r="BG299" s="83" t="s">
        <v>151</v>
      </c>
      <c r="BI299" s="83" t="s">
        <v>152</v>
      </c>
      <c r="BJ299" s="83" t="s">
        <v>151</v>
      </c>
      <c r="BL299" s="83" t="s">
        <v>152</v>
      </c>
      <c r="BM299" s="83" t="s">
        <v>151</v>
      </c>
      <c r="BO299" s="83" t="s">
        <v>152</v>
      </c>
      <c r="BP299" s="83" t="s">
        <v>151</v>
      </c>
      <c r="BR299" s="83" t="s">
        <v>152</v>
      </c>
      <c r="BS299" s="83" t="s">
        <v>151</v>
      </c>
      <c r="BU299" s="83" t="s">
        <v>152</v>
      </c>
      <c r="BV299" s="83" t="s">
        <v>151</v>
      </c>
      <c r="BX299" s="83" t="s">
        <v>152</v>
      </c>
      <c r="BY299" s="83" t="s">
        <v>151</v>
      </c>
      <c r="CA299" s="83" t="s">
        <v>152</v>
      </c>
      <c r="CB299" s="83" t="s">
        <v>151</v>
      </c>
      <c r="CD299" s="83" t="s">
        <v>152</v>
      </c>
      <c r="CE299" s="83" t="s">
        <v>151</v>
      </c>
      <c r="CG299" s="83" t="s">
        <v>152</v>
      </c>
      <c r="CH299" s="83" t="s">
        <v>151</v>
      </c>
      <c r="CJ299" s="83" t="s">
        <v>152</v>
      </c>
      <c r="CK299" s="83" t="s">
        <v>151</v>
      </c>
      <c r="CM299" s="83" t="s">
        <v>152</v>
      </c>
      <c r="CN299" s="83" t="s">
        <v>151</v>
      </c>
      <c r="CP299" s="83" t="s">
        <v>152</v>
      </c>
      <c r="CQ299" s="83" t="s">
        <v>151</v>
      </c>
      <c r="CS299" s="83" t="s">
        <v>152</v>
      </c>
      <c r="CT299" s="83" t="s">
        <v>151</v>
      </c>
      <c r="CV299" s="83" t="s">
        <v>152</v>
      </c>
      <c r="CW299" s="83" t="s">
        <v>151</v>
      </c>
      <c r="CY299" s="83" t="s">
        <v>152</v>
      </c>
      <c r="CZ299" s="83" t="s">
        <v>151</v>
      </c>
    </row>
    <row r="301" spans="1:104" x14ac:dyDescent="0.2">
      <c r="A301" s="83" t="s">
        <v>129</v>
      </c>
      <c r="D301" s="83" t="s">
        <v>129</v>
      </c>
      <c r="G301" s="83" t="s">
        <v>129</v>
      </c>
      <c r="J301" s="83" t="s">
        <v>129</v>
      </c>
      <c r="M301" s="83" t="s">
        <v>129</v>
      </c>
      <c r="P301" s="83" t="s">
        <v>129</v>
      </c>
      <c r="S301" s="83" t="s">
        <v>129</v>
      </c>
      <c r="V301" s="83" t="s">
        <v>129</v>
      </c>
      <c r="Y301" s="83" t="s">
        <v>129</v>
      </c>
      <c r="AB301" s="83" t="s">
        <v>129</v>
      </c>
      <c r="AE301" s="83" t="s">
        <v>129</v>
      </c>
      <c r="AH301" s="83" t="s">
        <v>129</v>
      </c>
      <c r="AK301" s="83" t="s">
        <v>129</v>
      </c>
      <c r="AN301" s="83" t="s">
        <v>129</v>
      </c>
      <c r="AQ301" s="83" t="s">
        <v>129</v>
      </c>
      <c r="AT301" s="83" t="s">
        <v>129</v>
      </c>
      <c r="AW301" s="83" t="s">
        <v>129</v>
      </c>
      <c r="AZ301" s="83" t="s">
        <v>129</v>
      </c>
      <c r="BC301" s="83" t="s">
        <v>129</v>
      </c>
      <c r="BF301" s="83" t="s">
        <v>129</v>
      </c>
      <c r="BI301" s="83" t="s">
        <v>129</v>
      </c>
      <c r="BL301" s="83" t="s">
        <v>129</v>
      </c>
      <c r="BO301" s="83" t="s">
        <v>129</v>
      </c>
      <c r="BR301" s="83" t="s">
        <v>129</v>
      </c>
      <c r="BU301" s="83" t="s">
        <v>129</v>
      </c>
      <c r="BX301" s="83" t="s">
        <v>129</v>
      </c>
      <c r="CA301" s="83" t="s">
        <v>129</v>
      </c>
      <c r="CD301" s="83" t="s">
        <v>129</v>
      </c>
      <c r="CG301" s="83" t="s">
        <v>129</v>
      </c>
      <c r="CJ301" s="83" t="s">
        <v>129</v>
      </c>
      <c r="CM301" s="83" t="s">
        <v>129</v>
      </c>
      <c r="CP301" s="83" t="s">
        <v>129</v>
      </c>
      <c r="CS301" s="83" t="s">
        <v>129</v>
      </c>
      <c r="CV301" s="83" t="s">
        <v>129</v>
      </c>
      <c r="CY301" s="83" t="s">
        <v>129</v>
      </c>
    </row>
    <row r="302" spans="1:104" x14ac:dyDescent="0.2">
      <c r="A302" s="83" t="s">
        <v>86</v>
      </c>
      <c r="B302" s="83">
        <v>1</v>
      </c>
      <c r="D302" s="83" t="s">
        <v>86</v>
      </c>
      <c r="E302" s="83">
        <v>1</v>
      </c>
      <c r="G302" s="83" t="s">
        <v>86</v>
      </c>
      <c r="H302" s="83">
        <v>1</v>
      </c>
      <c r="J302" s="83" t="s">
        <v>86</v>
      </c>
      <c r="K302" s="83">
        <v>1</v>
      </c>
      <c r="M302" s="83" t="s">
        <v>86</v>
      </c>
      <c r="N302" s="83">
        <v>1</v>
      </c>
      <c r="P302" s="83" t="s">
        <v>86</v>
      </c>
      <c r="Q302" s="83">
        <v>1</v>
      </c>
      <c r="S302" s="83" t="s">
        <v>86</v>
      </c>
      <c r="T302" s="83">
        <v>1</v>
      </c>
      <c r="V302" s="83" t="s">
        <v>86</v>
      </c>
      <c r="W302" s="83">
        <v>1</v>
      </c>
      <c r="Y302" s="83" t="s">
        <v>86</v>
      </c>
      <c r="Z302" s="83">
        <v>1</v>
      </c>
      <c r="AB302" s="83" t="s">
        <v>86</v>
      </c>
      <c r="AC302" s="83">
        <v>1</v>
      </c>
      <c r="AE302" s="83" t="s">
        <v>86</v>
      </c>
      <c r="AF302" s="83">
        <v>1</v>
      </c>
      <c r="AH302" s="83" t="s">
        <v>86</v>
      </c>
      <c r="AI302" s="83">
        <v>1</v>
      </c>
      <c r="AK302" s="83" t="s">
        <v>86</v>
      </c>
      <c r="AL302" s="83">
        <v>1</v>
      </c>
      <c r="AN302" s="83" t="s">
        <v>86</v>
      </c>
      <c r="AO302" s="83">
        <v>1</v>
      </c>
      <c r="AQ302" s="83" t="s">
        <v>86</v>
      </c>
      <c r="AR302" s="83">
        <v>1</v>
      </c>
      <c r="AT302" s="83" t="s">
        <v>86</v>
      </c>
      <c r="AU302" s="83">
        <v>1</v>
      </c>
      <c r="AW302" s="83" t="s">
        <v>86</v>
      </c>
      <c r="AX302" s="83">
        <v>1</v>
      </c>
      <c r="AZ302" s="83" t="s">
        <v>86</v>
      </c>
      <c r="BA302" s="83">
        <v>1</v>
      </c>
      <c r="BC302" s="83" t="s">
        <v>86</v>
      </c>
      <c r="BD302" s="83">
        <v>1</v>
      </c>
      <c r="BF302" s="83" t="s">
        <v>86</v>
      </c>
      <c r="BG302" s="83">
        <v>1</v>
      </c>
      <c r="BI302" s="83" t="s">
        <v>86</v>
      </c>
      <c r="BJ302" s="83">
        <v>1</v>
      </c>
      <c r="BL302" s="83" t="s">
        <v>86</v>
      </c>
      <c r="BM302" s="83">
        <v>1</v>
      </c>
      <c r="BO302" s="83" t="s">
        <v>86</v>
      </c>
      <c r="BP302" s="83">
        <v>1</v>
      </c>
      <c r="BR302" s="83" t="s">
        <v>86</v>
      </c>
      <c r="BS302" s="83">
        <v>1</v>
      </c>
      <c r="BU302" s="83" t="s">
        <v>86</v>
      </c>
      <c r="BV302" s="83">
        <v>1</v>
      </c>
      <c r="BX302" s="83" t="s">
        <v>86</v>
      </c>
      <c r="BY302" s="83">
        <v>1</v>
      </c>
      <c r="CA302" s="83" t="s">
        <v>86</v>
      </c>
      <c r="CB302" s="83">
        <v>1</v>
      </c>
      <c r="CD302" s="83" t="s">
        <v>86</v>
      </c>
      <c r="CE302" s="83">
        <v>1</v>
      </c>
      <c r="CG302" s="83" t="s">
        <v>86</v>
      </c>
      <c r="CH302" s="83">
        <v>1</v>
      </c>
      <c r="CJ302" s="83" t="s">
        <v>86</v>
      </c>
      <c r="CK302" s="83">
        <v>1</v>
      </c>
      <c r="CM302" s="83" t="s">
        <v>86</v>
      </c>
      <c r="CN302" s="83">
        <v>1</v>
      </c>
      <c r="CP302" s="83" t="s">
        <v>86</v>
      </c>
      <c r="CQ302" s="83">
        <v>1</v>
      </c>
      <c r="CS302" s="83" t="s">
        <v>86</v>
      </c>
      <c r="CT302" s="83">
        <v>1</v>
      </c>
      <c r="CV302" s="83" t="s">
        <v>86</v>
      </c>
      <c r="CW302" s="83">
        <v>1</v>
      </c>
      <c r="CY302" s="83" t="s">
        <v>86</v>
      </c>
      <c r="CZ302" s="83">
        <v>1</v>
      </c>
    </row>
    <row r="304" spans="1:104" x14ac:dyDescent="0.2">
      <c r="A304" s="83" t="s">
        <v>87</v>
      </c>
      <c r="B304" s="83">
        <v>1</v>
      </c>
      <c r="D304" s="83" t="s">
        <v>87</v>
      </c>
      <c r="E304" s="83">
        <v>1</v>
      </c>
      <c r="G304" s="83" t="s">
        <v>87</v>
      </c>
      <c r="H304" s="83">
        <v>1</v>
      </c>
      <c r="J304" s="83" t="s">
        <v>87</v>
      </c>
      <c r="K304" s="83">
        <v>1</v>
      </c>
      <c r="M304" s="83" t="s">
        <v>87</v>
      </c>
      <c r="N304" s="83">
        <v>1</v>
      </c>
      <c r="P304" s="83" t="s">
        <v>87</v>
      </c>
      <c r="Q304" s="83">
        <v>1</v>
      </c>
      <c r="S304" s="83" t="s">
        <v>87</v>
      </c>
      <c r="T304" s="83">
        <v>1</v>
      </c>
      <c r="V304" s="83" t="s">
        <v>87</v>
      </c>
      <c r="W304" s="83">
        <v>1</v>
      </c>
      <c r="Y304" s="83" t="s">
        <v>87</v>
      </c>
      <c r="Z304" s="83">
        <v>1</v>
      </c>
      <c r="AB304" s="83" t="s">
        <v>87</v>
      </c>
      <c r="AC304" s="83">
        <v>1</v>
      </c>
      <c r="AE304" s="83" t="s">
        <v>87</v>
      </c>
      <c r="AF304" s="83">
        <v>1</v>
      </c>
      <c r="AH304" s="83" t="s">
        <v>87</v>
      </c>
      <c r="AI304" s="83">
        <v>1</v>
      </c>
      <c r="AK304" s="83" t="s">
        <v>87</v>
      </c>
      <c r="AL304" s="83">
        <v>1</v>
      </c>
      <c r="AN304" s="83" t="s">
        <v>87</v>
      </c>
      <c r="AO304" s="83">
        <v>1</v>
      </c>
      <c r="AQ304" s="83" t="s">
        <v>87</v>
      </c>
      <c r="AR304" s="83">
        <v>1</v>
      </c>
      <c r="AT304" s="83" t="s">
        <v>87</v>
      </c>
      <c r="AU304" s="83">
        <v>1</v>
      </c>
      <c r="AW304" s="83" t="s">
        <v>87</v>
      </c>
      <c r="AX304" s="83">
        <v>1</v>
      </c>
      <c r="AZ304" s="83" t="s">
        <v>87</v>
      </c>
      <c r="BA304" s="83">
        <v>1</v>
      </c>
      <c r="BC304" s="83" t="s">
        <v>87</v>
      </c>
      <c r="BD304" s="83">
        <v>1</v>
      </c>
      <c r="BF304" s="83" t="s">
        <v>87</v>
      </c>
      <c r="BG304" s="83">
        <v>1</v>
      </c>
      <c r="BI304" s="83" t="s">
        <v>87</v>
      </c>
      <c r="BJ304" s="83">
        <v>1</v>
      </c>
      <c r="BL304" s="83" t="s">
        <v>87</v>
      </c>
      <c r="BM304" s="83">
        <v>1</v>
      </c>
      <c r="BO304" s="83" t="s">
        <v>87</v>
      </c>
      <c r="BP304" s="83">
        <v>1</v>
      </c>
      <c r="BR304" s="83" t="s">
        <v>87</v>
      </c>
      <c r="BS304" s="83">
        <v>1</v>
      </c>
      <c r="BU304" s="83" t="s">
        <v>87</v>
      </c>
      <c r="BV304" s="83">
        <v>1</v>
      </c>
      <c r="BX304" s="83" t="s">
        <v>87</v>
      </c>
      <c r="BY304" s="83">
        <v>1</v>
      </c>
      <c r="CA304" s="83" t="s">
        <v>87</v>
      </c>
      <c r="CB304" s="83">
        <v>1</v>
      </c>
      <c r="CD304" s="83" t="s">
        <v>87</v>
      </c>
      <c r="CE304" s="83">
        <v>1</v>
      </c>
      <c r="CG304" s="83" t="s">
        <v>87</v>
      </c>
      <c r="CH304" s="83">
        <v>1</v>
      </c>
      <c r="CJ304" s="83" t="s">
        <v>87</v>
      </c>
      <c r="CK304" s="83">
        <v>1</v>
      </c>
      <c r="CM304" s="83" t="s">
        <v>87</v>
      </c>
      <c r="CN304" s="83">
        <v>1</v>
      </c>
      <c r="CP304" s="83" t="s">
        <v>87</v>
      </c>
      <c r="CQ304" s="83">
        <v>1</v>
      </c>
      <c r="CS304" s="83" t="s">
        <v>87</v>
      </c>
      <c r="CT304" s="83">
        <v>1</v>
      </c>
      <c r="CV304" s="83" t="s">
        <v>87</v>
      </c>
      <c r="CW304" s="83">
        <v>1</v>
      </c>
      <c r="CY304" s="83" t="s">
        <v>87</v>
      </c>
      <c r="CZ304" s="83">
        <v>1</v>
      </c>
    </row>
    <row r="306" spans="1:104" x14ac:dyDescent="0.2">
      <c r="A306" s="83" t="s">
        <v>88</v>
      </c>
      <c r="B306" s="83">
        <v>1</v>
      </c>
      <c r="D306" s="83" t="s">
        <v>88</v>
      </c>
      <c r="E306" s="83">
        <v>1</v>
      </c>
      <c r="G306" s="83" t="s">
        <v>88</v>
      </c>
      <c r="H306" s="83">
        <v>1</v>
      </c>
      <c r="J306" s="83" t="s">
        <v>88</v>
      </c>
      <c r="K306" s="83">
        <v>1</v>
      </c>
      <c r="M306" s="83" t="s">
        <v>88</v>
      </c>
      <c r="N306" s="83">
        <v>1</v>
      </c>
      <c r="P306" s="83" t="s">
        <v>88</v>
      </c>
      <c r="Q306" s="83">
        <v>1</v>
      </c>
      <c r="S306" s="83" t="s">
        <v>88</v>
      </c>
      <c r="T306" s="83">
        <v>1</v>
      </c>
      <c r="V306" s="83" t="s">
        <v>88</v>
      </c>
      <c r="W306" s="83">
        <v>1</v>
      </c>
      <c r="Y306" s="83" t="s">
        <v>88</v>
      </c>
      <c r="Z306" s="83">
        <v>1</v>
      </c>
      <c r="AB306" s="83" t="s">
        <v>88</v>
      </c>
      <c r="AC306" s="83">
        <v>1</v>
      </c>
      <c r="AE306" s="83" t="s">
        <v>88</v>
      </c>
      <c r="AF306" s="83">
        <v>1</v>
      </c>
      <c r="AH306" s="83" t="s">
        <v>88</v>
      </c>
      <c r="AI306" s="83">
        <v>1</v>
      </c>
      <c r="AK306" s="83" t="s">
        <v>88</v>
      </c>
      <c r="AL306" s="83">
        <v>1</v>
      </c>
      <c r="AN306" s="83" t="s">
        <v>88</v>
      </c>
      <c r="AO306" s="83">
        <v>1</v>
      </c>
      <c r="AQ306" s="83" t="s">
        <v>88</v>
      </c>
      <c r="AR306" s="83">
        <v>1</v>
      </c>
      <c r="AT306" s="83" t="s">
        <v>88</v>
      </c>
      <c r="AU306" s="83">
        <v>1</v>
      </c>
      <c r="AW306" s="83" t="s">
        <v>88</v>
      </c>
      <c r="AX306" s="83">
        <v>1</v>
      </c>
      <c r="AZ306" s="83" t="s">
        <v>88</v>
      </c>
      <c r="BA306" s="83">
        <v>1</v>
      </c>
      <c r="BC306" s="83" t="s">
        <v>88</v>
      </c>
      <c r="BD306" s="83">
        <v>1</v>
      </c>
      <c r="BF306" s="83" t="s">
        <v>88</v>
      </c>
      <c r="BG306" s="83">
        <v>1</v>
      </c>
      <c r="BI306" s="83" t="s">
        <v>88</v>
      </c>
      <c r="BJ306" s="83">
        <v>1</v>
      </c>
      <c r="BL306" s="83" t="s">
        <v>88</v>
      </c>
      <c r="BM306" s="83">
        <v>1</v>
      </c>
      <c r="BO306" s="83" t="s">
        <v>88</v>
      </c>
      <c r="BP306" s="83">
        <v>1</v>
      </c>
      <c r="BR306" s="83" t="s">
        <v>88</v>
      </c>
      <c r="BS306" s="83">
        <v>1</v>
      </c>
      <c r="BU306" s="83" t="s">
        <v>88</v>
      </c>
      <c r="BV306" s="83">
        <v>1</v>
      </c>
      <c r="BX306" s="83" t="s">
        <v>88</v>
      </c>
      <c r="BY306" s="83">
        <v>1</v>
      </c>
      <c r="CA306" s="83" t="s">
        <v>88</v>
      </c>
      <c r="CB306" s="83">
        <v>1</v>
      </c>
      <c r="CD306" s="83" t="s">
        <v>88</v>
      </c>
      <c r="CE306" s="83">
        <v>1</v>
      </c>
      <c r="CG306" s="83" t="s">
        <v>88</v>
      </c>
      <c r="CH306" s="83">
        <v>1</v>
      </c>
      <c r="CJ306" s="83" t="s">
        <v>88</v>
      </c>
      <c r="CK306" s="83">
        <v>1</v>
      </c>
      <c r="CM306" s="83" t="s">
        <v>88</v>
      </c>
      <c r="CN306" s="83">
        <v>1</v>
      </c>
      <c r="CP306" s="83" t="s">
        <v>88</v>
      </c>
      <c r="CQ306" s="83">
        <v>1</v>
      </c>
      <c r="CS306" s="83" t="s">
        <v>88</v>
      </c>
      <c r="CT306" s="83">
        <v>1</v>
      </c>
      <c r="CV306" s="83" t="s">
        <v>88</v>
      </c>
      <c r="CW306" s="83">
        <v>1</v>
      </c>
      <c r="CY306" s="83" t="s">
        <v>88</v>
      </c>
      <c r="CZ306" s="83">
        <v>1</v>
      </c>
    </row>
    <row r="308" spans="1:104" x14ac:dyDescent="0.2">
      <c r="A308" s="83" t="s">
        <v>89</v>
      </c>
      <c r="B308" s="83">
        <v>1</v>
      </c>
      <c r="D308" s="83" t="s">
        <v>89</v>
      </c>
      <c r="E308" s="83">
        <v>1</v>
      </c>
      <c r="G308" s="83" t="s">
        <v>89</v>
      </c>
      <c r="H308" s="83">
        <v>1</v>
      </c>
      <c r="J308" s="83" t="s">
        <v>89</v>
      </c>
      <c r="K308" s="83">
        <v>1</v>
      </c>
      <c r="M308" s="83" t="s">
        <v>89</v>
      </c>
      <c r="N308" s="83">
        <v>1</v>
      </c>
      <c r="P308" s="83" t="s">
        <v>89</v>
      </c>
      <c r="Q308" s="83">
        <v>1</v>
      </c>
      <c r="S308" s="83" t="s">
        <v>89</v>
      </c>
      <c r="T308" s="83">
        <v>1</v>
      </c>
      <c r="V308" s="83" t="s">
        <v>89</v>
      </c>
      <c r="W308" s="83">
        <v>1</v>
      </c>
      <c r="Y308" s="83" t="s">
        <v>89</v>
      </c>
      <c r="Z308" s="83">
        <v>1</v>
      </c>
      <c r="AB308" s="83" t="s">
        <v>89</v>
      </c>
      <c r="AC308" s="83">
        <v>1</v>
      </c>
      <c r="AE308" s="83" t="s">
        <v>89</v>
      </c>
      <c r="AF308" s="83">
        <v>1</v>
      </c>
      <c r="AH308" s="83" t="s">
        <v>89</v>
      </c>
      <c r="AI308" s="83">
        <v>1</v>
      </c>
      <c r="AK308" s="83" t="s">
        <v>89</v>
      </c>
      <c r="AL308" s="83">
        <v>1</v>
      </c>
      <c r="AN308" s="83" t="s">
        <v>89</v>
      </c>
      <c r="AO308" s="83">
        <v>1</v>
      </c>
      <c r="AQ308" s="83" t="s">
        <v>89</v>
      </c>
      <c r="AR308" s="83">
        <v>1</v>
      </c>
      <c r="AT308" s="83" t="s">
        <v>89</v>
      </c>
      <c r="AU308" s="83">
        <v>1</v>
      </c>
      <c r="AW308" s="83" t="s">
        <v>89</v>
      </c>
      <c r="AX308" s="83">
        <v>1</v>
      </c>
      <c r="AZ308" s="83" t="s">
        <v>89</v>
      </c>
      <c r="BA308" s="83">
        <v>1</v>
      </c>
      <c r="BC308" s="83" t="s">
        <v>89</v>
      </c>
      <c r="BD308" s="83">
        <v>1</v>
      </c>
      <c r="BF308" s="83" t="s">
        <v>89</v>
      </c>
      <c r="BG308" s="83">
        <v>1</v>
      </c>
      <c r="BI308" s="83" t="s">
        <v>89</v>
      </c>
      <c r="BJ308" s="83">
        <v>1</v>
      </c>
      <c r="BL308" s="83" t="s">
        <v>89</v>
      </c>
      <c r="BM308" s="83">
        <v>1</v>
      </c>
      <c r="BO308" s="83" t="s">
        <v>89</v>
      </c>
      <c r="BP308" s="83">
        <v>1</v>
      </c>
      <c r="BR308" s="83" t="s">
        <v>89</v>
      </c>
      <c r="BS308" s="83">
        <v>1</v>
      </c>
      <c r="BU308" s="83" t="s">
        <v>89</v>
      </c>
      <c r="BV308" s="83">
        <v>1</v>
      </c>
      <c r="BX308" s="83" t="s">
        <v>89</v>
      </c>
      <c r="BY308" s="83">
        <v>1</v>
      </c>
      <c r="CA308" s="83" t="s">
        <v>89</v>
      </c>
      <c r="CB308" s="83">
        <v>1</v>
      </c>
      <c r="CD308" s="83" t="s">
        <v>89</v>
      </c>
      <c r="CE308" s="83">
        <v>1</v>
      </c>
      <c r="CG308" s="83" t="s">
        <v>89</v>
      </c>
      <c r="CH308" s="83">
        <v>1</v>
      </c>
      <c r="CJ308" s="83" t="s">
        <v>89</v>
      </c>
      <c r="CK308" s="83">
        <v>1</v>
      </c>
      <c r="CM308" s="83" t="s">
        <v>89</v>
      </c>
      <c r="CN308" s="83">
        <v>1</v>
      </c>
      <c r="CP308" s="83" t="s">
        <v>89</v>
      </c>
      <c r="CQ308" s="83">
        <v>1</v>
      </c>
      <c r="CS308" s="83" t="s">
        <v>89</v>
      </c>
      <c r="CT308" s="83">
        <v>1</v>
      </c>
      <c r="CV308" s="83" t="s">
        <v>89</v>
      </c>
      <c r="CW308" s="83">
        <v>1</v>
      </c>
      <c r="CY308" s="83" t="s">
        <v>89</v>
      </c>
      <c r="CZ308" s="83">
        <v>1</v>
      </c>
    </row>
    <row r="310" spans="1:104" x14ac:dyDescent="0.2">
      <c r="A310" s="83" t="s">
        <v>90</v>
      </c>
      <c r="B310" s="83">
        <v>1</v>
      </c>
      <c r="D310" s="83" t="s">
        <v>90</v>
      </c>
      <c r="E310" s="83">
        <v>1</v>
      </c>
      <c r="G310" s="83" t="s">
        <v>90</v>
      </c>
      <c r="H310" s="83">
        <v>1</v>
      </c>
      <c r="J310" s="83" t="s">
        <v>90</v>
      </c>
      <c r="K310" s="83">
        <v>1</v>
      </c>
      <c r="M310" s="83" t="s">
        <v>90</v>
      </c>
      <c r="N310" s="83">
        <v>1</v>
      </c>
      <c r="P310" s="83" t="s">
        <v>90</v>
      </c>
      <c r="Q310" s="83">
        <v>1</v>
      </c>
      <c r="S310" s="83" t="s">
        <v>90</v>
      </c>
      <c r="T310" s="83">
        <v>1</v>
      </c>
      <c r="V310" s="83" t="s">
        <v>90</v>
      </c>
      <c r="W310" s="83">
        <v>1</v>
      </c>
      <c r="Y310" s="83" t="s">
        <v>90</v>
      </c>
      <c r="Z310" s="83">
        <v>1</v>
      </c>
      <c r="AB310" s="83" t="s">
        <v>90</v>
      </c>
      <c r="AC310" s="83">
        <v>1</v>
      </c>
      <c r="AE310" s="83" t="s">
        <v>90</v>
      </c>
      <c r="AF310" s="83">
        <v>1</v>
      </c>
      <c r="AH310" s="83" t="s">
        <v>90</v>
      </c>
      <c r="AI310" s="83">
        <v>1</v>
      </c>
      <c r="AK310" s="83" t="s">
        <v>90</v>
      </c>
      <c r="AL310" s="83">
        <v>1</v>
      </c>
      <c r="AN310" s="83" t="s">
        <v>90</v>
      </c>
      <c r="AO310" s="83">
        <v>1</v>
      </c>
      <c r="AQ310" s="83" t="s">
        <v>90</v>
      </c>
      <c r="AR310" s="83">
        <v>1</v>
      </c>
      <c r="AT310" s="83" t="s">
        <v>90</v>
      </c>
      <c r="AU310" s="83">
        <v>1</v>
      </c>
      <c r="AW310" s="83" t="s">
        <v>90</v>
      </c>
      <c r="AX310" s="83">
        <v>1</v>
      </c>
      <c r="AZ310" s="83" t="s">
        <v>90</v>
      </c>
      <c r="BA310" s="83">
        <v>1</v>
      </c>
      <c r="BC310" s="83" t="s">
        <v>90</v>
      </c>
      <c r="BD310" s="83">
        <v>1</v>
      </c>
      <c r="BF310" s="83" t="s">
        <v>90</v>
      </c>
      <c r="BG310" s="83">
        <v>1</v>
      </c>
      <c r="BI310" s="83" t="s">
        <v>90</v>
      </c>
      <c r="BJ310" s="83">
        <v>1</v>
      </c>
      <c r="BL310" s="83" t="s">
        <v>90</v>
      </c>
      <c r="BM310" s="83">
        <v>1</v>
      </c>
      <c r="BO310" s="83" t="s">
        <v>90</v>
      </c>
      <c r="BP310" s="83">
        <v>1</v>
      </c>
      <c r="BR310" s="83" t="s">
        <v>90</v>
      </c>
      <c r="BS310" s="83">
        <v>1</v>
      </c>
      <c r="BU310" s="83" t="s">
        <v>90</v>
      </c>
      <c r="BV310" s="83">
        <v>1</v>
      </c>
      <c r="BX310" s="83" t="s">
        <v>90</v>
      </c>
      <c r="BY310" s="83">
        <v>1</v>
      </c>
      <c r="CA310" s="83" t="s">
        <v>90</v>
      </c>
      <c r="CB310" s="83">
        <v>1</v>
      </c>
      <c r="CD310" s="83" t="s">
        <v>90</v>
      </c>
      <c r="CE310" s="83">
        <v>1</v>
      </c>
      <c r="CG310" s="83" t="s">
        <v>90</v>
      </c>
      <c r="CH310" s="83">
        <v>1</v>
      </c>
      <c r="CJ310" s="83" t="s">
        <v>90</v>
      </c>
      <c r="CK310" s="83">
        <v>1</v>
      </c>
      <c r="CM310" s="83" t="s">
        <v>90</v>
      </c>
      <c r="CN310" s="83">
        <v>1</v>
      </c>
      <c r="CP310" s="83" t="s">
        <v>90</v>
      </c>
      <c r="CQ310" s="83">
        <v>1</v>
      </c>
      <c r="CS310" s="83" t="s">
        <v>90</v>
      </c>
      <c r="CT310" s="83">
        <v>1</v>
      </c>
      <c r="CV310" s="83" t="s">
        <v>90</v>
      </c>
      <c r="CW310" s="83">
        <v>1</v>
      </c>
      <c r="CY310" s="83" t="s">
        <v>90</v>
      </c>
      <c r="CZ310" s="83">
        <v>1</v>
      </c>
    </row>
    <row r="312" spans="1:104" x14ac:dyDescent="0.2">
      <c r="A312" s="83" t="s">
        <v>153</v>
      </c>
      <c r="B312" s="83">
        <v>1</v>
      </c>
      <c r="D312" s="83" t="s">
        <v>153</v>
      </c>
      <c r="E312" s="83">
        <v>1</v>
      </c>
      <c r="G312" s="83" t="s">
        <v>153</v>
      </c>
      <c r="H312" s="83">
        <v>1</v>
      </c>
      <c r="J312" s="83" t="s">
        <v>153</v>
      </c>
      <c r="K312" s="83">
        <v>1</v>
      </c>
      <c r="M312" s="83" t="s">
        <v>153</v>
      </c>
      <c r="N312" s="83">
        <v>1</v>
      </c>
      <c r="P312" s="83" t="s">
        <v>153</v>
      </c>
      <c r="Q312" s="83">
        <v>1</v>
      </c>
      <c r="S312" s="83" t="s">
        <v>153</v>
      </c>
      <c r="T312" s="83">
        <v>1</v>
      </c>
      <c r="V312" s="83" t="s">
        <v>153</v>
      </c>
      <c r="W312" s="83">
        <v>1</v>
      </c>
      <c r="Y312" s="83" t="s">
        <v>153</v>
      </c>
      <c r="Z312" s="83">
        <v>1</v>
      </c>
      <c r="AB312" s="83" t="s">
        <v>153</v>
      </c>
      <c r="AC312" s="83">
        <v>1</v>
      </c>
      <c r="AE312" s="83" t="s">
        <v>153</v>
      </c>
      <c r="AF312" s="83">
        <v>1</v>
      </c>
      <c r="AH312" s="83" t="s">
        <v>153</v>
      </c>
      <c r="AI312" s="83">
        <v>1</v>
      </c>
      <c r="AK312" s="83" t="s">
        <v>153</v>
      </c>
      <c r="AL312" s="83">
        <v>1</v>
      </c>
      <c r="AN312" s="83" t="s">
        <v>153</v>
      </c>
      <c r="AO312" s="83">
        <v>1</v>
      </c>
      <c r="AQ312" s="83" t="s">
        <v>153</v>
      </c>
      <c r="AR312" s="83">
        <v>1</v>
      </c>
      <c r="AT312" s="83" t="s">
        <v>153</v>
      </c>
      <c r="AU312" s="83">
        <v>1</v>
      </c>
      <c r="AW312" s="83" t="s">
        <v>153</v>
      </c>
      <c r="AX312" s="83">
        <v>1</v>
      </c>
      <c r="AZ312" s="83" t="s">
        <v>153</v>
      </c>
      <c r="BA312" s="83">
        <v>1</v>
      </c>
      <c r="BC312" s="83" t="s">
        <v>153</v>
      </c>
      <c r="BD312" s="83">
        <v>1</v>
      </c>
      <c r="BF312" s="83" t="s">
        <v>153</v>
      </c>
      <c r="BG312" s="83">
        <v>1</v>
      </c>
      <c r="BI312" s="83" t="s">
        <v>153</v>
      </c>
      <c r="BJ312" s="83">
        <v>1</v>
      </c>
      <c r="BL312" s="83" t="s">
        <v>153</v>
      </c>
      <c r="BM312" s="83">
        <v>1</v>
      </c>
      <c r="BO312" s="83" t="s">
        <v>153</v>
      </c>
      <c r="BP312" s="83">
        <v>1</v>
      </c>
      <c r="BR312" s="83" t="s">
        <v>153</v>
      </c>
      <c r="BS312" s="83">
        <v>1</v>
      </c>
      <c r="BU312" s="83" t="s">
        <v>153</v>
      </c>
      <c r="BV312" s="83">
        <v>1</v>
      </c>
      <c r="BX312" s="83" t="s">
        <v>153</v>
      </c>
      <c r="BY312" s="83">
        <v>1</v>
      </c>
      <c r="CA312" s="83" t="s">
        <v>153</v>
      </c>
      <c r="CB312" s="83">
        <v>1</v>
      </c>
      <c r="CD312" s="83" t="s">
        <v>153</v>
      </c>
      <c r="CE312" s="83">
        <v>1</v>
      </c>
      <c r="CG312" s="83" t="s">
        <v>153</v>
      </c>
      <c r="CH312" s="83">
        <v>1</v>
      </c>
      <c r="CJ312" s="83" t="s">
        <v>153</v>
      </c>
      <c r="CK312" s="83">
        <v>1</v>
      </c>
      <c r="CM312" s="83" t="s">
        <v>153</v>
      </c>
      <c r="CN312" s="83">
        <v>1</v>
      </c>
      <c r="CP312" s="83" t="s">
        <v>153</v>
      </c>
      <c r="CQ312" s="83">
        <v>1</v>
      </c>
      <c r="CS312" s="83" t="s">
        <v>153</v>
      </c>
      <c r="CT312" s="83">
        <v>1</v>
      </c>
      <c r="CV312" s="83" t="s">
        <v>153</v>
      </c>
      <c r="CW312" s="83">
        <v>1</v>
      </c>
      <c r="CY312" s="83" t="s">
        <v>153</v>
      </c>
      <c r="CZ312" s="83">
        <v>1</v>
      </c>
    </row>
    <row r="314" spans="1:104" x14ac:dyDescent="0.2">
      <c r="A314" s="83" t="s">
        <v>154</v>
      </c>
      <c r="B314" s="83">
        <v>1</v>
      </c>
      <c r="D314" s="83" t="s">
        <v>154</v>
      </c>
      <c r="E314" s="83">
        <v>1</v>
      </c>
      <c r="G314" s="83" t="s">
        <v>154</v>
      </c>
      <c r="H314" s="83">
        <v>1</v>
      </c>
      <c r="J314" s="83" t="s">
        <v>154</v>
      </c>
      <c r="K314" s="83">
        <v>1</v>
      </c>
      <c r="M314" s="83" t="s">
        <v>154</v>
      </c>
      <c r="N314" s="83">
        <v>1</v>
      </c>
      <c r="P314" s="83" t="s">
        <v>154</v>
      </c>
      <c r="Q314" s="83">
        <v>1</v>
      </c>
      <c r="S314" s="83" t="s">
        <v>154</v>
      </c>
      <c r="T314" s="83">
        <v>1</v>
      </c>
      <c r="V314" s="83" t="s">
        <v>154</v>
      </c>
      <c r="W314" s="83">
        <v>1</v>
      </c>
      <c r="Y314" s="83" t="s">
        <v>154</v>
      </c>
      <c r="Z314" s="83">
        <v>1</v>
      </c>
      <c r="AB314" s="83" t="s">
        <v>154</v>
      </c>
      <c r="AC314" s="83">
        <v>1</v>
      </c>
      <c r="AE314" s="83" t="s">
        <v>154</v>
      </c>
      <c r="AF314" s="83">
        <v>1</v>
      </c>
      <c r="AH314" s="83" t="s">
        <v>154</v>
      </c>
      <c r="AI314" s="83">
        <v>1</v>
      </c>
      <c r="AK314" s="83" t="s">
        <v>154</v>
      </c>
      <c r="AL314" s="83">
        <v>1</v>
      </c>
      <c r="AN314" s="83" t="s">
        <v>154</v>
      </c>
      <c r="AO314" s="83">
        <v>1</v>
      </c>
      <c r="AQ314" s="83" t="s">
        <v>154</v>
      </c>
      <c r="AR314" s="83">
        <v>1</v>
      </c>
      <c r="AT314" s="83" t="s">
        <v>154</v>
      </c>
      <c r="AU314" s="83">
        <v>1</v>
      </c>
      <c r="AW314" s="83" t="s">
        <v>154</v>
      </c>
      <c r="AX314" s="83">
        <v>1</v>
      </c>
      <c r="AZ314" s="83" t="s">
        <v>154</v>
      </c>
      <c r="BA314" s="83">
        <v>1</v>
      </c>
      <c r="BC314" s="83" t="s">
        <v>154</v>
      </c>
      <c r="BD314" s="83">
        <v>1</v>
      </c>
      <c r="BF314" s="83" t="s">
        <v>154</v>
      </c>
      <c r="BG314" s="83">
        <v>1</v>
      </c>
      <c r="BI314" s="83" t="s">
        <v>154</v>
      </c>
      <c r="BJ314" s="83">
        <v>1</v>
      </c>
      <c r="BL314" s="83" t="s">
        <v>154</v>
      </c>
      <c r="BM314" s="83">
        <v>1</v>
      </c>
      <c r="BO314" s="83" t="s">
        <v>154</v>
      </c>
      <c r="BP314" s="83">
        <v>1</v>
      </c>
      <c r="BR314" s="83" t="s">
        <v>154</v>
      </c>
      <c r="BS314" s="83">
        <v>1</v>
      </c>
      <c r="BU314" s="83" t="s">
        <v>154</v>
      </c>
      <c r="BV314" s="83">
        <v>1</v>
      </c>
      <c r="BX314" s="83" t="s">
        <v>154</v>
      </c>
      <c r="BY314" s="83">
        <v>1</v>
      </c>
      <c r="CA314" s="83" t="s">
        <v>154</v>
      </c>
      <c r="CB314" s="83">
        <v>1</v>
      </c>
      <c r="CD314" s="83" t="s">
        <v>154</v>
      </c>
      <c r="CE314" s="83">
        <v>1</v>
      </c>
      <c r="CG314" s="83" t="s">
        <v>154</v>
      </c>
      <c r="CH314" s="83">
        <v>1</v>
      </c>
      <c r="CJ314" s="83" t="s">
        <v>154</v>
      </c>
      <c r="CK314" s="83">
        <v>1</v>
      </c>
      <c r="CM314" s="83" t="s">
        <v>154</v>
      </c>
      <c r="CN314" s="83">
        <v>1</v>
      </c>
      <c r="CP314" s="83" t="s">
        <v>154</v>
      </c>
      <c r="CQ314" s="83">
        <v>1</v>
      </c>
      <c r="CS314" s="83" t="s">
        <v>154</v>
      </c>
      <c r="CT314" s="83">
        <v>1</v>
      </c>
      <c r="CV314" s="83" t="s">
        <v>154</v>
      </c>
      <c r="CW314" s="83">
        <v>1</v>
      </c>
      <c r="CY314" s="83" t="s">
        <v>154</v>
      </c>
      <c r="CZ314" s="83">
        <v>1</v>
      </c>
    </row>
    <row r="316" spans="1:104" x14ac:dyDescent="0.2">
      <c r="A316" s="83" t="s">
        <v>251</v>
      </c>
      <c r="B316" s="83">
        <v>1</v>
      </c>
      <c r="D316" s="83" t="s">
        <v>251</v>
      </c>
      <c r="E316" s="83">
        <v>1</v>
      </c>
      <c r="G316" s="83" t="s">
        <v>251</v>
      </c>
      <c r="H316" s="83">
        <v>1</v>
      </c>
      <c r="J316" s="83" t="s">
        <v>251</v>
      </c>
      <c r="K316" s="83">
        <v>1</v>
      </c>
      <c r="M316" s="83" t="s">
        <v>251</v>
      </c>
      <c r="N316" s="83">
        <v>1</v>
      </c>
      <c r="P316" s="83" t="s">
        <v>251</v>
      </c>
      <c r="Q316" s="83">
        <v>1</v>
      </c>
      <c r="S316" s="83" t="s">
        <v>251</v>
      </c>
      <c r="T316" s="83">
        <v>1</v>
      </c>
      <c r="V316" s="83" t="s">
        <v>251</v>
      </c>
      <c r="W316" s="83">
        <v>1</v>
      </c>
      <c r="Y316" s="83" t="s">
        <v>251</v>
      </c>
      <c r="Z316" s="83">
        <v>1</v>
      </c>
      <c r="AB316" s="83" t="s">
        <v>251</v>
      </c>
      <c r="AC316" s="83">
        <v>1</v>
      </c>
      <c r="AE316" s="83" t="s">
        <v>251</v>
      </c>
      <c r="AF316" s="83">
        <v>1</v>
      </c>
      <c r="AH316" s="83" t="s">
        <v>251</v>
      </c>
      <c r="AI316" s="83">
        <v>1</v>
      </c>
      <c r="AK316" s="83" t="s">
        <v>251</v>
      </c>
      <c r="AL316" s="83">
        <v>1</v>
      </c>
      <c r="AN316" s="83" t="s">
        <v>251</v>
      </c>
      <c r="AO316" s="83">
        <v>1</v>
      </c>
      <c r="AQ316" s="83" t="s">
        <v>251</v>
      </c>
      <c r="AR316" s="83">
        <v>1</v>
      </c>
      <c r="AT316" s="83" t="s">
        <v>251</v>
      </c>
      <c r="AU316" s="83">
        <v>1</v>
      </c>
      <c r="AW316" s="83" t="s">
        <v>251</v>
      </c>
      <c r="AX316" s="83">
        <v>1</v>
      </c>
      <c r="AZ316" s="83" t="s">
        <v>251</v>
      </c>
      <c r="BA316" s="83">
        <v>1</v>
      </c>
      <c r="BC316" s="83" t="s">
        <v>251</v>
      </c>
      <c r="BD316" s="83">
        <v>1</v>
      </c>
      <c r="BF316" s="83" t="s">
        <v>251</v>
      </c>
      <c r="BG316" s="83">
        <v>1</v>
      </c>
      <c r="BI316" s="83" t="s">
        <v>251</v>
      </c>
      <c r="BJ316" s="83">
        <v>1</v>
      </c>
      <c r="BL316" s="83" t="s">
        <v>251</v>
      </c>
      <c r="BM316" s="83">
        <v>1</v>
      </c>
      <c r="BO316" s="83" t="s">
        <v>251</v>
      </c>
      <c r="BP316" s="83">
        <v>1</v>
      </c>
      <c r="BR316" s="83" t="s">
        <v>251</v>
      </c>
      <c r="BS316" s="83">
        <v>1</v>
      </c>
      <c r="BU316" s="83" t="s">
        <v>251</v>
      </c>
      <c r="BV316" s="83">
        <v>1</v>
      </c>
      <c r="BX316" s="83" t="s">
        <v>251</v>
      </c>
      <c r="BY316" s="83">
        <v>1</v>
      </c>
      <c r="CA316" s="83" t="s">
        <v>251</v>
      </c>
      <c r="CB316" s="83">
        <v>1</v>
      </c>
      <c r="CD316" s="83" t="s">
        <v>251</v>
      </c>
      <c r="CE316" s="83">
        <v>1</v>
      </c>
      <c r="CG316" s="83" t="s">
        <v>251</v>
      </c>
      <c r="CH316" s="83">
        <v>1</v>
      </c>
      <c r="CJ316" s="83" t="s">
        <v>251</v>
      </c>
      <c r="CK316" s="83">
        <v>1</v>
      </c>
      <c r="CM316" s="83" t="s">
        <v>251</v>
      </c>
      <c r="CN316" s="83">
        <v>1</v>
      </c>
      <c r="CP316" s="83" t="s">
        <v>251</v>
      </c>
      <c r="CQ316" s="83">
        <v>1</v>
      </c>
      <c r="CS316" s="83" t="s">
        <v>251</v>
      </c>
      <c r="CT316" s="83">
        <v>1</v>
      </c>
      <c r="CV316" s="83" t="s">
        <v>251</v>
      </c>
      <c r="CW316" s="83">
        <v>1</v>
      </c>
      <c r="CY316" s="83" t="s">
        <v>251</v>
      </c>
      <c r="CZ316" s="83">
        <v>1</v>
      </c>
    </row>
    <row r="320" spans="1:104" x14ac:dyDescent="0.2">
      <c r="A320" s="83" t="s">
        <v>88</v>
      </c>
      <c r="B320" s="83">
        <v>1</v>
      </c>
      <c r="D320" s="83" t="s">
        <v>88</v>
      </c>
      <c r="E320" s="83">
        <v>1</v>
      </c>
      <c r="G320" s="83" t="s">
        <v>88</v>
      </c>
      <c r="H320" s="83">
        <v>1</v>
      </c>
      <c r="J320" s="83" t="s">
        <v>88</v>
      </c>
      <c r="K320" s="83">
        <v>1</v>
      </c>
      <c r="M320" s="83" t="s">
        <v>88</v>
      </c>
      <c r="N320" s="83">
        <v>1</v>
      </c>
      <c r="P320" s="83" t="s">
        <v>88</v>
      </c>
      <c r="Q320" s="83">
        <v>1</v>
      </c>
      <c r="S320" s="83" t="s">
        <v>88</v>
      </c>
      <c r="T320" s="83">
        <v>1</v>
      </c>
      <c r="V320" s="83" t="s">
        <v>88</v>
      </c>
      <c r="W320" s="83">
        <v>1</v>
      </c>
      <c r="Y320" s="83" t="s">
        <v>88</v>
      </c>
      <c r="Z320" s="83">
        <v>1</v>
      </c>
      <c r="AB320" s="83" t="s">
        <v>88</v>
      </c>
      <c r="AC320" s="83">
        <v>1</v>
      </c>
      <c r="AE320" s="83" t="s">
        <v>88</v>
      </c>
      <c r="AF320" s="83">
        <v>1</v>
      </c>
      <c r="AH320" s="83" t="s">
        <v>88</v>
      </c>
      <c r="AI320" s="83">
        <v>1</v>
      </c>
      <c r="AK320" s="83" t="s">
        <v>88</v>
      </c>
      <c r="AL320" s="83">
        <v>1</v>
      </c>
      <c r="AN320" s="83" t="s">
        <v>88</v>
      </c>
      <c r="AO320" s="83">
        <v>1</v>
      </c>
      <c r="AQ320" s="83" t="s">
        <v>88</v>
      </c>
      <c r="AR320" s="83">
        <v>1</v>
      </c>
      <c r="AT320" s="83" t="s">
        <v>88</v>
      </c>
      <c r="AU320" s="83">
        <v>1</v>
      </c>
      <c r="AW320" s="83" t="s">
        <v>88</v>
      </c>
      <c r="AX320" s="83">
        <v>1</v>
      </c>
      <c r="AZ320" s="83" t="s">
        <v>88</v>
      </c>
      <c r="BA320" s="83">
        <v>1</v>
      </c>
      <c r="BC320" s="83" t="s">
        <v>88</v>
      </c>
      <c r="BD320" s="83">
        <v>1</v>
      </c>
      <c r="BF320" s="83" t="s">
        <v>88</v>
      </c>
      <c r="BG320" s="83">
        <v>1</v>
      </c>
      <c r="BI320" s="83" t="s">
        <v>88</v>
      </c>
      <c r="BJ320" s="83">
        <v>1</v>
      </c>
      <c r="BL320" s="83" t="s">
        <v>88</v>
      </c>
      <c r="BM320" s="83">
        <v>1</v>
      </c>
      <c r="BO320" s="83" t="s">
        <v>88</v>
      </c>
      <c r="BP320" s="83">
        <v>1</v>
      </c>
      <c r="BR320" s="83" t="s">
        <v>88</v>
      </c>
      <c r="BS320" s="83">
        <v>1</v>
      </c>
      <c r="BU320" s="83" t="s">
        <v>88</v>
      </c>
      <c r="BV320" s="83">
        <v>1</v>
      </c>
      <c r="BX320" s="83" t="s">
        <v>88</v>
      </c>
      <c r="BY320" s="83">
        <v>1</v>
      </c>
      <c r="CA320" s="83" t="s">
        <v>88</v>
      </c>
      <c r="CB320" s="83">
        <v>1</v>
      </c>
      <c r="CD320" s="83" t="s">
        <v>88</v>
      </c>
      <c r="CE320" s="83">
        <v>1</v>
      </c>
      <c r="CG320" s="83" t="s">
        <v>88</v>
      </c>
      <c r="CH320" s="83">
        <v>1</v>
      </c>
      <c r="CJ320" s="83" t="s">
        <v>88</v>
      </c>
      <c r="CK320" s="83">
        <v>1</v>
      </c>
      <c r="CM320" s="83" t="s">
        <v>88</v>
      </c>
      <c r="CN320" s="83">
        <v>1</v>
      </c>
      <c r="CP320" s="83" t="s">
        <v>88</v>
      </c>
      <c r="CQ320" s="83">
        <v>1</v>
      </c>
      <c r="CS320" s="83" t="s">
        <v>88</v>
      </c>
      <c r="CT320" s="83">
        <v>1</v>
      </c>
      <c r="CV320" s="83" t="s">
        <v>88</v>
      </c>
      <c r="CW320" s="83">
        <v>1</v>
      </c>
      <c r="CY320" s="83" t="s">
        <v>88</v>
      </c>
      <c r="CZ320" s="83">
        <v>1</v>
      </c>
    </row>
    <row r="322" spans="1:104" x14ac:dyDescent="0.2">
      <c r="A322" s="83" t="s">
        <v>89</v>
      </c>
      <c r="B322" s="83">
        <v>1</v>
      </c>
      <c r="D322" s="83" t="s">
        <v>89</v>
      </c>
      <c r="E322" s="83">
        <v>1</v>
      </c>
      <c r="G322" s="83" t="s">
        <v>89</v>
      </c>
      <c r="H322" s="83">
        <v>1</v>
      </c>
      <c r="J322" s="83" t="s">
        <v>89</v>
      </c>
      <c r="K322" s="83">
        <v>1</v>
      </c>
      <c r="M322" s="83" t="s">
        <v>89</v>
      </c>
      <c r="N322" s="83">
        <v>1</v>
      </c>
      <c r="P322" s="83" t="s">
        <v>89</v>
      </c>
      <c r="Q322" s="83">
        <v>1</v>
      </c>
      <c r="S322" s="83" t="s">
        <v>89</v>
      </c>
      <c r="T322" s="83">
        <v>1</v>
      </c>
      <c r="V322" s="83" t="s">
        <v>89</v>
      </c>
      <c r="W322" s="83">
        <v>1</v>
      </c>
      <c r="Y322" s="83" t="s">
        <v>89</v>
      </c>
      <c r="Z322" s="83">
        <v>1</v>
      </c>
      <c r="AB322" s="83" t="s">
        <v>89</v>
      </c>
      <c r="AC322" s="83">
        <v>1</v>
      </c>
      <c r="AE322" s="83" t="s">
        <v>89</v>
      </c>
      <c r="AF322" s="83">
        <v>1</v>
      </c>
      <c r="AH322" s="83" t="s">
        <v>89</v>
      </c>
      <c r="AI322" s="83">
        <v>1</v>
      </c>
      <c r="AK322" s="83" t="s">
        <v>89</v>
      </c>
      <c r="AL322" s="83">
        <v>1</v>
      </c>
      <c r="AN322" s="83" t="s">
        <v>89</v>
      </c>
      <c r="AO322" s="83">
        <v>1</v>
      </c>
      <c r="AQ322" s="83" t="s">
        <v>89</v>
      </c>
      <c r="AR322" s="83">
        <v>1</v>
      </c>
      <c r="AT322" s="83" t="s">
        <v>89</v>
      </c>
      <c r="AU322" s="83">
        <v>1</v>
      </c>
      <c r="AW322" s="83" t="s">
        <v>89</v>
      </c>
      <c r="AX322" s="83">
        <v>1</v>
      </c>
      <c r="AZ322" s="83" t="s">
        <v>89</v>
      </c>
      <c r="BA322" s="83">
        <v>1</v>
      </c>
      <c r="BC322" s="83" t="s">
        <v>89</v>
      </c>
      <c r="BD322" s="83">
        <v>1</v>
      </c>
      <c r="BF322" s="83" t="s">
        <v>89</v>
      </c>
      <c r="BG322" s="83">
        <v>1</v>
      </c>
      <c r="BI322" s="83" t="s">
        <v>89</v>
      </c>
      <c r="BJ322" s="83">
        <v>1</v>
      </c>
      <c r="BL322" s="83" t="s">
        <v>89</v>
      </c>
      <c r="BM322" s="83">
        <v>1</v>
      </c>
      <c r="BO322" s="83" t="s">
        <v>89</v>
      </c>
      <c r="BP322" s="83">
        <v>1</v>
      </c>
      <c r="BR322" s="83" t="s">
        <v>89</v>
      </c>
      <c r="BS322" s="83">
        <v>1</v>
      </c>
      <c r="BU322" s="83" t="s">
        <v>89</v>
      </c>
      <c r="BV322" s="83">
        <v>1</v>
      </c>
      <c r="BX322" s="83" t="s">
        <v>89</v>
      </c>
      <c r="BY322" s="83">
        <v>1</v>
      </c>
      <c r="CA322" s="83" t="s">
        <v>89</v>
      </c>
      <c r="CB322" s="83">
        <v>1</v>
      </c>
      <c r="CD322" s="83" t="s">
        <v>89</v>
      </c>
      <c r="CE322" s="83">
        <v>1</v>
      </c>
      <c r="CG322" s="83" t="s">
        <v>89</v>
      </c>
      <c r="CH322" s="83">
        <v>1</v>
      </c>
      <c r="CJ322" s="83" t="s">
        <v>89</v>
      </c>
      <c r="CK322" s="83">
        <v>1</v>
      </c>
      <c r="CM322" s="83" t="s">
        <v>89</v>
      </c>
      <c r="CN322" s="83">
        <v>1</v>
      </c>
      <c r="CP322" s="83" t="s">
        <v>89</v>
      </c>
      <c r="CQ322" s="83">
        <v>1</v>
      </c>
      <c r="CS322" s="83" t="s">
        <v>89</v>
      </c>
      <c r="CT322" s="83">
        <v>1</v>
      </c>
      <c r="CV322" s="83" t="s">
        <v>89</v>
      </c>
      <c r="CW322" s="83">
        <v>1</v>
      </c>
      <c r="CY322" s="83" t="s">
        <v>89</v>
      </c>
      <c r="CZ322" s="83">
        <v>1</v>
      </c>
    </row>
    <row r="324" spans="1:104" x14ac:dyDescent="0.2">
      <c r="A324" s="83" t="s">
        <v>90</v>
      </c>
      <c r="B324" s="83">
        <v>1</v>
      </c>
      <c r="D324" s="83" t="s">
        <v>90</v>
      </c>
      <c r="E324" s="83">
        <v>1</v>
      </c>
      <c r="G324" s="83" t="s">
        <v>90</v>
      </c>
      <c r="H324" s="83">
        <v>1</v>
      </c>
      <c r="J324" s="83" t="s">
        <v>90</v>
      </c>
      <c r="K324" s="83">
        <v>1</v>
      </c>
      <c r="M324" s="83" t="s">
        <v>90</v>
      </c>
      <c r="N324" s="83">
        <v>1</v>
      </c>
      <c r="P324" s="83" t="s">
        <v>90</v>
      </c>
      <c r="Q324" s="83">
        <v>1</v>
      </c>
      <c r="S324" s="83" t="s">
        <v>90</v>
      </c>
      <c r="T324" s="83">
        <v>1</v>
      </c>
      <c r="V324" s="83" t="s">
        <v>90</v>
      </c>
      <c r="W324" s="83">
        <v>1</v>
      </c>
      <c r="Y324" s="83" t="s">
        <v>90</v>
      </c>
      <c r="Z324" s="83">
        <v>1</v>
      </c>
      <c r="AB324" s="83" t="s">
        <v>90</v>
      </c>
      <c r="AC324" s="83">
        <v>1</v>
      </c>
      <c r="AE324" s="83" t="s">
        <v>90</v>
      </c>
      <c r="AF324" s="83">
        <v>1</v>
      </c>
      <c r="AH324" s="83" t="s">
        <v>90</v>
      </c>
      <c r="AI324" s="83">
        <v>1</v>
      </c>
      <c r="AK324" s="83" t="s">
        <v>90</v>
      </c>
      <c r="AL324" s="83">
        <v>1</v>
      </c>
      <c r="AN324" s="83" t="s">
        <v>90</v>
      </c>
      <c r="AO324" s="83">
        <v>1</v>
      </c>
      <c r="AQ324" s="83" t="s">
        <v>90</v>
      </c>
      <c r="AR324" s="83">
        <v>1</v>
      </c>
      <c r="AT324" s="83" t="s">
        <v>90</v>
      </c>
      <c r="AU324" s="83">
        <v>1</v>
      </c>
      <c r="AW324" s="83" t="s">
        <v>90</v>
      </c>
      <c r="AX324" s="83">
        <v>1</v>
      </c>
      <c r="AZ324" s="83" t="s">
        <v>90</v>
      </c>
      <c r="BA324" s="83">
        <v>1</v>
      </c>
      <c r="BC324" s="83" t="s">
        <v>90</v>
      </c>
      <c r="BD324" s="83">
        <v>1</v>
      </c>
      <c r="BF324" s="83" t="s">
        <v>90</v>
      </c>
      <c r="BG324" s="83">
        <v>1</v>
      </c>
      <c r="BI324" s="83" t="s">
        <v>90</v>
      </c>
      <c r="BJ324" s="83">
        <v>1</v>
      </c>
      <c r="BL324" s="83" t="s">
        <v>90</v>
      </c>
      <c r="BM324" s="83">
        <v>1</v>
      </c>
      <c r="BO324" s="83" t="s">
        <v>90</v>
      </c>
      <c r="BP324" s="83">
        <v>1</v>
      </c>
      <c r="BR324" s="83" t="s">
        <v>90</v>
      </c>
      <c r="BS324" s="83">
        <v>1</v>
      </c>
      <c r="BU324" s="83" t="s">
        <v>90</v>
      </c>
      <c r="BV324" s="83">
        <v>1</v>
      </c>
      <c r="BX324" s="83" t="s">
        <v>90</v>
      </c>
      <c r="BY324" s="83">
        <v>1</v>
      </c>
      <c r="CA324" s="83" t="s">
        <v>90</v>
      </c>
      <c r="CB324" s="83">
        <v>1</v>
      </c>
      <c r="CD324" s="83" t="s">
        <v>90</v>
      </c>
      <c r="CE324" s="83">
        <v>1</v>
      </c>
      <c r="CG324" s="83" t="s">
        <v>90</v>
      </c>
      <c r="CH324" s="83">
        <v>1</v>
      </c>
      <c r="CJ324" s="83" t="s">
        <v>90</v>
      </c>
      <c r="CK324" s="83">
        <v>1</v>
      </c>
      <c r="CM324" s="83" t="s">
        <v>90</v>
      </c>
      <c r="CN324" s="83">
        <v>1</v>
      </c>
      <c r="CP324" s="83" t="s">
        <v>90</v>
      </c>
      <c r="CQ324" s="83">
        <v>1</v>
      </c>
      <c r="CS324" s="83" t="s">
        <v>90</v>
      </c>
      <c r="CT324" s="83">
        <v>1</v>
      </c>
      <c r="CV324" s="83" t="s">
        <v>90</v>
      </c>
      <c r="CW324" s="83">
        <v>1</v>
      </c>
      <c r="CY324" s="83" t="s">
        <v>90</v>
      </c>
      <c r="CZ324" s="83">
        <v>1</v>
      </c>
    </row>
    <row r="326" spans="1:104" x14ac:dyDescent="0.2">
      <c r="A326" s="83" t="s">
        <v>153</v>
      </c>
      <c r="B326" s="83">
        <v>1</v>
      </c>
      <c r="D326" s="83" t="s">
        <v>153</v>
      </c>
      <c r="E326" s="83">
        <v>1</v>
      </c>
      <c r="G326" s="83" t="s">
        <v>153</v>
      </c>
      <c r="H326" s="83">
        <v>1</v>
      </c>
      <c r="J326" s="83" t="s">
        <v>153</v>
      </c>
      <c r="K326" s="83">
        <v>1</v>
      </c>
      <c r="M326" s="83" t="s">
        <v>153</v>
      </c>
      <c r="N326" s="83">
        <v>1</v>
      </c>
      <c r="P326" s="83" t="s">
        <v>153</v>
      </c>
      <c r="Q326" s="83">
        <v>1</v>
      </c>
      <c r="S326" s="83" t="s">
        <v>153</v>
      </c>
      <c r="T326" s="83">
        <v>1</v>
      </c>
      <c r="V326" s="83" t="s">
        <v>153</v>
      </c>
      <c r="W326" s="83">
        <v>1</v>
      </c>
      <c r="Y326" s="83" t="s">
        <v>153</v>
      </c>
      <c r="Z326" s="83">
        <v>1</v>
      </c>
      <c r="AB326" s="83" t="s">
        <v>153</v>
      </c>
      <c r="AC326" s="83">
        <v>1</v>
      </c>
      <c r="AE326" s="83" t="s">
        <v>153</v>
      </c>
      <c r="AF326" s="83">
        <v>1</v>
      </c>
      <c r="AH326" s="83" t="s">
        <v>153</v>
      </c>
      <c r="AI326" s="83">
        <v>1</v>
      </c>
      <c r="AK326" s="83" t="s">
        <v>153</v>
      </c>
      <c r="AL326" s="83">
        <v>1</v>
      </c>
      <c r="AN326" s="83" t="s">
        <v>153</v>
      </c>
      <c r="AO326" s="83">
        <v>1</v>
      </c>
      <c r="AQ326" s="83" t="s">
        <v>153</v>
      </c>
      <c r="AR326" s="83">
        <v>1</v>
      </c>
      <c r="AT326" s="83" t="s">
        <v>153</v>
      </c>
      <c r="AU326" s="83">
        <v>1</v>
      </c>
      <c r="AW326" s="83" t="s">
        <v>153</v>
      </c>
      <c r="AX326" s="83">
        <v>1</v>
      </c>
      <c r="AZ326" s="83" t="s">
        <v>153</v>
      </c>
      <c r="BA326" s="83">
        <v>1</v>
      </c>
      <c r="BC326" s="83" t="s">
        <v>153</v>
      </c>
      <c r="BD326" s="83">
        <v>1</v>
      </c>
      <c r="BF326" s="83" t="s">
        <v>153</v>
      </c>
      <c r="BG326" s="83">
        <v>1</v>
      </c>
      <c r="BI326" s="83" t="s">
        <v>153</v>
      </c>
      <c r="BJ326" s="83">
        <v>1</v>
      </c>
      <c r="BL326" s="83" t="s">
        <v>153</v>
      </c>
      <c r="BM326" s="83">
        <v>1</v>
      </c>
      <c r="BO326" s="83" t="s">
        <v>153</v>
      </c>
      <c r="BP326" s="83">
        <v>1</v>
      </c>
      <c r="BR326" s="83" t="s">
        <v>153</v>
      </c>
      <c r="BS326" s="83">
        <v>1</v>
      </c>
      <c r="BU326" s="83" t="s">
        <v>153</v>
      </c>
      <c r="BV326" s="83">
        <v>1</v>
      </c>
      <c r="BX326" s="83" t="s">
        <v>153</v>
      </c>
      <c r="BY326" s="83">
        <v>1</v>
      </c>
      <c r="CA326" s="83" t="s">
        <v>153</v>
      </c>
      <c r="CB326" s="83">
        <v>1</v>
      </c>
      <c r="CD326" s="83" t="s">
        <v>153</v>
      </c>
      <c r="CE326" s="83">
        <v>1</v>
      </c>
      <c r="CG326" s="83" t="s">
        <v>153</v>
      </c>
      <c r="CH326" s="83">
        <v>1</v>
      </c>
      <c r="CJ326" s="83" t="s">
        <v>153</v>
      </c>
      <c r="CK326" s="83">
        <v>1</v>
      </c>
      <c r="CM326" s="83" t="s">
        <v>153</v>
      </c>
      <c r="CN326" s="83">
        <v>1</v>
      </c>
      <c r="CP326" s="83" t="s">
        <v>153</v>
      </c>
      <c r="CQ326" s="83">
        <v>1</v>
      </c>
      <c r="CS326" s="83" t="s">
        <v>153</v>
      </c>
      <c r="CT326" s="83">
        <v>1</v>
      </c>
      <c r="CV326" s="83" t="s">
        <v>153</v>
      </c>
      <c r="CW326" s="83">
        <v>1</v>
      </c>
      <c r="CY326" s="83" t="s">
        <v>153</v>
      </c>
      <c r="CZ326" s="83">
        <v>1</v>
      </c>
    </row>
    <row r="328" spans="1:104" x14ac:dyDescent="0.2">
      <c r="A328" s="83" t="s">
        <v>154</v>
      </c>
      <c r="B328" s="83">
        <v>1</v>
      </c>
      <c r="D328" s="83" t="s">
        <v>154</v>
      </c>
      <c r="E328" s="83">
        <v>1</v>
      </c>
      <c r="G328" s="83" t="s">
        <v>154</v>
      </c>
      <c r="H328" s="83">
        <v>1</v>
      </c>
      <c r="J328" s="83" t="s">
        <v>154</v>
      </c>
      <c r="K328" s="83">
        <v>1</v>
      </c>
      <c r="M328" s="83" t="s">
        <v>154</v>
      </c>
      <c r="N328" s="83">
        <v>1</v>
      </c>
      <c r="P328" s="83" t="s">
        <v>154</v>
      </c>
      <c r="Q328" s="83">
        <v>1</v>
      </c>
      <c r="S328" s="83" t="s">
        <v>154</v>
      </c>
      <c r="T328" s="83">
        <v>1</v>
      </c>
      <c r="V328" s="83" t="s">
        <v>154</v>
      </c>
      <c r="W328" s="83">
        <v>1</v>
      </c>
      <c r="Y328" s="83" t="s">
        <v>154</v>
      </c>
      <c r="Z328" s="83">
        <v>1</v>
      </c>
      <c r="AB328" s="83" t="s">
        <v>154</v>
      </c>
      <c r="AC328" s="83">
        <v>1</v>
      </c>
      <c r="AE328" s="83" t="s">
        <v>154</v>
      </c>
      <c r="AF328" s="83">
        <v>1</v>
      </c>
      <c r="AH328" s="83" t="s">
        <v>154</v>
      </c>
      <c r="AI328" s="83">
        <v>1</v>
      </c>
      <c r="AK328" s="83" t="s">
        <v>154</v>
      </c>
      <c r="AL328" s="83">
        <v>1</v>
      </c>
      <c r="AN328" s="83" t="s">
        <v>154</v>
      </c>
      <c r="AO328" s="83">
        <v>1</v>
      </c>
      <c r="AQ328" s="83" t="s">
        <v>154</v>
      </c>
      <c r="AR328" s="83">
        <v>1</v>
      </c>
      <c r="AT328" s="83" t="s">
        <v>154</v>
      </c>
      <c r="AU328" s="83">
        <v>1</v>
      </c>
      <c r="AW328" s="83" t="s">
        <v>154</v>
      </c>
      <c r="AX328" s="83">
        <v>1</v>
      </c>
      <c r="AZ328" s="83" t="s">
        <v>154</v>
      </c>
      <c r="BA328" s="83">
        <v>1</v>
      </c>
      <c r="BC328" s="83" t="s">
        <v>154</v>
      </c>
      <c r="BD328" s="83">
        <v>1</v>
      </c>
      <c r="BF328" s="83" t="s">
        <v>154</v>
      </c>
      <c r="BG328" s="83">
        <v>1</v>
      </c>
      <c r="BI328" s="83" t="s">
        <v>154</v>
      </c>
      <c r="BJ328" s="83">
        <v>1</v>
      </c>
      <c r="BL328" s="83" t="s">
        <v>154</v>
      </c>
      <c r="BM328" s="83">
        <v>1</v>
      </c>
      <c r="BO328" s="83" t="s">
        <v>154</v>
      </c>
      <c r="BP328" s="83">
        <v>1</v>
      </c>
      <c r="BR328" s="83" t="s">
        <v>154</v>
      </c>
      <c r="BS328" s="83">
        <v>1</v>
      </c>
      <c r="BU328" s="83" t="s">
        <v>154</v>
      </c>
      <c r="BV328" s="83">
        <v>1</v>
      </c>
      <c r="BX328" s="83" t="s">
        <v>154</v>
      </c>
      <c r="BY328" s="83">
        <v>1</v>
      </c>
      <c r="CA328" s="83" t="s">
        <v>154</v>
      </c>
      <c r="CB328" s="83">
        <v>1</v>
      </c>
      <c r="CD328" s="83" t="s">
        <v>154</v>
      </c>
      <c r="CE328" s="83">
        <v>1</v>
      </c>
      <c r="CG328" s="83" t="s">
        <v>154</v>
      </c>
      <c r="CH328" s="83">
        <v>1</v>
      </c>
      <c r="CJ328" s="83" t="s">
        <v>154</v>
      </c>
      <c r="CK328" s="83">
        <v>1</v>
      </c>
      <c r="CM328" s="83" t="s">
        <v>154</v>
      </c>
      <c r="CN328" s="83">
        <v>1</v>
      </c>
      <c r="CP328" s="83" t="s">
        <v>154</v>
      </c>
      <c r="CQ328" s="83">
        <v>1</v>
      </c>
      <c r="CS328" s="83" t="s">
        <v>154</v>
      </c>
      <c r="CT328" s="83">
        <v>1</v>
      </c>
      <c r="CV328" s="83" t="s">
        <v>154</v>
      </c>
      <c r="CW328" s="83">
        <v>1</v>
      </c>
      <c r="CY328" s="83" t="s">
        <v>154</v>
      </c>
      <c r="CZ328" s="83">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workbookViewId="0"/>
  </sheetViews>
  <sheetFormatPr defaultRowHeight="12.75" x14ac:dyDescent="0.2"/>
  <cols>
    <col min="1" max="1" width="9.28515625" style="83" bestFit="1" customWidth="1"/>
    <col min="2" max="2" width="13.7109375" style="83" customWidth="1"/>
    <col min="3" max="3" width="11.5703125" style="83" customWidth="1"/>
    <col min="4" max="5" width="12.42578125" style="83" bestFit="1" customWidth="1"/>
    <col min="6" max="6" width="9.28515625" style="83" bestFit="1" customWidth="1"/>
    <col min="7" max="7" width="12.42578125" style="83" bestFit="1" customWidth="1"/>
    <col min="8" max="8" width="12.42578125" style="83" customWidth="1"/>
    <col min="9" max="9" width="9.28515625" style="83" bestFit="1" customWidth="1"/>
    <col min="10" max="16384" width="9.140625" style="83"/>
  </cols>
  <sheetData>
    <row r="1" spans="1:26" ht="38.25" x14ac:dyDescent="0.2">
      <c r="A1" s="171" t="s">
        <v>275</v>
      </c>
      <c r="B1" s="171" t="s">
        <v>55</v>
      </c>
      <c r="C1" s="171" t="s">
        <v>56</v>
      </c>
      <c r="D1" s="171" t="s">
        <v>180</v>
      </c>
      <c r="E1" s="171" t="s">
        <v>181</v>
      </c>
      <c r="F1" s="171" t="s">
        <v>301</v>
      </c>
      <c r="G1" s="171" t="s">
        <v>11</v>
      </c>
      <c r="H1" s="171" t="s">
        <v>278</v>
      </c>
      <c r="I1" s="171" t="s">
        <v>277</v>
      </c>
      <c r="J1" s="171" t="s">
        <v>308</v>
      </c>
      <c r="K1" s="172"/>
      <c r="L1" s="172"/>
      <c r="M1" s="172"/>
      <c r="N1" s="172"/>
      <c r="O1" s="172"/>
      <c r="P1" s="172"/>
      <c r="Q1" s="172"/>
      <c r="R1" s="172"/>
      <c r="S1" s="172"/>
      <c r="T1" s="172"/>
      <c r="U1" s="172"/>
      <c r="V1" s="172"/>
      <c r="W1" s="172"/>
      <c r="X1" s="172"/>
      <c r="Y1" s="172"/>
      <c r="Z1" s="172"/>
    </row>
    <row r="2" spans="1:26" x14ac:dyDescent="0.2">
      <c r="A2" s="173">
        <f>Calc!A9</f>
        <v>4.99E-5</v>
      </c>
      <c r="B2" s="173">
        <f>Calc!B9</f>
        <v>0.28174399999999999</v>
      </c>
      <c r="C2" s="173">
        <f>Calc!C9</f>
        <v>0.36832900000000002</v>
      </c>
      <c r="D2" s="173">
        <f>Calc!I9</f>
        <v>2215051167372483.5</v>
      </c>
      <c r="E2" s="173">
        <f>Calc!P9</f>
        <v>0</v>
      </c>
      <c r="F2" s="174">
        <f>Calc!S9</f>
        <v>0</v>
      </c>
      <c r="G2" s="173">
        <f>Calc!O9</f>
        <v>2215051167372483.5</v>
      </c>
      <c r="H2" s="175" t="str">
        <f>Calc!X9</f>
        <v/>
      </c>
      <c r="I2" s="175" t="str">
        <f>Calc!Y9</f>
        <v/>
      </c>
      <c r="J2" s="176">
        <f>Calc!AE9</f>
        <v>1368.3720052497295</v>
      </c>
      <c r="K2" s="172"/>
      <c r="L2" s="172"/>
      <c r="M2" s="172"/>
      <c r="N2" s="172"/>
      <c r="O2" s="172"/>
      <c r="P2" s="172"/>
      <c r="Q2" s="172"/>
      <c r="R2" s="172"/>
      <c r="S2" s="172"/>
      <c r="T2" s="172"/>
      <c r="U2" s="172"/>
      <c r="V2" s="172"/>
      <c r="W2" s="172"/>
      <c r="X2" s="172"/>
      <c r="Y2" s="172"/>
      <c r="Z2" s="172"/>
    </row>
    <row r="3" spans="1:26" x14ac:dyDescent="0.2">
      <c r="A3" s="173">
        <f>Calc!A10</f>
        <v>1.4990000000000001E-4</v>
      </c>
      <c r="B3" s="173">
        <f>Calc!B10</f>
        <v>0.53121399999999996</v>
      </c>
      <c r="C3" s="173">
        <f>Calc!C10</f>
        <v>0.55086999999999997</v>
      </c>
      <c r="D3" s="173">
        <f>Calc!I10</f>
        <v>4339805858848166</v>
      </c>
      <c r="E3" s="173">
        <f>Calc!P10</f>
        <v>0</v>
      </c>
      <c r="F3" s="174">
        <f>Calc!S10</f>
        <v>0</v>
      </c>
      <c r="G3" s="173">
        <f>Calc!O10</f>
        <v>4339805858848166</v>
      </c>
      <c r="H3" s="175" t="str">
        <f>Calc!X10</f>
        <v/>
      </c>
      <c r="I3" s="175" t="str">
        <f>Calc!Y10</f>
        <v/>
      </c>
      <c r="J3" s="176">
        <f>Calc!AE10</f>
        <v>1321.5354549523686</v>
      </c>
    </row>
    <row r="4" spans="1:26" x14ac:dyDescent="0.2">
      <c r="A4" s="173">
        <f>Calc!A11</f>
        <v>2.499E-4</v>
      </c>
      <c r="B4" s="173">
        <f>Calc!B11</f>
        <v>0.61400100000000002</v>
      </c>
      <c r="C4" s="173">
        <f>Calc!C11</f>
        <v>0.612294</v>
      </c>
      <c r="D4" s="173">
        <f>Calc!I11</f>
        <v>5073569309110765</v>
      </c>
      <c r="E4" s="173">
        <f>Calc!P11</f>
        <v>9.5636062981742042E-6</v>
      </c>
      <c r="F4" s="174">
        <f>Calc!S11</f>
        <v>104520.33612513679</v>
      </c>
      <c r="G4" s="173">
        <f>Calc!O11</f>
        <v>5073569309110765</v>
      </c>
      <c r="H4" s="175" t="str">
        <f>Calc!X11</f>
        <v/>
      </c>
      <c r="I4" s="175" t="str">
        <f>Calc!Y11</f>
        <v/>
      </c>
      <c r="J4" s="176">
        <f>Calc!AE11</f>
        <v>1308.1183292568519</v>
      </c>
    </row>
    <row r="5" spans="1:26" x14ac:dyDescent="0.2">
      <c r="A5" s="173">
        <f>Calc!A12</f>
        <v>3.4989999999999999E-4</v>
      </c>
      <c r="B5" s="173">
        <f>Calc!B12</f>
        <v>0.621031</v>
      </c>
      <c r="C5" s="173">
        <f>Calc!C12</f>
        <v>0.62779399999999996</v>
      </c>
      <c r="D5" s="173">
        <f>Calc!I12</f>
        <v>5136517295787239</v>
      </c>
      <c r="E5" s="173">
        <f>Calc!P12</f>
        <v>9.3427657478945177E-6</v>
      </c>
      <c r="F5" s="174">
        <f>Calc!S12</f>
        <v>106990.88906845226</v>
      </c>
      <c r="G5" s="173">
        <f>Calc!O12</f>
        <v>5136517295787239</v>
      </c>
      <c r="H5" s="175" t="str">
        <f>Calc!X12</f>
        <v/>
      </c>
      <c r="I5" s="175" t="str">
        <f>Calc!Y12</f>
        <v/>
      </c>
      <c r="J5" s="176">
        <f>Calc!AE12</f>
        <v>1307.0118324361172</v>
      </c>
    </row>
    <row r="6" spans="1:26" x14ac:dyDescent="0.2">
      <c r="A6" s="173">
        <f>Calc!A13</f>
        <v>4.4989999999999999E-4</v>
      </c>
      <c r="B6" s="173">
        <f>Calc!B13</f>
        <v>0.59563200000000005</v>
      </c>
      <c r="C6" s="173">
        <f>Calc!C13</f>
        <v>0.61406300000000003</v>
      </c>
      <c r="D6" s="173">
        <f>Calc!I13</f>
        <v>4909560353549486</v>
      </c>
      <c r="E6" s="173">
        <f>Calc!P13</f>
        <v>9.0915148299900913E-6</v>
      </c>
      <c r="F6" s="174">
        <f>Calc!S13</f>
        <v>109952.65876590151</v>
      </c>
      <c r="G6" s="173">
        <f>Calc!O13</f>
        <v>4909560353549486</v>
      </c>
      <c r="H6" s="177">
        <f>Calc!X13</f>
        <v>0.70918925923060949</v>
      </c>
      <c r="I6" s="178">
        <f>Calc!Y13</f>
        <v>58.540945427401432</v>
      </c>
      <c r="J6" s="176">
        <f>Calc!AE13</f>
        <v>1311.0324160363489</v>
      </c>
    </row>
    <row r="7" spans="1:26" x14ac:dyDescent="0.2">
      <c r="A7" s="173">
        <f>Calc!A14</f>
        <v>5.4989999999999998E-4</v>
      </c>
      <c r="B7" s="173">
        <f>Calc!B14</f>
        <v>0.56855</v>
      </c>
      <c r="C7" s="173">
        <f>Calc!C14</f>
        <v>0.58807699999999996</v>
      </c>
      <c r="D7" s="173">
        <f>Calc!I14</f>
        <v>4669001849558041</v>
      </c>
      <c r="E7" s="173">
        <f>Calc!P14</f>
        <v>9.0157025011016198E-6</v>
      </c>
      <c r="F7" s="174">
        <f>Calc!S14</f>
        <v>110881.40341225351</v>
      </c>
      <c r="G7" s="173">
        <f>Calc!O14</f>
        <v>4669001849558041</v>
      </c>
      <c r="H7" s="177">
        <f>Calc!X14</f>
        <v>0.70747459206145535</v>
      </c>
      <c r="I7" s="178">
        <f>Calc!Y14</f>
        <v>56.140703916516486</v>
      </c>
      <c r="J7" s="176">
        <f>Calc!AE14</f>
        <v>1315.3919541856449</v>
      </c>
    </row>
    <row r="8" spans="1:26" x14ac:dyDescent="0.2">
      <c r="A8" s="173">
        <f>Calc!A15</f>
        <v>6.4990000000000002E-4</v>
      </c>
      <c r="B8" s="173">
        <f>Calc!B15</f>
        <v>0.54052500000000003</v>
      </c>
      <c r="C8" s="173">
        <f>Calc!C15</f>
        <v>0.555311</v>
      </c>
      <c r="D8" s="173">
        <f>Calc!I15</f>
        <v>4421635896884549</v>
      </c>
      <c r="E8" s="173">
        <f>Calc!P15</f>
        <v>9.0388591528612343E-6</v>
      </c>
      <c r="F8" s="174">
        <f>Calc!S15</f>
        <v>110600.97652074756</v>
      </c>
      <c r="G8" s="173">
        <f>Calc!O15</f>
        <v>4421635896884549</v>
      </c>
      <c r="H8" s="177">
        <f>Calc!X15</f>
        <v>0.7056326942171931</v>
      </c>
      <c r="I8" s="178">
        <f>Calc!Y15</f>
        <v>53.030135708741525</v>
      </c>
      <c r="J8" s="176">
        <f>Calc!AE15</f>
        <v>1319.98812629955</v>
      </c>
    </row>
    <row r="9" spans="1:26" x14ac:dyDescent="0.2">
      <c r="A9" s="173">
        <f>Calc!A16</f>
        <v>7.4989999999999996E-4</v>
      </c>
      <c r="B9" s="173">
        <f>Calc!B16</f>
        <v>0.51258899999999996</v>
      </c>
      <c r="C9" s="173">
        <f>Calc!C16</f>
        <v>0.52234199999999997</v>
      </c>
      <c r="D9" s="173">
        <f>Calc!I16</f>
        <v>4176652239164759</v>
      </c>
      <c r="E9" s="173">
        <f>Calc!P16</f>
        <v>9.0748021795774244E-6</v>
      </c>
      <c r="F9" s="174">
        <f>Calc!S16</f>
        <v>110166.28180105846</v>
      </c>
      <c r="G9" s="173">
        <f>Calc!O16</f>
        <v>4176652239164759</v>
      </c>
      <c r="H9" s="177">
        <f>Calc!X16</f>
        <v>0.70372151805906502</v>
      </c>
      <c r="I9" s="178">
        <f>Calc!Y16</f>
        <v>49.893564232689343</v>
      </c>
      <c r="J9" s="176">
        <f>Calc!AE16</f>
        <v>1324.6627304548074</v>
      </c>
    </row>
    <row r="10" spans="1:26" x14ac:dyDescent="0.2">
      <c r="A10" s="173">
        <f>Calc!A17</f>
        <v>8.499E-4</v>
      </c>
      <c r="B10" s="173">
        <f>Calc!B17</f>
        <v>0.485263</v>
      </c>
      <c r="C10" s="173">
        <f>Calc!C17</f>
        <v>0.49124200000000001</v>
      </c>
      <c r="D10" s="173">
        <f>Calc!I17</f>
        <v>3938569906425649.5</v>
      </c>
      <c r="E10" s="173">
        <f>Calc!P17</f>
        <v>9.098039098863075E-6</v>
      </c>
      <c r="F10" s="174">
        <f>Calc!S17</f>
        <v>109888.04404216731</v>
      </c>
      <c r="G10" s="173">
        <f>Calc!O17</f>
        <v>3938569906425649.5</v>
      </c>
      <c r="H10" s="177">
        <f>Calc!X17</f>
        <v>0.70177186980018813</v>
      </c>
      <c r="I10" s="178">
        <f>Calc!Y17</f>
        <v>46.929306838871376</v>
      </c>
      <c r="J10" s="176">
        <f>Calc!AE17</f>
        <v>1329.3330888469343</v>
      </c>
    </row>
    <row r="11" spans="1:26" x14ac:dyDescent="0.2">
      <c r="A11" s="173">
        <f>Calc!A18</f>
        <v>9.4990000000000005E-4</v>
      </c>
      <c r="B11" s="173">
        <f>Calc!B18</f>
        <v>0.458976</v>
      </c>
      <c r="C11" s="173">
        <f>Calc!C18</f>
        <v>0.462113</v>
      </c>
      <c r="D11" s="173">
        <f>Calc!I18</f>
        <v>3710998509972983.5</v>
      </c>
      <c r="E11" s="173">
        <f>Calc!P18</f>
        <v>9.1120035773011125E-6</v>
      </c>
      <c r="F11" s="174">
        <f>Calc!S18</f>
        <v>109722.48690190945</v>
      </c>
      <c r="G11" s="173">
        <f>Calc!O18</f>
        <v>3710998509972983.5</v>
      </c>
      <c r="H11" s="177">
        <f>Calc!X18</f>
        <v>0.69981332583947264</v>
      </c>
      <c r="I11" s="178">
        <f>Calc!Y18</f>
        <v>44.149956358530744</v>
      </c>
      <c r="J11" s="176">
        <f>Calc!AE18</f>
        <v>1333.9255890234972</v>
      </c>
    </row>
    <row r="12" spans="1:26" x14ac:dyDescent="0.2">
      <c r="A12" s="173">
        <f>Calc!A19</f>
        <v>1.0499000000000001E-3</v>
      </c>
      <c r="B12" s="173">
        <f>Calc!B19</f>
        <v>0.43409300000000001</v>
      </c>
      <c r="C12" s="173">
        <f>Calc!C19</f>
        <v>0.43501099999999998</v>
      </c>
      <c r="D12" s="173">
        <f>Calc!I19</f>
        <v>3496909519520986</v>
      </c>
      <c r="E12" s="173">
        <f>Calc!P19</f>
        <v>9.1209672360436855E-6</v>
      </c>
      <c r="F12" s="174">
        <f>Calc!S19</f>
        <v>109617.19592437365</v>
      </c>
      <c r="G12" s="173">
        <f>Calc!O19</f>
        <v>3496909519520986</v>
      </c>
      <c r="H12" s="177">
        <f>Calc!X19</f>
        <v>0.69787601550702405</v>
      </c>
      <c r="I12" s="178">
        <f>Calc!Y19</f>
        <v>41.562042286507548</v>
      </c>
      <c r="J12" s="176">
        <f>Calc!AE19</f>
        <v>1338.3713929214809</v>
      </c>
    </row>
    <row r="13" spans="1:26" x14ac:dyDescent="0.2">
      <c r="A13" s="173">
        <f>Calc!A20</f>
        <v>1.1498999999999999E-3</v>
      </c>
      <c r="B13" s="173">
        <f>Calc!B20</f>
        <v>0.41023799999999999</v>
      </c>
      <c r="C13" s="173">
        <f>Calc!C20</f>
        <v>0.40977799999999998</v>
      </c>
      <c r="D13" s="173">
        <f>Calc!I20</f>
        <v>3292887666362797.5</v>
      </c>
      <c r="E13" s="173">
        <f>Calc!P20</f>
        <v>9.1172473143618855E-6</v>
      </c>
      <c r="F13" s="174">
        <f>Calc!S20</f>
        <v>109664.22858504683</v>
      </c>
      <c r="G13" s="173">
        <f>Calc!O20</f>
        <v>3292887666362797.5</v>
      </c>
      <c r="H13" s="177">
        <f>Calc!X20</f>
        <v>0.69593400186650423</v>
      </c>
      <c r="I13" s="178">
        <f>Calc!Y20</f>
        <v>39.153136639665384</v>
      </c>
      <c r="J13" s="176">
        <f>Calc!AE20</f>
        <v>1342.7321775519981</v>
      </c>
    </row>
    <row r="14" spans="1:26" x14ac:dyDescent="0.2">
      <c r="A14" s="173">
        <f>Calc!A21</f>
        <v>1.2499E-3</v>
      </c>
      <c r="B14" s="173">
        <f>Calc!B21</f>
        <v>0.38771800000000001</v>
      </c>
      <c r="C14" s="173">
        <f>Calc!C21</f>
        <v>0.386106</v>
      </c>
      <c r="D14" s="173">
        <f>Calc!I21</f>
        <v>3101391318795048</v>
      </c>
      <c r="E14" s="173">
        <f>Calc!P21</f>
        <v>9.113312328456557E-6</v>
      </c>
      <c r="F14" s="174">
        <f>Calc!S21</f>
        <v>109713.62029640362</v>
      </c>
      <c r="G14" s="173">
        <f>Calc!O21</f>
        <v>3101391318795048</v>
      </c>
      <c r="H14" s="177">
        <f>Calc!X21</f>
        <v>0.69401587141060739</v>
      </c>
      <c r="I14" s="178">
        <f>Calc!Y21</f>
        <v>36.892126794879665</v>
      </c>
      <c r="J14" s="176">
        <f>Calc!AE21</f>
        <v>1346.9461011769961</v>
      </c>
    </row>
    <row r="15" spans="1:26" x14ac:dyDescent="0.2">
      <c r="A15" s="173">
        <f>Calc!A22</f>
        <v>1.3499E-3</v>
      </c>
      <c r="B15" s="173">
        <f>Calc!B22</f>
        <v>0.36559900000000001</v>
      </c>
      <c r="C15" s="173">
        <f>Calc!C22</f>
        <v>0.36399500000000001</v>
      </c>
      <c r="D15" s="173">
        <f>Calc!I22</f>
        <v>2914362280747193</v>
      </c>
      <c r="E15" s="173">
        <f>Calc!P22</f>
        <v>9.0836684510765895E-6</v>
      </c>
      <c r="F15" s="174">
        <f>Calc!S22</f>
        <v>110073.58235529724</v>
      </c>
      <c r="G15" s="173">
        <f>Calc!O22</f>
        <v>2914362280747193</v>
      </c>
      <c r="H15" s="177">
        <f>Calc!X22</f>
        <v>0.69204238549838704</v>
      </c>
      <c r="I15" s="178">
        <f>Calc!Y22</f>
        <v>34.780485762250883</v>
      </c>
      <c r="J15" s="176">
        <f>Calc!AE22</f>
        <v>1351.1859460132571</v>
      </c>
    </row>
    <row r="16" spans="1:26" x14ac:dyDescent="0.2">
      <c r="A16" s="173">
        <f>Calc!A23</f>
        <v>1.4499000000000001E-3</v>
      </c>
      <c r="B16" s="173">
        <f>Calc!B23</f>
        <v>0.34553299999999998</v>
      </c>
      <c r="C16" s="173">
        <f>Calc!C23</f>
        <v>0.34325699999999998</v>
      </c>
      <c r="D16" s="173">
        <f>Calc!I23</f>
        <v>2745608404093400.5</v>
      </c>
      <c r="E16" s="173">
        <f>Calc!P23</f>
        <v>9.0745213222673238E-6</v>
      </c>
      <c r="F16" s="174">
        <f>Calc!S23</f>
        <v>110186.13641132432</v>
      </c>
      <c r="G16" s="173">
        <f>Calc!O23</f>
        <v>2745608404093400.5</v>
      </c>
      <c r="H16" s="177">
        <f>Calc!X23</f>
        <v>0.69016636763091321</v>
      </c>
      <c r="I16" s="178">
        <f>Calc!Y23</f>
        <v>32.799577561312766</v>
      </c>
      <c r="J16" s="176">
        <f>Calc!AE23</f>
        <v>1355.1273900210153</v>
      </c>
    </row>
    <row r="17" spans="1:10" x14ac:dyDescent="0.2">
      <c r="A17" s="173">
        <f>Calc!A24</f>
        <v>1.5499000000000001E-3</v>
      </c>
      <c r="B17" s="173">
        <f>Calc!B24</f>
        <v>0.32564799999999999</v>
      </c>
      <c r="C17" s="173">
        <f>Calc!C24</f>
        <v>0.32363599999999998</v>
      </c>
      <c r="D17" s="173">
        <f>Calc!I24</f>
        <v>2579245728297773</v>
      </c>
      <c r="E17" s="173">
        <f>Calc!P24</f>
        <v>9.041408078484011E-6</v>
      </c>
      <c r="F17" s="174">
        <f>Calc!S24</f>
        <v>110591.19835834847</v>
      </c>
      <c r="G17" s="173">
        <f>Calc!O24</f>
        <v>2579245728297773</v>
      </c>
      <c r="H17" s="177">
        <f>Calc!X24</f>
        <v>0.68821725352731411</v>
      </c>
      <c r="I17" s="178">
        <f>Calc!Y24</f>
        <v>30.925022826132675</v>
      </c>
      <c r="J17" s="176">
        <f>Calc!AE24</f>
        <v>1359.1315730557121</v>
      </c>
    </row>
    <row r="18" spans="1:10" x14ac:dyDescent="0.2">
      <c r="A18" s="173">
        <f>Calc!A25</f>
        <v>1.6498999999999999E-3</v>
      </c>
      <c r="B18" s="173">
        <f>Calc!B25</f>
        <v>0.30714200000000003</v>
      </c>
      <c r="C18" s="173">
        <f>Calc!C25</f>
        <v>0.30527500000000002</v>
      </c>
      <c r="D18" s="173">
        <f>Calc!I25</f>
        <v>2425206289963866</v>
      </c>
      <c r="E18" s="173">
        <f>Calc!P25</f>
        <v>9.0125430267988737E-6</v>
      </c>
      <c r="F18" s="174">
        <f>Calc!S25</f>
        <v>110946.71094243108</v>
      </c>
      <c r="G18" s="173">
        <f>Calc!O25</f>
        <v>2425206289963866</v>
      </c>
      <c r="H18" s="177">
        <f>Calc!X25</f>
        <v>0.68631319853416084</v>
      </c>
      <c r="I18" s="178">
        <f>Calc!Y25</f>
        <v>29.171228226853874</v>
      </c>
      <c r="J18" s="176">
        <f>Calc!AE25</f>
        <v>1362.9548548435753</v>
      </c>
    </row>
    <row r="19" spans="1:10" x14ac:dyDescent="0.2">
      <c r="A19" s="173">
        <f>Calc!A26</f>
        <v>1.7499E-3</v>
      </c>
      <c r="B19" s="173">
        <f>Calc!B26</f>
        <v>0.28932400000000003</v>
      </c>
      <c r="C19" s="173">
        <f>Calc!C26</f>
        <v>0.28798600000000002</v>
      </c>
      <c r="D19" s="173">
        <f>Calc!I26</f>
        <v>2277618747495413.5</v>
      </c>
      <c r="E19" s="173">
        <f>Calc!P26</f>
        <v>8.9724231638139242E-6</v>
      </c>
      <c r="F19" s="174">
        <f>Calc!S26</f>
        <v>111444.00094183652</v>
      </c>
      <c r="G19" s="173">
        <f>Calc!O26</f>
        <v>2277618747495413.5</v>
      </c>
      <c r="H19" s="177">
        <f>Calc!X26</f>
        <v>0.68438782461373959</v>
      </c>
      <c r="I19" s="178">
        <f>Calc!Y26</f>
        <v>27.518493909948436</v>
      </c>
      <c r="J19" s="176">
        <f>Calc!AE26</f>
        <v>1366.7332654737565</v>
      </c>
    </row>
    <row r="20" spans="1:10" x14ac:dyDescent="0.2">
      <c r="A20" s="173">
        <f>Calc!A27</f>
        <v>1.8499E-3</v>
      </c>
      <c r="B20" s="173">
        <f>Calc!B27</f>
        <v>0.272814</v>
      </c>
      <c r="C20" s="173">
        <f>Calc!C27</f>
        <v>0.27168599999999998</v>
      </c>
      <c r="D20" s="173">
        <f>Calc!I27</f>
        <v>2141508752184578.2</v>
      </c>
      <c r="E20" s="173">
        <f>Calc!P27</f>
        <v>8.9424822931915747E-6</v>
      </c>
      <c r="F20" s="174">
        <f>Calc!S27</f>
        <v>111818.16070276769</v>
      </c>
      <c r="G20" s="173">
        <f>Calc!O27</f>
        <v>2141508752184578.2</v>
      </c>
      <c r="H20" s="177">
        <f>Calc!X27</f>
        <v>0.68251329884540324</v>
      </c>
      <c r="I20" s="178">
        <f>Calc!Y27</f>
        <v>25.960625068188449</v>
      </c>
      <c r="J20" s="176">
        <f>Calc!AE27</f>
        <v>1370.3282532521066</v>
      </c>
    </row>
    <row r="21" spans="1:10" x14ac:dyDescent="0.2">
      <c r="A21" s="173">
        <f>Calc!A28</f>
        <v>1.9499000000000001E-3</v>
      </c>
      <c r="B21" s="173">
        <f>Calc!B28</f>
        <v>0.257023</v>
      </c>
      <c r="C21" s="173">
        <f>Calc!C28</f>
        <v>0.25643300000000002</v>
      </c>
      <c r="D21" s="173">
        <f>Calc!I28</f>
        <v>2011913213514131.3</v>
      </c>
      <c r="E21" s="173">
        <f>Calc!P28</f>
        <v>8.9011236339545298E-6</v>
      </c>
      <c r="F21" s="174">
        <f>Calc!S28</f>
        <v>112338.64750686706</v>
      </c>
      <c r="G21" s="173">
        <f>Calc!O28</f>
        <v>2011913213514131.3</v>
      </c>
      <c r="H21" s="177">
        <f>Calc!X28</f>
        <v>0.68062894665337625</v>
      </c>
      <c r="I21" s="178">
        <f>Calc!Y28</f>
        <v>24.502917052692304</v>
      </c>
      <c r="J21" s="176">
        <f>Calc!AE28</f>
        <v>1373.8600001797327</v>
      </c>
    </row>
    <row r="22" spans="1:10" x14ac:dyDescent="0.2">
      <c r="A22" s="173">
        <f>Calc!A29</f>
        <v>2.0498999999999999E-3</v>
      </c>
      <c r="B22" s="173">
        <f>Calc!B29</f>
        <v>0.24216499999999999</v>
      </c>
      <c r="C22" s="173">
        <f>Calc!C29</f>
        <v>0.24216499999999999</v>
      </c>
      <c r="D22" s="173">
        <f>Calc!I29</f>
        <v>1890506320955255.5</v>
      </c>
      <c r="E22" s="173">
        <f>Calc!P29</f>
        <v>8.8568732946072114E-6</v>
      </c>
      <c r="F22" s="174">
        <f>Calc!S29</f>
        <v>112900.72919849264</v>
      </c>
      <c r="G22" s="173">
        <f>Calc!O29</f>
        <v>1890506320955255.5</v>
      </c>
      <c r="H22" s="177">
        <f>Calc!X29</f>
        <v>0.67876422025897909</v>
      </c>
      <c r="I22" s="178">
        <f>Calc!Y29</f>
        <v>23.139346114720588</v>
      </c>
      <c r="J22" s="176">
        <f>Calc!AE29</f>
        <v>1377.2750210416109</v>
      </c>
    </row>
    <row r="23" spans="1:10" x14ac:dyDescent="0.2">
      <c r="A23" s="173">
        <f>Calc!A30</f>
        <v>2.1499000000000002E-3</v>
      </c>
      <c r="B23" s="173">
        <f>Calc!B30</f>
        <v>0.227857</v>
      </c>
      <c r="C23" s="173">
        <f>Calc!C30</f>
        <v>0.22878599999999999</v>
      </c>
      <c r="D23" s="173">
        <f>Calc!I30</f>
        <v>1774088120472812</v>
      </c>
      <c r="E23" s="173">
        <f>Calc!P30</f>
        <v>8.7973330437995501E-6</v>
      </c>
      <c r="F23" s="174">
        <f>Calc!S30</f>
        <v>113665.58841206964</v>
      </c>
      <c r="G23" s="173">
        <f>Calc!O30</f>
        <v>1774088120472812</v>
      </c>
      <c r="H23" s="177">
        <f>Calc!X30</f>
        <v>0.67687397929719839</v>
      </c>
      <c r="I23" s="178">
        <f>Calc!Y30</f>
        <v>21.861378045877537</v>
      </c>
      <c r="J23" s="176">
        <f>Calc!AE30</f>
        <v>1380.6567209654315</v>
      </c>
    </row>
    <row r="24" spans="1:10" x14ac:dyDescent="0.2">
      <c r="A24" s="173">
        <f>Calc!A31</f>
        <v>2.2499E-3</v>
      </c>
      <c r="B24" s="173">
        <f>Calc!B31</f>
        <v>0.21469299999999999</v>
      </c>
      <c r="C24" s="173">
        <f>Calc!C31</f>
        <v>0.21621599999999999</v>
      </c>
      <c r="D24" s="173">
        <f>Calc!I31</f>
        <v>1667413560865581</v>
      </c>
      <c r="E24" s="173">
        <f>Calc!P31</f>
        <v>8.7490988929304797E-6</v>
      </c>
      <c r="F24" s="174">
        <f>Calc!S31</f>
        <v>114292.86981478437</v>
      </c>
      <c r="G24" s="173">
        <f>Calc!O31</f>
        <v>1667413560865581</v>
      </c>
      <c r="H24" s="177">
        <f>Calc!X31</f>
        <v>0.67504269481538026</v>
      </c>
      <c r="I24" s="178">
        <f>Calc!Y31</f>
        <v>20.660145892183209</v>
      </c>
      <c r="J24" s="176">
        <f>Calc!AE31</f>
        <v>1383.8571633620118</v>
      </c>
    </row>
    <row r="25" spans="1:10" x14ac:dyDescent="0.2">
      <c r="A25" s="173">
        <f>Calc!A32</f>
        <v>2.3498999999999998E-3</v>
      </c>
      <c r="B25" s="173">
        <f>Calc!B32</f>
        <v>0.201542</v>
      </c>
      <c r="C25" s="173">
        <f>Calc!C32</f>
        <v>0.20435800000000001</v>
      </c>
      <c r="D25" s="173">
        <f>Calc!I32</f>
        <v>1561268006305190.7</v>
      </c>
      <c r="E25" s="173">
        <f>Calc!P32</f>
        <v>8.6680954213194351E-6</v>
      </c>
      <c r="F25" s="174">
        <f>Calc!S32</f>
        <v>115361.55029257658</v>
      </c>
      <c r="G25" s="173">
        <f>Calc!O32</f>
        <v>1561268006305190.7</v>
      </c>
      <c r="H25" s="177">
        <f>Calc!X32</f>
        <v>0.6731137219802017</v>
      </c>
      <c r="I25" s="178">
        <f>Calc!Y32</f>
        <v>19.525724480715507</v>
      </c>
      <c r="J25" s="176">
        <f>Calc!AE32</f>
        <v>1387.1488514980792</v>
      </c>
    </row>
    <row r="26" spans="1:10" x14ac:dyDescent="0.2">
      <c r="A26" s="173">
        <f>Calc!A33</f>
        <v>2.4499000000000001E-3</v>
      </c>
      <c r="B26" s="173">
        <f>Calc!B33</f>
        <v>0.18971399999999999</v>
      </c>
      <c r="C26" s="173">
        <f>Calc!C33</f>
        <v>0.19327800000000001</v>
      </c>
      <c r="D26" s="173">
        <f>Calc!I33</f>
        <v>1466168775928969.8</v>
      </c>
      <c r="E26" s="173">
        <f>Calc!P33</f>
        <v>8.6070889941157731E-6</v>
      </c>
      <c r="F26" s="174">
        <f>Calc!S33</f>
        <v>116179.73126235367</v>
      </c>
      <c r="G26" s="173">
        <f>Calc!O33</f>
        <v>1466168775928969.8</v>
      </c>
      <c r="H26" s="177">
        <f>Calc!X33</f>
        <v>0.67128299971700456</v>
      </c>
      <c r="I26" s="178">
        <f>Calc!Y33</f>
        <v>18.4663495962069</v>
      </c>
      <c r="J26" s="176">
        <f>Calc!AE33</f>
        <v>1390.1985790936706</v>
      </c>
    </row>
    <row r="27" spans="1:10" x14ac:dyDescent="0.2">
      <c r="A27" s="173">
        <f>Calc!A34</f>
        <v>2.5498999999999999E-3</v>
      </c>
      <c r="B27" s="173">
        <f>Calc!B34</f>
        <v>0.178871</v>
      </c>
      <c r="C27" s="173">
        <f>Calc!C34</f>
        <v>0.18282000000000001</v>
      </c>
      <c r="D27" s="173">
        <f>Calc!I34</f>
        <v>1379300832227081.2</v>
      </c>
      <c r="E27" s="173">
        <f>Calc!P34</f>
        <v>8.5607509010827593E-6</v>
      </c>
      <c r="F27" s="174">
        <f>Calc!S34</f>
        <v>116809.02479632068</v>
      </c>
      <c r="G27" s="173">
        <f>Calc!O34</f>
        <v>1379300832227081.2</v>
      </c>
      <c r="H27" s="177">
        <f>Calc!X34</f>
        <v>0.66951485007402856</v>
      </c>
      <c r="I27" s="178">
        <f>Calc!Y34</f>
        <v>17.466284031329902</v>
      </c>
      <c r="J27" s="176">
        <f>Calc!AE34</f>
        <v>1393.0764107156867</v>
      </c>
    </row>
    <row r="28" spans="1:10" x14ac:dyDescent="0.2">
      <c r="A28" s="173">
        <f>Calc!A35</f>
        <v>2.6499000000000002E-3</v>
      </c>
      <c r="B28" s="173">
        <f>Calc!B35</f>
        <v>0.16808100000000001</v>
      </c>
      <c r="C28" s="173">
        <f>Calc!C35</f>
        <v>0.17302100000000001</v>
      </c>
      <c r="D28" s="173">
        <f>Calc!I35</f>
        <v>1293158965979789.7</v>
      </c>
      <c r="E28" s="173">
        <f>Calc!P35</f>
        <v>8.4805602344705515E-6</v>
      </c>
      <c r="F28" s="174">
        <f>Calc!S35</f>
        <v>117913.96213532241</v>
      </c>
      <c r="G28" s="173">
        <f>Calc!O35</f>
        <v>1293158965979789.7</v>
      </c>
      <c r="H28" s="177">
        <f>Calc!X35</f>
        <v>0.66765915679524968</v>
      </c>
      <c r="I28" s="178">
        <f>Calc!Y35</f>
        <v>16.530300644784763</v>
      </c>
      <c r="J28" s="176">
        <f>Calc!AE35</f>
        <v>1396.0263141821465</v>
      </c>
    </row>
    <row r="29" spans="1:10" x14ac:dyDescent="0.2">
      <c r="A29" s="173">
        <f>Calc!A36</f>
        <v>2.7499E-3</v>
      </c>
      <c r="B29" s="173">
        <f>Calc!B36</f>
        <v>0.15784899999999999</v>
      </c>
      <c r="C29" s="173">
        <f>Calc!C36</f>
        <v>0.16381599999999999</v>
      </c>
      <c r="D29" s="173">
        <f>Calc!I36</f>
        <v>1211755079137380.5</v>
      </c>
      <c r="E29" s="173">
        <f>Calc!P36</f>
        <v>8.3931031318195287E-6</v>
      </c>
      <c r="F29" s="174">
        <f>Calc!S36</f>
        <v>119143.00663626932</v>
      </c>
      <c r="G29" s="173">
        <f>Calc!O36</f>
        <v>1211755079137380.5</v>
      </c>
      <c r="H29" s="177">
        <f>Calc!X36</f>
        <v>0.66579937644523057</v>
      </c>
      <c r="I29" s="178">
        <f>Calc!Y36</f>
        <v>15.651128940955843</v>
      </c>
      <c r="J29" s="176">
        <f>Calc!AE36</f>
        <v>1398.9114938325067</v>
      </c>
    </row>
    <row r="30" spans="1:10" x14ac:dyDescent="0.2">
      <c r="A30" s="173">
        <f>Calc!A37</f>
        <v>2.8498999999999998E-3</v>
      </c>
      <c r="B30" s="173">
        <f>Calc!B37</f>
        <v>0.148345</v>
      </c>
      <c r="C30" s="173">
        <f>Calc!C37</f>
        <v>0.15488099999999999</v>
      </c>
      <c r="D30" s="173">
        <f>Calc!I37</f>
        <v>1136395005684116.5</v>
      </c>
      <c r="E30" s="173">
        <f>Calc!P37</f>
        <v>8.3257757227990492E-6</v>
      </c>
      <c r="F30" s="174">
        <f>Calc!S37</f>
        <v>120106.78466689576</v>
      </c>
      <c r="G30" s="173">
        <f>Calc!O37</f>
        <v>1136395005684116.5</v>
      </c>
      <c r="H30" s="177">
        <f>Calc!X37</f>
        <v>0.66397320276715488</v>
      </c>
      <c r="I30" s="178">
        <f>Calc!Y37</f>
        <v>14.796465599895237</v>
      </c>
      <c r="J30" s="176">
        <f>Calc!AE37</f>
        <v>1401.6762815518307</v>
      </c>
    </row>
    <row r="31" spans="1:10" x14ac:dyDescent="0.2">
      <c r="A31" s="173">
        <f>Calc!A38</f>
        <v>2.9499000000000001E-3</v>
      </c>
      <c r="B31" s="173">
        <f>Calc!B38</f>
        <v>0.13930000000000001</v>
      </c>
      <c r="C31" s="173">
        <f>Calc!C38</f>
        <v>0.14660699999999999</v>
      </c>
      <c r="D31" s="173">
        <f>Calc!I38</f>
        <v>1064904616541912.4</v>
      </c>
      <c r="E31" s="173">
        <f>Calc!P38</f>
        <v>8.2427422922033069E-6</v>
      </c>
      <c r="F31" s="174">
        <f>Calc!S38</f>
        <v>121316.96561461143</v>
      </c>
      <c r="G31" s="173">
        <f>Calc!O38</f>
        <v>1064904616541912.4</v>
      </c>
      <c r="H31" s="177">
        <f>Calc!X38</f>
        <v>0.66213526719892324</v>
      </c>
      <c r="I31" s="178">
        <f>Calc!Y38</f>
        <v>14.005298453118062</v>
      </c>
      <c r="J31" s="176">
        <f>Calc!AE38</f>
        <v>1404.3917132789213</v>
      </c>
    </row>
    <row r="32" spans="1:10" x14ac:dyDescent="0.2">
      <c r="A32" s="173">
        <f>Calc!A39</f>
        <v>3.0498999999999999E-3</v>
      </c>
      <c r="B32" s="173">
        <f>Calc!B39</f>
        <v>0.131046</v>
      </c>
      <c r="C32" s="173">
        <f>Calc!C39</f>
        <v>0.13889399999999999</v>
      </c>
      <c r="D32" s="173">
        <f>Calc!I39</f>
        <v>999866240541793.5</v>
      </c>
      <c r="E32" s="173">
        <f>Calc!P39</f>
        <v>8.1694208238942482E-6</v>
      </c>
      <c r="F32" s="174">
        <f>Calc!S39</f>
        <v>122406.03880562466</v>
      </c>
      <c r="G32" s="173">
        <f>Calc!O39</f>
        <v>999866240541793.5</v>
      </c>
      <c r="H32" s="177">
        <f>Calc!X39</f>
        <v>0.66036185785750923</v>
      </c>
      <c r="I32" s="178">
        <f>Calc!Y39</f>
        <v>13.267955837301024</v>
      </c>
      <c r="J32" s="176">
        <f>Calc!AE39</f>
        <v>1406.9489975893557</v>
      </c>
    </row>
    <row r="33" spans="1:10" x14ac:dyDescent="0.2">
      <c r="A33" s="173">
        <f>Calc!A40</f>
        <v>3.1499000000000002E-3</v>
      </c>
      <c r="B33" s="173">
        <f>Calc!B40</f>
        <v>0.12294099999999999</v>
      </c>
      <c r="C33" s="173">
        <f>Calc!C40</f>
        <v>0.131629</v>
      </c>
      <c r="D33" s="173">
        <f>Calc!I40</f>
        <v>936191837522815.87</v>
      </c>
      <c r="E33" s="173">
        <f>Calc!P40</f>
        <v>8.0720696978557259E-6</v>
      </c>
      <c r="F33" s="174">
        <f>Calc!S40</f>
        <v>123882.51009351827</v>
      </c>
      <c r="G33" s="173">
        <f>Calc!O40</f>
        <v>936191837522815.87</v>
      </c>
      <c r="H33" s="177">
        <f>Calc!X40</f>
        <v>0.65851931058019519</v>
      </c>
      <c r="I33" s="178">
        <f>Calc!Y40</f>
        <v>12.572838220602916</v>
      </c>
      <c r="J33" s="176">
        <f>Calc!AE40</f>
        <v>1409.5417411748367</v>
      </c>
    </row>
    <row r="34" spans="1:10" x14ac:dyDescent="0.2">
      <c r="A34" s="173">
        <f>Calc!A41</f>
        <v>3.2499E-3</v>
      </c>
      <c r="B34" s="173">
        <f>Calc!B41</f>
        <v>0.115439</v>
      </c>
      <c r="C34" s="173">
        <f>Calc!C41</f>
        <v>0.124806</v>
      </c>
      <c r="D34" s="173">
        <f>Calc!I41</f>
        <v>877426244764711.75</v>
      </c>
      <c r="E34" s="173">
        <f>Calc!P41</f>
        <v>7.9796950055044035E-6</v>
      </c>
      <c r="F34" s="174">
        <f>Calc!S41</f>
        <v>125316.79485190779</v>
      </c>
      <c r="G34" s="173">
        <f>Calc!O41</f>
        <v>877426244764711.75</v>
      </c>
      <c r="H34" s="177">
        <f>Calc!X41</f>
        <v>0.65671269814781497</v>
      </c>
      <c r="I34" s="178">
        <f>Calc!Y41</f>
        <v>11.920039878558047</v>
      </c>
      <c r="J34" s="176">
        <f>Calc!AE41</f>
        <v>1412.0214467597878</v>
      </c>
    </row>
    <row r="35" spans="1:10" x14ac:dyDescent="0.2">
      <c r="A35" s="173">
        <f>Calc!A42</f>
        <v>3.3498999999999998E-3</v>
      </c>
      <c r="B35" s="173">
        <f>Calc!B42</f>
        <v>0.10871400000000001</v>
      </c>
      <c r="C35" s="173">
        <f>Calc!C42</f>
        <v>0.118393</v>
      </c>
      <c r="D35" s="173">
        <f>Calc!I42</f>
        <v>824890574658911.12</v>
      </c>
      <c r="E35" s="173">
        <f>Calc!P42</f>
        <v>7.9088726132116755E-6</v>
      </c>
      <c r="F35" s="174">
        <f>Calc!S42</f>
        <v>126439.14190233947</v>
      </c>
      <c r="G35" s="173">
        <f>Calc!O42</f>
        <v>824890574658911.12</v>
      </c>
      <c r="H35" s="177">
        <f>Calc!X42</f>
        <v>0.65499965640518598</v>
      </c>
      <c r="I35" s="178">
        <f>Calc!Y42</f>
        <v>11.306681042183339</v>
      </c>
      <c r="J35" s="176">
        <f>Calc!AE42</f>
        <v>1414.3165743177271</v>
      </c>
    </row>
    <row r="36" spans="1:10" x14ac:dyDescent="0.2">
      <c r="A36" s="173">
        <f>Calc!A43</f>
        <v>3.4499000000000001E-3</v>
      </c>
      <c r="B36" s="173">
        <f>Calc!B43</f>
        <v>0.102298</v>
      </c>
      <c r="C36" s="173">
        <f>Calc!C43</f>
        <v>0.112312</v>
      </c>
      <c r="D36" s="173">
        <f>Calc!I43</f>
        <v>774898165429531.25</v>
      </c>
      <c r="E36" s="173">
        <f>Calc!P43</f>
        <v>7.8321886258400694E-6</v>
      </c>
      <c r="F36" s="174">
        <f>Calc!S43</f>
        <v>127677.23567932242</v>
      </c>
      <c r="G36" s="173">
        <f>Calc!O43</f>
        <v>774898165429531.25</v>
      </c>
      <c r="H36" s="177">
        <f>Calc!X43</f>
        <v>0.65327221239338462</v>
      </c>
      <c r="I36" s="178">
        <f>Calc!Y43</f>
        <v>10.725433998998925</v>
      </c>
      <c r="J36" s="176">
        <f>Calc!AE43</f>
        <v>1416.5766079771861</v>
      </c>
    </row>
    <row r="37" spans="1:10" x14ac:dyDescent="0.2">
      <c r="A37" s="173">
        <f>Calc!A44</f>
        <v>3.5498999999999999E-3</v>
      </c>
      <c r="B37" s="173">
        <f>Calc!B44</f>
        <v>9.5907699999999999E-2</v>
      </c>
      <c r="C37" s="173">
        <f>Calc!C44</f>
        <v>0.106595</v>
      </c>
      <c r="D37" s="173">
        <f>Calc!I44</f>
        <v>725234586236742.87</v>
      </c>
      <c r="E37" s="173">
        <f>Calc!P44</f>
        <v>7.7238661636552063E-6</v>
      </c>
      <c r="F37" s="174">
        <f>Calc!S44</f>
        <v>129467.96786570881</v>
      </c>
      <c r="G37" s="173">
        <f>Calc!O44</f>
        <v>725234586236742.87</v>
      </c>
      <c r="H37" s="177">
        <f>Calc!X44</f>
        <v>0.65144949812400288</v>
      </c>
      <c r="I37" s="178">
        <f>Calc!Y44</f>
        <v>10.178813277644618</v>
      </c>
      <c r="J37" s="176">
        <f>Calc!AE44</f>
        <v>1418.9031069810246</v>
      </c>
    </row>
    <row r="38" spans="1:10" x14ac:dyDescent="0.2">
      <c r="A38" s="173">
        <f>Calc!A45</f>
        <v>3.6499000000000002E-3</v>
      </c>
      <c r="B38" s="173">
        <f>Calc!B45</f>
        <v>9.0179099999999998E-2</v>
      </c>
      <c r="C38" s="173">
        <f>Calc!C45</f>
        <v>0.101171</v>
      </c>
      <c r="D38" s="173">
        <f>Calc!I45</f>
        <v>680825335673179.75</v>
      </c>
      <c r="E38" s="173">
        <f>Calc!P45</f>
        <v>7.6392552857855555E-6</v>
      </c>
      <c r="F38" s="174">
        <f>Calc!S45</f>
        <v>130902.04274857492</v>
      </c>
      <c r="G38" s="173">
        <f>Calc!O45</f>
        <v>680825335673179.75</v>
      </c>
      <c r="H38" s="177">
        <f>Calc!X45</f>
        <v>0.64971738974795257</v>
      </c>
      <c r="I38" s="178">
        <f>Calc!Y45</f>
        <v>9.6613555662019159</v>
      </c>
      <c r="J38" s="176">
        <f>Calc!AE45</f>
        <v>1421.0595919263635</v>
      </c>
    </row>
    <row r="39" spans="1:10" x14ac:dyDescent="0.2">
      <c r="A39" s="173">
        <f>Calc!A46</f>
        <v>3.7499E-3</v>
      </c>
      <c r="B39" s="173">
        <f>Calc!B46</f>
        <v>8.5044400000000006E-2</v>
      </c>
      <c r="C39" s="173">
        <f>Calc!C46</f>
        <v>9.6101699999999998E-2</v>
      </c>
      <c r="D39" s="173">
        <f>Calc!I46</f>
        <v>641112180605925</v>
      </c>
      <c r="E39" s="173">
        <f>Calc!P46</f>
        <v>7.5731659862282727E-6</v>
      </c>
      <c r="F39" s="174">
        <f>Calc!S46</f>
        <v>132044.48900738862</v>
      </c>
      <c r="G39" s="173">
        <f>Calc!O46</f>
        <v>641112180605925</v>
      </c>
      <c r="H39" s="177">
        <f>Calc!X46</f>
        <v>0.64807572376876388</v>
      </c>
      <c r="I39" s="178">
        <f>Calc!Y46</f>
        <v>9.1771944280551079</v>
      </c>
      <c r="J39" s="176">
        <f>Calc!AE46</f>
        <v>1423.0554500269338</v>
      </c>
    </row>
    <row r="40" spans="1:10" x14ac:dyDescent="0.2">
      <c r="A40" s="173">
        <f>Calc!A47</f>
        <v>3.8498999999999999E-3</v>
      </c>
      <c r="B40" s="173">
        <f>Calc!B47</f>
        <v>7.9153699999999994E-2</v>
      </c>
      <c r="C40" s="173">
        <f>Calc!C47</f>
        <v>9.1275499999999996E-2</v>
      </c>
      <c r="D40" s="173">
        <f>Calc!I47</f>
        <v>595661946587995.87</v>
      </c>
      <c r="E40" s="173">
        <f>Calc!P47</f>
        <v>7.4089690988427436E-6</v>
      </c>
      <c r="F40" s="174">
        <f>Calc!S47</f>
        <v>134970.95518304923</v>
      </c>
      <c r="G40" s="173">
        <f>Calc!O47</f>
        <v>595661946587995.87</v>
      </c>
      <c r="H40" s="177">
        <f>Calc!X47</f>
        <v>0.64607447992169464</v>
      </c>
      <c r="I40" s="178">
        <f>Calc!Y47</f>
        <v>8.7155631340434301</v>
      </c>
      <c r="J40" s="176">
        <f>Calc!AE47</f>
        <v>1425.4264407511448</v>
      </c>
    </row>
    <row r="41" spans="1:10" x14ac:dyDescent="0.2">
      <c r="A41" s="173">
        <f>Calc!A48</f>
        <v>3.9499000000000001E-3</v>
      </c>
      <c r="B41" s="173">
        <f>Calc!B48</f>
        <v>7.4249499999999996E-2</v>
      </c>
      <c r="C41" s="173">
        <f>Calc!C48</f>
        <v>8.6663199999999996E-2</v>
      </c>
      <c r="D41" s="173">
        <f>Calc!I48</f>
        <v>557915277517240.19</v>
      </c>
      <c r="E41" s="173">
        <f>Calc!P48</f>
        <v>7.3094350383070343E-6</v>
      </c>
      <c r="F41" s="174">
        <f>Calc!S48</f>
        <v>136808.96237818964</v>
      </c>
      <c r="G41" s="173">
        <f>Calc!O48</f>
        <v>557915277517240.19</v>
      </c>
      <c r="H41" s="177">
        <f>Calc!X48</f>
        <v>0.64429907301656308</v>
      </c>
      <c r="I41" s="178">
        <f>Calc!Y48</f>
        <v>8.2744249928029561</v>
      </c>
      <c r="J41" s="176">
        <f>Calc!AE48</f>
        <v>1427.4739229936572</v>
      </c>
    </row>
    <row r="42" spans="1:10" x14ac:dyDescent="0.2">
      <c r="A42" s="173">
        <f>Calc!A49</f>
        <v>4.0499000000000004E-3</v>
      </c>
      <c r="B42" s="173">
        <f>Calc!B49</f>
        <v>7.0165500000000006E-2</v>
      </c>
      <c r="C42" s="173">
        <f>Calc!C49</f>
        <v>8.2339899999999994E-2</v>
      </c>
      <c r="D42" s="173">
        <f>Calc!I49</f>
        <v>526547172111212.12</v>
      </c>
      <c r="E42" s="173">
        <f>Calc!P49</f>
        <v>7.2621698427193412E-6</v>
      </c>
      <c r="F42" s="174">
        <f>Calc!S49</f>
        <v>137699.43134483494</v>
      </c>
      <c r="G42" s="173">
        <f>Calc!O49</f>
        <v>526547172111212.12</v>
      </c>
      <c r="H42" s="177">
        <f>Calc!X49</f>
        <v>0.6427344632174774</v>
      </c>
      <c r="I42" s="178">
        <f>Calc!Y49</f>
        <v>7.8600310780553908</v>
      </c>
      <c r="J42" s="176">
        <f>Calc!AE49</f>
        <v>1429.2355415187023</v>
      </c>
    </row>
    <row r="43" spans="1:10" x14ac:dyDescent="0.2">
      <c r="A43" s="173">
        <f>Calc!A50</f>
        <v>4.1498999999999998E-3</v>
      </c>
      <c r="B43" s="173">
        <f>Calc!B50</f>
        <v>6.5794400000000003E-2</v>
      </c>
      <c r="C43" s="173">
        <f>Calc!C50</f>
        <v>7.8252000000000002E-2</v>
      </c>
      <c r="D43" s="173">
        <f>Calc!I50</f>
        <v>493041792977399.44</v>
      </c>
      <c r="E43" s="173">
        <f>Calc!P50</f>
        <v>7.1556059240225171E-6</v>
      </c>
      <c r="F43" s="174">
        <f>Calc!S50</f>
        <v>139750.16555103939</v>
      </c>
      <c r="G43" s="173">
        <f>Calc!O50</f>
        <v>493041792977399.44</v>
      </c>
      <c r="H43" s="177">
        <f>Calc!X50</f>
        <v>0.64096181705797217</v>
      </c>
      <c r="I43" s="178">
        <f>Calc!Y50</f>
        <v>7.469485685933936</v>
      </c>
      <c r="J43" s="176">
        <f>Calc!AE50</f>
        <v>1431.1838892592964</v>
      </c>
    </row>
    <row r="44" spans="1:10" x14ac:dyDescent="0.2">
      <c r="A44" s="173">
        <f>Calc!A51</f>
        <v>4.2499E-3</v>
      </c>
      <c r="B44" s="173">
        <f>Calc!B51</f>
        <v>6.1739700000000002E-2</v>
      </c>
      <c r="C44" s="173">
        <f>Calc!C51</f>
        <v>7.4370199999999997E-2</v>
      </c>
      <c r="D44" s="173">
        <f>Calc!I51</f>
        <v>462026119368176.62</v>
      </c>
      <c r="E44" s="173">
        <f>Calc!P51</f>
        <v>7.0552991470103114E-6</v>
      </c>
      <c r="F44" s="174">
        <f>Calc!S51</f>
        <v>141737.08003981315</v>
      </c>
      <c r="G44" s="173">
        <f>Calc!O51</f>
        <v>462026119368176.62</v>
      </c>
      <c r="H44" s="177">
        <f>Calc!X51</f>
        <v>0.6392150361346316</v>
      </c>
      <c r="I44" s="178">
        <f>Calc!Y51</f>
        <v>7.0991193144817828</v>
      </c>
      <c r="J44" s="176">
        <f>Calc!AE51</f>
        <v>1433.0553750464958</v>
      </c>
    </row>
    <row r="45" spans="1:10" x14ac:dyDescent="0.2">
      <c r="A45" s="173">
        <f>Calc!A52</f>
        <v>4.3499000000000003E-3</v>
      </c>
      <c r="B45" s="173">
        <f>Calc!B52</f>
        <v>5.8046300000000002E-2</v>
      </c>
      <c r="C45" s="173">
        <f>Calc!C52</f>
        <v>7.0730600000000005E-2</v>
      </c>
      <c r="D45" s="173">
        <f>Calc!I52</f>
        <v>433829643464896.94</v>
      </c>
      <c r="E45" s="173">
        <f>Calc!P52</f>
        <v>6.9662979356602939E-6</v>
      </c>
      <c r="F45" s="174">
        <f>Calc!S52</f>
        <v>143547.95513864106</v>
      </c>
      <c r="G45" s="173">
        <f>Calc!O52</f>
        <v>433829643464896.94</v>
      </c>
      <c r="H45" s="177">
        <f>Calc!X52</f>
        <v>0.63752656558951126</v>
      </c>
      <c r="I45" s="178">
        <f>Calc!Y52</f>
        <v>6.7510381105674009</v>
      </c>
      <c r="J45" s="176">
        <f>Calc!AE52</f>
        <v>1434.8195854607779</v>
      </c>
    </row>
    <row r="46" spans="1:10" x14ac:dyDescent="0.2">
      <c r="A46" s="173">
        <f>Calc!A53</f>
        <v>4.4498999999999997E-3</v>
      </c>
      <c r="B46" s="173">
        <f>Calc!B53</f>
        <v>5.4497499999999997E-2</v>
      </c>
      <c r="C46" s="173">
        <f>Calc!C53</f>
        <v>6.72677E-2</v>
      </c>
      <c r="D46" s="173">
        <f>Calc!I53</f>
        <v>406788351334993.5</v>
      </c>
      <c r="E46" s="173">
        <f>Calc!P53</f>
        <v>6.8683086960485978E-6</v>
      </c>
      <c r="F46" s="174">
        <f>Calc!S53</f>
        <v>145595.97676641948</v>
      </c>
      <c r="G46" s="173">
        <f>Calc!O53</f>
        <v>406788351334993.5</v>
      </c>
      <c r="H46" s="177">
        <f>Calc!X53</f>
        <v>0.63580511743664225</v>
      </c>
      <c r="I46" s="178">
        <f>Calc!Y53</f>
        <v>6.4205477772583999</v>
      </c>
      <c r="J46" s="176">
        <f>Calc!AE53</f>
        <v>1436.573802332892</v>
      </c>
    </row>
    <row r="47" spans="1:10" x14ac:dyDescent="0.2">
      <c r="A47" s="173">
        <f>Calc!A54</f>
        <v>4.5499E-3</v>
      </c>
      <c r="B47" s="173">
        <f>Calc!B54</f>
        <v>5.1190899999999998E-2</v>
      </c>
      <c r="C47" s="173">
        <f>Calc!C54</f>
        <v>6.3999100000000003E-2</v>
      </c>
      <c r="D47" s="173">
        <f>Calc!I54</f>
        <v>381639097352997.81</v>
      </c>
      <c r="E47" s="173">
        <f>Calc!P54</f>
        <v>6.7732033193177903E-6</v>
      </c>
      <c r="F47" s="174">
        <f>Calc!S54</f>
        <v>147640.38745855616</v>
      </c>
      <c r="G47" s="173">
        <f>Calc!O54</f>
        <v>381639097352997.81</v>
      </c>
      <c r="H47" s="177">
        <f>Calc!X54</f>
        <v>0.6341021746772697</v>
      </c>
      <c r="I47" s="178">
        <f>Calc!Y54</f>
        <v>6.1081842336824961</v>
      </c>
      <c r="J47" s="176">
        <f>Calc!AE54</f>
        <v>1438.2658722698545</v>
      </c>
    </row>
    <row r="48" spans="1:10" x14ac:dyDescent="0.2">
      <c r="A48" s="173">
        <f>Calc!A55</f>
        <v>4.6499000000000002E-3</v>
      </c>
      <c r="B48" s="173">
        <f>Calc!B55</f>
        <v>4.7780700000000002E-2</v>
      </c>
      <c r="C48" s="173">
        <f>Calc!C55</f>
        <v>6.0908299999999999E-2</v>
      </c>
      <c r="D48" s="173">
        <f>Calc!I55</f>
        <v>355750301436222.44</v>
      </c>
      <c r="E48" s="173">
        <f>Calc!P55</f>
        <v>6.6352071352353318E-6</v>
      </c>
      <c r="F48" s="174">
        <f>Calc!S55</f>
        <v>150710.98545222706</v>
      </c>
      <c r="G48" s="173">
        <f>Calc!O55</f>
        <v>355750301436222.44</v>
      </c>
      <c r="H48" s="177">
        <f>Calc!X55</f>
        <v>0.63223204889904228</v>
      </c>
      <c r="I48" s="178">
        <f>Calc!Y55</f>
        <v>5.8122484710879947</v>
      </c>
      <c r="J48" s="176">
        <f>Calc!AE55</f>
        <v>1440.0754783429522</v>
      </c>
    </row>
    <row r="49" spans="1:10" x14ac:dyDescent="0.2">
      <c r="A49" s="173">
        <f>Calc!A56</f>
        <v>4.7498999999999996E-3</v>
      </c>
      <c r="B49" s="173">
        <f>Calc!B56</f>
        <v>4.5065899999999999E-2</v>
      </c>
      <c r="C49" s="173">
        <f>Calc!C56</f>
        <v>5.7949300000000002E-2</v>
      </c>
      <c r="D49" s="173">
        <f>Calc!I56</f>
        <v>335176883048881.5</v>
      </c>
      <c r="E49" s="173">
        <f>Calc!P56</f>
        <v>6.5717247934154533E-6</v>
      </c>
      <c r="F49" s="174">
        <f>Calc!S56</f>
        <v>152166.86727952224</v>
      </c>
      <c r="G49" s="173">
        <f>Calc!O56</f>
        <v>335176883048881.5</v>
      </c>
      <c r="H49" s="177">
        <f>Calc!X56</f>
        <v>0.63064950835367295</v>
      </c>
      <c r="I49" s="178">
        <f>Calc!Y56</f>
        <v>5.5290188445591957</v>
      </c>
      <c r="J49" s="176">
        <f>Calc!AE56</f>
        <v>1441.5678900672794</v>
      </c>
    </row>
    <row r="50" spans="1:10" x14ac:dyDescent="0.2">
      <c r="A50" s="173">
        <f>Calc!A57</f>
        <v>4.8498999999999999E-3</v>
      </c>
      <c r="B50" s="173">
        <f>Calc!B57</f>
        <v>4.2557999999999999E-2</v>
      </c>
      <c r="C50" s="173">
        <f>Calc!C57</f>
        <v>5.5169000000000003E-2</v>
      </c>
      <c r="D50" s="173">
        <f>Calc!I57</f>
        <v>316200749543348.5</v>
      </c>
      <c r="E50" s="173">
        <f>Calc!P57</f>
        <v>6.5125849692680064E-6</v>
      </c>
      <c r="F50" s="174">
        <f>Calc!S57</f>
        <v>153548.69438394543</v>
      </c>
      <c r="G50" s="173">
        <f>Calc!O57</f>
        <v>316200749543348.5</v>
      </c>
      <c r="H50" s="177">
        <f>Calc!X57</f>
        <v>0.62910405328625418</v>
      </c>
      <c r="I50" s="178">
        <f>Calc!Y57</f>
        <v>5.2633575410759619</v>
      </c>
      <c r="J50" s="176">
        <f>Calc!AE57</f>
        <v>1442.991585037493</v>
      </c>
    </row>
    <row r="51" spans="1:10" x14ac:dyDescent="0.2">
      <c r="A51" s="173">
        <f>Calc!A58</f>
        <v>4.9499000000000001E-3</v>
      </c>
      <c r="B51" s="173">
        <f>Calc!B58</f>
        <v>4.0030700000000002E-2</v>
      </c>
      <c r="C51" s="173">
        <f>Calc!C58</f>
        <v>5.2491299999999998E-2</v>
      </c>
      <c r="D51" s="173">
        <f>Calc!I58</f>
        <v>297107141657940.62</v>
      </c>
      <c r="E51" s="173">
        <f>Calc!P58</f>
        <v>6.4310977000404508E-6</v>
      </c>
      <c r="F51" s="174">
        <f>Calc!S58</f>
        <v>155494.30350408313</v>
      </c>
      <c r="G51" s="173">
        <f>Calc!O58</f>
        <v>297107141657940.62</v>
      </c>
      <c r="H51" s="177">
        <f>Calc!X58</f>
        <v>0.62745536170284488</v>
      </c>
      <c r="I51" s="178">
        <f>Calc!Y58</f>
        <v>5.0081965425816328</v>
      </c>
      <c r="J51" s="176">
        <f>Calc!AE58</f>
        <v>1444.4743324311169</v>
      </c>
    </row>
    <row r="52" spans="1:10" x14ac:dyDescent="0.2">
      <c r="A52" s="173">
        <f>Calc!A59</f>
        <v>5.0499000000000004E-3</v>
      </c>
      <c r="B52" s="173">
        <f>Calc!B59</f>
        <v>3.7401799999999999E-2</v>
      </c>
      <c r="C52" s="173">
        <f>Calc!C59</f>
        <v>5.0004E-2</v>
      </c>
      <c r="D52" s="173">
        <f>Calc!I59</f>
        <v>277278115845822.03</v>
      </c>
      <c r="E52" s="173">
        <f>Calc!P59</f>
        <v>6.3001730662215023E-6</v>
      </c>
      <c r="F52" s="174">
        <f>Calc!S59</f>
        <v>158725.67077488828</v>
      </c>
      <c r="G52" s="173">
        <f>Calc!O59</f>
        <v>277278115845822.03</v>
      </c>
      <c r="H52" s="177">
        <f>Calc!X59</f>
        <v>0.62563033446580141</v>
      </c>
      <c r="I52" s="178">
        <f>Calc!Y59</f>
        <v>4.7710777592980333</v>
      </c>
      <c r="J52" s="176">
        <f>Calc!AE59</f>
        <v>1446.0731547494254</v>
      </c>
    </row>
    <row r="53" spans="1:10" x14ac:dyDescent="0.2">
      <c r="A53" s="173">
        <f>Calc!A60</f>
        <v>5.1498999999999998E-3</v>
      </c>
      <c r="B53" s="173">
        <f>Calc!B60</f>
        <v>3.5169400000000003E-2</v>
      </c>
      <c r="C53" s="173">
        <f>Calc!C60</f>
        <v>4.7623100000000002E-2</v>
      </c>
      <c r="D53" s="173">
        <f>Calc!I60</f>
        <v>260466323609453.09</v>
      </c>
      <c r="E53" s="173">
        <f>Calc!P60</f>
        <v>6.2141074945059427E-6</v>
      </c>
      <c r="F53" s="174">
        <f>Calc!S60</f>
        <v>160924.04276209063</v>
      </c>
      <c r="G53" s="173">
        <f>Calc!O60</f>
        <v>260466323609453.09</v>
      </c>
      <c r="H53" s="177">
        <f>Calc!X60</f>
        <v>0.6239805345865217</v>
      </c>
      <c r="I53" s="178">
        <f>Calc!Y60</f>
        <v>4.5438731497576272</v>
      </c>
      <c r="J53" s="176">
        <f>Calc!AE60</f>
        <v>1447.4808358923112</v>
      </c>
    </row>
    <row r="54" spans="1:10" x14ac:dyDescent="0.2">
      <c r="A54" s="173">
        <f>Calc!A61</f>
        <v>5.2499000000000001E-3</v>
      </c>
      <c r="B54" s="173">
        <f>Calc!B61</f>
        <v>3.2968200000000003E-2</v>
      </c>
      <c r="C54" s="173">
        <f>Calc!C61</f>
        <v>4.5375100000000002E-2</v>
      </c>
      <c r="D54" s="173">
        <f>Calc!I61</f>
        <v>243914129151085.81</v>
      </c>
      <c r="E54" s="173">
        <f>Calc!P61</f>
        <v>6.10890845640239E-6</v>
      </c>
      <c r="F54" s="174">
        <f>Calc!S61</f>
        <v>163695.26631797489</v>
      </c>
      <c r="G54" s="173">
        <f>Calc!O61</f>
        <v>243914129151085.81</v>
      </c>
      <c r="H54" s="177">
        <f>Calc!X61</f>
        <v>0.6222514346628254</v>
      </c>
      <c r="I54" s="178">
        <f>Calc!Y61</f>
        <v>4.3283933523217542</v>
      </c>
      <c r="J54" s="176">
        <f>Calc!AE61</f>
        <v>1448.9186558589574</v>
      </c>
    </row>
    <row r="55" spans="1:10" x14ac:dyDescent="0.2">
      <c r="A55" s="173">
        <f>Calc!A62</f>
        <v>5.3499000000000003E-3</v>
      </c>
      <c r="B55" s="173">
        <f>Calc!B62</f>
        <v>3.0802199999999998E-2</v>
      </c>
      <c r="C55" s="173">
        <f>Calc!C62</f>
        <v>4.3196400000000003E-2</v>
      </c>
      <c r="D55" s="173">
        <f>Calc!I62</f>
        <v>227651270364176.5</v>
      </c>
      <c r="E55" s="173">
        <f>Calc!P62</f>
        <v>5.9902216916955266E-6</v>
      </c>
      <c r="F55" s="174">
        <f>Calc!S62</f>
        <v>166938.64369820521</v>
      </c>
      <c r="G55" s="173">
        <f>Calc!O62</f>
        <v>227651270364176.5</v>
      </c>
      <c r="H55" s="177">
        <f>Calc!X62</f>
        <v>0.62043710107043226</v>
      </c>
      <c r="I55" s="178">
        <f>Calc!Y62</f>
        <v>4.1198420206449802</v>
      </c>
      <c r="J55" s="176">
        <f>Calc!AE62</f>
        <v>1450.3869604535666</v>
      </c>
    </row>
    <row r="56" spans="1:10" x14ac:dyDescent="0.2">
      <c r="A56" s="173">
        <f>Calc!A63</f>
        <v>5.4498999999999997E-3</v>
      </c>
      <c r="B56" s="173">
        <f>Calc!B63</f>
        <v>2.9272900000000001E-2</v>
      </c>
      <c r="C56" s="173">
        <f>Calc!C63</f>
        <v>4.1140700000000002E-2</v>
      </c>
      <c r="D56" s="173">
        <f>Calc!I63</f>
        <v>216184085536803.12</v>
      </c>
      <c r="E56" s="173">
        <f>Calc!P63</f>
        <v>5.9733748961075459E-6</v>
      </c>
      <c r="F56" s="174">
        <f>Calc!S63</f>
        <v>167409.47186004859</v>
      </c>
      <c r="G56" s="173">
        <f>Calc!O63</f>
        <v>216184085536803.12</v>
      </c>
      <c r="H56" s="177">
        <f>Calc!X63</f>
        <v>0.61907988516623602</v>
      </c>
      <c r="I56" s="178">
        <f>Calc!Y63</f>
        <v>3.9233524825074437</v>
      </c>
      <c r="J56" s="176">
        <f>Calc!AE63</f>
        <v>1451.4588469939283</v>
      </c>
    </row>
    <row r="57" spans="1:10" x14ac:dyDescent="0.2">
      <c r="A57" s="173">
        <f>Calc!A64</f>
        <v>5.5499E-3</v>
      </c>
      <c r="B57" s="173">
        <f>Calc!B64</f>
        <v>2.76303E-2</v>
      </c>
      <c r="C57" s="173">
        <f>Calc!C64</f>
        <v>3.9209099999999997E-2</v>
      </c>
      <c r="D57" s="173">
        <f>Calc!I64</f>
        <v>203881745329685.59</v>
      </c>
      <c r="E57" s="173">
        <f>Calc!P64</f>
        <v>5.9113782707085998E-6</v>
      </c>
      <c r="F57" s="174">
        <f>Calc!S64</f>
        <v>169165.21770485508</v>
      </c>
      <c r="G57" s="173">
        <f>Calc!O64</f>
        <v>203881745329685.59</v>
      </c>
      <c r="H57" s="177">
        <f>Calc!X64</f>
        <v>0.61754308557581894</v>
      </c>
      <c r="I57" s="178">
        <f>Calc!Y64</f>
        <v>3.7388924440207449</v>
      </c>
      <c r="J57" s="176">
        <f>Calc!AE64</f>
        <v>1452.6457523839281</v>
      </c>
    </row>
    <row r="58" spans="1:10" x14ac:dyDescent="0.2">
      <c r="A58" s="173">
        <f>Calc!A65</f>
        <v>5.6499000000000002E-3</v>
      </c>
      <c r="B58" s="173">
        <f>Calc!B65</f>
        <v>2.5864700000000001E-2</v>
      </c>
      <c r="C58" s="173">
        <f>Calc!C65</f>
        <v>3.7366299999999998E-2</v>
      </c>
      <c r="D58" s="173">
        <f>Calc!I65</f>
        <v>190675314649954.25</v>
      </c>
      <c r="E58" s="173">
        <f>Calc!P65</f>
        <v>5.8001026388120676E-6</v>
      </c>
      <c r="F58" s="174">
        <f>Calc!S65</f>
        <v>172410.6817104005</v>
      </c>
      <c r="G58" s="173">
        <f>Calc!O65</f>
        <v>190675314649954.25</v>
      </c>
      <c r="H58" s="177">
        <f>Calc!X65</f>
        <v>0.61578868967127665</v>
      </c>
      <c r="I58" s="178">
        <f>Calc!Y65</f>
        <v>3.5637905593123165</v>
      </c>
      <c r="J58" s="176">
        <f>Calc!AE65</f>
        <v>1453.9666024848711</v>
      </c>
    </row>
    <row r="59" spans="1:10" x14ac:dyDescent="0.2">
      <c r="A59" s="173">
        <f>Calc!A66</f>
        <v>5.7498999999999996E-3</v>
      </c>
      <c r="B59" s="173">
        <f>Calc!B66</f>
        <v>2.43705E-2</v>
      </c>
      <c r="C59" s="173">
        <f>Calc!C66</f>
        <v>3.5632900000000002E-2</v>
      </c>
      <c r="D59" s="173">
        <f>Calc!I66</f>
        <v>179513208037814.31</v>
      </c>
      <c r="E59" s="173">
        <f>Calc!P66</f>
        <v>5.7265770989443902E-6</v>
      </c>
      <c r="F59" s="174">
        <f>Calc!S66</f>
        <v>174624.33079784442</v>
      </c>
      <c r="G59" s="173">
        <f>Calc!O66</f>
        <v>179513208037814.31</v>
      </c>
      <c r="H59" s="177">
        <f>Calc!X66</f>
        <v>0.6142102249281064</v>
      </c>
      <c r="I59" s="178">
        <f>Calc!Y66</f>
        <v>3.3982449190426953</v>
      </c>
      <c r="J59" s="176">
        <f>Calc!AE66</f>
        <v>1455.1245772149571</v>
      </c>
    </row>
    <row r="60" spans="1:10" x14ac:dyDescent="0.2">
      <c r="A60" s="173">
        <f>Calc!A67</f>
        <v>5.8498999999999999E-3</v>
      </c>
      <c r="B60" s="173">
        <f>Calc!B67</f>
        <v>2.2755299999999999E-2</v>
      </c>
      <c r="C60" s="173">
        <f>Calc!C67</f>
        <v>3.3938599999999999E-2</v>
      </c>
      <c r="D60" s="173">
        <f>Calc!I67</f>
        <v>167462420251761.12</v>
      </c>
      <c r="E60" s="173">
        <f>Calc!P67</f>
        <v>5.609189457840713E-6</v>
      </c>
      <c r="F60" s="174">
        <f>Calc!S67</f>
        <v>178278.83090675267</v>
      </c>
      <c r="G60" s="173">
        <f>Calc!O67</f>
        <v>167462420251761.12</v>
      </c>
      <c r="H60" s="177">
        <f>Calc!X67</f>
        <v>0.61239394564408889</v>
      </c>
      <c r="I60" s="178">
        <f>Calc!Y67</f>
        <v>3.2364629122427169</v>
      </c>
      <c r="J60" s="176">
        <f>Calc!AE67</f>
        <v>1456.4221651706446</v>
      </c>
    </row>
    <row r="61" spans="1:10" x14ac:dyDescent="0.2">
      <c r="A61" s="173">
        <f>Calc!A68</f>
        <v>5.9499000000000002E-3</v>
      </c>
      <c r="B61" s="173">
        <f>Calc!B68</f>
        <v>2.1544399999999998E-2</v>
      </c>
      <c r="C61" s="173">
        <f>Calc!C68</f>
        <v>3.2316499999999998E-2</v>
      </c>
      <c r="D61" s="173">
        <f>Calc!I68</f>
        <v>158438758264840.47</v>
      </c>
      <c r="E61" s="173">
        <f>Calc!P68</f>
        <v>5.5730294235629385E-6</v>
      </c>
      <c r="F61" s="174">
        <f>Calc!S68</f>
        <v>179435.580142436</v>
      </c>
      <c r="G61" s="173">
        <f>Calc!O68</f>
        <v>158438758264840.47</v>
      </c>
      <c r="H61" s="177">
        <f>Calc!X68</f>
        <v>0.6109476532969097</v>
      </c>
      <c r="I61" s="178">
        <f>Calc!Y68</f>
        <v>3.0819349954221611</v>
      </c>
      <c r="J61" s="176">
        <f>Calc!AE68</f>
        <v>1457.4293271654585</v>
      </c>
    </row>
    <row r="62" spans="1:10" x14ac:dyDescent="0.2">
      <c r="A62" s="173">
        <f>Calc!A69</f>
        <v>6.0499000000000004E-3</v>
      </c>
      <c r="B62" s="173">
        <f>Calc!B69</f>
        <v>2.0114699999999999E-2</v>
      </c>
      <c r="C62" s="173">
        <f>Calc!C69</f>
        <v>3.0805800000000001E-2</v>
      </c>
      <c r="D62" s="173">
        <f>Calc!I69</f>
        <v>147796785023002.94</v>
      </c>
      <c r="E62" s="173">
        <f>Calc!P69</f>
        <v>5.4545730096210082E-6</v>
      </c>
      <c r="F62" s="174">
        <f>Calc!S69</f>
        <v>183332.37092044909</v>
      </c>
      <c r="G62" s="173">
        <f>Calc!O69</f>
        <v>147796785023002.94</v>
      </c>
      <c r="H62" s="177">
        <f>Calc!X69</f>
        <v>0.60913392271353917</v>
      </c>
      <c r="I62" s="178">
        <f>Calc!Y69</f>
        <v>2.9373629194166635</v>
      </c>
      <c r="J62" s="176">
        <f>Calc!AE69</f>
        <v>1458.6603981408084</v>
      </c>
    </row>
    <row r="63" spans="1:10" x14ac:dyDescent="0.2">
      <c r="A63" s="173">
        <f>Calc!A70</f>
        <v>6.1498999999999998E-3</v>
      </c>
      <c r="B63" s="173">
        <f>Calc!B70</f>
        <v>1.8763100000000001E-2</v>
      </c>
      <c r="C63" s="173">
        <f>Calc!C70</f>
        <v>2.93712E-2</v>
      </c>
      <c r="D63" s="173">
        <f>Calc!I70</f>
        <v>137748694260660.3</v>
      </c>
      <c r="E63" s="173">
        <f>Calc!P70</f>
        <v>5.3324729548877923E-6</v>
      </c>
      <c r="F63" s="174">
        <f>Calc!S70</f>
        <v>187530.22106209144</v>
      </c>
      <c r="G63" s="173">
        <f>Calc!O70</f>
        <v>137748694260660.3</v>
      </c>
      <c r="H63" s="177">
        <f>Calc!X70</f>
        <v>0.60729915956426939</v>
      </c>
      <c r="I63" s="178">
        <f>Calc!Y70</f>
        <v>2.8003493215549362</v>
      </c>
      <c r="J63" s="176">
        <f>Calc!AE70</f>
        <v>1459.8703818897357</v>
      </c>
    </row>
    <row r="64" spans="1:10" x14ac:dyDescent="0.2">
      <c r="A64" s="173">
        <f>Calc!A71</f>
        <v>6.2499000000000001E-3</v>
      </c>
      <c r="B64" s="173">
        <f>Calc!B71</f>
        <v>1.7845199999999999E-2</v>
      </c>
      <c r="C64" s="173">
        <f>Calc!C71</f>
        <v>2.792E-2</v>
      </c>
      <c r="D64" s="173">
        <f>Calc!I71</f>
        <v>130932004767992</v>
      </c>
      <c r="E64" s="173">
        <f>Calc!P71</f>
        <v>5.3333736300578099E-6</v>
      </c>
      <c r="F64" s="174">
        <f>Calc!S71</f>
        <v>187498.5548712888</v>
      </c>
      <c r="G64" s="173">
        <f>Calc!O71</f>
        <v>130932004767992</v>
      </c>
      <c r="H64" s="177">
        <f>Calc!X71</f>
        <v>0.60597766588983881</v>
      </c>
      <c r="I64" s="178">
        <f>Calc!Y71</f>
        <v>2.66132055661501</v>
      </c>
      <c r="J64" s="176">
        <f>Calc!AE71</f>
        <v>1460.7203375071408</v>
      </c>
    </row>
    <row r="65" spans="1:10" x14ac:dyDescent="0.2">
      <c r="A65" s="173">
        <f>Calc!A72</f>
        <v>6.3499000000000003E-3</v>
      </c>
      <c r="B65" s="173">
        <f>Calc!B72</f>
        <v>1.6804099999999999E-2</v>
      </c>
      <c r="C65" s="173">
        <f>Calc!C72</f>
        <v>2.6604599999999999E-2</v>
      </c>
      <c r="D65" s="173">
        <f>Calc!I72</f>
        <v>123207633973800.05</v>
      </c>
      <c r="E65" s="173">
        <f>Calc!P72</f>
        <v>5.2660296076399135E-6</v>
      </c>
      <c r="F65" s="174">
        <f>Calc!S72</f>
        <v>189896.36249870737</v>
      </c>
      <c r="G65" s="173">
        <f>Calc!O72</f>
        <v>123207633973800.05</v>
      </c>
      <c r="H65" s="177">
        <f>Calc!X72</f>
        <v>0.60439551191940322</v>
      </c>
      <c r="I65" s="178">
        <f>Calc!Y72</f>
        <v>2.5363413456568336</v>
      </c>
      <c r="J65" s="176">
        <f>Calc!AE72</f>
        <v>1461.7147328367473</v>
      </c>
    </row>
    <row r="66" spans="1:10" x14ac:dyDescent="0.2">
      <c r="A66" s="173">
        <f>Calc!A73</f>
        <v>6.4498999999999997E-3</v>
      </c>
      <c r="B66" s="173">
        <f>Calc!B73</f>
        <v>1.5917400000000002E-2</v>
      </c>
      <c r="C66" s="173">
        <f>Calc!C73</f>
        <v>2.53858E-2</v>
      </c>
      <c r="D66" s="173">
        <f>Calc!I73</f>
        <v>116635075123572.48</v>
      </c>
      <c r="E66" s="173">
        <f>Calc!P73</f>
        <v>5.2235417291028799E-6</v>
      </c>
      <c r="F66" s="174">
        <f>Calc!S73</f>
        <v>191440.96743200158</v>
      </c>
      <c r="G66" s="173">
        <f>Calc!O73</f>
        <v>116635075123572.48</v>
      </c>
      <c r="H66" s="177">
        <f>Calc!X73</f>
        <v>0.6029701151704977</v>
      </c>
      <c r="I66" s="178">
        <f>Calc!Y73</f>
        <v>2.4205691010969379</v>
      </c>
      <c r="J66" s="176">
        <f>Calc!AE73</f>
        <v>1462.5893755778839</v>
      </c>
    </row>
    <row r="67" spans="1:10" x14ac:dyDescent="0.2">
      <c r="A67" s="173">
        <f>Calc!A74</f>
        <v>6.5499E-3</v>
      </c>
      <c r="B67" s="173">
        <f>Calc!B74</f>
        <v>1.45366E-2</v>
      </c>
      <c r="C67" s="173">
        <f>Calc!C74</f>
        <v>2.4188600000000001E-2</v>
      </c>
      <c r="D67" s="173">
        <f>Calc!I74</f>
        <v>106411919822766.7</v>
      </c>
      <c r="E67" s="173">
        <f>Calc!P74</f>
        <v>5.0028614659970478E-6</v>
      </c>
      <c r="F67" s="174">
        <f>Calc!S74</f>
        <v>199885.58802954882</v>
      </c>
      <c r="G67" s="173">
        <f>Calc!O74</f>
        <v>106411919822766.7</v>
      </c>
      <c r="H67" s="177">
        <f>Calc!X74</f>
        <v>0.60058697219233526</v>
      </c>
      <c r="I67" s="178">
        <f>Calc!Y74</f>
        <v>2.3058188316607886</v>
      </c>
      <c r="J67" s="176">
        <f>Calc!AE74</f>
        <v>1464.0078734300309</v>
      </c>
    </row>
    <row r="68" spans="1:10" x14ac:dyDescent="0.2">
      <c r="A68" s="173">
        <f>Calc!A75</f>
        <v>6.6499000000000003E-3</v>
      </c>
      <c r="B68" s="173">
        <f>Calc!B75</f>
        <v>1.3759199999999999E-2</v>
      </c>
      <c r="C68" s="173">
        <f>Calc!C75</f>
        <v>2.3082100000000001E-2</v>
      </c>
      <c r="D68" s="173">
        <f>Calc!I75</f>
        <v>100662792697314.45</v>
      </c>
      <c r="E68" s="173">
        <f>Calc!P75</f>
        <v>4.9604288492423386E-6</v>
      </c>
      <c r="F68" s="174">
        <f>Calc!S75</f>
        <v>201595.45614981992</v>
      </c>
      <c r="G68" s="173">
        <f>Calc!O75</f>
        <v>100662792697314.45</v>
      </c>
      <c r="H68" s="177">
        <f>Calc!X75</f>
        <v>0.59914517962437108</v>
      </c>
      <c r="I68" s="178">
        <f>Calc!Y75</f>
        <v>2.1999009663323879</v>
      </c>
      <c r="J68" s="176">
        <f>Calc!AE75</f>
        <v>1464.8400769160532</v>
      </c>
    </row>
    <row r="69" spans="1:10" x14ac:dyDescent="0.2">
      <c r="A69" s="173">
        <f>Calc!A76</f>
        <v>6.7498999999999997E-3</v>
      </c>
      <c r="B69" s="173">
        <f>Calc!B76</f>
        <v>1.32768E-2</v>
      </c>
      <c r="C69" s="173">
        <f>Calc!C76</f>
        <v>2.2008900000000001E-2</v>
      </c>
      <c r="D69" s="173">
        <f>Calc!I76</f>
        <v>97097747864390.266</v>
      </c>
      <c r="E69" s="173">
        <f>Calc!P76</f>
        <v>5.0198700955484933E-6</v>
      </c>
      <c r="F69" s="174">
        <f>Calc!S76</f>
        <v>199208.32659068779</v>
      </c>
      <c r="G69" s="173">
        <f>Calc!O76</f>
        <v>97097747864390.266</v>
      </c>
      <c r="H69" s="177">
        <f>Calc!X76</f>
        <v>0.5982095822696718</v>
      </c>
      <c r="I69" s="178">
        <f>Calc!Y76</f>
        <v>2.0968630093511385</v>
      </c>
      <c r="J69" s="176">
        <f>Calc!AE76</f>
        <v>1465.3698584767765</v>
      </c>
    </row>
    <row r="70" spans="1:10" x14ac:dyDescent="0.2">
      <c r="A70" s="173">
        <f>Calc!A77</f>
        <v>6.8498999999999999E-3</v>
      </c>
      <c r="B70" s="173">
        <f>Calc!B77</f>
        <v>1.24213E-2</v>
      </c>
      <c r="C70" s="173">
        <f>Calc!C77</f>
        <v>2.09669E-2</v>
      </c>
      <c r="D70" s="173">
        <f>Calc!I77</f>
        <v>90780173175973.406</v>
      </c>
      <c r="E70" s="173">
        <f>Calc!P77</f>
        <v>4.9260814202730606E-6</v>
      </c>
      <c r="F70" s="174">
        <f>Calc!S77</f>
        <v>203001.09707791902</v>
      </c>
      <c r="G70" s="173">
        <f>Calc!O77</f>
        <v>90780173175973.406</v>
      </c>
      <c r="H70" s="177">
        <f>Calc!X77</f>
        <v>0.59646480119379852</v>
      </c>
      <c r="I70" s="178">
        <f>Calc!Y77</f>
        <v>1.9977576452409611</v>
      </c>
      <c r="J70" s="176">
        <f>Calc!AE77</f>
        <v>1466.3367161584783</v>
      </c>
    </row>
    <row r="71" spans="1:10" x14ac:dyDescent="0.2">
      <c r="A71" s="173">
        <f>Calc!A78</f>
        <v>6.9499000000000002E-3</v>
      </c>
      <c r="B71" s="173">
        <f>Calc!B78</f>
        <v>1.17377E-2</v>
      </c>
      <c r="C71" s="173">
        <f>Calc!C78</f>
        <v>1.99679E-2</v>
      </c>
      <c r="D71" s="173">
        <f>Calc!I78</f>
        <v>85736522583347.094</v>
      </c>
      <c r="E71" s="173">
        <f>Calc!P78</f>
        <v>4.8838717668274422E-6</v>
      </c>
      <c r="F71" s="174">
        <f>Calc!S78</f>
        <v>204755.56856305187</v>
      </c>
      <c r="G71" s="173">
        <f>Calc!O78</f>
        <v>85736522583347.094</v>
      </c>
      <c r="H71" s="177">
        <f>Calc!X78</f>
        <v>0.59498318660739458</v>
      </c>
      <c r="I71" s="178">
        <f>Calc!Y78</f>
        <v>1.903071005993866</v>
      </c>
      <c r="J71" s="176">
        <f>Calc!AE78</f>
        <v>1467.1365759335999</v>
      </c>
    </row>
    <row r="72" spans="1:10" x14ac:dyDescent="0.2">
      <c r="A72" s="173">
        <f>Calc!A79</f>
        <v>7.0498999999999996E-3</v>
      </c>
      <c r="B72" s="173">
        <f>Calc!B79</f>
        <v>1.1116600000000001E-2</v>
      </c>
      <c r="C72" s="173">
        <f>Calc!C79</f>
        <v>1.9039199999999999E-2</v>
      </c>
      <c r="D72" s="173">
        <f>Calc!I79</f>
        <v>81157578416633.703</v>
      </c>
      <c r="E72" s="173">
        <f>Calc!P79</f>
        <v>4.8474207126550827E-6</v>
      </c>
      <c r="F72" s="174">
        <f>Calc!S79</f>
        <v>206295.26634426077</v>
      </c>
      <c r="G72" s="173">
        <f>Calc!O79</f>
        <v>81157578416633.703</v>
      </c>
      <c r="H72" s="177">
        <f>Calc!X79</f>
        <v>0.5935612400071052</v>
      </c>
      <c r="I72" s="178">
        <f>Calc!Y79</f>
        <v>1.8149795917815816</v>
      </c>
      <c r="J72" s="176">
        <f>Calc!AE79</f>
        <v>1467.8863469151595</v>
      </c>
    </row>
    <row r="73" spans="1:10" x14ac:dyDescent="0.2">
      <c r="A73" s="173">
        <f>Calc!A80</f>
        <v>7.1498999999999998E-3</v>
      </c>
      <c r="B73" s="173">
        <f>Calc!B80</f>
        <v>1.0364699999999999E-2</v>
      </c>
      <c r="C73" s="173">
        <f>Calc!C80</f>
        <v>1.8166100000000001E-2</v>
      </c>
      <c r="D73" s="173">
        <f>Calc!I80</f>
        <v>75619039211329.937</v>
      </c>
      <c r="E73" s="173">
        <f>Calc!P80</f>
        <v>4.7335301788513559E-6</v>
      </c>
      <c r="F73" s="174">
        <f>Calc!S80</f>
        <v>211258.81050380922</v>
      </c>
      <c r="G73" s="173">
        <f>Calc!O80</f>
        <v>75619039211329.937</v>
      </c>
      <c r="H73" s="177">
        <f>Calc!X80</f>
        <v>0.59173092823906892</v>
      </c>
      <c r="I73" s="178">
        <f>Calc!Y80</f>
        <v>1.7318065782060927</v>
      </c>
      <c r="J73" s="176">
        <f>Calc!AE80</f>
        <v>1468.8262523068988</v>
      </c>
    </row>
    <row r="74" spans="1:10" x14ac:dyDescent="0.2">
      <c r="A74" s="173">
        <f>Calc!A81</f>
        <v>7.2499000000000001E-3</v>
      </c>
      <c r="B74" s="173">
        <f>Calc!B81</f>
        <v>9.4428099999999994E-3</v>
      </c>
      <c r="C74" s="173">
        <f>Calc!C81</f>
        <v>1.7326299999999999E-2</v>
      </c>
      <c r="D74" s="173">
        <f>Calc!I81</f>
        <v>68835646478881.273</v>
      </c>
      <c r="E74" s="173">
        <f>Calc!P81</f>
        <v>4.5188134122850916E-6</v>
      </c>
      <c r="F74" s="174">
        <f>Calc!S81</f>
        <v>221297.02495303738</v>
      </c>
      <c r="G74" s="173">
        <f>Calc!O81</f>
        <v>68835646478881.273</v>
      </c>
      <c r="H74" s="177">
        <f>Calc!X81</f>
        <v>0.58929874054823572</v>
      </c>
      <c r="I74" s="178">
        <f>Calc!Y81</f>
        <v>1.6513623038793699</v>
      </c>
      <c r="J74" s="176">
        <f>Calc!AE81</f>
        <v>1470.032559023731</v>
      </c>
    </row>
    <row r="75" spans="1:10" x14ac:dyDescent="0.2">
      <c r="A75" s="173">
        <f>Calc!A82</f>
        <v>7.3499000000000004E-3</v>
      </c>
      <c r="B75" s="173">
        <f>Calc!B82</f>
        <v>9.0385099999999996E-3</v>
      </c>
      <c r="C75" s="173">
        <f>Calc!C82</f>
        <v>1.6513799999999999E-2</v>
      </c>
      <c r="D75" s="173">
        <f>Calc!I82</f>
        <v>65863384195330.937</v>
      </c>
      <c r="E75" s="173">
        <f>Calc!P82</f>
        <v>4.5380018289401971E-6</v>
      </c>
      <c r="F75" s="174">
        <f>Calc!S82</f>
        <v>220361.29667121253</v>
      </c>
      <c r="G75" s="173">
        <f>Calc!O82</f>
        <v>65863384195330.937</v>
      </c>
      <c r="H75" s="177">
        <f>Calc!X82</f>
        <v>0.58815705814296182</v>
      </c>
      <c r="I75" s="178">
        <f>Calc!Y82</f>
        <v>1.5733768488086626</v>
      </c>
      <c r="J75" s="176">
        <f>Calc!AE82</f>
        <v>1470.5824496543216</v>
      </c>
    </row>
    <row r="76" spans="1:10" x14ac:dyDescent="0.2">
      <c r="A76" s="173">
        <f>Calc!A83</f>
        <v>7.4498999999999998E-3</v>
      </c>
      <c r="B76" s="173">
        <f>Calc!B83</f>
        <v>8.6459399999999995E-3</v>
      </c>
      <c r="C76" s="173">
        <f>Calc!C83</f>
        <v>1.5756900000000001E-2</v>
      </c>
      <c r="D76" s="173">
        <f>Calc!I83</f>
        <v>62978942874832.312</v>
      </c>
      <c r="E76" s="173">
        <f>Calc!P83</f>
        <v>4.5485069048843179E-6</v>
      </c>
      <c r="F76" s="174">
        <f>Calc!S83</f>
        <v>219852.35835921919</v>
      </c>
      <c r="G76" s="173">
        <f>Calc!O83</f>
        <v>62978942874832.312</v>
      </c>
      <c r="H76" s="177">
        <f>Calc!X83</f>
        <v>0.58699907965074549</v>
      </c>
      <c r="I76" s="178">
        <f>Calc!Y83</f>
        <v>1.5009972219695864</v>
      </c>
      <c r="J76" s="176">
        <f>Calc!AE83</f>
        <v>1471.1297606400474</v>
      </c>
    </row>
    <row r="77" spans="1:10" x14ac:dyDescent="0.2">
      <c r="A77" s="173">
        <f>Calc!A84</f>
        <v>7.5499E-3</v>
      </c>
      <c r="B77" s="173">
        <f>Calc!B84</f>
        <v>8.1166399999999996E-3</v>
      </c>
      <c r="C77" s="173">
        <f>Calc!C84</f>
        <v>1.50323E-2</v>
      </c>
      <c r="D77" s="173">
        <f>Calc!I84</f>
        <v>59092407678519.133</v>
      </c>
      <c r="E77" s="173">
        <f>Calc!P84</f>
        <v>4.4735557230684439E-6</v>
      </c>
      <c r="F77" s="174">
        <f>Calc!S84</f>
        <v>223535.82607948195</v>
      </c>
      <c r="G77" s="173">
        <f>Calc!O84</f>
        <v>59092407678519.133</v>
      </c>
      <c r="H77" s="177">
        <f>Calc!X84</f>
        <v>0.58535253845949786</v>
      </c>
      <c r="I77" s="178">
        <f>Calc!Y84</f>
        <v>1.4319643773233872</v>
      </c>
      <c r="J77" s="176">
        <f>Calc!AE84</f>
        <v>1471.8902534048195</v>
      </c>
    </row>
    <row r="78" spans="1:10" x14ac:dyDescent="0.2">
      <c r="A78" s="173">
        <f>Calc!A85</f>
        <v>7.6499000000000003E-3</v>
      </c>
      <c r="B78" s="173">
        <f>Calc!B85</f>
        <v>7.5424200000000002E-3</v>
      </c>
      <c r="C78" s="173">
        <f>Calc!C85</f>
        <v>1.4334100000000001E-2</v>
      </c>
      <c r="D78" s="173">
        <f>Calc!I85</f>
        <v>54879441940064.508</v>
      </c>
      <c r="E78" s="173">
        <f>Calc!P85</f>
        <v>4.3576084441764972E-6</v>
      </c>
      <c r="F78" s="174">
        <f>Calc!S85</f>
        <v>229483.67000492915</v>
      </c>
      <c r="G78" s="173">
        <f>Calc!O85</f>
        <v>54879441940064.508</v>
      </c>
      <c r="H78" s="177">
        <f>Calc!X85</f>
        <v>0.58344141637873481</v>
      </c>
      <c r="I78" s="178">
        <f>Calc!Y85</f>
        <v>1.365258417414714</v>
      </c>
      <c r="J78" s="176">
        <f>Calc!AE85</f>
        <v>1472.7474423474023</v>
      </c>
    </row>
    <row r="79" spans="1:10" x14ac:dyDescent="0.2">
      <c r="A79" s="173">
        <f>Calc!A86</f>
        <v>7.7498999999999997E-3</v>
      </c>
      <c r="B79" s="173">
        <f>Calc!B86</f>
        <v>7.3412499999999997E-3</v>
      </c>
      <c r="C79" s="173">
        <f>Calc!C86</f>
        <v>1.36661E-2</v>
      </c>
      <c r="D79" s="173">
        <f>Calc!I86</f>
        <v>53404351572723.078</v>
      </c>
      <c r="E79" s="173">
        <f>Calc!P86</f>
        <v>4.4469943469455001E-6</v>
      </c>
      <c r="F79" s="174">
        <f>Calc!S86</f>
        <v>224870.98047093119</v>
      </c>
      <c r="G79" s="173">
        <f>Calc!O86</f>
        <v>53404351572723.078</v>
      </c>
      <c r="H79" s="177">
        <f>Calc!X86</f>
        <v>0.58273760043962886</v>
      </c>
      <c r="I79" s="178">
        <f>Calc!Y86</f>
        <v>1.3018574992437528</v>
      </c>
      <c r="J79" s="176">
        <f>Calc!AE86</f>
        <v>1473.0563638223998</v>
      </c>
    </row>
    <row r="80" spans="1:10" x14ac:dyDescent="0.2">
      <c r="A80" s="173">
        <f>Calc!A87</f>
        <v>7.8498999999999999E-3</v>
      </c>
      <c r="B80" s="173">
        <f>Calc!B87</f>
        <v>7.0111699999999997E-3</v>
      </c>
      <c r="C80" s="173">
        <f>Calc!C87</f>
        <v>1.3003000000000001E-2</v>
      </c>
      <c r="D80" s="173">
        <f>Calc!I87</f>
        <v>50985018007305.523</v>
      </c>
      <c r="E80" s="173">
        <f>Calc!P87</f>
        <v>4.4622050398669285E-6</v>
      </c>
      <c r="F80" s="174">
        <f>Calc!S87</f>
        <v>224104.44428498414</v>
      </c>
      <c r="G80" s="173">
        <f>Calc!O87</f>
        <v>50985018007305.523</v>
      </c>
      <c r="H80" s="177">
        <f>Calc!X87</f>
        <v>0.5815402837781577</v>
      </c>
      <c r="I80" s="178">
        <f>Calc!Y87</f>
        <v>1.2386438048926571</v>
      </c>
      <c r="J80" s="176">
        <f>Calc!AE87</f>
        <v>1473.5736938748219</v>
      </c>
    </row>
    <row r="81" spans="1:10" x14ac:dyDescent="0.2">
      <c r="A81" s="173">
        <f>Calc!A88</f>
        <v>7.9498999999999993E-3</v>
      </c>
      <c r="B81" s="173">
        <f>Calc!B88</f>
        <v>6.3119500000000002E-3</v>
      </c>
      <c r="C81" s="173">
        <f>Calc!C88</f>
        <v>1.2381E-2</v>
      </c>
      <c r="D81" s="173">
        <f>Calc!I88</f>
        <v>45864279282712.633</v>
      </c>
      <c r="E81" s="173">
        <f>Calc!P88</f>
        <v>4.2154613827283217E-6</v>
      </c>
      <c r="F81" s="174">
        <f>Calc!S88</f>
        <v>237221.95377649675</v>
      </c>
      <c r="G81" s="173">
        <f>Calc!O88</f>
        <v>45864279282712.633</v>
      </c>
      <c r="H81" s="177">
        <f>Calc!X88</f>
        <v>0.57880774226814835</v>
      </c>
      <c r="I81" s="178">
        <f>Calc!Y88</f>
        <v>1.1794589721498556</v>
      </c>
      <c r="J81" s="176">
        <f>Calc!AE88</f>
        <v>1474.7165597015567</v>
      </c>
    </row>
    <row r="82" spans="1:10" x14ac:dyDescent="0.2">
      <c r="A82" s="173">
        <f>Calc!A89</f>
        <v>8.0499000000000005E-3</v>
      </c>
      <c r="B82" s="173">
        <f>Calc!B89</f>
        <v>6.1146899999999999E-3</v>
      </c>
      <c r="C82" s="173">
        <f>Calc!C89</f>
        <v>1.18204E-2</v>
      </c>
      <c r="D82" s="173">
        <f>Calc!I89</f>
        <v>44420716729771.094</v>
      </c>
      <c r="E82" s="173">
        <f>Calc!P89</f>
        <v>4.2777686015232291E-6</v>
      </c>
      <c r="F82" s="174">
        <f>Calc!S89</f>
        <v>233766.73194338672</v>
      </c>
      <c r="G82" s="173">
        <f>Calc!O89</f>
        <v>44420716729771.094</v>
      </c>
      <c r="H82" s="177">
        <f>Calc!X89</f>
        <v>0.57798238746280539</v>
      </c>
      <c r="I82" s="178">
        <f>Calc!Y89</f>
        <v>1.125697375045853</v>
      </c>
      <c r="J82" s="176">
        <f>Calc!AE89</f>
        <v>1475.0516688407113</v>
      </c>
    </row>
    <row r="83" spans="1:10" x14ac:dyDescent="0.2">
      <c r="A83" s="173">
        <f>Calc!A90</f>
        <v>8.1498999999999999E-3</v>
      </c>
      <c r="B83" s="173">
        <f>Calc!B90</f>
        <v>5.8978900000000003E-3</v>
      </c>
      <c r="C83" s="173">
        <f>Calc!C90</f>
        <v>1.1244199999999999E-2</v>
      </c>
      <c r="D83" s="173">
        <f>Calc!I90</f>
        <v>42834720206595.516</v>
      </c>
      <c r="E83" s="173">
        <f>Calc!P90</f>
        <v>4.3365419583407061E-6</v>
      </c>
      <c r="F83" s="174">
        <f>Calc!S90</f>
        <v>230598.48063235031</v>
      </c>
      <c r="G83" s="173">
        <f>Calc!O90</f>
        <v>42834720206595.516</v>
      </c>
      <c r="H83" s="177">
        <f>Calc!X90</f>
        <v>0.57704423191661947</v>
      </c>
      <c r="I83" s="178">
        <f>Calc!Y90</f>
        <v>1.0707935879453789</v>
      </c>
      <c r="J83" s="176">
        <f>Calc!AE90</f>
        <v>1475.4270214039186</v>
      </c>
    </row>
    <row r="84" spans="1:10" x14ac:dyDescent="0.2">
      <c r="A84" s="173">
        <f>Calc!A91</f>
        <v>8.2498999999999992E-3</v>
      </c>
      <c r="B84" s="173">
        <f>Calc!B91</f>
        <v>5.6361700000000002E-3</v>
      </c>
      <c r="C84" s="173">
        <f>Calc!C91</f>
        <v>1.0717900000000001E-2</v>
      </c>
      <c r="D84" s="173">
        <f>Calc!I91</f>
        <v>40920911006855.859</v>
      </c>
      <c r="E84" s="173">
        <f>Calc!P91</f>
        <v>4.3453062069454721E-6</v>
      </c>
      <c r="F84" s="174">
        <f>Calc!S91</f>
        <v>230133.37617564134</v>
      </c>
      <c r="G84" s="173">
        <f>Calc!O91</f>
        <v>40920911006855.859</v>
      </c>
      <c r="H84" s="177">
        <f>Calc!X91</f>
        <v>0.57586499588396178</v>
      </c>
      <c r="I84" s="178">
        <f>Calc!Y91</f>
        <v>1.0208884443795259</v>
      </c>
      <c r="J84" s="176">
        <f>Calc!AE91</f>
        <v>1475.8905695607295</v>
      </c>
    </row>
    <row r="85" spans="1:10" x14ac:dyDescent="0.2">
      <c r="A85" s="173">
        <f>Calc!A92</f>
        <v>8.3499000000000004E-3</v>
      </c>
      <c r="B85" s="173">
        <f>Calc!B92</f>
        <v>5.0638999999999997E-3</v>
      </c>
      <c r="C85" s="173">
        <f>Calc!C92</f>
        <v>1.02159E-2</v>
      </c>
      <c r="D85" s="173">
        <f>Calc!I92</f>
        <v>36739373449218.555</v>
      </c>
      <c r="E85" s="173">
        <f>Calc!P92</f>
        <v>4.091787678437085E-6</v>
      </c>
      <c r="F85" s="174">
        <f>Calc!S92</f>
        <v>244391.95515974361</v>
      </c>
      <c r="G85" s="173">
        <f>Calc!O92</f>
        <v>36739373449218.555</v>
      </c>
      <c r="H85" s="177">
        <f>Calc!X92</f>
        <v>0.57308488041734906</v>
      </c>
      <c r="I85" s="178">
        <f>Calc!Y92</f>
        <v>0.97335672903952875</v>
      </c>
      <c r="J85" s="176">
        <f>Calc!AE92</f>
        <v>1476.9478979254498</v>
      </c>
    </row>
    <row r="86" spans="1:10" x14ac:dyDescent="0.2">
      <c r="A86" s="173">
        <f>Calc!A93</f>
        <v>8.4498999999999998E-3</v>
      </c>
      <c r="B86" s="173">
        <f>Calc!B93</f>
        <v>4.97797E-3</v>
      </c>
      <c r="C86" s="173">
        <f>Calc!C93</f>
        <v>9.7413099999999996E-3</v>
      </c>
      <c r="D86" s="173">
        <f>Calc!I93</f>
        <v>36111873304960.227</v>
      </c>
      <c r="E86" s="173">
        <f>Calc!P93</f>
        <v>4.2175919689355493E-6</v>
      </c>
      <c r="F86" s="174">
        <f>Calc!S93</f>
        <v>237102.11851582775</v>
      </c>
      <c r="G86" s="173">
        <f>Calc!O93</f>
        <v>36111873304960.227</v>
      </c>
      <c r="H86" s="177">
        <f>Calc!X93</f>
        <v>0.57264066944372372</v>
      </c>
      <c r="I86" s="178">
        <f>Calc!Y93</f>
        <v>0.92819417083659328</v>
      </c>
      <c r="J86" s="176">
        <f>Calc!AE93</f>
        <v>1477.1123221163873</v>
      </c>
    </row>
    <row r="87" spans="1:10" x14ac:dyDescent="0.2">
      <c r="A87" s="173">
        <f>Calc!A94</f>
        <v>8.5498999999999992E-3</v>
      </c>
      <c r="B87" s="173">
        <f>Calc!B94</f>
        <v>4.5658599999999997E-3</v>
      </c>
      <c r="C87" s="173">
        <f>Calc!C94</f>
        <v>9.2823200000000002E-3</v>
      </c>
      <c r="D87" s="173">
        <f>Calc!I94</f>
        <v>33103906660121.973</v>
      </c>
      <c r="E87" s="173">
        <f>Calc!P94</f>
        <v>4.0594120542971997E-6</v>
      </c>
      <c r="F87" s="174">
        <f>Calc!S94</f>
        <v>246341.09059137676</v>
      </c>
      <c r="G87" s="173">
        <f>Calc!O94</f>
        <v>33103906660121.973</v>
      </c>
      <c r="H87" s="177">
        <f>Calc!X94</f>
        <v>0.57039853060914825</v>
      </c>
      <c r="I87" s="178">
        <f>Calc!Y94</f>
        <v>0.88403506596513515</v>
      </c>
      <c r="J87" s="176">
        <f>Calc!AE94</f>
        <v>1477.9237798884797</v>
      </c>
    </row>
    <row r="88" spans="1:10" x14ac:dyDescent="0.2">
      <c r="A88" s="173">
        <f>Calc!A95</f>
        <v>8.6499000000000003E-3</v>
      </c>
      <c r="B88" s="173">
        <f>Calc!B95</f>
        <v>4.2650800000000001E-3</v>
      </c>
      <c r="C88" s="173">
        <f>Calc!C95</f>
        <v>8.8428699999999992E-3</v>
      </c>
      <c r="D88" s="173">
        <f>Calc!I95</f>
        <v>30910091647007.52</v>
      </c>
      <c r="E88" s="173">
        <f>Calc!P95</f>
        <v>3.9779815287797986E-6</v>
      </c>
      <c r="F88" s="174">
        <f>Calc!S95</f>
        <v>251383.76999894727</v>
      </c>
      <c r="G88" s="173">
        <f>Calc!O95</f>
        <v>30910091647007.52</v>
      </c>
      <c r="H88" s="177">
        <f>Calc!X95</f>
        <v>0.56863126312847234</v>
      </c>
      <c r="I88" s="178">
        <f>Calc!Y95</f>
        <v>0.84234676195863012</v>
      </c>
      <c r="J88" s="176">
        <f>Calc!AE95</f>
        <v>1478.5421461439562</v>
      </c>
    </row>
    <row r="89" spans="1:10" x14ac:dyDescent="0.2">
      <c r="A89" s="173">
        <f>Calc!A96</f>
        <v>8.7498999999999997E-3</v>
      </c>
      <c r="B89" s="173">
        <f>Calc!B96</f>
        <v>4.1439800000000002E-3</v>
      </c>
      <c r="C89" s="173">
        <f>Calc!C96</f>
        <v>8.4122099999999998E-3</v>
      </c>
      <c r="D89" s="173">
        <f>Calc!I96</f>
        <v>30027202548986.285</v>
      </c>
      <c r="E89" s="173">
        <f>Calc!P96</f>
        <v>4.0665136708262491E-6</v>
      </c>
      <c r="F89" s="174">
        <f>Calc!S96</f>
        <v>245910.88948937977</v>
      </c>
      <c r="G89" s="173">
        <f>Calc!O96</f>
        <v>30027202548986.285</v>
      </c>
      <c r="H89" s="177">
        <f>Calc!X96</f>
        <v>0.56788448199594033</v>
      </c>
      <c r="I89" s="178">
        <f>Calc!Y96</f>
        <v>0.80047176391291919</v>
      </c>
      <c r="J89" s="176">
        <f>Calc!AE96</f>
        <v>1478.7979573411731</v>
      </c>
    </row>
    <row r="90" spans="1:10" x14ac:dyDescent="0.2">
      <c r="A90" s="173">
        <f>Calc!A97</f>
        <v>8.8499000000000008E-3</v>
      </c>
      <c r="B90" s="173">
        <f>Calc!B97</f>
        <v>3.8685899999999999E-3</v>
      </c>
      <c r="C90" s="173">
        <f>Calc!C97</f>
        <v>8.0098600000000006E-3</v>
      </c>
      <c r="D90" s="173">
        <f>Calc!I97</f>
        <v>28020296324098.75</v>
      </c>
      <c r="E90" s="173">
        <f>Calc!P97</f>
        <v>3.9817186958709439E-6</v>
      </c>
      <c r="F90" s="174">
        <f>Calc!S97</f>
        <v>251147.82615043101</v>
      </c>
      <c r="G90" s="173">
        <f>Calc!O97</f>
        <v>28020296324098.75</v>
      </c>
      <c r="H90" s="177">
        <f>Calc!X97</f>
        <v>0.56610213320765124</v>
      </c>
      <c r="I90" s="178">
        <f>Calc!Y97</f>
        <v>0.76287877087300449</v>
      </c>
      <c r="J90" s="176">
        <f>Calc!AE97</f>
        <v>1479.3956215730261</v>
      </c>
    </row>
    <row r="91" spans="1:10" x14ac:dyDescent="0.2">
      <c r="A91" s="173">
        <f>Calc!A98</f>
        <v>8.9499000000000002E-3</v>
      </c>
      <c r="B91" s="173">
        <f>Calc!B98</f>
        <v>4.0463299999999999E-3</v>
      </c>
      <c r="C91" s="173">
        <f>Calc!C98</f>
        <v>7.6348600000000003E-3</v>
      </c>
      <c r="D91" s="173">
        <f>Calc!I98</f>
        <v>29315441789346.539</v>
      </c>
      <c r="E91" s="173">
        <f>Calc!P98</f>
        <v>4.3669215864129394E-6</v>
      </c>
      <c r="F91" s="174">
        <f>Calc!S98</f>
        <v>228994.26380394062</v>
      </c>
      <c r="G91" s="173">
        <f>Calc!O98</f>
        <v>29315441789346.539</v>
      </c>
      <c r="H91" s="177">
        <f>Calc!X98</f>
        <v>0.56726633338185262</v>
      </c>
      <c r="I91" s="178">
        <f>Calc!Y98</f>
        <v>0.72773695624336787</v>
      </c>
      <c r="J91" s="176">
        <f>Calc!AE98</f>
        <v>1479.0072793246934</v>
      </c>
    </row>
    <row r="92" spans="1:10" x14ac:dyDescent="0.2">
      <c r="A92" s="173">
        <f>Calc!A99</f>
        <v>9.0498999999999996E-3</v>
      </c>
      <c r="B92" s="173">
        <f>Calc!B99</f>
        <v>3.1908599999999998E-3</v>
      </c>
      <c r="C92" s="173">
        <f>Calc!C99</f>
        <v>7.2579100000000002E-3</v>
      </c>
      <c r="D92" s="173">
        <f>Calc!I99</f>
        <v>23086600001695.137</v>
      </c>
      <c r="E92" s="173">
        <f>Calc!P99</f>
        <v>3.6151712132411729E-6</v>
      </c>
      <c r="F92" s="174">
        <f>Calc!S99</f>
        <v>276612.07113476505</v>
      </c>
      <c r="G92" s="173">
        <f>Calc!O99</f>
        <v>23086600001695.137</v>
      </c>
      <c r="H92" s="177">
        <f>Calc!X99</f>
        <v>0.56111365869414431</v>
      </c>
      <c r="I92" s="178">
        <f>Calc!Y99</f>
        <v>0.69228430946341457</v>
      </c>
      <c r="J92" s="176">
        <f>Calc!AE99</f>
        <v>1480.9755686634996</v>
      </c>
    </row>
    <row r="93" spans="1:10" x14ac:dyDescent="0.2">
      <c r="A93" s="173">
        <f>Calc!A100</f>
        <v>9.1499000000000007E-3</v>
      </c>
      <c r="B93" s="173">
        <f>Calc!B100</f>
        <v>3.04828E-3</v>
      </c>
      <c r="C93" s="173">
        <f>Calc!C100</f>
        <v>6.9102499999999997E-3</v>
      </c>
      <c r="D93" s="173">
        <f>Calc!I100</f>
        <v>22049662632956.566</v>
      </c>
      <c r="E93" s="173">
        <f>Calc!P100</f>
        <v>3.6280872089104776E-6</v>
      </c>
      <c r="F93" s="174">
        <f>Calc!S100</f>
        <v>275627.33183918602</v>
      </c>
      <c r="G93" s="173">
        <f>Calc!O100</f>
        <v>22049662632956.566</v>
      </c>
      <c r="H93" s="177">
        <f>Calc!X100</f>
        <v>0.55993035716537487</v>
      </c>
      <c r="I93" s="178">
        <f>Calc!Y100</f>
        <v>0.65883643951325532</v>
      </c>
      <c r="J93" s="176">
        <f>Calc!AE100</f>
        <v>1481.3311023956176</v>
      </c>
    </row>
    <row r="94" spans="1:10" x14ac:dyDescent="0.2">
      <c r="A94" s="173">
        <f>Calc!A101</f>
        <v>9.2499000000000001E-3</v>
      </c>
      <c r="B94" s="173">
        <f>Calc!B101</f>
        <v>2.7006199999999999E-3</v>
      </c>
      <c r="C94" s="173">
        <f>Calc!C101</f>
        <v>6.5674799999999997E-3</v>
      </c>
      <c r="D94" s="173">
        <f>Calc!I101</f>
        <v>19522813683744.777</v>
      </c>
      <c r="E94" s="173">
        <f>Calc!P101</f>
        <v>3.3836854817560604E-6</v>
      </c>
      <c r="F94" s="174">
        <f>Calc!S101</f>
        <v>295535.7415016563</v>
      </c>
      <c r="G94" s="173">
        <f>Calc!O101</f>
        <v>19522813683744.777</v>
      </c>
      <c r="H94" s="177">
        <f>Calc!X101</f>
        <v>0.55679691542054988</v>
      </c>
      <c r="I94" s="178">
        <f>Calc!Y101</f>
        <v>0.62546901749208095</v>
      </c>
      <c r="J94" s="176">
        <f>Calc!AE101</f>
        <v>1482.2386598311564</v>
      </c>
    </row>
    <row r="95" spans="1:10" x14ac:dyDescent="0.2">
      <c r="A95" s="173">
        <f>Calc!A102</f>
        <v>9.3498999999999995E-3</v>
      </c>
      <c r="B95" s="173">
        <f>Calc!B102</f>
        <v>2.88617E-3</v>
      </c>
      <c r="C95" s="173">
        <f>Calc!C102</f>
        <v>6.254E-3</v>
      </c>
      <c r="D95" s="173">
        <f>Calc!I102</f>
        <v>20871139181704.516</v>
      </c>
      <c r="E95" s="173">
        <f>Calc!P102</f>
        <v>3.7982483119625724E-6</v>
      </c>
      <c r="F95" s="174">
        <f>Calc!S102</f>
        <v>263279.25799479103</v>
      </c>
      <c r="G95" s="173">
        <f>Calc!O102</f>
        <v>20871139181704.516</v>
      </c>
      <c r="H95" s="177">
        <f>Calc!X102</f>
        <v>0.55851611832049886</v>
      </c>
      <c r="I95" s="178">
        <f>Calc!Y102</f>
        <v>0.59568433713447855</v>
      </c>
      <c r="J95" s="176">
        <f>Calc!AE102</f>
        <v>1481.7467286610895</v>
      </c>
    </row>
    <row r="96" spans="1:10" x14ac:dyDescent="0.2">
      <c r="A96" s="173">
        <f>Calc!A103</f>
        <v>9.4499000000000007E-3</v>
      </c>
      <c r="B96" s="173">
        <f>Calc!B103</f>
        <v>2.37054E-3</v>
      </c>
      <c r="C96" s="173">
        <f>Calc!C103</f>
        <v>5.9366200000000001E-3</v>
      </c>
      <c r="D96" s="173">
        <f>Calc!I103</f>
        <v>17125907608606.83</v>
      </c>
      <c r="E96" s="173">
        <f>Calc!P103</f>
        <v>3.2848751710830947E-6</v>
      </c>
      <c r="F96" s="174">
        <f>Calc!S103</f>
        <v>304425.57062859792</v>
      </c>
      <c r="G96" s="173">
        <f>Calc!O103</f>
        <v>17125907608606.83</v>
      </c>
      <c r="H96" s="177">
        <f>Calc!X103</f>
        <v>0.55342546724637076</v>
      </c>
      <c r="I96" s="178">
        <f>Calc!Y103</f>
        <v>0.56518171956559671</v>
      </c>
      <c r="J96" s="176">
        <f>Calc!AE103</f>
        <v>1483.1623748865586</v>
      </c>
    </row>
    <row r="97" spans="1:10" x14ac:dyDescent="0.2">
      <c r="A97" s="173">
        <f>Calc!A104</f>
        <v>9.5499000000000001E-3</v>
      </c>
      <c r="B97" s="173">
        <f>Calc!B104</f>
        <v>2.31E-3</v>
      </c>
      <c r="C97" s="173">
        <f>Calc!C104</f>
        <v>5.6368099999999999E-3</v>
      </c>
      <c r="D97" s="173">
        <f>Calc!I104</f>
        <v>16686532065524.437</v>
      </c>
      <c r="E97" s="173">
        <f>Calc!P104</f>
        <v>3.3721417113794382E-6</v>
      </c>
      <c r="F97" s="174">
        <f>Calc!S104</f>
        <v>296547.44196153316</v>
      </c>
      <c r="G97" s="173">
        <f>Calc!O104</f>
        <v>16686532065524.437</v>
      </c>
      <c r="H97" s="177">
        <f>Calc!X104</f>
        <v>0.55275662105887435</v>
      </c>
      <c r="I97" s="178">
        <f>Calc!Y104</f>
        <v>0.53643073181540857</v>
      </c>
      <c r="J97" s="176">
        <f>Calc!AE104</f>
        <v>1483.3393697841498</v>
      </c>
    </row>
    <row r="98" spans="1:10" x14ac:dyDescent="0.2">
      <c r="A98" s="173">
        <f>Calc!A105</f>
        <v>9.6498999999999995E-3</v>
      </c>
      <c r="B98" s="173">
        <f>Calc!B105</f>
        <v>2.3041400000000001E-3</v>
      </c>
      <c r="C98" s="173">
        <f>Calc!C105</f>
        <v>5.3555599999999997E-3</v>
      </c>
      <c r="D98" s="173">
        <f>Calc!I105</f>
        <v>16644006573714.744</v>
      </c>
      <c r="E98" s="173">
        <f>Calc!P105</f>
        <v>3.5411816067341976E-6</v>
      </c>
      <c r="F98" s="174">
        <f>Calc!S105</f>
        <v>282391.61653553095</v>
      </c>
      <c r="G98" s="173">
        <f>Calc!O105</f>
        <v>16644006573714.744</v>
      </c>
      <c r="H98" s="177">
        <f>Calc!X105</f>
        <v>0.55269095528160328</v>
      </c>
      <c r="I98" s="178">
        <f>Calc!Y105</f>
        <v>0.50952213901843124</v>
      </c>
      <c r="J98" s="176">
        <f>Calc!AE105</f>
        <v>1483.356637518001</v>
      </c>
    </row>
    <row r="99" spans="1:10" x14ac:dyDescent="0.2">
      <c r="A99" s="173">
        <f>Calc!A106</f>
        <v>9.7499000000000006E-3</v>
      </c>
      <c r="B99" s="173">
        <f>Calc!B106</f>
        <v>2.40179E-3</v>
      </c>
      <c r="C99" s="173">
        <f>Calc!C106</f>
        <v>5.0997100000000004E-3</v>
      </c>
      <c r="D99" s="173">
        <f>Calc!I106</f>
        <v>17352737737357.102</v>
      </c>
      <c r="E99" s="173">
        <f>Calc!P106</f>
        <v>3.8726669169119488E-6</v>
      </c>
      <c r="F99" s="174">
        <f>Calc!S106</f>
        <v>258219.98625733203</v>
      </c>
      <c r="G99" s="173">
        <f>Calc!O106</f>
        <v>17352737737357.102</v>
      </c>
      <c r="H99" s="177">
        <f>Calc!X106</f>
        <v>0.5537640883231375</v>
      </c>
      <c r="I99" s="178">
        <f>Calc!Y106</f>
        <v>0.48574824235061609</v>
      </c>
      <c r="J99" s="176">
        <f>Calc!AE106</f>
        <v>1483.0719895485358</v>
      </c>
    </row>
    <row r="100" spans="1:10" x14ac:dyDescent="0.2">
      <c r="A100" s="173">
        <f>Calc!A107</f>
        <v>9.8499E-3</v>
      </c>
      <c r="B100" s="173">
        <f>Calc!B107</f>
        <v>1.9232800000000001E-3</v>
      </c>
      <c r="C100" s="173">
        <f>Calc!C107</f>
        <v>4.8204099999999998E-3</v>
      </c>
      <c r="D100" s="173">
        <f>Calc!I107</f>
        <v>13881744201277.66</v>
      </c>
      <c r="E100" s="173">
        <f>Calc!P107</f>
        <v>3.2731339104967865E-6</v>
      </c>
      <c r="F100" s="174">
        <f>Calc!S107</f>
        <v>305517.59454326483</v>
      </c>
      <c r="G100" s="173">
        <f>Calc!O107</f>
        <v>13881744201277.66</v>
      </c>
      <c r="H100" s="177">
        <f>Calc!X107</f>
        <v>0.54802160725170579</v>
      </c>
      <c r="I100" s="178">
        <f>Calc!Y107</f>
        <v>0.45976260421417814</v>
      </c>
      <c r="J100" s="176">
        <f>Calc!AE107</f>
        <v>1484.5358783942092</v>
      </c>
    </row>
    <row r="101" spans="1:10" x14ac:dyDescent="0.2">
      <c r="A101" s="173">
        <f>Calc!A108</f>
        <v>9.9498999999999994E-3</v>
      </c>
      <c r="B101" s="173">
        <f>Calc!B108</f>
        <v>1.7572600000000001E-3</v>
      </c>
      <c r="C101" s="173">
        <f>Calc!C108</f>
        <v>4.5948200000000003E-3</v>
      </c>
      <c r="D101" s="173">
        <f>Calc!I108</f>
        <v>12678689272355.176</v>
      </c>
      <c r="E101" s="173">
        <f>Calc!P108</f>
        <v>3.1375001017298937E-6</v>
      </c>
      <c r="F101" s="174">
        <f>Calc!S108</f>
        <v>318725.08900044899</v>
      </c>
      <c r="G101" s="173">
        <f>Calc!O108</f>
        <v>12678689272355.176</v>
      </c>
      <c r="H101" s="177">
        <f>Calc!X108</f>
        <v>0.54568960234032737</v>
      </c>
      <c r="I101" s="178">
        <f>Calc!Y108</f>
        <v>0.43807048138678989</v>
      </c>
      <c r="J101" s="176">
        <f>Calc!AE108</f>
        <v>1485.0902612048817</v>
      </c>
    </row>
    <row r="102" spans="1:10" x14ac:dyDescent="0.2">
      <c r="A102" s="173">
        <f>Calc!A109</f>
        <v>1.00499E-2</v>
      </c>
      <c r="B102" s="173">
        <f>Calc!B109</f>
        <v>1.5307000000000001E-3</v>
      </c>
      <c r="C102" s="173">
        <f>Calc!C109</f>
        <v>4.3565399999999999E-3</v>
      </c>
      <c r="D102" s="173">
        <f>Calc!I109</f>
        <v>11038029655723.979</v>
      </c>
      <c r="E102" s="173">
        <f>Calc!P109</f>
        <v>2.8870708414351529E-6</v>
      </c>
      <c r="F102" s="174">
        <f>Calc!S109</f>
        <v>346371.82609588816</v>
      </c>
      <c r="G102" s="173">
        <f>Calc!O109</f>
        <v>11038029655723.979</v>
      </c>
      <c r="H102" s="177">
        <f>Calc!X109</f>
        <v>0.54212528231258073</v>
      </c>
      <c r="I102" s="178">
        <f>Calc!Y109</f>
        <v>0.41446465104714986</v>
      </c>
      <c r="J102" s="176">
        <f>Calc!AE109</f>
        <v>1485.8956051828723</v>
      </c>
    </row>
    <row r="103" spans="1:10" x14ac:dyDescent="0.2">
      <c r="A103" s="173">
        <f>Calc!A110</f>
        <v>1.01499E-2</v>
      </c>
      <c r="B103" s="173">
        <f>Calc!B110</f>
        <v>1.6654700000000001E-3</v>
      </c>
      <c r="C103" s="173">
        <f>Calc!C110</f>
        <v>4.1299800000000001E-3</v>
      </c>
      <c r="D103" s="173">
        <f>Calc!I110</f>
        <v>12013825248258.893</v>
      </c>
      <c r="E103" s="173">
        <f>Calc!P110</f>
        <v>3.3152853795381385E-6</v>
      </c>
      <c r="F103" s="174">
        <f>Calc!S110</f>
        <v>301633.15815213462</v>
      </c>
      <c r="G103" s="173">
        <f>Calc!O110</f>
        <v>12013825248258.893</v>
      </c>
      <c r="H103" s="177">
        <f>Calc!X110</f>
        <v>0.54430408049338064</v>
      </c>
      <c r="I103" s="178">
        <f>Calc!Y110</f>
        <v>0.39283825415452372</v>
      </c>
      <c r="J103" s="176">
        <f>Calc!AE110</f>
        <v>1485.4092241582105</v>
      </c>
    </row>
    <row r="104" spans="1:10" x14ac:dyDescent="0.2">
      <c r="A104" s="173">
        <f>Calc!A111</f>
        <v>1.0249899999999999E-2</v>
      </c>
      <c r="B104" s="173">
        <f>Calc!B111</f>
        <v>1.6498400000000001E-3</v>
      </c>
      <c r="C104" s="173">
        <f>Calc!C111</f>
        <v>3.8995100000000001E-3</v>
      </c>
      <c r="D104" s="173">
        <f>Calc!I111</f>
        <v>11900633169939.781</v>
      </c>
      <c r="E104" s="173">
        <f>Calc!P111</f>
        <v>3.479112888351132E-6</v>
      </c>
      <c r="F104" s="174">
        <f>Calc!S111</f>
        <v>287429.59233380965</v>
      </c>
      <c r="G104" s="173">
        <f>Calc!O111</f>
        <v>11900633169939.781</v>
      </c>
      <c r="H104" s="177">
        <f>Calc!X111</f>
        <v>0.54406058970862448</v>
      </c>
      <c r="I104" s="178">
        <f>Calc!Y111</f>
        <v>0.37081298014126907</v>
      </c>
      <c r="J104" s="176">
        <f>Calc!AE111</f>
        <v>1485.4644937634969</v>
      </c>
    </row>
    <row r="105" spans="1:10" x14ac:dyDescent="0.2">
      <c r="A105" s="173">
        <f>Calc!A112</f>
        <v>1.03499E-2</v>
      </c>
      <c r="B105" s="173">
        <f>Calc!B112</f>
        <v>1.44086E-3</v>
      </c>
      <c r="C105" s="173">
        <f>Calc!C112</f>
        <v>3.7139600000000001E-3</v>
      </c>
      <c r="D105" s="173">
        <f>Calc!I112</f>
        <v>10387812015799.9</v>
      </c>
      <c r="E105" s="173">
        <f>Calc!P112</f>
        <v>3.1855848264817977E-6</v>
      </c>
      <c r="F105" s="174">
        <f>Calc!S112</f>
        <v>313914.10177383205</v>
      </c>
      <c r="G105" s="173">
        <f>Calc!O112</f>
        <v>10387812015799.9</v>
      </c>
      <c r="H105" s="177">
        <f>Calc!X112</f>
        <v>0.54056385108752603</v>
      </c>
      <c r="I105" s="178">
        <f>Calc!Y112</f>
        <v>0.35349908005312319</v>
      </c>
      <c r="J105" s="176">
        <f>Calc!AE112</f>
        <v>1486.2330533583668</v>
      </c>
    </row>
    <row r="106" spans="1:10" x14ac:dyDescent="0.2">
      <c r="A106" s="173">
        <f>Calc!A113</f>
        <v>1.04499E-2</v>
      </c>
      <c r="B106" s="173">
        <f>Calc!B113</f>
        <v>1.4662500000000001E-3</v>
      </c>
      <c r="C106" s="173">
        <f>Calc!C113</f>
        <v>3.5225600000000001E-3</v>
      </c>
      <c r="D106" s="173">
        <f>Calc!I113</f>
        <v>10571550365572.541</v>
      </c>
      <c r="E106" s="173">
        <f>Calc!P113</f>
        <v>3.4136583749947178E-6</v>
      </c>
      <c r="F106" s="174">
        <f>Calc!S113</f>
        <v>292940.85392134561</v>
      </c>
      <c r="G106" s="173">
        <f>Calc!O113</f>
        <v>10571550365572.541</v>
      </c>
      <c r="H106" s="177">
        <f>Calc!X113</f>
        <v>0.54101476259008474</v>
      </c>
      <c r="I106" s="178">
        <f>Calc!Y113</f>
        <v>0.33571597447934792</v>
      </c>
      <c r="J106" s="176">
        <f>Calc!AE113</f>
        <v>1486.1365407132978</v>
      </c>
    </row>
    <row r="107" spans="1:10" x14ac:dyDescent="0.2">
      <c r="A107" s="173">
        <f>Calc!A114</f>
        <v>1.0549899999999999E-2</v>
      </c>
      <c r="B107" s="173">
        <f>Calc!B114</f>
        <v>1.3783599999999999E-3</v>
      </c>
      <c r="C107" s="173">
        <f>Calc!C114</f>
        <v>3.3330999999999999E-3</v>
      </c>
      <c r="D107" s="173">
        <f>Calc!I114</f>
        <v>9935596974684.25</v>
      </c>
      <c r="E107" s="173">
        <f>Calc!P114</f>
        <v>3.3872968658682775E-6</v>
      </c>
      <c r="F107" s="174">
        <f>Calc!S114</f>
        <v>295220.65500704042</v>
      </c>
      <c r="G107" s="173">
        <f>Calc!O114</f>
        <v>9935596974684.25</v>
      </c>
      <c r="H107" s="177">
        <f>Calc!X114</f>
        <v>0.53941922286744337</v>
      </c>
      <c r="I107" s="178">
        <f>Calc!Y114</f>
        <v>0.31797581307329637</v>
      </c>
      <c r="J107" s="176">
        <f>Calc!AE114</f>
        <v>1486.4746854535792</v>
      </c>
    </row>
    <row r="108" spans="1:10" x14ac:dyDescent="0.2">
      <c r="A108" s="173">
        <f>Calc!A115</f>
        <v>1.06499E-2</v>
      </c>
      <c r="B108" s="173">
        <f>Calc!B115</f>
        <v>1.04437E-3</v>
      </c>
      <c r="C108" s="173">
        <f>Calc!C115</f>
        <v>3.1612300000000001E-3</v>
      </c>
      <c r="D108" s="173">
        <f>Calc!I115</f>
        <v>7520950601937.8154</v>
      </c>
      <c r="E108" s="173">
        <f>Calc!P115</f>
        <v>2.709089114572979E-6</v>
      </c>
      <c r="F108" s="174">
        <f>Calc!S115</f>
        <v>369127.76119705051</v>
      </c>
      <c r="G108" s="173">
        <f>Calc!O115</f>
        <v>7520950601937.8154</v>
      </c>
      <c r="H108" s="177">
        <f>Calc!X115</f>
        <v>0.5322599860955266</v>
      </c>
      <c r="I108" s="178">
        <f>Calc!Y115</f>
        <v>0.30095587467567925</v>
      </c>
      <c r="J108" s="176">
        <f>Calc!AE115</f>
        <v>1487.881665880589</v>
      </c>
    </row>
    <row r="109" spans="1:10" x14ac:dyDescent="0.2">
      <c r="A109" s="173">
        <f>Calc!A116</f>
        <v>1.07499E-2</v>
      </c>
      <c r="B109" s="173">
        <f>Calc!B116</f>
        <v>8.4710700000000005E-4</v>
      </c>
      <c r="C109" s="173">
        <f>Calc!C116</f>
        <v>2.9805600000000002E-3</v>
      </c>
      <c r="D109" s="173">
        <f>Calc!I116</f>
        <v>6096463953347.5107</v>
      </c>
      <c r="E109" s="173">
        <f>Calc!P116</f>
        <v>2.3314771616583166E-6</v>
      </c>
      <c r="F109" s="174">
        <f>Calc!S116</f>
        <v>428912.62942712329</v>
      </c>
      <c r="G109" s="173">
        <f>Calc!O116</f>
        <v>6096463953347.5107</v>
      </c>
      <c r="H109" s="177">
        <f>Calc!X116</f>
        <v>0.52686176987898592</v>
      </c>
      <c r="I109" s="178">
        <f>Calc!Y116</f>
        <v>0.2834655101372146</v>
      </c>
      <c r="J109" s="176">
        <f>Calc!AE116</f>
        <v>1488.832261204418</v>
      </c>
    </row>
    <row r="110" spans="1:10" x14ac:dyDescent="0.2">
      <c r="A110" s="173">
        <f>Calc!A117</f>
        <v>1.0849900000000001E-2</v>
      </c>
      <c r="B110" s="173">
        <f>Calc!B117</f>
        <v>1.3666399999999999E-3</v>
      </c>
      <c r="C110" s="173">
        <f>Calc!C117</f>
        <v>2.8438500000000002E-3</v>
      </c>
      <c r="D110" s="173">
        <f>Calc!I117</f>
        <v>9850809655496.25</v>
      </c>
      <c r="E110" s="173">
        <f>Calc!P117</f>
        <v>3.9558195983230351E-6</v>
      </c>
      <c r="F110" s="174">
        <f>Calc!S117</f>
        <v>252792.11412641389</v>
      </c>
      <c r="G110" s="173">
        <f>Calc!O117</f>
        <v>9850809655496.25</v>
      </c>
      <c r="H110" s="177">
        <f>Calc!X117</f>
        <v>0.53919882918697892</v>
      </c>
      <c r="I110" s="178">
        <f>Calc!Y117</f>
        <v>0.26995341751653812</v>
      </c>
      <c r="J110" s="176">
        <f>Calc!AE117</f>
        <v>1486.5206623171382</v>
      </c>
    </row>
    <row r="111" spans="1:10" x14ac:dyDescent="0.2">
      <c r="A111" s="173">
        <f>Calc!A118</f>
        <v>1.09499E-2</v>
      </c>
      <c r="B111" s="173">
        <f>Calc!B118</f>
        <v>1.0580399999999999E-3</v>
      </c>
      <c r="C111" s="173">
        <f>Calc!C118</f>
        <v>2.6895500000000002E-3</v>
      </c>
      <c r="D111" s="173">
        <f>Calc!I118</f>
        <v>7619713454214.334</v>
      </c>
      <c r="E111" s="173">
        <f>Calc!P118</f>
        <v>3.2331986168500563E-6</v>
      </c>
      <c r="F111" s="174">
        <f>Calc!S118</f>
        <v>309291.23700499273</v>
      </c>
      <c r="G111" s="173">
        <f>Calc!O118</f>
        <v>7619713454214.334</v>
      </c>
      <c r="H111" s="177">
        <f>Calc!X118</f>
        <v>0.53259540269142369</v>
      </c>
      <c r="I111" s="178">
        <f>Calc!Y118</f>
        <v>0.25548160480919324</v>
      </c>
      <c r="J111" s="176">
        <f>Calc!AE118</f>
        <v>1487.8195906540134</v>
      </c>
    </row>
    <row r="112" spans="1:10" x14ac:dyDescent="0.2">
      <c r="A112" s="173">
        <f>Calc!A119</f>
        <v>1.10499E-2</v>
      </c>
      <c r="B112" s="173">
        <f>Calc!B119</f>
        <v>1.1127299999999999E-3</v>
      </c>
      <c r="C112" s="173">
        <f>Calc!C119</f>
        <v>2.5264599999999999E-3</v>
      </c>
      <c r="D112" s="173">
        <f>Calc!I119</f>
        <v>8014896807774.1533</v>
      </c>
      <c r="E112" s="173">
        <f>Calc!P119</f>
        <v>3.6017244967284649E-6</v>
      </c>
      <c r="F112" s="174">
        <f>Calc!S119</f>
        <v>277644.77836221259</v>
      </c>
      <c r="G112" s="173">
        <f>Calc!O119</f>
        <v>8014896807774.1533</v>
      </c>
      <c r="H112" s="177">
        <f>Calc!X119</f>
        <v>0.53389540657383139</v>
      </c>
      <c r="I112" s="178">
        <f>Calc!Y119</f>
        <v>0.24123528178169612</v>
      </c>
      <c r="J112" s="176">
        <f>Calc!AE119</f>
        <v>1487.5755397229198</v>
      </c>
    </row>
    <row r="113" spans="1:10" x14ac:dyDescent="0.2">
      <c r="A113" s="173">
        <f>Calc!A120</f>
        <v>1.1149900000000001E-2</v>
      </c>
      <c r="B113" s="173">
        <f>Calc!B120</f>
        <v>1.0267900000000001E-3</v>
      </c>
      <c r="C113" s="173">
        <f>Calc!C120</f>
        <v>2.3965800000000002E-3</v>
      </c>
      <c r="D113" s="173">
        <f>Calc!I120</f>
        <v>7393947729350.4189</v>
      </c>
      <c r="E113" s="173">
        <f>Calc!P120</f>
        <v>3.5035299086742095E-6</v>
      </c>
      <c r="F113" s="174">
        <f>Calc!S120</f>
        <v>285426.42013878509</v>
      </c>
      <c r="G113" s="173">
        <f>Calc!O120</f>
        <v>7393947729350.4189</v>
      </c>
      <c r="H113" s="177">
        <f>Calc!X120</f>
        <v>0.53182213299560332</v>
      </c>
      <c r="I113" s="178">
        <f>Calc!Y120</f>
        <v>0.22878309294595511</v>
      </c>
      <c r="J113" s="176">
        <f>Calc!AE120</f>
        <v>1487.9621541903216</v>
      </c>
    </row>
    <row r="114" spans="1:10" x14ac:dyDescent="0.2">
      <c r="A114" s="173">
        <f>Calc!A121</f>
        <v>1.12499E-2</v>
      </c>
      <c r="B114" s="173">
        <f>Calc!B121</f>
        <v>6.3617000000000003E-4</v>
      </c>
      <c r="C114" s="173">
        <f>Calc!C121</f>
        <v>2.2647399999999999E-3</v>
      </c>
      <c r="D114" s="173">
        <f>Calc!I121</f>
        <v>4574805701668.0166</v>
      </c>
      <c r="E114" s="173">
        <f>Calc!P121</f>
        <v>2.2881898011842472E-6</v>
      </c>
      <c r="F114" s="174">
        <f>Calc!S121</f>
        <v>437026.68345211417</v>
      </c>
      <c r="G114" s="173">
        <f>Calc!O121</f>
        <v>4574805701668.0166</v>
      </c>
      <c r="H114" s="177">
        <f>Calc!X121</f>
        <v>0.51948103002525647</v>
      </c>
      <c r="I114" s="178">
        <f>Calc!Y121</f>
        <v>0.21673746445003078</v>
      </c>
      <c r="J114" s="176">
        <f>Calc!AE121</f>
        <v>1489.9947115182938</v>
      </c>
    </row>
    <row r="115" spans="1:10" x14ac:dyDescent="0.2">
      <c r="A115" s="173">
        <f>Calc!A122</f>
        <v>1.13499E-2</v>
      </c>
      <c r="B115" s="173">
        <f>Calc!B122</f>
        <v>6.2054500000000002E-4</v>
      </c>
      <c r="C115" s="173">
        <f>Calc!C122</f>
        <v>2.1504900000000001E-3</v>
      </c>
      <c r="D115" s="173">
        <f>Calc!I122</f>
        <v>4462161218964.7549</v>
      </c>
      <c r="E115" s="173">
        <f>Calc!P122</f>
        <v>2.3579650392191525E-6</v>
      </c>
      <c r="F115" s="174">
        <f>Calc!S122</f>
        <v>424094.49813268543</v>
      </c>
      <c r="G115" s="173">
        <f>Calc!O122</f>
        <v>4462161218964.7549</v>
      </c>
      <c r="H115" s="177">
        <f>Calc!X122</f>
        <v>0.51884025701140835</v>
      </c>
      <c r="I115" s="178">
        <f>Calc!Y122</f>
        <v>0.20514516040638542</v>
      </c>
      <c r="J115" s="176">
        <f>Calc!AE122</f>
        <v>1490.0887003473026</v>
      </c>
    </row>
    <row r="116" spans="1:10" x14ac:dyDescent="0.2">
      <c r="A116" s="173">
        <f>Calc!A123</f>
        <v>1.1449900000000001E-2</v>
      </c>
      <c r="B116" s="173">
        <f>Calc!B123</f>
        <v>3.3148200000000002E-4</v>
      </c>
      <c r="C116" s="173">
        <f>Calc!C123</f>
        <v>2.0245100000000002E-3</v>
      </c>
      <c r="D116" s="173">
        <f>Calc!I123</f>
        <v>2380308219748.499</v>
      </c>
      <c r="E116" s="173">
        <f>Calc!P123</f>
        <v>1.3469181455709587E-6</v>
      </c>
      <c r="F116" s="174">
        <f>Calc!S123</f>
        <v>742435.61368269473</v>
      </c>
      <c r="G116" s="173">
        <f>Calc!O123</f>
        <v>2380308219748.499</v>
      </c>
      <c r="H116" s="177">
        <f>Calc!X123</f>
        <v>0.50269111410050782</v>
      </c>
      <c r="I116" s="178">
        <f>Calc!Y123</f>
        <v>0.1915778843077218</v>
      </c>
      <c r="J116" s="176">
        <f>Calc!AE123</f>
        <v>1492.1382043388228</v>
      </c>
    </row>
    <row r="117" spans="1:10" x14ac:dyDescent="0.2">
      <c r="A117" s="173">
        <f>Calc!A124</f>
        <v>1.15499E-2</v>
      </c>
      <c r="B117" s="173">
        <f>Calc!B124</f>
        <v>6.6546699999999999E-4</v>
      </c>
      <c r="C117" s="173">
        <f>Calc!C124</f>
        <v>1.92783E-3</v>
      </c>
      <c r="D117" s="173">
        <f>Calc!I124</f>
        <v>4786042744442.8574</v>
      </c>
      <c r="E117" s="173">
        <f>Calc!P124</f>
        <v>2.8425026963608715E-6</v>
      </c>
      <c r="F117" s="174">
        <f>Calc!S124</f>
        <v>351802.65657167917</v>
      </c>
      <c r="G117" s="173">
        <f>Calc!O124</f>
        <v>4786042744442.8574</v>
      </c>
      <c r="H117" s="177">
        <f>Calc!X124</f>
        <v>0.52064122301770277</v>
      </c>
      <c r="I117" s="178">
        <f>Calc!Y124</f>
        <v>0.18252782042700683</v>
      </c>
      <c r="J117" s="176">
        <f>Calc!AE124</f>
        <v>1489.8218148832823</v>
      </c>
    </row>
    <row r="118" spans="1:10" x14ac:dyDescent="0.2">
      <c r="A118" s="173">
        <f>Calc!A125</f>
        <v>1.1649899999999999E-2</v>
      </c>
      <c r="B118" s="173">
        <f>Calc!B125</f>
        <v>1.1205399999999999E-3</v>
      </c>
      <c r="C118" s="173">
        <f>Calc!C125</f>
        <v>1.8077099999999999E-3</v>
      </c>
      <c r="D118" s="173">
        <f>Calc!I125</f>
        <v>8071338623400.7637</v>
      </c>
      <c r="E118" s="173">
        <f>Calc!P125</f>
        <v>5.1214771167991701E-6</v>
      </c>
      <c r="F118" s="174">
        <f>Calc!S125</f>
        <v>195256.16860924859</v>
      </c>
      <c r="G118" s="173">
        <f>Calc!O125</f>
        <v>8071338623400.7637</v>
      </c>
      <c r="H118" s="177">
        <f>Calc!X125</f>
        <v>0.53407583250695367</v>
      </c>
      <c r="I118" s="178">
        <f>Calc!Y125</f>
        <v>0.17084556588407523</v>
      </c>
      <c r="J118" s="176">
        <f>Calc!AE125</f>
        <v>1487.5412290164782</v>
      </c>
    </row>
    <row r="119" spans="1:10" x14ac:dyDescent="0.2">
      <c r="A119" s="173">
        <f>Calc!A126</f>
        <v>1.1749900000000001E-2</v>
      </c>
      <c r="B119" s="173">
        <f>Calc!B126</f>
        <v>6.4593500000000004E-4</v>
      </c>
      <c r="C119" s="173">
        <f>Calc!C126</f>
        <v>1.7149400000000001E-3</v>
      </c>
      <c r="D119" s="173">
        <f>Calc!I126</f>
        <v>4645209251346.9893</v>
      </c>
      <c r="E119" s="173">
        <f>Calc!P126</f>
        <v>3.083632629214022E-6</v>
      </c>
      <c r="F119" s="174">
        <f>Calc!S126</f>
        <v>324292.84552759229</v>
      </c>
      <c r="G119" s="173">
        <f>Calc!O126</f>
        <v>4645209251346.9893</v>
      </c>
      <c r="H119" s="177">
        <f>Calc!X126</f>
        <v>0.51987355737456875</v>
      </c>
      <c r="I119" s="178">
        <f>Calc!Y126</f>
        <v>0.1633037019985891</v>
      </c>
      <c r="J119" s="176">
        <f>Calc!AE126</f>
        <v>1489.9366099387669</v>
      </c>
    </row>
    <row r="120" spans="1:10" x14ac:dyDescent="0.2">
      <c r="A120" s="173">
        <f>Calc!A127</f>
        <v>1.18499E-2</v>
      </c>
      <c r="B120" s="173">
        <f>Calc!B127</f>
        <v>9.3304499999999997E-4</v>
      </c>
      <c r="C120" s="173">
        <f>Calc!C127</f>
        <v>1.6036100000000001E-3</v>
      </c>
      <c r="D120" s="173">
        <f>Calc!I127</f>
        <v>6716880326317.8936</v>
      </c>
      <c r="E120" s="173">
        <f>Calc!P127</f>
        <v>4.72795478381396E-6</v>
      </c>
      <c r="F120" s="174">
        <f>Calc!S127</f>
        <v>211507.94484528145</v>
      </c>
      <c r="G120" s="173">
        <f>Calc!O127</f>
        <v>6716880326317.8936</v>
      </c>
      <c r="H120" s="177">
        <f>Calc!X127</f>
        <v>0.52935314102259512</v>
      </c>
      <c r="I120" s="178">
        <f>Calc!Y127</f>
        <v>0.15400955866865346</v>
      </c>
      <c r="J120" s="176">
        <f>Calc!AE127</f>
        <v>1488.4046759982641</v>
      </c>
    </row>
    <row r="121" spans="1:10" x14ac:dyDescent="0.2">
      <c r="A121" s="173">
        <f>Calc!A128</f>
        <v>1.1949899999999999E-2</v>
      </c>
      <c r="B121" s="173">
        <f>Calc!B128</f>
        <v>5.3656000000000005E-4</v>
      </c>
      <c r="C121" s="173">
        <f>Calc!C128</f>
        <v>1.54306E-3</v>
      </c>
      <c r="D121" s="173">
        <f>Calc!I128</f>
        <v>3856875738431.2085</v>
      </c>
      <c r="E121" s="173">
        <f>Calc!P128</f>
        <v>2.8355668087481214E-6</v>
      </c>
      <c r="F121" s="174">
        <f>Calc!S128</f>
        <v>352663.17719788518</v>
      </c>
      <c r="G121" s="173">
        <f>Calc!O128</f>
        <v>3856875738431.2085</v>
      </c>
      <c r="H121" s="177">
        <f>Calc!X128</f>
        <v>0.51509368921675669</v>
      </c>
      <c r="I121" s="178">
        <f>Calc!Y128</f>
        <v>0.14745148236627031</v>
      </c>
      <c r="J121" s="176">
        <f>Calc!AE128</f>
        <v>1490.6175183168289</v>
      </c>
    </row>
    <row r="122" spans="1:10" x14ac:dyDescent="0.2">
      <c r="A122" s="173">
        <f>Calc!A129</f>
        <v>1.2049900000000001E-2</v>
      </c>
      <c r="B122" s="173">
        <f>Calc!B129</f>
        <v>1.3030999999999999E-4</v>
      </c>
      <c r="C122" s="173">
        <f>Calc!C129</f>
        <v>1.44834E-3</v>
      </c>
      <c r="D122" s="173">
        <f>Calc!I129</f>
        <v>934386149398.05164</v>
      </c>
      <c r="E122" s="173">
        <f>Calc!P129</f>
        <v>7.3495863574958745E-7</v>
      </c>
      <c r="F122" s="174">
        <f>Calc!S129</f>
        <v>1360620.7905551454</v>
      </c>
      <c r="G122" s="173">
        <f>Calc!O129</f>
        <v>934386149398.05164</v>
      </c>
      <c r="H122" s="177">
        <f>Calc!X129</f>
        <v>0.47866471604779798</v>
      </c>
      <c r="I122" s="178">
        <f>Calc!Y129</f>
        <v>0.13782146917595636</v>
      </c>
      <c r="J122" s="176">
        <f>Calc!AE129</f>
        <v>1494.2814125839961</v>
      </c>
    </row>
    <row r="123" spans="1:10" x14ac:dyDescent="0.2">
      <c r="A123" s="173">
        <f>Calc!A130</f>
        <v>1.21499E-2</v>
      </c>
      <c r="B123" s="173">
        <f>Calc!B130</f>
        <v>5.1702900000000001E-4</v>
      </c>
      <c r="C123" s="173">
        <f>Calc!C130</f>
        <v>1.3653300000000001E-3</v>
      </c>
      <c r="D123" s="173">
        <f>Calc!I130</f>
        <v>3716160452613.4868</v>
      </c>
      <c r="E123" s="173">
        <f>Calc!P130</f>
        <v>3.1097751450034832E-6</v>
      </c>
      <c r="F123" s="174">
        <f>Calc!S130</f>
        <v>321566.65781300096</v>
      </c>
      <c r="G123" s="173">
        <f>Calc!O130</f>
        <v>3716160452613.4868</v>
      </c>
      <c r="H123" s="177">
        <f>Calc!X130</f>
        <v>0.51413851351310502</v>
      </c>
      <c r="I123" s="178">
        <f>Calc!Y130</f>
        <v>0.12954446129502345</v>
      </c>
      <c r="J123" s="176">
        <f>Calc!AE130</f>
        <v>1490.7468443650316</v>
      </c>
    </row>
    <row r="124" spans="1:10" x14ac:dyDescent="0.2">
      <c r="A124" s="173">
        <f>Calc!A131</f>
        <v>1.2249899999999999E-2</v>
      </c>
      <c r="B124" s="173">
        <f>Calc!B131</f>
        <v>8.1585700000000002E-4</v>
      </c>
      <c r="C124" s="173">
        <f>Calc!C131</f>
        <v>1.2813499999999999E-3</v>
      </c>
      <c r="D124" s="173">
        <f>Calc!I131</f>
        <v>5870924959512.5254</v>
      </c>
      <c r="E124" s="173">
        <f>Calc!P131</f>
        <v>5.2244161978774165E-6</v>
      </c>
      <c r="F124" s="174">
        <f>Calc!S131</f>
        <v>191408.94634454252</v>
      </c>
      <c r="G124" s="173">
        <f>Calc!O131</f>
        <v>5870924959512.5254</v>
      </c>
      <c r="H124" s="177">
        <f>Calc!X131</f>
        <v>0.52589274919356721</v>
      </c>
      <c r="I124" s="178">
        <f>Calc!Y131</f>
        <v>0.12182099498582748</v>
      </c>
      <c r="J124" s="176">
        <f>Calc!AE131</f>
        <v>1488.9935981340245</v>
      </c>
    </row>
    <row r="125" spans="1:10" x14ac:dyDescent="0.2">
      <c r="A125" s="173">
        <f>Calc!A132</f>
        <v>1.23499E-2</v>
      </c>
      <c r="B125" s="173">
        <f>Calc!B132</f>
        <v>3.1585700000000001E-4</v>
      </c>
      <c r="C125" s="173">
        <f>Calc!C132</f>
        <v>1.22178E-3</v>
      </c>
      <c r="D125" s="173">
        <f>Calc!I132</f>
        <v>2267902735282.6265</v>
      </c>
      <c r="E125" s="173">
        <f>Calc!P132</f>
        <v>0</v>
      </c>
      <c r="F125" s="174">
        <f>Calc!S132</f>
        <v>0</v>
      </c>
      <c r="G125" s="173">
        <f>Calc!O132</f>
        <v>2267902735282.6265</v>
      </c>
      <c r="H125" s="177">
        <f>Calc!X132</f>
        <v>0.50144807857489559</v>
      </c>
      <c r="I125" s="178" t="str">
        <f>Calc!Y132</f>
        <v/>
      </c>
      <c r="J125" s="176">
        <f>Calc!AE132</f>
        <v>1492.2729950117539</v>
      </c>
    </row>
    <row r="126" spans="1:10" x14ac:dyDescent="0.2">
      <c r="A126" s="173">
        <f>Calc!A133</f>
        <v>1.24499E-2</v>
      </c>
      <c r="B126" s="173">
        <f>Calc!B133</f>
        <v>1.8890399999999999E-4</v>
      </c>
      <c r="C126" s="173">
        <f>Calc!C133</f>
        <v>1.1475599999999999E-3</v>
      </c>
      <c r="D126" s="173">
        <f>Calc!I133</f>
        <v>1355209698596.6841</v>
      </c>
      <c r="E126" s="173">
        <f>Calc!P133</f>
        <v>0</v>
      </c>
      <c r="F126" s="174">
        <f>Calc!S133</f>
        <v>0</v>
      </c>
      <c r="G126" s="173">
        <f>Calc!O133</f>
        <v>1355209698596.6841</v>
      </c>
      <c r="H126" s="177">
        <f>Calc!X133</f>
        <v>0.48821791996202768</v>
      </c>
      <c r="I126" s="178" t="str">
        <f>Calc!Y133</f>
        <v/>
      </c>
      <c r="J126" s="176">
        <f>Calc!AE133</f>
        <v>1493.5372545888408</v>
      </c>
    </row>
    <row r="127" spans="1:10" x14ac:dyDescent="0.2">
      <c r="A127" s="175"/>
      <c r="B127" s="175"/>
      <c r="C127" s="175"/>
      <c r="D127" s="175"/>
      <c r="E127" s="175"/>
      <c r="F127" s="175"/>
      <c r="G127" s="175"/>
      <c r="H127" s="175"/>
      <c r="I127" s="175"/>
      <c r="J127" s="175"/>
    </row>
    <row r="128" spans="1:10" x14ac:dyDescent="0.2">
      <c r="A128" s="175"/>
      <c r="B128" s="175"/>
      <c r="C128" s="175"/>
      <c r="D128" s="175"/>
      <c r="E128" s="175"/>
      <c r="F128" s="175"/>
      <c r="G128" s="175"/>
      <c r="H128" s="175"/>
      <c r="I128" s="175"/>
      <c r="J128" s="175"/>
    </row>
    <row r="129" spans="1:10" x14ac:dyDescent="0.2">
      <c r="A129" s="175"/>
      <c r="B129" s="175"/>
      <c r="C129" s="175"/>
      <c r="D129" s="175"/>
      <c r="E129" s="175"/>
      <c r="F129" s="175"/>
      <c r="G129" s="175"/>
      <c r="H129" s="175"/>
      <c r="I129" s="175"/>
      <c r="J129" s="175"/>
    </row>
    <row r="130" spans="1:10" x14ac:dyDescent="0.2">
      <c r="A130" s="175"/>
      <c r="B130" s="175"/>
      <c r="C130" s="175"/>
      <c r="D130" s="175"/>
      <c r="E130" s="175"/>
      <c r="F130" s="175"/>
      <c r="G130" s="175"/>
      <c r="H130" s="175"/>
      <c r="I130" s="175"/>
      <c r="J130" s="175"/>
    </row>
    <row r="131" spans="1:10" x14ac:dyDescent="0.2">
      <c r="A131" s="175"/>
      <c r="B131" s="175"/>
      <c r="C131" s="175"/>
      <c r="D131" s="175"/>
      <c r="E131" s="175"/>
      <c r="F131" s="175"/>
      <c r="G131" s="175"/>
      <c r="H131" s="175"/>
      <c r="I131" s="175"/>
      <c r="J131" s="175"/>
    </row>
    <row r="132" spans="1:10" x14ac:dyDescent="0.2">
      <c r="A132" s="175"/>
      <c r="B132" s="175"/>
      <c r="C132" s="175"/>
      <c r="D132" s="175"/>
      <c r="E132" s="175"/>
      <c r="F132" s="175"/>
      <c r="G132" s="175"/>
      <c r="H132" s="175"/>
      <c r="I132" s="175"/>
      <c r="J132" s="175"/>
    </row>
    <row r="133" spans="1:10" x14ac:dyDescent="0.2">
      <c r="A133" s="175"/>
      <c r="B133" s="175"/>
      <c r="C133" s="175"/>
      <c r="D133" s="175"/>
      <c r="E133" s="175"/>
      <c r="F133" s="175"/>
      <c r="G133" s="175"/>
      <c r="H133" s="175"/>
      <c r="I133" s="175"/>
      <c r="J133" s="175"/>
    </row>
    <row r="134" spans="1:10" x14ac:dyDescent="0.2">
      <c r="A134" s="175"/>
      <c r="B134" s="175"/>
      <c r="C134" s="175"/>
      <c r="D134" s="175"/>
      <c r="E134" s="175"/>
      <c r="F134" s="175"/>
      <c r="G134" s="175"/>
      <c r="H134" s="175"/>
      <c r="I134" s="175"/>
      <c r="J134" s="175"/>
    </row>
    <row r="135" spans="1:10" x14ac:dyDescent="0.2">
      <c r="A135" s="175"/>
      <c r="B135" s="175"/>
      <c r="C135" s="175"/>
      <c r="D135" s="175"/>
      <c r="E135" s="175"/>
      <c r="F135" s="175"/>
      <c r="G135" s="175"/>
      <c r="H135" s="175"/>
      <c r="I135" s="175"/>
      <c r="J135" s="175"/>
    </row>
    <row r="136" spans="1:10" x14ac:dyDescent="0.2">
      <c r="A136" s="175"/>
      <c r="B136" s="175"/>
      <c r="C136" s="175"/>
      <c r="D136" s="175"/>
      <c r="E136" s="175"/>
      <c r="F136" s="175"/>
      <c r="G136" s="175"/>
      <c r="H136" s="175"/>
      <c r="I136" s="175"/>
      <c r="J136" s="175"/>
    </row>
    <row r="137" spans="1:10" x14ac:dyDescent="0.2">
      <c r="A137" s="175"/>
      <c r="B137" s="175"/>
      <c r="C137" s="175"/>
      <c r="D137" s="175"/>
      <c r="E137" s="175"/>
      <c r="F137" s="175"/>
      <c r="G137" s="175"/>
      <c r="H137" s="175"/>
      <c r="I137" s="175"/>
      <c r="J137" s="175"/>
    </row>
    <row r="138" spans="1:10" x14ac:dyDescent="0.2">
      <c r="A138" s="175"/>
      <c r="B138" s="175"/>
      <c r="C138" s="175"/>
      <c r="D138" s="175"/>
      <c r="E138" s="175"/>
      <c r="F138" s="175"/>
      <c r="G138" s="175"/>
      <c r="H138" s="175"/>
      <c r="I138" s="175"/>
      <c r="J138" s="175"/>
    </row>
    <row r="139" spans="1:10" x14ac:dyDescent="0.2">
      <c r="A139" s="175"/>
      <c r="B139" s="175"/>
      <c r="C139" s="175"/>
      <c r="D139" s="175"/>
      <c r="E139" s="175"/>
      <c r="F139" s="175"/>
      <c r="G139" s="175"/>
      <c r="H139" s="175"/>
      <c r="I139" s="175"/>
      <c r="J139" s="175"/>
    </row>
    <row r="140" spans="1:10" x14ac:dyDescent="0.2">
      <c r="A140" s="175"/>
      <c r="B140" s="175"/>
      <c r="C140" s="175"/>
      <c r="D140" s="175"/>
      <c r="E140" s="175"/>
      <c r="F140" s="175"/>
      <c r="G140" s="175"/>
      <c r="H140" s="175"/>
      <c r="I140" s="175"/>
      <c r="J140" s="175"/>
    </row>
    <row r="141" spans="1:10" x14ac:dyDescent="0.2">
      <c r="A141" s="175"/>
      <c r="B141" s="175"/>
      <c r="C141" s="175"/>
      <c r="D141" s="175"/>
      <c r="E141" s="175"/>
      <c r="F141" s="175"/>
      <c r="G141" s="175"/>
      <c r="H141" s="175"/>
      <c r="I141" s="175"/>
      <c r="J141" s="175"/>
    </row>
    <row r="142" spans="1:10" x14ac:dyDescent="0.2">
      <c r="A142" s="175"/>
      <c r="B142" s="175"/>
      <c r="C142" s="175"/>
      <c r="D142" s="175"/>
      <c r="E142" s="175"/>
      <c r="F142" s="175"/>
      <c r="G142" s="175"/>
      <c r="H142" s="175"/>
      <c r="I142" s="175"/>
      <c r="J142" s="175"/>
    </row>
    <row r="143" spans="1:10" x14ac:dyDescent="0.2">
      <c r="A143" s="175"/>
      <c r="B143" s="175"/>
      <c r="C143" s="175"/>
      <c r="D143" s="175"/>
      <c r="E143" s="175"/>
      <c r="F143" s="175"/>
      <c r="G143" s="175"/>
      <c r="H143" s="175"/>
      <c r="I143" s="175"/>
      <c r="J143" s="175"/>
    </row>
    <row r="144" spans="1:10" x14ac:dyDescent="0.2">
      <c r="A144" s="175"/>
      <c r="B144" s="175"/>
      <c r="C144" s="175"/>
      <c r="D144" s="175"/>
      <c r="E144" s="175"/>
      <c r="F144" s="175"/>
      <c r="G144" s="175"/>
      <c r="H144" s="175"/>
      <c r="I144" s="175"/>
      <c r="J144" s="175"/>
    </row>
    <row r="145" spans="1:10" x14ac:dyDescent="0.2">
      <c r="A145" s="175"/>
      <c r="B145" s="175"/>
      <c r="C145" s="175"/>
      <c r="D145" s="175"/>
      <c r="E145" s="175"/>
      <c r="F145" s="175"/>
      <c r="G145" s="175"/>
      <c r="H145" s="175"/>
      <c r="I145" s="175"/>
      <c r="J145" s="175"/>
    </row>
    <row r="146" spans="1:10" x14ac:dyDescent="0.2">
      <c r="A146" s="175"/>
      <c r="B146" s="175"/>
      <c r="C146" s="175"/>
      <c r="D146" s="175"/>
      <c r="E146" s="175"/>
      <c r="F146" s="175"/>
      <c r="G146" s="175"/>
      <c r="H146" s="175"/>
      <c r="I146" s="175"/>
      <c r="J146" s="175"/>
    </row>
    <row r="147" spans="1:10" x14ac:dyDescent="0.2">
      <c r="A147" s="175"/>
      <c r="B147" s="175"/>
      <c r="C147" s="175"/>
      <c r="D147" s="175"/>
      <c r="E147" s="175"/>
      <c r="F147" s="175"/>
      <c r="G147" s="175"/>
      <c r="H147" s="175"/>
      <c r="I147" s="175"/>
      <c r="J147" s="175"/>
    </row>
    <row r="148" spans="1:10" x14ac:dyDescent="0.2">
      <c r="A148" s="175"/>
      <c r="B148" s="175"/>
      <c r="C148" s="175"/>
      <c r="D148" s="175"/>
      <c r="E148" s="175"/>
      <c r="F148" s="175"/>
      <c r="G148" s="175"/>
      <c r="H148" s="175"/>
      <c r="I148" s="175"/>
      <c r="J148" s="175"/>
    </row>
    <row r="149" spans="1:10" x14ac:dyDescent="0.2">
      <c r="A149" s="175"/>
      <c r="B149" s="175"/>
      <c r="C149" s="175"/>
      <c r="D149" s="175"/>
      <c r="E149" s="175"/>
      <c r="F149" s="175"/>
      <c r="G149" s="175"/>
      <c r="H149" s="175"/>
      <c r="I149" s="175"/>
      <c r="J149" s="175"/>
    </row>
    <row r="150" spans="1:10" x14ac:dyDescent="0.2">
      <c r="A150" s="175"/>
      <c r="B150" s="175"/>
      <c r="C150" s="175"/>
      <c r="D150" s="175"/>
      <c r="E150" s="175"/>
      <c r="F150" s="175"/>
      <c r="G150" s="175"/>
      <c r="H150" s="175"/>
      <c r="I150" s="175"/>
      <c r="J150" s="175"/>
    </row>
    <row r="151" spans="1:10" x14ac:dyDescent="0.2">
      <c r="A151" s="175"/>
      <c r="B151" s="175"/>
      <c r="C151" s="175"/>
      <c r="D151" s="175"/>
      <c r="E151" s="175"/>
      <c r="F151" s="175"/>
      <c r="G151" s="175"/>
      <c r="H151" s="175"/>
      <c r="I151" s="175"/>
      <c r="J151" s="175"/>
    </row>
    <row r="152" spans="1:10" x14ac:dyDescent="0.2">
      <c r="A152" s="175"/>
      <c r="B152" s="175"/>
      <c r="C152" s="175"/>
      <c r="D152" s="175"/>
      <c r="E152" s="175"/>
      <c r="F152" s="175"/>
      <c r="G152" s="175"/>
      <c r="H152" s="175"/>
      <c r="I152" s="175"/>
      <c r="J152" s="175"/>
    </row>
    <row r="153" spans="1:10" x14ac:dyDescent="0.2">
      <c r="A153" s="175"/>
      <c r="B153" s="175"/>
      <c r="C153" s="175"/>
      <c r="D153" s="175"/>
      <c r="E153" s="175"/>
      <c r="F153" s="175"/>
      <c r="G153" s="175"/>
      <c r="H153" s="175"/>
      <c r="I153" s="175"/>
      <c r="J153" s="175"/>
    </row>
    <row r="154" spans="1:10" x14ac:dyDescent="0.2">
      <c r="A154" s="175"/>
      <c r="B154" s="175"/>
      <c r="C154" s="175"/>
      <c r="D154" s="175"/>
      <c r="E154" s="175"/>
      <c r="F154" s="175"/>
      <c r="G154" s="175"/>
      <c r="H154" s="175"/>
      <c r="I154" s="175"/>
      <c r="J154" s="175"/>
    </row>
    <row r="155" spans="1:10" x14ac:dyDescent="0.2">
      <c r="A155" s="175"/>
      <c r="B155" s="175"/>
      <c r="C155" s="175"/>
      <c r="D155" s="175"/>
      <c r="E155" s="175"/>
      <c r="F155" s="175"/>
      <c r="G155" s="175"/>
      <c r="H155" s="175"/>
      <c r="I155" s="175"/>
      <c r="J155" s="175"/>
    </row>
    <row r="156" spans="1:10" x14ac:dyDescent="0.2">
      <c r="A156" s="175"/>
      <c r="B156" s="175"/>
      <c r="C156" s="175"/>
      <c r="D156" s="175"/>
      <c r="E156" s="175"/>
      <c r="F156" s="175"/>
      <c r="G156" s="175"/>
      <c r="H156" s="175"/>
      <c r="I156" s="175"/>
      <c r="J156" s="175"/>
    </row>
    <row r="157" spans="1:10" x14ac:dyDescent="0.2">
      <c r="A157" s="175"/>
      <c r="B157" s="175"/>
      <c r="C157" s="175"/>
      <c r="D157" s="175"/>
      <c r="E157" s="175"/>
      <c r="F157" s="175"/>
      <c r="G157" s="175"/>
      <c r="H157" s="175"/>
      <c r="I157" s="175"/>
      <c r="J157" s="175"/>
    </row>
    <row r="158" spans="1:10" x14ac:dyDescent="0.2">
      <c r="A158" s="175"/>
      <c r="B158" s="175"/>
      <c r="C158" s="175"/>
      <c r="D158" s="175"/>
      <c r="E158" s="175"/>
      <c r="F158" s="175"/>
      <c r="G158" s="175"/>
      <c r="H158" s="175"/>
      <c r="I158" s="175"/>
      <c r="J158" s="175"/>
    </row>
    <row r="159" spans="1:10" x14ac:dyDescent="0.2">
      <c r="A159" s="175"/>
      <c r="B159" s="175"/>
      <c r="C159" s="175"/>
      <c r="D159" s="175"/>
      <c r="E159" s="175"/>
      <c r="F159" s="175"/>
      <c r="G159" s="175"/>
      <c r="H159" s="175"/>
      <c r="I159" s="175"/>
      <c r="J159" s="175"/>
    </row>
    <row r="160" spans="1:10" x14ac:dyDescent="0.2">
      <c r="A160" s="175"/>
      <c r="B160" s="175"/>
      <c r="C160" s="175"/>
      <c r="D160" s="175"/>
      <c r="E160" s="175"/>
      <c r="F160" s="175"/>
      <c r="G160" s="175"/>
      <c r="H160" s="175"/>
      <c r="I160" s="175"/>
      <c r="J160" s="175"/>
    </row>
    <row r="161" spans="1:10" x14ac:dyDescent="0.2">
      <c r="A161" s="175"/>
      <c r="B161" s="175"/>
      <c r="C161" s="175"/>
      <c r="D161" s="175"/>
      <c r="E161" s="175"/>
      <c r="F161" s="175"/>
      <c r="G161" s="175"/>
      <c r="H161" s="175"/>
      <c r="I161" s="175"/>
      <c r="J161" s="175"/>
    </row>
    <row r="162" spans="1:10" x14ac:dyDescent="0.2">
      <c r="A162" s="175"/>
      <c r="B162" s="175"/>
      <c r="C162" s="175"/>
      <c r="D162" s="175"/>
      <c r="E162" s="175"/>
      <c r="F162" s="175"/>
      <c r="G162" s="175"/>
      <c r="H162" s="175"/>
      <c r="I162" s="175"/>
      <c r="J162" s="175"/>
    </row>
    <row r="163" spans="1:10" x14ac:dyDescent="0.2">
      <c r="A163" s="175"/>
      <c r="B163" s="175"/>
      <c r="C163" s="175"/>
      <c r="D163" s="175"/>
      <c r="E163" s="175"/>
      <c r="F163" s="175"/>
      <c r="G163" s="175"/>
      <c r="H163" s="175"/>
      <c r="I163" s="175"/>
      <c r="J163" s="175"/>
    </row>
    <row r="164" spans="1:10" x14ac:dyDescent="0.2">
      <c r="A164" s="175"/>
      <c r="B164" s="175"/>
      <c r="C164" s="175"/>
      <c r="D164" s="175"/>
      <c r="E164" s="175"/>
      <c r="F164" s="175"/>
      <c r="G164" s="175"/>
      <c r="H164" s="175"/>
      <c r="I164" s="175"/>
      <c r="J164" s="175"/>
    </row>
    <row r="165" spans="1:10" x14ac:dyDescent="0.2">
      <c r="A165" s="175"/>
      <c r="B165" s="175"/>
      <c r="C165" s="175"/>
      <c r="D165" s="175"/>
      <c r="E165" s="175"/>
      <c r="F165" s="175"/>
      <c r="G165" s="175"/>
      <c r="H165" s="175"/>
      <c r="I165" s="175"/>
      <c r="J165" s="175"/>
    </row>
    <row r="166" spans="1:10" x14ac:dyDescent="0.2">
      <c r="A166" s="175"/>
      <c r="B166" s="175"/>
      <c r="C166" s="175"/>
      <c r="D166" s="175"/>
      <c r="E166" s="175"/>
      <c r="F166" s="175"/>
      <c r="G166" s="175"/>
      <c r="H166" s="175"/>
      <c r="I166" s="175"/>
      <c r="J166" s="175"/>
    </row>
    <row r="167" spans="1:10" x14ac:dyDescent="0.2">
      <c r="A167" s="175"/>
      <c r="B167" s="175"/>
      <c r="C167" s="175"/>
      <c r="D167" s="175"/>
      <c r="E167" s="175"/>
      <c r="F167" s="175"/>
      <c r="G167" s="175"/>
      <c r="H167" s="175"/>
      <c r="I167" s="175"/>
      <c r="J167" s="175"/>
    </row>
    <row r="168" spans="1:10" x14ac:dyDescent="0.2">
      <c r="A168" s="175"/>
      <c r="B168" s="175"/>
      <c r="C168" s="175"/>
      <c r="D168" s="175"/>
      <c r="E168" s="175"/>
      <c r="F168" s="175"/>
      <c r="G168" s="175"/>
      <c r="H168" s="175"/>
      <c r="I168" s="175"/>
      <c r="J168" s="175"/>
    </row>
    <row r="169" spans="1:10" x14ac:dyDescent="0.2">
      <c r="A169" s="175"/>
      <c r="B169" s="175"/>
      <c r="C169" s="175"/>
      <c r="D169" s="175"/>
      <c r="E169" s="175"/>
      <c r="F169" s="175"/>
      <c r="G169" s="175"/>
      <c r="H169" s="175"/>
      <c r="I169" s="175"/>
      <c r="J169" s="175"/>
    </row>
    <row r="170" spans="1:10" x14ac:dyDescent="0.2">
      <c r="A170" s="175"/>
      <c r="B170" s="175"/>
      <c r="C170" s="175"/>
      <c r="D170" s="175"/>
      <c r="E170" s="175"/>
      <c r="F170" s="175"/>
      <c r="G170" s="175"/>
      <c r="H170" s="175"/>
      <c r="I170" s="175"/>
      <c r="J170" s="175"/>
    </row>
    <row r="171" spans="1:10" x14ac:dyDescent="0.2">
      <c r="A171" s="175"/>
      <c r="B171" s="175"/>
      <c r="C171" s="175"/>
      <c r="D171" s="175"/>
      <c r="E171" s="175"/>
      <c r="F171" s="175"/>
      <c r="G171" s="175"/>
      <c r="H171" s="175"/>
      <c r="I171" s="175"/>
      <c r="J171" s="175"/>
    </row>
    <row r="172" spans="1:10" x14ac:dyDescent="0.2">
      <c r="A172" s="175"/>
      <c r="B172" s="175"/>
      <c r="C172" s="175"/>
      <c r="D172" s="175"/>
      <c r="E172" s="175"/>
      <c r="F172" s="175"/>
      <c r="G172" s="175"/>
      <c r="H172" s="175"/>
      <c r="I172" s="175"/>
      <c r="J172" s="175"/>
    </row>
    <row r="173" spans="1:10" x14ac:dyDescent="0.2">
      <c r="A173" s="175"/>
      <c r="B173" s="175"/>
      <c r="C173" s="175"/>
      <c r="D173" s="175"/>
      <c r="E173" s="175"/>
      <c r="F173" s="175"/>
      <c r="G173" s="175"/>
      <c r="H173" s="175"/>
      <c r="I173" s="175"/>
      <c r="J173" s="175"/>
    </row>
    <row r="174" spans="1:10" x14ac:dyDescent="0.2">
      <c r="A174" s="175"/>
      <c r="B174" s="175"/>
      <c r="C174" s="175"/>
      <c r="D174" s="175"/>
      <c r="E174" s="175"/>
      <c r="F174" s="175"/>
      <c r="G174" s="175"/>
      <c r="H174" s="175"/>
      <c r="I174" s="175"/>
      <c r="J174" s="175"/>
    </row>
    <row r="175" spans="1:10" x14ac:dyDescent="0.2">
      <c r="A175" s="175"/>
      <c r="B175" s="175"/>
      <c r="C175" s="175"/>
      <c r="D175" s="175"/>
      <c r="E175" s="175"/>
      <c r="F175" s="175"/>
      <c r="G175" s="175"/>
      <c r="H175" s="175"/>
      <c r="I175" s="175"/>
      <c r="J175" s="175"/>
    </row>
    <row r="176" spans="1:10" x14ac:dyDescent="0.2">
      <c r="A176" s="175"/>
      <c r="B176" s="175"/>
      <c r="C176" s="175"/>
      <c r="D176" s="175"/>
      <c r="E176" s="175"/>
      <c r="F176" s="175"/>
      <c r="G176" s="175"/>
      <c r="H176" s="175"/>
      <c r="I176" s="175"/>
      <c r="J176" s="175"/>
    </row>
    <row r="177" spans="1:10" x14ac:dyDescent="0.2">
      <c r="A177" s="175"/>
      <c r="B177" s="175"/>
      <c r="C177" s="175"/>
      <c r="D177" s="175"/>
      <c r="E177" s="175"/>
      <c r="F177" s="175"/>
      <c r="G177" s="175"/>
      <c r="H177" s="175"/>
      <c r="I177" s="175"/>
      <c r="J177" s="175"/>
    </row>
    <row r="178" spans="1:10" x14ac:dyDescent="0.2">
      <c r="A178" s="175"/>
      <c r="B178" s="175"/>
      <c r="C178" s="175"/>
      <c r="D178" s="175"/>
      <c r="E178" s="175"/>
      <c r="F178" s="175"/>
      <c r="G178" s="175"/>
      <c r="H178" s="175"/>
      <c r="I178" s="175"/>
      <c r="J178" s="175"/>
    </row>
    <row r="179" spans="1:10" x14ac:dyDescent="0.2">
      <c r="A179" s="175"/>
      <c r="B179" s="175"/>
      <c r="C179" s="175"/>
      <c r="D179" s="175"/>
      <c r="E179" s="175"/>
      <c r="F179" s="175"/>
      <c r="G179" s="175"/>
      <c r="H179" s="175"/>
      <c r="I179" s="175"/>
      <c r="J179" s="175"/>
    </row>
    <row r="180" spans="1:10" x14ac:dyDescent="0.2">
      <c r="A180" s="175"/>
      <c r="B180" s="175"/>
      <c r="C180" s="175"/>
      <c r="D180" s="175"/>
      <c r="E180" s="175"/>
      <c r="F180" s="175"/>
      <c r="G180" s="175"/>
      <c r="H180" s="175"/>
      <c r="I180" s="175"/>
      <c r="J180" s="175"/>
    </row>
    <row r="181" spans="1:10" x14ac:dyDescent="0.2">
      <c r="A181" s="175"/>
      <c r="B181" s="175"/>
      <c r="C181" s="175"/>
      <c r="D181" s="175"/>
      <c r="E181" s="175"/>
      <c r="F181" s="175"/>
      <c r="G181" s="175"/>
      <c r="H181" s="175"/>
      <c r="I181" s="175"/>
      <c r="J181" s="175"/>
    </row>
    <row r="182" spans="1:10" x14ac:dyDescent="0.2">
      <c r="A182" s="175"/>
      <c r="B182" s="175"/>
      <c r="C182" s="175"/>
      <c r="D182" s="175"/>
      <c r="E182" s="175"/>
      <c r="F182" s="175"/>
      <c r="G182" s="175"/>
      <c r="H182" s="175"/>
      <c r="I182" s="175"/>
      <c r="J182" s="175"/>
    </row>
    <row r="183" spans="1:10" x14ac:dyDescent="0.2">
      <c r="A183" s="175"/>
      <c r="B183" s="175"/>
      <c r="C183" s="175"/>
      <c r="D183" s="175"/>
      <c r="E183" s="175"/>
      <c r="F183" s="175"/>
      <c r="G183" s="175"/>
      <c r="H183" s="175"/>
      <c r="I183" s="175"/>
      <c r="J183" s="175"/>
    </row>
    <row r="184" spans="1:10" x14ac:dyDescent="0.2">
      <c r="A184" s="175"/>
      <c r="B184" s="175"/>
      <c r="C184" s="175"/>
      <c r="D184" s="175"/>
      <c r="E184" s="175"/>
      <c r="F184" s="175"/>
      <c r="G184" s="175"/>
      <c r="H184" s="175"/>
      <c r="I184" s="175"/>
      <c r="J184" s="175"/>
    </row>
    <row r="185" spans="1:10" x14ac:dyDescent="0.2">
      <c r="A185" s="175"/>
      <c r="B185" s="175"/>
      <c r="C185" s="175"/>
      <c r="D185" s="175"/>
      <c r="E185" s="175"/>
      <c r="F185" s="175"/>
      <c r="G185" s="175"/>
      <c r="H185" s="175"/>
      <c r="I185" s="175"/>
      <c r="J185" s="175"/>
    </row>
    <row r="186" spans="1:10" x14ac:dyDescent="0.2">
      <c r="A186" s="175"/>
      <c r="B186" s="175"/>
      <c r="C186" s="175"/>
      <c r="D186" s="175"/>
      <c r="E186" s="175"/>
      <c r="F186" s="175"/>
      <c r="G186" s="175"/>
      <c r="H186" s="175"/>
      <c r="I186" s="175"/>
      <c r="J186" s="175"/>
    </row>
    <row r="187" spans="1:10" x14ac:dyDescent="0.2">
      <c r="A187" s="175"/>
      <c r="B187" s="175"/>
      <c r="C187" s="175"/>
      <c r="D187" s="175"/>
      <c r="E187" s="175"/>
      <c r="F187" s="175"/>
      <c r="G187" s="175"/>
      <c r="H187" s="175"/>
      <c r="I187" s="175"/>
      <c r="J187" s="175"/>
    </row>
    <row r="188" spans="1:10" x14ac:dyDescent="0.2">
      <c r="A188" s="175"/>
      <c r="B188" s="175"/>
      <c r="C188" s="175"/>
      <c r="D188" s="175"/>
      <c r="E188" s="175"/>
      <c r="F188" s="175"/>
      <c r="G188" s="175"/>
      <c r="H188" s="175"/>
      <c r="I188" s="175"/>
      <c r="J188" s="175"/>
    </row>
    <row r="189" spans="1:10" x14ac:dyDescent="0.2">
      <c r="A189" s="175"/>
      <c r="B189" s="175"/>
      <c r="C189" s="175"/>
      <c r="D189" s="175"/>
      <c r="E189" s="175"/>
      <c r="F189" s="175"/>
      <c r="G189" s="175"/>
      <c r="H189" s="175"/>
      <c r="I189" s="175"/>
      <c r="J189" s="175"/>
    </row>
    <row r="190" spans="1:10" x14ac:dyDescent="0.2">
      <c r="A190" s="175"/>
      <c r="B190" s="175"/>
      <c r="C190" s="175"/>
      <c r="D190" s="175"/>
      <c r="E190" s="175"/>
      <c r="F190" s="175"/>
      <c r="G190" s="175"/>
      <c r="H190" s="175"/>
      <c r="I190" s="175"/>
      <c r="J190" s="175"/>
    </row>
    <row r="191" spans="1:10" x14ac:dyDescent="0.2">
      <c r="A191" s="175"/>
      <c r="B191" s="175"/>
      <c r="C191" s="175"/>
      <c r="D191" s="175"/>
      <c r="E191" s="175"/>
      <c r="F191" s="175"/>
      <c r="G191" s="175"/>
      <c r="H191" s="175"/>
      <c r="I191" s="175"/>
      <c r="J191" s="175"/>
    </row>
    <row r="192" spans="1:10" x14ac:dyDescent="0.2">
      <c r="A192" s="175"/>
      <c r="B192" s="175"/>
      <c r="C192" s="175"/>
      <c r="D192" s="175"/>
      <c r="E192" s="175"/>
      <c r="F192" s="175"/>
      <c r="G192" s="175"/>
      <c r="H192" s="175"/>
      <c r="I192" s="175"/>
      <c r="J192" s="175"/>
    </row>
    <row r="193" spans="1:10" x14ac:dyDescent="0.2">
      <c r="A193" s="175"/>
      <c r="B193" s="175"/>
      <c r="C193" s="175"/>
      <c r="D193" s="175"/>
      <c r="E193" s="175"/>
      <c r="F193" s="175"/>
      <c r="G193" s="175"/>
      <c r="H193" s="175"/>
      <c r="I193" s="175"/>
      <c r="J193" s="175"/>
    </row>
    <row r="194" spans="1:10" x14ac:dyDescent="0.2">
      <c r="A194" s="175"/>
      <c r="B194" s="175"/>
      <c r="C194" s="175"/>
      <c r="D194" s="175"/>
      <c r="E194" s="175"/>
      <c r="F194" s="175"/>
      <c r="G194" s="175"/>
      <c r="H194" s="175"/>
      <c r="I194" s="175"/>
      <c r="J194" s="175"/>
    </row>
    <row r="195" spans="1:10" x14ac:dyDescent="0.2">
      <c r="A195" s="175"/>
      <c r="B195" s="175"/>
      <c r="C195" s="175"/>
      <c r="D195" s="175"/>
      <c r="E195" s="175"/>
      <c r="F195" s="175"/>
      <c r="G195" s="175"/>
      <c r="H195" s="175"/>
      <c r="I195" s="175"/>
      <c r="J195" s="175"/>
    </row>
    <row r="196" spans="1:10" x14ac:dyDescent="0.2">
      <c r="A196" s="175"/>
      <c r="B196" s="175"/>
      <c r="C196" s="175"/>
      <c r="D196" s="175"/>
      <c r="E196" s="175"/>
      <c r="F196" s="175"/>
      <c r="G196" s="175"/>
      <c r="H196" s="175"/>
      <c r="I196" s="175"/>
      <c r="J196" s="175"/>
    </row>
    <row r="197" spans="1:10" x14ac:dyDescent="0.2">
      <c r="A197" s="175"/>
      <c r="B197" s="175"/>
      <c r="C197" s="175"/>
      <c r="D197" s="175"/>
      <c r="E197" s="175"/>
      <c r="F197" s="175"/>
      <c r="G197" s="175"/>
      <c r="H197" s="175"/>
      <c r="I197" s="175"/>
      <c r="J197" s="175"/>
    </row>
    <row r="198" spans="1:10" x14ac:dyDescent="0.2">
      <c r="A198" s="175"/>
      <c r="B198" s="175"/>
      <c r="C198" s="175"/>
      <c r="D198" s="175"/>
      <c r="E198" s="175"/>
      <c r="F198" s="175"/>
      <c r="G198" s="175"/>
      <c r="H198" s="175"/>
      <c r="I198" s="175"/>
      <c r="J198" s="175"/>
    </row>
    <row r="199" spans="1:10" x14ac:dyDescent="0.2">
      <c r="A199" s="175"/>
      <c r="B199" s="175"/>
      <c r="C199" s="175"/>
      <c r="D199" s="175"/>
      <c r="E199" s="175"/>
      <c r="F199" s="175"/>
      <c r="G199" s="175"/>
      <c r="H199" s="175"/>
      <c r="I199" s="175"/>
      <c r="J199" s="175"/>
    </row>
    <row r="200" spans="1:10" x14ac:dyDescent="0.2">
      <c r="A200" s="175"/>
      <c r="B200" s="175"/>
      <c r="C200" s="175"/>
      <c r="D200" s="175"/>
      <c r="E200" s="175"/>
      <c r="F200" s="175"/>
      <c r="G200" s="175"/>
      <c r="H200" s="175"/>
      <c r="I200" s="175"/>
      <c r="J200" s="175"/>
    </row>
    <row r="201" spans="1:10" x14ac:dyDescent="0.2">
      <c r="A201" s="175"/>
      <c r="B201" s="175"/>
      <c r="C201" s="175"/>
      <c r="D201" s="175"/>
      <c r="E201" s="175"/>
      <c r="F201" s="175"/>
      <c r="G201" s="175"/>
      <c r="H201" s="175"/>
      <c r="I201" s="175"/>
      <c r="J201" s="175"/>
    </row>
    <row r="202" spans="1:10" x14ac:dyDescent="0.2">
      <c r="A202" s="175"/>
      <c r="B202" s="175"/>
      <c r="C202" s="175"/>
      <c r="D202" s="175"/>
      <c r="E202" s="175"/>
      <c r="F202" s="175"/>
      <c r="G202" s="175"/>
      <c r="H202" s="175"/>
      <c r="I202" s="175"/>
      <c r="J202" s="175"/>
    </row>
    <row r="203" spans="1:10" x14ac:dyDescent="0.2">
      <c r="A203" s="175"/>
      <c r="B203" s="175"/>
      <c r="C203" s="175"/>
      <c r="D203" s="175"/>
      <c r="E203" s="175"/>
      <c r="F203" s="175"/>
      <c r="G203" s="175"/>
      <c r="H203" s="175"/>
      <c r="I203" s="175"/>
      <c r="J203" s="175"/>
    </row>
    <row r="204" spans="1:10" x14ac:dyDescent="0.2">
      <c r="A204" s="175"/>
      <c r="B204" s="175"/>
      <c r="C204" s="175"/>
      <c r="D204" s="175"/>
      <c r="E204" s="175"/>
      <c r="F204" s="175"/>
      <c r="G204" s="175"/>
      <c r="H204" s="175"/>
      <c r="I204" s="175"/>
      <c r="J204" s="175"/>
    </row>
    <row r="205" spans="1:10" x14ac:dyDescent="0.2">
      <c r="A205" s="175"/>
      <c r="B205" s="175"/>
      <c r="C205" s="175"/>
      <c r="D205" s="175"/>
      <c r="E205" s="175"/>
      <c r="F205" s="175"/>
      <c r="G205" s="175"/>
      <c r="H205" s="175"/>
      <c r="I205" s="175"/>
      <c r="J205" s="175"/>
    </row>
    <row r="206" spans="1:10" x14ac:dyDescent="0.2">
      <c r="A206" s="175"/>
      <c r="B206" s="175"/>
      <c r="C206" s="175"/>
      <c r="D206" s="175"/>
      <c r="E206" s="175"/>
      <c r="F206" s="175"/>
      <c r="G206" s="175"/>
      <c r="H206" s="175"/>
      <c r="I206" s="175"/>
      <c r="J206" s="175"/>
    </row>
    <row r="207" spans="1:10" x14ac:dyDescent="0.2">
      <c r="A207" s="175"/>
      <c r="B207" s="175"/>
      <c r="C207" s="175"/>
      <c r="D207" s="175"/>
      <c r="E207" s="175"/>
      <c r="F207" s="175"/>
      <c r="G207" s="175"/>
      <c r="H207" s="175"/>
      <c r="I207" s="175"/>
      <c r="J207" s="175"/>
    </row>
    <row r="208" spans="1:10" x14ac:dyDescent="0.2">
      <c r="A208" s="175"/>
      <c r="B208" s="175"/>
      <c r="C208" s="175"/>
      <c r="D208" s="175"/>
      <c r="E208" s="175"/>
      <c r="F208" s="175"/>
      <c r="G208" s="175"/>
      <c r="H208" s="175"/>
      <c r="I208" s="175"/>
      <c r="J208" s="175"/>
    </row>
    <row r="209" spans="1:10" x14ac:dyDescent="0.2">
      <c r="A209" s="175"/>
      <c r="B209" s="175"/>
      <c r="C209" s="175"/>
      <c r="D209" s="175"/>
      <c r="E209" s="175"/>
      <c r="F209" s="175"/>
      <c r="G209" s="175"/>
      <c r="H209" s="175"/>
      <c r="I209" s="175"/>
      <c r="J209" s="175"/>
    </row>
    <row r="210" spans="1:10" x14ac:dyDescent="0.2">
      <c r="A210" s="175"/>
      <c r="B210" s="175"/>
      <c r="C210" s="175"/>
      <c r="D210" s="175"/>
      <c r="E210" s="175"/>
      <c r="F210" s="175"/>
      <c r="G210" s="175"/>
      <c r="H210" s="175"/>
      <c r="I210" s="175"/>
      <c r="J210" s="175"/>
    </row>
    <row r="211" spans="1:10" x14ac:dyDescent="0.2">
      <c r="A211" s="175"/>
      <c r="B211" s="175"/>
      <c r="C211" s="175"/>
      <c r="D211" s="175"/>
      <c r="E211" s="175"/>
      <c r="F211" s="175"/>
      <c r="G211" s="175"/>
      <c r="H211" s="175"/>
      <c r="I211" s="175"/>
      <c r="J211" s="175"/>
    </row>
    <row r="212" spans="1:10" x14ac:dyDescent="0.2">
      <c r="A212" s="175"/>
      <c r="B212" s="175"/>
      <c r="C212" s="175"/>
      <c r="D212" s="175"/>
      <c r="E212" s="175"/>
      <c r="F212" s="175"/>
      <c r="G212" s="175"/>
      <c r="H212" s="175"/>
      <c r="I212" s="175"/>
      <c r="J212" s="175"/>
    </row>
    <row r="213" spans="1:10" x14ac:dyDescent="0.2">
      <c r="A213" s="175"/>
      <c r="B213" s="175"/>
      <c r="C213" s="175"/>
      <c r="D213" s="175"/>
      <c r="E213" s="175"/>
      <c r="F213" s="175"/>
      <c r="G213" s="175"/>
      <c r="H213" s="175"/>
      <c r="I213" s="175"/>
      <c r="J213" s="175"/>
    </row>
    <row r="214" spans="1:10" x14ac:dyDescent="0.2">
      <c r="A214" s="175"/>
      <c r="B214" s="175"/>
      <c r="C214" s="175"/>
      <c r="D214" s="175"/>
      <c r="E214" s="175"/>
      <c r="F214" s="175"/>
      <c r="G214" s="175"/>
      <c r="H214" s="175"/>
      <c r="I214" s="175"/>
      <c r="J214" s="175"/>
    </row>
    <row r="215" spans="1:10" x14ac:dyDescent="0.2">
      <c r="A215" s="175"/>
      <c r="B215" s="175"/>
      <c r="C215" s="175"/>
      <c r="D215" s="175"/>
      <c r="E215" s="175"/>
      <c r="F215" s="175"/>
      <c r="G215" s="175"/>
      <c r="H215" s="175"/>
      <c r="I215" s="175"/>
      <c r="J215" s="175"/>
    </row>
    <row r="216" spans="1:10" x14ac:dyDescent="0.2">
      <c r="A216" s="175"/>
      <c r="B216" s="175"/>
      <c r="C216" s="175"/>
      <c r="D216" s="175"/>
      <c r="E216" s="175"/>
      <c r="F216" s="175"/>
      <c r="G216" s="175"/>
      <c r="H216" s="175"/>
      <c r="I216" s="175"/>
      <c r="J216" s="175"/>
    </row>
    <row r="217" spans="1:10" x14ac:dyDescent="0.2">
      <c r="A217" s="175"/>
      <c r="B217" s="175"/>
      <c r="C217" s="175"/>
      <c r="D217" s="175"/>
      <c r="E217" s="175"/>
      <c r="F217" s="175"/>
      <c r="G217" s="175"/>
      <c r="H217" s="175"/>
      <c r="I217" s="175"/>
      <c r="J217" s="175"/>
    </row>
    <row r="218" spans="1:10" x14ac:dyDescent="0.2">
      <c r="A218" s="175"/>
      <c r="B218" s="175"/>
      <c r="C218" s="175"/>
      <c r="D218" s="175"/>
      <c r="E218" s="175"/>
      <c r="F218" s="175"/>
      <c r="G218" s="175"/>
      <c r="H218" s="175"/>
      <c r="I218" s="175"/>
      <c r="J218" s="175"/>
    </row>
    <row r="219" spans="1:10" x14ac:dyDescent="0.2">
      <c r="A219" s="175"/>
      <c r="B219" s="175"/>
      <c r="C219" s="175"/>
      <c r="D219" s="175"/>
      <c r="E219" s="175"/>
      <c r="F219" s="175"/>
      <c r="G219" s="175"/>
      <c r="H219" s="175"/>
      <c r="I219" s="175"/>
      <c r="J219" s="175"/>
    </row>
    <row r="220" spans="1:10" x14ac:dyDescent="0.2">
      <c r="A220" s="175"/>
      <c r="B220" s="175"/>
      <c r="C220" s="175"/>
      <c r="D220" s="175"/>
      <c r="E220" s="175"/>
      <c r="F220" s="175"/>
      <c r="G220" s="175"/>
      <c r="H220" s="175"/>
      <c r="I220" s="175"/>
      <c r="J220" s="175"/>
    </row>
    <row r="221" spans="1:10" x14ac:dyDescent="0.2">
      <c r="A221" s="175"/>
      <c r="B221" s="175"/>
      <c r="C221" s="175"/>
      <c r="D221" s="175"/>
      <c r="E221" s="175"/>
      <c r="F221" s="175"/>
      <c r="G221" s="175"/>
      <c r="H221" s="175"/>
      <c r="I221" s="175"/>
      <c r="J221" s="175"/>
    </row>
    <row r="222" spans="1:10" x14ac:dyDescent="0.2">
      <c r="A222" s="175"/>
      <c r="B222" s="175"/>
      <c r="C222" s="175"/>
      <c r="D222" s="175"/>
      <c r="E222" s="175"/>
      <c r="F222" s="175"/>
      <c r="G222" s="175"/>
      <c r="H222" s="175"/>
      <c r="I222" s="175"/>
      <c r="J222" s="175"/>
    </row>
    <row r="223" spans="1:10" x14ac:dyDescent="0.2">
      <c r="A223" s="175"/>
      <c r="B223" s="175"/>
      <c r="C223" s="175"/>
      <c r="D223" s="175"/>
      <c r="E223" s="175"/>
      <c r="F223" s="175"/>
      <c r="G223" s="175"/>
      <c r="H223" s="175"/>
      <c r="I223" s="175"/>
      <c r="J223" s="175"/>
    </row>
    <row r="224" spans="1:10" x14ac:dyDescent="0.2">
      <c r="A224" s="175"/>
      <c r="B224" s="175"/>
      <c r="C224" s="175"/>
      <c r="D224" s="175"/>
      <c r="E224" s="175"/>
      <c r="F224" s="175"/>
      <c r="G224" s="175"/>
      <c r="H224" s="175"/>
      <c r="I224" s="175"/>
      <c r="J224" s="175"/>
    </row>
    <row r="225" spans="1:10" x14ac:dyDescent="0.2">
      <c r="A225" s="175"/>
      <c r="B225" s="175"/>
      <c r="C225" s="175"/>
      <c r="D225" s="175"/>
      <c r="E225" s="175"/>
      <c r="F225" s="175"/>
      <c r="G225" s="175"/>
      <c r="H225" s="175"/>
      <c r="I225" s="175"/>
      <c r="J225" s="175"/>
    </row>
    <row r="226" spans="1:10" x14ac:dyDescent="0.2">
      <c r="A226" s="175"/>
      <c r="B226" s="175"/>
      <c r="C226" s="175"/>
      <c r="D226" s="175"/>
      <c r="E226" s="175"/>
      <c r="F226" s="175"/>
      <c r="G226" s="175"/>
      <c r="H226" s="175"/>
      <c r="I226" s="175"/>
      <c r="J226" s="1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7"/>
  <sheetViews>
    <sheetView workbookViewId="0">
      <selection activeCell="H5" sqref="H5"/>
    </sheetView>
  </sheetViews>
  <sheetFormatPr defaultRowHeight="12.75" x14ac:dyDescent="0.2"/>
  <cols>
    <col min="1" max="1" width="9.140625" style="4"/>
    <col min="2" max="2" width="22.42578125" style="4" customWidth="1"/>
    <col min="3" max="3" width="12.28515625" style="4" customWidth="1"/>
    <col min="4" max="4" width="17.7109375" style="4" customWidth="1"/>
    <col min="5" max="5" width="13.140625" style="4" customWidth="1"/>
    <col min="6" max="6" width="11.85546875" style="4" customWidth="1"/>
    <col min="7" max="7" width="19.7109375" style="4" customWidth="1"/>
    <col min="8" max="8" width="13.28515625" style="4" customWidth="1"/>
    <col min="9" max="9" width="12.7109375" style="4" customWidth="1"/>
    <col min="10" max="11" width="9.140625" style="4"/>
    <col min="12" max="12" width="12.42578125" style="4" bestFit="1" customWidth="1"/>
    <col min="13" max="16384" width="9.140625" style="4"/>
  </cols>
  <sheetData>
    <row r="1" spans="1:13" ht="14.25" customHeight="1" x14ac:dyDescent="0.2"/>
    <row r="2" spans="1:13" x14ac:dyDescent="0.2">
      <c r="B2" s="12" t="s">
        <v>225</v>
      </c>
      <c r="C2" s="13" t="s">
        <v>226</v>
      </c>
      <c r="D2" s="13" t="s">
        <v>202</v>
      </c>
      <c r="E2" s="12" t="s">
        <v>227</v>
      </c>
    </row>
    <row r="3" spans="1:13" ht="15.75" customHeight="1" x14ac:dyDescent="0.2">
      <c r="B3" s="4" t="s">
        <v>51</v>
      </c>
      <c r="C3" s="15">
        <v>2</v>
      </c>
      <c r="D3" s="7">
        <f>VLOOKUP(C3,$D$30:$E$37,2,FALSE)</f>
        <v>5</v>
      </c>
      <c r="E3" s="4" t="str">
        <f>" /pcgain="&amp;D3</f>
        <v xml:space="preserve"> /pcgain=5</v>
      </c>
      <c r="F3" s="5"/>
      <c r="G3" s="4" t="s">
        <v>50</v>
      </c>
      <c r="H3" s="8" t="s">
        <v>285</v>
      </c>
    </row>
    <row r="4" spans="1:13" x14ac:dyDescent="0.2">
      <c r="B4" s="4" t="s">
        <v>52</v>
      </c>
      <c r="C4" s="15">
        <v>1</v>
      </c>
      <c r="D4" s="7">
        <f>VLOOKUP(C4,$D$30:$E$37,2,FALSE)</f>
        <v>10</v>
      </c>
      <c r="E4" s="4" t="str">
        <f>" /refgain="&amp;D4</f>
        <v xml:space="preserve"> /refgain=10</v>
      </c>
      <c r="F4" s="5"/>
      <c r="G4" s="9" t="s">
        <v>231</v>
      </c>
      <c r="H4" s="9" t="str">
        <f>PathName&amp;PCGainFlag&amp;RefGainFlag&amp;BaseGainFlag&amp;xferFlag&amp;flashWaitFlag&amp;numFlashesFlag&amp;TimeScaleFlags&amp;cutoffflag</f>
        <v>C:\lifetime\lifetime.exe /subbase=2 /basetime_us=20000 /pcgain=5 /refgain=10 /basegain=1 /xfer=125 /flashwait_s=6 /numflashes=1 /pulselength=12500 /cutoff=12500</v>
      </c>
      <c r="L4" s="8"/>
    </row>
    <row r="5" spans="1:13" x14ac:dyDescent="0.2">
      <c r="B5" s="4" t="s">
        <v>53</v>
      </c>
      <c r="C5" s="15">
        <v>10</v>
      </c>
      <c r="D5" s="7">
        <f>VLOOKUP(C5,$D$30:$E$37,2,FALSE)</f>
        <v>1</v>
      </c>
      <c r="E5" s="4" t="str">
        <f>" /basegain="&amp;D5</f>
        <v xml:space="preserve"> /basegain=1</v>
      </c>
      <c r="G5" s="18" t="s">
        <v>230</v>
      </c>
      <c r="H5" s="18" t="str">
        <f>"C:\lifetime\lifetime.exe /baseonly=true /autoexit=true"&amp;E12</f>
        <v>C:\lifetime\lifetime.exe /baseonly=true /autoexit=true /basegain=10</v>
      </c>
    </row>
    <row r="6" spans="1:13" x14ac:dyDescent="0.2">
      <c r="B6" s="8" t="s">
        <v>259</v>
      </c>
      <c r="C6" s="16">
        <f>PulseLength</f>
        <v>12500</v>
      </c>
      <c r="D6" s="7"/>
      <c r="E6" s="4" t="str">
        <f>" /pulselength="&amp;PulseLength</f>
        <v xml:space="preserve"> /pulselength=12500</v>
      </c>
      <c r="G6" s="37" t="s">
        <v>309</v>
      </c>
      <c r="H6" s="38" t="s">
        <v>310</v>
      </c>
    </row>
    <row r="7" spans="1:13" x14ac:dyDescent="0.2">
      <c r="B7" s="8" t="s">
        <v>245</v>
      </c>
      <c r="C7" s="16">
        <f>TSampleTime</f>
        <v>100000</v>
      </c>
      <c r="D7" s="7"/>
      <c r="E7" s="4" t="str">
        <f>" /ltransient="&amp;C7</f>
        <v xml:space="preserve"> /ltransient=100000</v>
      </c>
      <c r="G7" s="8" t="s">
        <v>260</v>
      </c>
      <c r="H7" s="4" t="str">
        <f>IF(OR(AnalysisMode = "Transient",AnalysisMode = "Generalized (1/64)"),ltransientFlag&amp;ntransientFlag,PulseLengthFlag)</f>
        <v xml:space="preserve"> /pulselength=12500</v>
      </c>
    </row>
    <row r="8" spans="1:13" x14ac:dyDescent="0.2">
      <c r="B8" s="8" t="s">
        <v>250</v>
      </c>
      <c r="C8" s="16">
        <f>TNumTaus</f>
        <v>3</v>
      </c>
      <c r="D8" s="7"/>
      <c r="E8" s="4" t="str">
        <f>" /ntransient="&amp;C8</f>
        <v xml:space="preserve"> /ntransient=3</v>
      </c>
    </row>
    <row r="9" spans="1:13" x14ac:dyDescent="0.2">
      <c r="A9" s="7"/>
      <c r="B9" s="5" t="s">
        <v>54</v>
      </c>
      <c r="C9" s="15">
        <v>125</v>
      </c>
      <c r="D9" s="7"/>
      <c r="E9" s="8" t="str">
        <f>" /xfer="&amp;C9</f>
        <v xml:space="preserve"> /xfer=125</v>
      </c>
      <c r="J9" s="5"/>
      <c r="L9" s="5"/>
      <c r="M9" s="5"/>
    </row>
    <row r="10" spans="1:13" x14ac:dyDescent="0.2">
      <c r="A10" s="7"/>
      <c r="B10" s="6" t="s">
        <v>82</v>
      </c>
      <c r="C10" s="15">
        <f>IF(OR(AnalysisMode="Transient",AnalysisMode="Generalized (1/64)"),TransFlashDelay,QSSFlashDelay)</f>
        <v>6</v>
      </c>
      <c r="D10" s="7"/>
      <c r="E10" s="4" t="str">
        <f>" /flashwait_s="&amp;C10</f>
        <v xml:space="preserve"> /flashwait_s=6</v>
      </c>
      <c r="J10" s="5"/>
    </row>
    <row r="11" spans="1:13" x14ac:dyDescent="0.2">
      <c r="A11" s="7"/>
      <c r="B11" s="36" t="s">
        <v>240</v>
      </c>
      <c r="C11" s="15">
        <v>1</v>
      </c>
      <c r="D11" s="7"/>
      <c r="E11" s="4" t="str">
        <f>" /numflashes="&amp;C11</f>
        <v xml:space="preserve"> /numflashes=1</v>
      </c>
      <c r="J11" s="5"/>
    </row>
    <row r="12" spans="1:13" x14ac:dyDescent="0.2">
      <c r="A12" s="7"/>
      <c r="B12" s="8" t="s">
        <v>228</v>
      </c>
      <c r="C12" s="14">
        <f>AirVoltageRange</f>
        <v>1</v>
      </c>
      <c r="D12" s="7">
        <f>VLOOKUP(C12,$D$30:$E$37,2,FALSE)</f>
        <v>10</v>
      </c>
      <c r="E12" s="4" t="str">
        <f>" /basegain="&amp;D12</f>
        <v xml:space="preserve"> /basegain=10</v>
      </c>
      <c r="J12" s="5"/>
      <c r="L12" s="5"/>
    </row>
    <row r="13" spans="1:13" x14ac:dyDescent="0.2">
      <c r="A13" s="7"/>
      <c r="B13" s="8" t="s">
        <v>334</v>
      </c>
      <c r="C13" s="7">
        <f>IF(OR(AnalysisMode = "Transient",AnalysisMode = "Generalized (1/64)"),200,PulseLength)</f>
        <v>12500</v>
      </c>
      <c r="E13" s="4" t="str">
        <f>" /cutoff="&amp;C13</f>
        <v xml:space="preserve"> /cutoff=12500</v>
      </c>
    </row>
    <row r="14" spans="1:13" x14ac:dyDescent="0.2">
      <c r="A14" s="7"/>
      <c r="D14" s="9"/>
      <c r="E14" s="9"/>
      <c r="F14" s="9"/>
      <c r="G14" s="9"/>
      <c r="H14" s="9"/>
      <c r="I14" s="9"/>
      <c r="J14" s="9"/>
      <c r="K14" s="9"/>
    </row>
    <row r="15" spans="1:13" x14ac:dyDescent="0.2">
      <c r="A15" s="7"/>
      <c r="B15" s="12" t="s">
        <v>232</v>
      </c>
      <c r="C15" s="31" t="s">
        <v>233</v>
      </c>
      <c r="D15" s="32"/>
      <c r="E15" s="33" t="s">
        <v>234</v>
      </c>
      <c r="F15" s="20"/>
    </row>
    <row r="16" spans="1:13" x14ac:dyDescent="0.2">
      <c r="A16" s="7"/>
      <c r="B16" s="16" t="s">
        <v>19</v>
      </c>
      <c r="C16" s="34" t="s">
        <v>235</v>
      </c>
      <c r="D16" s="35" t="s">
        <v>236</v>
      </c>
      <c r="E16" s="34" t="s">
        <v>235</v>
      </c>
      <c r="F16" s="35" t="s">
        <v>236</v>
      </c>
      <c r="G16" s="17" t="s">
        <v>239</v>
      </c>
    </row>
    <row r="17" spans="1:7" x14ac:dyDescent="0.2">
      <c r="A17" s="7"/>
      <c r="B17" s="7">
        <v>0</v>
      </c>
      <c r="C17" s="21">
        <f>C3</f>
        <v>2</v>
      </c>
      <c r="D17" s="22">
        <f>C17*G17</f>
        <v>0.8</v>
      </c>
      <c r="E17" s="21">
        <f>C4</f>
        <v>1</v>
      </c>
      <c r="F17" s="22">
        <f>E17*G17</f>
        <v>0.4</v>
      </c>
      <c r="G17" s="29">
        <v>0.4</v>
      </c>
    </row>
    <row r="18" spans="1:7" x14ac:dyDescent="0.2">
      <c r="A18" s="7"/>
      <c r="B18" s="19">
        <f>Calc!A133</f>
        <v>1.24499E-2</v>
      </c>
      <c r="C18" s="21">
        <f>C3</f>
        <v>2</v>
      </c>
      <c r="D18" s="22">
        <f>C18*G17</f>
        <v>0.8</v>
      </c>
      <c r="E18" s="21">
        <f>C4</f>
        <v>1</v>
      </c>
      <c r="F18" s="22">
        <f>E18*G17</f>
        <v>0.4</v>
      </c>
    </row>
    <row r="19" spans="1:7" x14ac:dyDescent="0.2">
      <c r="A19" s="7"/>
      <c r="C19" s="23"/>
      <c r="D19" s="24"/>
      <c r="E19" s="23"/>
      <c r="F19" s="24"/>
    </row>
    <row r="20" spans="1:7" x14ac:dyDescent="0.2">
      <c r="A20" s="7"/>
      <c r="B20" s="17" t="s">
        <v>237</v>
      </c>
      <c r="C20" s="23"/>
      <c r="D20" s="24"/>
      <c r="E20" s="23"/>
      <c r="F20" s="24"/>
    </row>
    <row r="21" spans="1:7" x14ac:dyDescent="0.2">
      <c r="A21" s="7"/>
      <c r="B21" s="8" t="s">
        <v>238</v>
      </c>
      <c r="C21" s="25">
        <f>Calc!B150</f>
        <v>0.63010299999999997</v>
      </c>
      <c r="D21" s="24"/>
      <c r="E21" s="28">
        <f>Calc!B152</f>
        <v>0.63104099999999996</v>
      </c>
      <c r="F21" s="24"/>
    </row>
    <row r="22" spans="1:7" x14ac:dyDescent="0.2">
      <c r="A22" s="7"/>
      <c r="B22" s="8" t="s">
        <v>252</v>
      </c>
      <c r="C22" s="23" t="b">
        <f>AND(C21&gt;0.95*Command!C17,D3&lt;&gt;-1)</f>
        <v>0</v>
      </c>
      <c r="D22" s="24"/>
      <c r="E22" s="23" t="b">
        <f>IF(AnalysisMode = "Transient", FALSE, AND(E21&gt;0.95*E17,D4&lt;&gt;10))</f>
        <v>0</v>
      </c>
      <c r="F22" s="24"/>
    </row>
    <row r="23" spans="1:7" x14ac:dyDescent="0.2">
      <c r="A23" s="7"/>
      <c r="B23" s="8" t="s">
        <v>253</v>
      </c>
      <c r="C23" s="23" t="b">
        <f>AND(C21&lt;Command!D17,D3&lt;&gt;50)</f>
        <v>1</v>
      </c>
      <c r="D23" s="24"/>
      <c r="E23" s="23" t="b">
        <f>IF(AnalysisMode = "Transient", IF(D4&lt;&gt;50,TRUE,FALSE),AND(E21&lt;F17,D4&lt;&gt;50))</f>
        <v>0</v>
      </c>
      <c r="F23" s="24"/>
    </row>
    <row r="24" spans="1:7" x14ac:dyDescent="0.2">
      <c r="A24" s="7"/>
      <c r="B24" s="30"/>
      <c r="C24" s="23"/>
      <c r="D24" s="24"/>
      <c r="E24" s="23"/>
      <c r="F24" s="24"/>
      <c r="G24" s="5"/>
    </row>
    <row r="25" spans="1:7" x14ac:dyDescent="0.2">
      <c r="A25" s="7"/>
      <c r="B25" s="8"/>
      <c r="C25" s="26"/>
      <c r="D25" s="27"/>
      <c r="E25" s="26"/>
      <c r="F25" s="27"/>
      <c r="G25" s="5"/>
    </row>
    <row r="26" spans="1:7" x14ac:dyDescent="0.2">
      <c r="A26" s="7"/>
    </row>
    <row r="28" spans="1:7" x14ac:dyDescent="0.2">
      <c r="B28" s="1" t="s">
        <v>222</v>
      </c>
    </row>
    <row r="29" spans="1:7" x14ac:dyDescent="0.2">
      <c r="B29" s="3" t="b">
        <v>1</v>
      </c>
      <c r="D29" s="11" t="s">
        <v>203</v>
      </c>
      <c r="E29" s="11" t="s">
        <v>202</v>
      </c>
    </row>
    <row r="30" spans="1:7" x14ac:dyDescent="0.2">
      <c r="B30" s="3" t="b">
        <v>0</v>
      </c>
      <c r="D30" s="10">
        <v>0.2</v>
      </c>
      <c r="E30" s="10">
        <v>50</v>
      </c>
    </row>
    <row r="31" spans="1:7" x14ac:dyDescent="0.2">
      <c r="B31" s="1"/>
      <c r="D31" s="10">
        <v>0.5</v>
      </c>
      <c r="E31" s="10">
        <v>20</v>
      </c>
    </row>
    <row r="32" spans="1:7" x14ac:dyDescent="0.2">
      <c r="B32" s="2" t="s">
        <v>287</v>
      </c>
      <c r="D32" s="10">
        <v>1</v>
      </c>
      <c r="E32" s="10">
        <v>10</v>
      </c>
    </row>
    <row r="33" spans="2:5" x14ac:dyDescent="0.2">
      <c r="B33" s="2" t="s">
        <v>286</v>
      </c>
      <c r="D33" s="10">
        <v>2</v>
      </c>
      <c r="E33" s="10">
        <v>5</v>
      </c>
    </row>
    <row r="34" spans="2:5" x14ac:dyDescent="0.2">
      <c r="B34" s="2" t="s">
        <v>223</v>
      </c>
      <c r="D34" s="10">
        <v>5</v>
      </c>
      <c r="E34" s="10">
        <v>2</v>
      </c>
    </row>
    <row r="35" spans="2:5" x14ac:dyDescent="0.2">
      <c r="B35" s="2" t="s">
        <v>65</v>
      </c>
      <c r="D35" s="10">
        <v>10</v>
      </c>
      <c r="E35" s="10">
        <v>1</v>
      </c>
    </row>
    <row r="36" spans="2:5" x14ac:dyDescent="0.2">
      <c r="B36" s="1"/>
      <c r="D36" s="10">
        <v>20</v>
      </c>
      <c r="E36" s="10">
        <v>-1</v>
      </c>
    </row>
    <row r="37" spans="2:5" x14ac:dyDescent="0.2">
      <c r="B37" s="2" t="s">
        <v>26</v>
      </c>
      <c r="D37" s="10">
        <v>40</v>
      </c>
      <c r="E37" s="10">
        <v>-2</v>
      </c>
    </row>
    <row r="38" spans="2:5" x14ac:dyDescent="0.2">
      <c r="B38" s="2" t="s">
        <v>224</v>
      </c>
    </row>
    <row r="40" spans="2:5" x14ac:dyDescent="0.2">
      <c r="B40" s="11" t="s">
        <v>289</v>
      </c>
    </row>
    <row r="41" spans="2:5" x14ac:dyDescent="0.2">
      <c r="B41" s="11" t="s">
        <v>290</v>
      </c>
    </row>
    <row r="43" spans="2:5" x14ac:dyDescent="0.2">
      <c r="B43" s="11" t="s">
        <v>291</v>
      </c>
    </row>
    <row r="44" spans="2:5" x14ac:dyDescent="0.2">
      <c r="B44" s="11" t="s">
        <v>292</v>
      </c>
    </row>
    <row r="46" spans="2:5" x14ac:dyDescent="0.2">
      <c r="B46" s="11" t="s">
        <v>318</v>
      </c>
    </row>
    <row r="47" spans="2:5" x14ac:dyDescent="0.2">
      <c r="B47" s="11" t="s">
        <v>319</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G127"/>
  <sheetViews>
    <sheetView tabSelected="1" workbookViewId="0">
      <selection activeCell="V23" sqref="V23"/>
    </sheetView>
  </sheetViews>
  <sheetFormatPr defaultRowHeight="12.75" x14ac:dyDescent="0.2"/>
  <cols>
    <col min="1" max="1" width="9.140625" style="83"/>
    <col min="2" max="2" width="13.85546875" style="83" customWidth="1"/>
    <col min="3" max="3" width="9.140625" style="83"/>
    <col min="4" max="4" width="13.5703125" style="83" customWidth="1"/>
    <col min="5" max="16384" width="9.140625" style="83"/>
  </cols>
  <sheetData>
    <row r="1" spans="2:33" x14ac:dyDescent="0.2">
      <c r="B1" s="83">
        <v>190</v>
      </c>
      <c r="C1" s="179"/>
      <c r="D1" s="83">
        <v>180</v>
      </c>
      <c r="E1" s="180"/>
      <c r="F1" s="83">
        <v>170</v>
      </c>
      <c r="G1" s="181"/>
      <c r="H1" s="83">
        <v>155</v>
      </c>
      <c r="I1" s="182"/>
      <c r="J1" s="83">
        <v>145</v>
      </c>
      <c r="K1" s="183"/>
      <c r="L1" s="83">
        <v>135</v>
      </c>
      <c r="M1" s="184"/>
      <c r="N1" s="83">
        <v>125</v>
      </c>
      <c r="O1" s="185"/>
      <c r="P1" s="83">
        <v>110</v>
      </c>
      <c r="Q1" s="186"/>
      <c r="R1" s="83">
        <v>100</v>
      </c>
      <c r="S1" s="187"/>
      <c r="T1" s="83">
        <v>90</v>
      </c>
      <c r="U1" s="188"/>
      <c r="V1" s="83">
        <v>80</v>
      </c>
      <c r="W1" s="189"/>
      <c r="X1" s="83">
        <v>65</v>
      </c>
      <c r="Y1" s="190"/>
      <c r="Z1" s="83">
        <v>55</v>
      </c>
      <c r="AA1" s="191"/>
      <c r="AB1" s="83">
        <v>45</v>
      </c>
      <c r="AC1" s="192"/>
      <c r="AD1" s="83">
        <v>35</v>
      </c>
      <c r="AE1" s="193"/>
      <c r="AG1" s="194"/>
    </row>
    <row r="2" spans="2:33" x14ac:dyDescent="0.2">
      <c r="B2" s="83" t="s">
        <v>11</v>
      </c>
      <c r="C2" s="83" t="s">
        <v>181</v>
      </c>
      <c r="D2" s="83" t="s">
        <v>11</v>
      </c>
      <c r="E2" s="83" t="s">
        <v>181</v>
      </c>
      <c r="F2" s="83" t="s">
        <v>11</v>
      </c>
      <c r="G2" s="83" t="s">
        <v>181</v>
      </c>
      <c r="H2" s="83" t="s">
        <v>11</v>
      </c>
      <c r="I2" s="83" t="s">
        <v>181</v>
      </c>
      <c r="J2" s="83" t="s">
        <v>11</v>
      </c>
      <c r="K2" s="83" t="s">
        <v>181</v>
      </c>
      <c r="L2" s="83" t="s">
        <v>11</v>
      </c>
      <c r="M2" s="83" t="s">
        <v>181</v>
      </c>
      <c r="N2" s="83" t="s">
        <v>11</v>
      </c>
      <c r="O2" s="83" t="s">
        <v>181</v>
      </c>
      <c r="P2" s="83" t="s">
        <v>11</v>
      </c>
      <c r="Q2" s="83" t="s">
        <v>181</v>
      </c>
      <c r="R2" s="83" t="s">
        <v>11</v>
      </c>
      <c r="S2" s="83" t="s">
        <v>181</v>
      </c>
      <c r="T2" s="83" t="s">
        <v>11</v>
      </c>
      <c r="U2" s="83" t="s">
        <v>181</v>
      </c>
      <c r="V2" s="83" t="s">
        <v>11</v>
      </c>
      <c r="W2" s="83" t="s">
        <v>181</v>
      </c>
      <c r="X2" s="83" t="s">
        <v>11</v>
      </c>
      <c r="Y2" s="83" t="s">
        <v>181</v>
      </c>
      <c r="Z2" s="83" t="s">
        <v>11</v>
      </c>
      <c r="AA2" s="83" t="s">
        <v>181</v>
      </c>
      <c r="AB2" s="83" t="s">
        <v>11</v>
      </c>
      <c r="AC2" s="83" t="s">
        <v>181</v>
      </c>
      <c r="AD2" s="83" t="s">
        <v>11</v>
      </c>
      <c r="AE2" s="83" t="s">
        <v>181</v>
      </c>
    </row>
    <row r="3" spans="2:33" x14ac:dyDescent="0.2">
      <c r="B3" s="83">
        <v>5153967884895930</v>
      </c>
      <c r="C3" s="83">
        <v>0</v>
      </c>
      <c r="D3" s="83">
        <v>4626538664484549</v>
      </c>
      <c r="E3" s="83">
        <v>0</v>
      </c>
      <c r="F3" s="83">
        <v>4492985789043902</v>
      </c>
      <c r="G3" s="83">
        <v>0</v>
      </c>
      <c r="H3" s="83">
        <v>4296693974881309</v>
      </c>
      <c r="I3" s="83">
        <v>0</v>
      </c>
      <c r="J3" s="83">
        <v>4151013210939862.5</v>
      </c>
      <c r="K3" s="83">
        <v>0</v>
      </c>
      <c r="L3" s="83">
        <v>3813180778959696</v>
      </c>
      <c r="M3" s="83">
        <v>0</v>
      </c>
      <c r="N3" s="83">
        <v>3635451535910550</v>
      </c>
      <c r="O3" s="83">
        <v>0</v>
      </c>
      <c r="P3" s="83">
        <v>3530192069984264.5</v>
      </c>
      <c r="Q3" s="83">
        <v>0</v>
      </c>
      <c r="R3" s="83">
        <v>3275517258883369</v>
      </c>
      <c r="S3" s="83">
        <v>0</v>
      </c>
      <c r="T3" s="83">
        <v>3024269850816472.5</v>
      </c>
      <c r="U3" s="83">
        <v>0</v>
      </c>
      <c r="V3" s="83">
        <v>2820531100099329</v>
      </c>
      <c r="W3" s="83">
        <v>0</v>
      </c>
      <c r="X3" s="83">
        <v>2570543301957610.5</v>
      </c>
      <c r="Y3" s="83">
        <v>0</v>
      </c>
      <c r="Z3" s="83">
        <v>2421741444081115</v>
      </c>
      <c r="AA3" s="83">
        <v>0</v>
      </c>
      <c r="AB3" s="83">
        <v>2261488365049378.5</v>
      </c>
      <c r="AC3" s="83">
        <v>0</v>
      </c>
      <c r="AD3" s="83">
        <v>2215051167372483.5</v>
      </c>
      <c r="AE3" s="83">
        <v>0</v>
      </c>
    </row>
    <row r="4" spans="2:33" x14ac:dyDescent="0.2">
      <c r="B4" s="83">
        <v>1.0684438738698212E+16</v>
      </c>
      <c r="C4" s="83">
        <v>0</v>
      </c>
      <c r="D4" s="83">
        <v>9413889658359704</v>
      </c>
      <c r="E4" s="83">
        <v>0</v>
      </c>
      <c r="F4" s="83">
        <v>9236934738942086</v>
      </c>
      <c r="G4" s="83">
        <v>0</v>
      </c>
      <c r="H4" s="83">
        <v>8690786853176396</v>
      </c>
      <c r="I4" s="83">
        <v>0</v>
      </c>
      <c r="J4" s="83">
        <v>8508445205561987</v>
      </c>
      <c r="K4" s="83">
        <v>0</v>
      </c>
      <c r="L4" s="83">
        <v>7708702810278189</v>
      </c>
      <c r="M4" s="83">
        <v>0</v>
      </c>
      <c r="N4" s="83">
        <v>7304369101856930</v>
      </c>
      <c r="O4" s="83">
        <v>0</v>
      </c>
      <c r="P4" s="83">
        <v>7155066353504026</v>
      </c>
      <c r="Q4" s="83">
        <v>0</v>
      </c>
      <c r="R4" s="83">
        <v>6572147581848826</v>
      </c>
      <c r="S4" s="83">
        <v>0</v>
      </c>
      <c r="T4" s="83">
        <v>6010050772056672</v>
      </c>
      <c r="U4" s="83">
        <v>0</v>
      </c>
      <c r="V4" s="83">
        <v>5631933071554752</v>
      </c>
      <c r="W4" s="83">
        <v>0</v>
      </c>
      <c r="X4" s="83">
        <v>4949653055715105</v>
      </c>
      <c r="Y4" s="83">
        <v>0</v>
      </c>
      <c r="Z4" s="83">
        <v>4781066103812095</v>
      </c>
      <c r="AA4" s="83">
        <v>0</v>
      </c>
      <c r="AB4" s="83">
        <v>4416709175281734.5</v>
      </c>
      <c r="AC4" s="83">
        <v>0</v>
      </c>
      <c r="AD4" s="83">
        <v>4339805858848166</v>
      </c>
      <c r="AE4" s="83">
        <v>0</v>
      </c>
    </row>
    <row r="5" spans="2:33" x14ac:dyDescent="0.2">
      <c r="B5" s="83">
        <v>1.1904947597485446E+16</v>
      </c>
      <c r="C5" s="83">
        <v>2.263692858235014E-5</v>
      </c>
      <c r="D5" s="83">
        <v>1.0841652691637522E+16</v>
      </c>
      <c r="E5" s="83">
        <v>2.1503064873624035E-5</v>
      </c>
      <c r="F5" s="83">
        <v>1.0714444869079736E+16</v>
      </c>
      <c r="G5" s="83">
        <v>2.080718235118481E-5</v>
      </c>
      <c r="H5" s="83">
        <v>1.006967790897829E+16</v>
      </c>
      <c r="I5" s="83">
        <v>1.9584661008660914E-5</v>
      </c>
      <c r="J5" s="83">
        <v>9674472561374672</v>
      </c>
      <c r="K5" s="83">
        <v>1.872864205989615E-5</v>
      </c>
      <c r="L5" s="83">
        <v>8966740022117122</v>
      </c>
      <c r="M5" s="83">
        <v>1.7815969456452627E-5</v>
      </c>
      <c r="N5" s="83">
        <v>8545564246143121</v>
      </c>
      <c r="O5" s="83">
        <v>1.7019738485697867E-5</v>
      </c>
      <c r="P5" s="83">
        <v>8224491706190130</v>
      </c>
      <c r="Q5" s="83">
        <v>1.5995539178717507E-5</v>
      </c>
      <c r="R5" s="83">
        <v>7734794319736434</v>
      </c>
      <c r="S5" s="83">
        <v>1.4954793137858273E-5</v>
      </c>
      <c r="T5" s="83">
        <v>7040414883781018</v>
      </c>
      <c r="U5" s="83">
        <v>1.3794731142974464E-5</v>
      </c>
      <c r="V5" s="83">
        <v>6428549564310691</v>
      </c>
      <c r="W5" s="83">
        <v>1.2600367048690642E-5</v>
      </c>
      <c r="X5" s="83">
        <v>5833713399338513</v>
      </c>
      <c r="Y5" s="83">
        <v>1.1291257421503253E-5</v>
      </c>
      <c r="Z5" s="83">
        <v>5613930266289601</v>
      </c>
      <c r="AA5" s="83">
        <v>1.0686345755143018E-5</v>
      </c>
      <c r="AB5" s="83">
        <v>5205248220864680</v>
      </c>
      <c r="AC5" s="83">
        <v>1.0029783998465042E-5</v>
      </c>
      <c r="AD5" s="83">
        <v>5073569309110765</v>
      </c>
      <c r="AE5" s="83">
        <v>9.5636062981742042E-6</v>
      </c>
    </row>
    <row r="6" spans="2:33" x14ac:dyDescent="0.2">
      <c r="B6" s="83">
        <v>1.2191519962784318E+16</v>
      </c>
      <c r="C6" s="83">
        <v>2.1945780840518049E-5</v>
      </c>
      <c r="D6" s="83">
        <v>1.1232040766960894E+16</v>
      </c>
      <c r="E6" s="83">
        <v>2.0935196217396584E-5</v>
      </c>
      <c r="F6" s="83">
        <v>1.1077251655635214E+16</v>
      </c>
      <c r="G6" s="83">
        <v>2.0251191228071718E-5</v>
      </c>
      <c r="H6" s="83">
        <v>1.0374307531872014E+16</v>
      </c>
      <c r="I6" s="83">
        <v>1.905193719883573E-5</v>
      </c>
      <c r="J6" s="83">
        <v>1.0027759496622326E+16</v>
      </c>
      <c r="K6" s="83">
        <v>1.8339321698126649E-5</v>
      </c>
      <c r="L6" s="83">
        <v>9311092930976480</v>
      </c>
      <c r="M6" s="83">
        <v>1.7432922617887916E-5</v>
      </c>
      <c r="N6" s="83">
        <v>8938107296307033</v>
      </c>
      <c r="O6" s="83">
        <v>1.6691922481526388E-5</v>
      </c>
      <c r="P6" s="83">
        <v>8520131069965605</v>
      </c>
      <c r="Q6" s="83">
        <v>1.5684064968378846E-5</v>
      </c>
      <c r="R6" s="83">
        <v>7943559632403878</v>
      </c>
      <c r="S6" s="83">
        <v>1.4598090770590012E-5</v>
      </c>
      <c r="T6" s="83">
        <v>7281831456102869</v>
      </c>
      <c r="U6" s="83">
        <v>1.3529782997849736E-5</v>
      </c>
      <c r="V6" s="83">
        <v>6645239988260692</v>
      </c>
      <c r="W6" s="83">
        <v>1.2389932301906046E-5</v>
      </c>
      <c r="X6" s="83">
        <v>6008547763758440</v>
      </c>
      <c r="Y6" s="83">
        <v>1.1083191090216215E-5</v>
      </c>
      <c r="Z6" s="83">
        <v>5701102082961926</v>
      </c>
      <c r="AA6" s="83">
        <v>1.0427841222416436E-5</v>
      </c>
      <c r="AB6" s="83">
        <v>5301060925286794</v>
      </c>
      <c r="AC6" s="83">
        <v>9.8120975936920798E-6</v>
      </c>
      <c r="AD6" s="83">
        <v>5136517295787239</v>
      </c>
      <c r="AE6" s="83">
        <v>9.3427657478945177E-6</v>
      </c>
    </row>
    <row r="7" spans="2:33" x14ac:dyDescent="0.2">
      <c r="B7" s="83">
        <v>1.1778924476713738E+16</v>
      </c>
      <c r="C7" s="83">
        <v>2.1298730665006883E-5</v>
      </c>
      <c r="D7" s="83">
        <v>1.0856827625706302E+16</v>
      </c>
      <c r="E7" s="83">
        <v>2.0434154485269671E-5</v>
      </c>
      <c r="F7" s="83">
        <v>1.0670214455960174E+16</v>
      </c>
      <c r="G7" s="83">
        <v>1.9651402331399731E-5</v>
      </c>
      <c r="H7" s="83">
        <v>1.0021099773541208E+16</v>
      </c>
      <c r="I7" s="83">
        <v>1.8548350743421973E-5</v>
      </c>
      <c r="J7" s="83">
        <v>9696437884272618</v>
      </c>
      <c r="K7" s="83">
        <v>1.7828193455159474E-5</v>
      </c>
      <c r="L7" s="83">
        <v>8979409619532293</v>
      </c>
      <c r="M7" s="83">
        <v>1.7019847896465378E-5</v>
      </c>
      <c r="N7" s="83">
        <v>8592185450740753</v>
      </c>
      <c r="O7" s="83">
        <v>1.6272095923423538E-5</v>
      </c>
      <c r="P7" s="83">
        <v>8217625442647578</v>
      </c>
      <c r="Q7" s="83">
        <v>1.5264480084280921E-5</v>
      </c>
      <c r="R7" s="83">
        <v>7640926452084931</v>
      </c>
      <c r="S7" s="83">
        <v>1.4208000286324006E-5</v>
      </c>
      <c r="T7" s="83">
        <v>7029558556257505</v>
      </c>
      <c r="U7" s="83">
        <v>1.3213945482647178E-5</v>
      </c>
      <c r="V7" s="83">
        <v>6385337138340927</v>
      </c>
      <c r="W7" s="83">
        <v>1.2088144444679745E-5</v>
      </c>
      <c r="X7" s="83">
        <v>5760865848738813</v>
      </c>
      <c r="Y7" s="83">
        <v>1.0794672006177982E-5</v>
      </c>
      <c r="Z7" s="83">
        <v>5472532805451624</v>
      </c>
      <c r="AA7" s="83">
        <v>1.0168118025316095E-5</v>
      </c>
      <c r="AB7" s="83">
        <v>5087422418784469</v>
      </c>
      <c r="AC7" s="83">
        <v>9.5886358393608607E-6</v>
      </c>
      <c r="AD7" s="83">
        <v>4909560353549486</v>
      </c>
      <c r="AE7" s="83">
        <v>9.0915148299900913E-6</v>
      </c>
    </row>
    <row r="8" spans="2:33" x14ac:dyDescent="0.2">
      <c r="B8" s="83">
        <v>1.1269588901747112E+16</v>
      </c>
      <c r="C8" s="83">
        <v>2.0998657885680748E-5</v>
      </c>
      <c r="D8" s="83">
        <v>1.0392044640899174E+16</v>
      </c>
      <c r="E8" s="83">
        <v>2.0347514443208891E-5</v>
      </c>
      <c r="F8" s="83">
        <v>1.020410811953282E+16</v>
      </c>
      <c r="G8" s="83">
        <v>1.9484145566868389E-5</v>
      </c>
      <c r="H8" s="83">
        <v>9584800373624806</v>
      </c>
      <c r="I8" s="83">
        <v>1.8384318533300731E-5</v>
      </c>
      <c r="J8" s="83">
        <v>9268977920613124</v>
      </c>
      <c r="K8" s="83">
        <v>1.7612744666055239E-5</v>
      </c>
      <c r="L8" s="83">
        <v>8575388012661482</v>
      </c>
      <c r="M8" s="83">
        <v>1.6944620307805412E-5</v>
      </c>
      <c r="N8" s="83">
        <v>8195434651945261</v>
      </c>
      <c r="O8" s="83">
        <v>1.6205430485498843E-5</v>
      </c>
      <c r="P8" s="83">
        <v>7836674109325042</v>
      </c>
      <c r="Q8" s="83">
        <v>1.5109531351394106E-5</v>
      </c>
      <c r="R8" s="83">
        <v>7271968326502038</v>
      </c>
      <c r="S8" s="83">
        <v>1.4077550877114938E-5</v>
      </c>
      <c r="T8" s="83">
        <v>6696493924655390</v>
      </c>
      <c r="U8" s="83">
        <v>1.3117940545582815E-5</v>
      </c>
      <c r="V8" s="83">
        <v>6082308778978284</v>
      </c>
      <c r="W8" s="83">
        <v>1.2032869316620218E-5</v>
      </c>
      <c r="X8" s="83">
        <v>5477428868696070</v>
      </c>
      <c r="Y8" s="83">
        <v>1.0717981349342701E-5</v>
      </c>
      <c r="Z8" s="83">
        <v>5191049042143006</v>
      </c>
      <c r="AA8" s="83">
        <v>1.0072141631962813E-5</v>
      </c>
      <c r="AB8" s="83">
        <v>4836751527656955</v>
      </c>
      <c r="AC8" s="83">
        <v>9.5361880018978323E-6</v>
      </c>
      <c r="AD8" s="83">
        <v>4669001849558041</v>
      </c>
      <c r="AE8" s="83">
        <v>9.0157025011016198E-6</v>
      </c>
    </row>
    <row r="9" spans="2:33" x14ac:dyDescent="0.2">
      <c r="B9" s="83">
        <v>1.074557306661451E+16</v>
      </c>
      <c r="C9" s="83">
        <v>2.1076799101425506E-5</v>
      </c>
      <c r="D9" s="83">
        <v>9894903916164772</v>
      </c>
      <c r="E9" s="83">
        <v>2.0538150389801851E-5</v>
      </c>
      <c r="F9" s="83">
        <v>9716673862628868</v>
      </c>
      <c r="G9" s="83">
        <v>1.9621990772850034E-5</v>
      </c>
      <c r="H9" s="83">
        <v>9129482667947724</v>
      </c>
      <c r="I9" s="83">
        <v>1.8501408733434337E-5</v>
      </c>
      <c r="J9" s="83">
        <v>8818766717227022</v>
      </c>
      <c r="K9" s="83">
        <v>1.7689351840737012E-5</v>
      </c>
      <c r="L9" s="83">
        <v>8162773707519671</v>
      </c>
      <c r="M9" s="83">
        <v>1.709484400720257E-5</v>
      </c>
      <c r="N9" s="83">
        <v>7790534089108108</v>
      </c>
      <c r="O9" s="83">
        <v>1.6337910941883757E-5</v>
      </c>
      <c r="P9" s="83">
        <v>7444672661445771</v>
      </c>
      <c r="Q9" s="83">
        <v>1.5193577112558881E-5</v>
      </c>
      <c r="R9" s="83">
        <v>6902082122925962</v>
      </c>
      <c r="S9" s="83">
        <v>1.4159414913145849E-5</v>
      </c>
      <c r="T9" s="83">
        <v>6343196229911442</v>
      </c>
      <c r="U9" s="83">
        <v>1.3172995584087461E-5</v>
      </c>
      <c r="V9" s="83">
        <v>5778417513202218</v>
      </c>
      <c r="W9" s="83">
        <v>1.2106584767544209E-5</v>
      </c>
      <c r="X9" s="83">
        <v>5190259457345216</v>
      </c>
      <c r="Y9" s="83">
        <v>1.0774196432348212E-5</v>
      </c>
      <c r="Z9" s="83">
        <v>4918672855656981</v>
      </c>
      <c r="AA9" s="83">
        <v>1.012973427272581E-5</v>
      </c>
      <c r="AB9" s="83">
        <v>4577390695973862</v>
      </c>
      <c r="AC9" s="83">
        <v>9.5669390020948495E-6</v>
      </c>
      <c r="AD9" s="83">
        <v>4421635896884549</v>
      </c>
      <c r="AE9" s="83">
        <v>9.0388591528612343E-6</v>
      </c>
    </row>
    <row r="10" spans="2:33" x14ac:dyDescent="0.2">
      <c r="B10" s="83">
        <v>1.0241220049887828E+16</v>
      </c>
      <c r="C10" s="83">
        <v>2.1350188004536026E-5</v>
      </c>
      <c r="D10" s="83">
        <v>9429792944272950</v>
      </c>
      <c r="E10" s="83">
        <v>2.0769717241876376E-5</v>
      </c>
      <c r="F10" s="83">
        <v>9236363364566046</v>
      </c>
      <c r="G10" s="83">
        <v>1.9858677556415883E-5</v>
      </c>
      <c r="H10" s="83">
        <v>8686038598051801</v>
      </c>
      <c r="I10" s="83">
        <v>1.8699017436391545E-5</v>
      </c>
      <c r="J10" s="83">
        <v>8389337892551398</v>
      </c>
      <c r="K10" s="83">
        <v>1.7895665511438832E-5</v>
      </c>
      <c r="L10" s="83">
        <v>7762277743361360</v>
      </c>
      <c r="M10" s="83">
        <v>1.7249380850267149E-5</v>
      </c>
      <c r="N10" s="83">
        <v>7411457483842070</v>
      </c>
      <c r="O10" s="83">
        <v>1.6500781880500941E-5</v>
      </c>
      <c r="P10" s="83">
        <v>7064427394370244</v>
      </c>
      <c r="Q10" s="83">
        <v>1.5328459659463317E-5</v>
      </c>
      <c r="R10" s="83">
        <v>6542490764522573</v>
      </c>
      <c r="S10" s="83">
        <v>1.4280589073132618E-5</v>
      </c>
      <c r="T10" s="83">
        <v>6017059768065542</v>
      </c>
      <c r="U10" s="83">
        <v>1.3289522579133056E-5</v>
      </c>
      <c r="V10" s="83">
        <v>5484811529499691</v>
      </c>
      <c r="W10" s="83">
        <v>1.2189895252388582E-5</v>
      </c>
      <c r="X10" s="83">
        <v>4909137811321948</v>
      </c>
      <c r="Y10" s="83">
        <v>1.0835083396739019E-5</v>
      </c>
      <c r="Z10" s="83">
        <v>4652380260898488</v>
      </c>
      <c r="AA10" s="83">
        <v>1.0186497871772264E-5</v>
      </c>
      <c r="AB10" s="83">
        <v>4323951560583783</v>
      </c>
      <c r="AC10" s="83">
        <v>9.6039480750570931E-6</v>
      </c>
      <c r="AD10" s="83">
        <v>4176652239164759</v>
      </c>
      <c r="AE10" s="83">
        <v>9.0748021795774244E-6</v>
      </c>
    </row>
    <row r="11" spans="2:33" x14ac:dyDescent="0.2">
      <c r="B11" s="83">
        <v>9758805543179460</v>
      </c>
      <c r="C11" s="83">
        <v>2.1638529830110495E-5</v>
      </c>
      <c r="D11" s="83">
        <v>8984088715708036</v>
      </c>
      <c r="E11" s="83">
        <v>2.1012820807535775E-5</v>
      </c>
      <c r="F11" s="83">
        <v>8784620807441634</v>
      </c>
      <c r="G11" s="83">
        <v>2.0109640690836407E-5</v>
      </c>
      <c r="H11" s="83">
        <v>8262697271218338</v>
      </c>
      <c r="I11" s="83">
        <v>1.8897016066689766E-5</v>
      </c>
      <c r="J11" s="83">
        <v>7972753864374714</v>
      </c>
      <c r="K11" s="83">
        <v>1.8089705548297896E-5</v>
      </c>
      <c r="L11" s="83">
        <v>7380839174101798</v>
      </c>
      <c r="M11" s="83">
        <v>1.7416007077884625E-5</v>
      </c>
      <c r="N11" s="83">
        <v>7036235134086422</v>
      </c>
      <c r="O11" s="83">
        <v>1.6631765679448363E-5</v>
      </c>
      <c r="P11" s="83">
        <v>6698452236391299</v>
      </c>
      <c r="Q11" s="83">
        <v>1.5451676546693361E-5</v>
      </c>
      <c r="R11" s="83">
        <v>6200558833692482</v>
      </c>
      <c r="S11" s="83">
        <v>1.438485457081176E-5</v>
      </c>
      <c r="T11" s="83">
        <v>5702073913187684</v>
      </c>
      <c r="U11" s="83">
        <v>1.3374654904291202E-5</v>
      </c>
      <c r="V11" s="83">
        <v>5191921905198925</v>
      </c>
      <c r="W11" s="83">
        <v>1.2239138653754294E-5</v>
      </c>
      <c r="X11" s="83">
        <v>4647574598739492</v>
      </c>
      <c r="Y11" s="83">
        <v>1.0894731465127327E-5</v>
      </c>
      <c r="Z11" s="83">
        <v>4398425995368892</v>
      </c>
      <c r="AA11" s="83">
        <v>1.0222735054761734E-5</v>
      </c>
      <c r="AB11" s="83">
        <v>4089288329405933.5</v>
      </c>
      <c r="AC11" s="83">
        <v>9.6414842731992052E-6</v>
      </c>
      <c r="AD11" s="83">
        <v>3938569906425649.5</v>
      </c>
      <c r="AE11" s="83">
        <v>9.098039098863075E-6</v>
      </c>
    </row>
    <row r="12" spans="2:33" x14ac:dyDescent="0.2">
      <c r="B12" s="83">
        <v>9291095812383182</v>
      </c>
      <c r="C12" s="83">
        <v>2.1896468484661141E-5</v>
      </c>
      <c r="D12" s="83">
        <v>8547189788503377</v>
      </c>
      <c r="E12" s="83">
        <v>2.1231917822098343E-5</v>
      </c>
      <c r="F12" s="83">
        <v>8352717757491462</v>
      </c>
      <c r="G12" s="83">
        <v>2.0321787497554309E-5</v>
      </c>
      <c r="H12" s="83">
        <v>7857139814385406</v>
      </c>
      <c r="I12" s="83">
        <v>1.9091739716470132E-5</v>
      </c>
      <c r="J12" s="83">
        <v>7577346350873334</v>
      </c>
      <c r="K12" s="83">
        <v>1.8258122453422917E-5</v>
      </c>
      <c r="L12" s="83">
        <v>7006831678714215</v>
      </c>
      <c r="M12" s="83">
        <v>1.7552466815720828E-5</v>
      </c>
      <c r="N12" s="83">
        <v>6685980333923005</v>
      </c>
      <c r="O12" s="83">
        <v>1.6761081647098409E-5</v>
      </c>
      <c r="P12" s="83">
        <v>6349103516373824</v>
      </c>
      <c r="Q12" s="83">
        <v>1.5564217669592032E-5</v>
      </c>
      <c r="R12" s="83">
        <v>5874259554092153</v>
      </c>
      <c r="S12" s="83">
        <v>1.4478680559244236E-5</v>
      </c>
      <c r="T12" s="83">
        <v>5398389725042595</v>
      </c>
      <c r="U12" s="83">
        <v>1.3443275608063645E-5</v>
      </c>
      <c r="V12" s="83">
        <v>4917736799389162</v>
      </c>
      <c r="W12" s="83">
        <v>1.2296845187903868E-5</v>
      </c>
      <c r="X12" s="83">
        <v>4394124055985381.5</v>
      </c>
      <c r="Y12" s="83">
        <v>1.0931326582232727E-5</v>
      </c>
      <c r="Z12" s="83">
        <v>4152463209509868</v>
      </c>
      <c r="AA12" s="83">
        <v>1.0243706329288859E-5</v>
      </c>
      <c r="AB12" s="83">
        <v>3855094551759254.5</v>
      </c>
      <c r="AC12" s="83">
        <v>9.6484049555891505E-6</v>
      </c>
      <c r="AD12" s="83">
        <v>3710998509972983.5</v>
      </c>
      <c r="AE12" s="83">
        <v>9.1120035773011125E-6</v>
      </c>
    </row>
    <row r="13" spans="2:33" x14ac:dyDescent="0.2">
      <c r="B13" s="83">
        <v>8818859551034649</v>
      </c>
      <c r="C13" s="83">
        <v>2.2102898624699459E-5</v>
      </c>
      <c r="D13" s="83">
        <v>8125117276338411</v>
      </c>
      <c r="E13" s="83">
        <v>2.1424110401731509E-5</v>
      </c>
      <c r="F13" s="83">
        <v>7926249406050124</v>
      </c>
      <c r="G13" s="83">
        <v>2.049038209604367E-5</v>
      </c>
      <c r="H13" s="83">
        <v>7457364394897668</v>
      </c>
      <c r="I13" s="83">
        <v>1.9252380984704896E-5</v>
      </c>
      <c r="J13" s="83">
        <v>7192755486982885</v>
      </c>
      <c r="K13" s="83">
        <v>1.8406022108938354E-5</v>
      </c>
      <c r="L13" s="83">
        <v>6648716911908717</v>
      </c>
      <c r="M13" s="83">
        <v>1.7668039218906637E-5</v>
      </c>
      <c r="N13" s="83">
        <v>6342563714838864</v>
      </c>
      <c r="O13" s="83">
        <v>1.6847127175659289E-5</v>
      </c>
      <c r="P13" s="83">
        <v>6017178654198328</v>
      </c>
      <c r="Q13" s="83">
        <v>1.5667513119211096E-5</v>
      </c>
      <c r="R13" s="83">
        <v>5563158135037920</v>
      </c>
      <c r="S13" s="83">
        <v>1.4559893414424492E-5</v>
      </c>
      <c r="T13" s="83">
        <v>5112019019836109</v>
      </c>
      <c r="U13" s="83">
        <v>1.3509991493919321E-5</v>
      </c>
      <c r="V13" s="83">
        <v>4651841361361456</v>
      </c>
      <c r="W13" s="83">
        <v>1.2342469873811348E-5</v>
      </c>
      <c r="X13" s="83">
        <v>4151890806928548.5</v>
      </c>
      <c r="Y13" s="83">
        <v>1.095976001256108E-5</v>
      </c>
      <c r="Z13" s="83">
        <v>3924906103321824</v>
      </c>
      <c r="AA13" s="83">
        <v>1.0269864946201789E-5</v>
      </c>
      <c r="AB13" s="83">
        <v>3639619818558296.5</v>
      </c>
      <c r="AC13" s="83">
        <v>9.6585852380255721E-6</v>
      </c>
      <c r="AD13" s="83">
        <v>3496909519520986</v>
      </c>
      <c r="AE13" s="83">
        <v>9.1209672360436855E-6</v>
      </c>
    </row>
    <row r="14" spans="2:33" x14ac:dyDescent="0.2">
      <c r="B14" s="83">
        <v>8386070829441869</v>
      </c>
      <c r="C14" s="83">
        <v>2.2336201626558759E-5</v>
      </c>
      <c r="D14" s="83">
        <v>7723820451771375</v>
      </c>
      <c r="E14" s="83">
        <v>2.1613265372095143E-5</v>
      </c>
      <c r="F14" s="83">
        <v>7529136616110239</v>
      </c>
      <c r="G14" s="83">
        <v>2.0671518320749831E-5</v>
      </c>
      <c r="H14" s="83">
        <v>7078270671248497</v>
      </c>
      <c r="I14" s="83">
        <v>1.9405177285908835E-5</v>
      </c>
      <c r="J14" s="83">
        <v>6825441515685219</v>
      </c>
      <c r="K14" s="83">
        <v>1.8542019322431635E-5</v>
      </c>
      <c r="L14" s="83">
        <v>6311654355745549</v>
      </c>
      <c r="M14" s="83">
        <v>1.7797847421930936E-5</v>
      </c>
      <c r="N14" s="83">
        <v>6023537697506849</v>
      </c>
      <c r="O14" s="83">
        <v>1.6952457595008797E-5</v>
      </c>
      <c r="P14" s="83">
        <v>5695091732982077</v>
      </c>
      <c r="Q14" s="83">
        <v>1.5744145140483454E-5</v>
      </c>
      <c r="R14" s="83">
        <v>5266112627572779</v>
      </c>
      <c r="S14" s="83">
        <v>1.4628260399847045E-5</v>
      </c>
      <c r="T14" s="83">
        <v>4832888728167153</v>
      </c>
      <c r="U14" s="83">
        <v>1.3556667769686642E-5</v>
      </c>
      <c r="V14" s="83">
        <v>4399596598669057</v>
      </c>
      <c r="W14" s="83">
        <v>1.2385061350170477E-5</v>
      </c>
      <c r="X14" s="83">
        <v>3921141659066975.5</v>
      </c>
      <c r="Y14" s="83">
        <v>1.0980830858099294E-5</v>
      </c>
      <c r="Z14" s="83">
        <v>3704278569974224.5</v>
      </c>
      <c r="AA14" s="83">
        <v>1.0289061295032893E-5</v>
      </c>
      <c r="AB14" s="83">
        <v>3436636696697867</v>
      </c>
      <c r="AC14" s="83">
        <v>9.6743926983729728E-6</v>
      </c>
      <c r="AD14" s="83">
        <v>3292887666362797.5</v>
      </c>
      <c r="AE14" s="83">
        <v>9.1172473143618855E-6</v>
      </c>
    </row>
    <row r="15" spans="2:33" x14ac:dyDescent="0.2">
      <c r="B15" s="83">
        <v>7959871187982239</v>
      </c>
      <c r="C15" s="83">
        <v>2.2525684745144075E-5</v>
      </c>
      <c r="D15" s="83">
        <v>7331303525590103</v>
      </c>
      <c r="E15" s="83">
        <v>2.1769044181877718E-5</v>
      </c>
      <c r="F15" s="83">
        <v>7142466736660026</v>
      </c>
      <c r="G15" s="83">
        <v>2.0827639991547075E-5</v>
      </c>
      <c r="H15" s="83">
        <v>6712105014584274</v>
      </c>
      <c r="I15" s="83">
        <v>1.9541757868859935E-5</v>
      </c>
      <c r="J15" s="83">
        <v>6469616274281881</v>
      </c>
      <c r="K15" s="83">
        <v>1.8669437193844339E-5</v>
      </c>
      <c r="L15" s="83">
        <v>5977623328558132</v>
      </c>
      <c r="M15" s="83">
        <v>1.7882965963004184E-5</v>
      </c>
      <c r="N15" s="83">
        <v>5714661896336278</v>
      </c>
      <c r="O15" s="83">
        <v>1.705173460406047E-5</v>
      </c>
      <c r="P15" s="83">
        <v>5388729841381956</v>
      </c>
      <c r="Q15" s="83">
        <v>1.5815835812545741E-5</v>
      </c>
      <c r="R15" s="83">
        <v>4977328902409915</v>
      </c>
      <c r="S15" s="83">
        <v>1.4673996612827627E-5</v>
      </c>
      <c r="T15" s="83">
        <v>4570143373851655</v>
      </c>
      <c r="U15" s="83">
        <v>1.3602125241581205E-5</v>
      </c>
      <c r="V15" s="83">
        <v>4157674802884351</v>
      </c>
      <c r="W15" s="83">
        <v>1.2418422742224124E-5</v>
      </c>
      <c r="X15" s="83">
        <v>3703092265059672</v>
      </c>
      <c r="Y15" s="83">
        <v>1.1003336887698835E-5</v>
      </c>
      <c r="Z15" s="83">
        <v>3495912272146111.5</v>
      </c>
      <c r="AA15" s="83">
        <v>1.0309547015891382E-5</v>
      </c>
      <c r="AB15" s="83">
        <v>3241649079011725.5</v>
      </c>
      <c r="AC15" s="83">
        <v>9.6787555914225034E-6</v>
      </c>
      <c r="AD15" s="83">
        <v>3101391318795048</v>
      </c>
      <c r="AE15" s="83">
        <v>9.113312328456557E-6</v>
      </c>
    </row>
    <row r="16" spans="2:33" x14ac:dyDescent="0.2">
      <c r="B16" s="83">
        <v>7561187586078375</v>
      </c>
      <c r="C16" s="83">
        <v>2.2712018590204942E-5</v>
      </c>
      <c r="D16" s="83">
        <v>6967828441237762</v>
      </c>
      <c r="E16" s="83">
        <v>2.1935304898377117E-5</v>
      </c>
      <c r="F16" s="83">
        <v>6779097871481379</v>
      </c>
      <c r="G16" s="83">
        <v>2.0980110042299487E-5</v>
      </c>
      <c r="H16" s="83">
        <v>6370453889266299</v>
      </c>
      <c r="I16" s="83">
        <v>1.9682883395814618E-5</v>
      </c>
      <c r="J16" s="83">
        <v>6132245361164135</v>
      </c>
      <c r="K16" s="83">
        <v>1.8786357013483852E-5</v>
      </c>
      <c r="L16" s="83">
        <v>5668865159200576</v>
      </c>
      <c r="M16" s="83">
        <v>1.7983198875882458E-5</v>
      </c>
      <c r="N16" s="83">
        <v>5420506763837960</v>
      </c>
      <c r="O16" s="83">
        <v>1.713628697455564E-5</v>
      </c>
      <c r="P16" s="83">
        <v>5097126647003824</v>
      </c>
      <c r="Q16" s="83">
        <v>1.5871739119761181E-5</v>
      </c>
      <c r="R16" s="83">
        <v>4708660681423552</v>
      </c>
      <c r="S16" s="83">
        <v>1.472677500935074E-5</v>
      </c>
      <c r="T16" s="83">
        <v>4321512642828771</v>
      </c>
      <c r="U16" s="83">
        <v>1.3640484837321432E-5</v>
      </c>
      <c r="V16" s="83">
        <v>3928256450875556</v>
      </c>
      <c r="W16" s="83">
        <v>1.2441931347270078E-5</v>
      </c>
      <c r="X16" s="83">
        <v>3493301710839045.5</v>
      </c>
      <c r="Y16" s="83">
        <v>1.1006899046695995E-5</v>
      </c>
      <c r="Z16" s="83">
        <v>3292904407813344</v>
      </c>
      <c r="AA16" s="83">
        <v>1.0304910230705382E-5</v>
      </c>
      <c r="AB16" s="83">
        <v>3051314968852121.5</v>
      </c>
      <c r="AC16" s="83">
        <v>9.6596848370773078E-6</v>
      </c>
      <c r="AD16" s="83">
        <v>2914362280747193</v>
      </c>
      <c r="AE16" s="83">
        <v>9.0836684510765895E-6</v>
      </c>
    </row>
    <row r="17" spans="2:31" x14ac:dyDescent="0.2">
      <c r="B17" s="83">
        <v>7191945145648151</v>
      </c>
      <c r="C17" s="83">
        <v>2.291268407469405E-5</v>
      </c>
      <c r="D17" s="83">
        <v>6627815764218116</v>
      </c>
      <c r="E17" s="83">
        <v>2.2115097481436156E-5</v>
      </c>
      <c r="F17" s="83">
        <v>6437950785872489</v>
      </c>
      <c r="G17" s="83">
        <v>2.1136783434162066E-5</v>
      </c>
      <c r="H17" s="83">
        <v>6037651795143792</v>
      </c>
      <c r="I17" s="83">
        <v>1.9786147700383828E-5</v>
      </c>
      <c r="J17" s="83">
        <v>5813402108013212</v>
      </c>
      <c r="K17" s="83">
        <v>1.8892542308432337E-5</v>
      </c>
      <c r="L17" s="83">
        <v>5377498231477434</v>
      </c>
      <c r="M17" s="83">
        <v>1.8082253383597006E-5</v>
      </c>
      <c r="N17" s="83">
        <v>5139488650057484</v>
      </c>
      <c r="O17" s="83">
        <v>1.7213703153495356E-5</v>
      </c>
      <c r="P17" s="83">
        <v>4832264988155669</v>
      </c>
      <c r="Q17" s="83">
        <v>1.5953409358782353E-5</v>
      </c>
      <c r="R17" s="83">
        <v>4449653871426120.5</v>
      </c>
      <c r="S17" s="83">
        <v>1.4756214719011266E-5</v>
      </c>
      <c r="T17" s="83">
        <v>4087244911764857</v>
      </c>
      <c r="U17" s="83">
        <v>1.3674467878753539E-5</v>
      </c>
      <c r="V17" s="83">
        <v>3713514346917938</v>
      </c>
      <c r="W17" s="83">
        <v>1.2469200624841837E-5</v>
      </c>
      <c r="X17" s="83">
        <v>3296847013372315.5</v>
      </c>
      <c r="Y17" s="83">
        <v>1.101202906868691E-5</v>
      </c>
      <c r="Z17" s="83">
        <v>3101303346275925</v>
      </c>
      <c r="AA17" s="83">
        <v>1.0294503100784901E-5</v>
      </c>
      <c r="AB17" s="83">
        <v>2875726416098784</v>
      </c>
      <c r="AC17" s="83">
        <v>9.6487760888215681E-6</v>
      </c>
      <c r="AD17" s="83">
        <v>2745608404093400.5</v>
      </c>
      <c r="AE17" s="83">
        <v>9.0745213222673238E-6</v>
      </c>
    </row>
    <row r="18" spans="2:31" x14ac:dyDescent="0.2">
      <c r="B18" s="83">
        <v>6834999286606075</v>
      </c>
      <c r="C18" s="83">
        <v>2.3091232044044566E-5</v>
      </c>
      <c r="D18" s="83">
        <v>6289089824226892</v>
      </c>
      <c r="E18" s="83">
        <v>2.2239513703643573E-5</v>
      </c>
      <c r="F18" s="83">
        <v>6107333187451609</v>
      </c>
      <c r="G18" s="83">
        <v>2.1269809254079952E-5</v>
      </c>
      <c r="H18" s="83">
        <v>5729289970899129</v>
      </c>
      <c r="I18" s="83">
        <v>1.9913609497390357E-5</v>
      </c>
      <c r="J18" s="83">
        <v>5513703164285516</v>
      </c>
      <c r="K18" s="83">
        <v>1.9003317653067266E-5</v>
      </c>
      <c r="L18" s="83">
        <v>5096367344767212</v>
      </c>
      <c r="M18" s="83">
        <v>1.8165518658498507E-5</v>
      </c>
      <c r="N18" s="83">
        <v>4864895093560534</v>
      </c>
      <c r="O18" s="83">
        <v>1.7264133586107517E-5</v>
      </c>
      <c r="P18" s="83">
        <v>4570331584700827</v>
      </c>
      <c r="Q18" s="83">
        <v>1.5998440467977431E-5</v>
      </c>
      <c r="R18" s="83">
        <v>4207057661593640.5</v>
      </c>
      <c r="S18" s="83">
        <v>1.4791436068625714E-5</v>
      </c>
      <c r="T18" s="83">
        <v>3859587269699793.5</v>
      </c>
      <c r="U18" s="83">
        <v>1.3687094554836164E-5</v>
      </c>
      <c r="V18" s="83">
        <v>3505188125051736</v>
      </c>
      <c r="W18" s="83">
        <v>1.2475986140775545E-5</v>
      </c>
      <c r="X18" s="83">
        <v>3109649404965931</v>
      </c>
      <c r="Y18" s="83">
        <v>1.1010170774798436E-5</v>
      </c>
      <c r="Z18" s="83">
        <v>2925786031824695</v>
      </c>
      <c r="AA18" s="83">
        <v>1.0300162023814929E-5</v>
      </c>
      <c r="AB18" s="83">
        <v>2709568507169496</v>
      </c>
      <c r="AC18" s="83">
        <v>9.6358130913144994E-6</v>
      </c>
      <c r="AD18" s="83">
        <v>2579245728297773</v>
      </c>
      <c r="AE18" s="83">
        <v>9.041408078484011E-6</v>
      </c>
    </row>
    <row r="19" spans="2:31" x14ac:dyDescent="0.2">
      <c r="B19" s="83">
        <v>6491167271438194</v>
      </c>
      <c r="C19" s="83">
        <v>2.3254309264048535E-5</v>
      </c>
      <c r="D19" s="83">
        <v>5972142703808527</v>
      </c>
      <c r="E19" s="83">
        <v>2.2378130690455496E-5</v>
      </c>
      <c r="F19" s="83">
        <v>5796305000932124</v>
      </c>
      <c r="G19" s="83">
        <v>2.1404798335736599E-5</v>
      </c>
      <c r="H19" s="83">
        <v>5432100545705694</v>
      </c>
      <c r="I19" s="83">
        <v>2.0020956678883307E-5</v>
      </c>
      <c r="J19" s="83">
        <v>5220579089618465</v>
      </c>
      <c r="K19" s="83">
        <v>1.9078491262056116E-5</v>
      </c>
      <c r="L19" s="83">
        <v>4825782925610274</v>
      </c>
      <c r="M19" s="83">
        <v>1.8228641534135252E-5</v>
      </c>
      <c r="N19" s="83">
        <v>4612357257899229</v>
      </c>
      <c r="O19" s="83">
        <v>1.7336078702757725E-5</v>
      </c>
      <c r="P19" s="83">
        <v>4319894139390693</v>
      </c>
      <c r="Q19" s="83">
        <v>1.6031432187116003E-5</v>
      </c>
      <c r="R19" s="83">
        <v>3979138287577087</v>
      </c>
      <c r="S19" s="83">
        <v>1.4828172750254688E-5</v>
      </c>
      <c r="T19" s="83">
        <v>3644746252229352.5</v>
      </c>
      <c r="U19" s="83">
        <v>1.3698892822493281E-5</v>
      </c>
      <c r="V19" s="83">
        <v>3307701945574414</v>
      </c>
      <c r="W19" s="83">
        <v>1.2476677452344573E-5</v>
      </c>
      <c r="X19" s="83">
        <v>2935824725568038.5</v>
      </c>
      <c r="Y19" s="83">
        <v>1.101377820002481E-5</v>
      </c>
      <c r="Z19" s="83">
        <v>2754149164738447.5</v>
      </c>
      <c r="AA19" s="83">
        <v>1.0279248739716351E-5</v>
      </c>
      <c r="AB19" s="83">
        <v>2551141760291209.5</v>
      </c>
      <c r="AC19" s="83">
        <v>9.6122800572315782E-6</v>
      </c>
      <c r="AD19" s="83">
        <v>2425206289963866</v>
      </c>
      <c r="AE19" s="83">
        <v>9.0125430267988737E-6</v>
      </c>
    </row>
    <row r="20" spans="2:31" x14ac:dyDescent="0.2">
      <c r="B20" s="83">
        <v>6166321715968167</v>
      </c>
      <c r="C20" s="83">
        <v>2.3420029060837144E-5</v>
      </c>
      <c r="D20" s="83">
        <v>5666408208276375</v>
      </c>
      <c r="E20" s="83">
        <v>2.2495497590317722E-5</v>
      </c>
      <c r="F20" s="83">
        <v>5497567575415289</v>
      </c>
      <c r="G20" s="83">
        <v>2.1518008871829852E-5</v>
      </c>
      <c r="H20" s="83">
        <v>5147377452188753</v>
      </c>
      <c r="I20" s="83">
        <v>2.0110042319553104E-5</v>
      </c>
      <c r="J20" s="83">
        <v>4942132970796258</v>
      </c>
      <c r="K20" s="83">
        <v>1.9146412164353699E-5</v>
      </c>
      <c r="L20" s="83">
        <v>4567222490364422</v>
      </c>
      <c r="M20" s="83">
        <v>1.8281362013785875E-5</v>
      </c>
      <c r="N20" s="83">
        <v>4362221429670089</v>
      </c>
      <c r="O20" s="83">
        <v>1.7363761146259755E-5</v>
      </c>
      <c r="P20" s="83">
        <v>4083476693830564.5</v>
      </c>
      <c r="Q20" s="83">
        <v>1.6061937779347406E-5</v>
      </c>
      <c r="R20" s="83">
        <v>3760499853429652</v>
      </c>
      <c r="S20" s="83">
        <v>1.484703844508976E-5</v>
      </c>
      <c r="T20" s="83">
        <v>3442750638629196</v>
      </c>
      <c r="U20" s="83">
        <v>1.3712260667391921E-5</v>
      </c>
      <c r="V20" s="83">
        <v>3117920309650342</v>
      </c>
      <c r="W20" s="83">
        <v>1.2461170393172221E-5</v>
      </c>
      <c r="X20" s="83">
        <v>2768004913725125</v>
      </c>
      <c r="Y20" s="83">
        <v>1.1001219255539384E-5</v>
      </c>
      <c r="Z20" s="83">
        <v>2593932930121070.5</v>
      </c>
      <c r="AA20" s="83">
        <v>1.0258717777244275E-5</v>
      </c>
      <c r="AB20" s="83">
        <v>2398405813293513</v>
      </c>
      <c r="AC20" s="83">
        <v>9.5745679983877665E-6</v>
      </c>
      <c r="AD20" s="83">
        <v>2277618747495413.5</v>
      </c>
      <c r="AE20" s="83">
        <v>8.9724231638139242E-6</v>
      </c>
    </row>
    <row r="21" spans="2:31" x14ac:dyDescent="0.2">
      <c r="B21" s="83">
        <v>5849695039321448</v>
      </c>
      <c r="C21" s="83">
        <v>2.3543924644354384E-5</v>
      </c>
      <c r="D21" s="83">
        <v>5382984974166626</v>
      </c>
      <c r="E21" s="83">
        <v>2.2636997334617705E-5</v>
      </c>
      <c r="F21" s="83">
        <v>5209514279786880</v>
      </c>
      <c r="G21" s="83">
        <v>2.161118651241009E-5</v>
      </c>
      <c r="H21" s="83">
        <v>4873660809835559</v>
      </c>
      <c r="I21" s="83">
        <v>2.0179932507143234E-5</v>
      </c>
      <c r="J21" s="83">
        <v>4686125861060813</v>
      </c>
      <c r="K21" s="83">
        <v>1.924162571150624E-5</v>
      </c>
      <c r="L21" s="83">
        <v>4320330715746805.5</v>
      </c>
      <c r="M21" s="83">
        <v>1.832558107702732E-5</v>
      </c>
      <c r="N21" s="83">
        <v>4131355103953879</v>
      </c>
      <c r="O21" s="83">
        <v>1.7415530061044385E-5</v>
      </c>
      <c r="P21" s="83">
        <v>3861900997245559.5</v>
      </c>
      <c r="Q21" s="83">
        <v>1.6101084490494046E-5</v>
      </c>
      <c r="R21" s="83">
        <v>3549023469687399</v>
      </c>
      <c r="S21" s="83">
        <v>1.484571771137168E-5</v>
      </c>
      <c r="T21" s="83">
        <v>3249705644555299</v>
      </c>
      <c r="U21" s="83">
        <v>1.3715876108741517E-5</v>
      </c>
      <c r="V21" s="83">
        <v>2939409862710453</v>
      </c>
      <c r="W21" s="83">
        <v>1.2447212549090935E-5</v>
      </c>
      <c r="X21" s="83">
        <v>2605328933281195</v>
      </c>
      <c r="Y21" s="83">
        <v>1.0968956346847169E-5</v>
      </c>
      <c r="Z21" s="83">
        <v>2440325328769837</v>
      </c>
      <c r="AA21" s="83">
        <v>1.0228103057876741E-5</v>
      </c>
      <c r="AB21" s="83">
        <v>2256407071414251</v>
      </c>
      <c r="AC21" s="83">
        <v>9.5421988109339542E-6</v>
      </c>
      <c r="AD21" s="83">
        <v>2141508752184578.2</v>
      </c>
      <c r="AE21" s="83">
        <v>8.9424822931915747E-6</v>
      </c>
    </row>
    <row r="22" spans="2:31" x14ac:dyDescent="0.2">
      <c r="B22" s="83">
        <v>5545172596015174</v>
      </c>
      <c r="C22" s="83">
        <v>2.3652170625812476E-5</v>
      </c>
      <c r="D22" s="83">
        <v>5105020651255387</v>
      </c>
      <c r="E22" s="83">
        <v>2.2726591654780215E-5</v>
      </c>
      <c r="F22" s="83">
        <v>4935405444033361</v>
      </c>
      <c r="G22" s="83">
        <v>2.1690838145350752E-5</v>
      </c>
      <c r="H22" s="83">
        <v>4620118315302109</v>
      </c>
      <c r="I22" s="83">
        <v>2.026649288425984E-5</v>
      </c>
      <c r="J22" s="83">
        <v>4434490047854886</v>
      </c>
      <c r="K22" s="83">
        <v>1.9293132047288078E-5</v>
      </c>
      <c r="L22" s="83">
        <v>4093387006484368.5</v>
      </c>
      <c r="M22" s="83">
        <v>1.8387905571780383E-5</v>
      </c>
      <c r="N22" s="83">
        <v>3911120605214618</v>
      </c>
      <c r="O22" s="83">
        <v>1.7452169059300347E-5</v>
      </c>
      <c r="P22" s="83">
        <v>3645298190207240.5</v>
      </c>
      <c r="Q22" s="83">
        <v>1.6099407717904593E-5</v>
      </c>
      <c r="R22" s="83">
        <v>3354057431648178</v>
      </c>
      <c r="S22" s="83">
        <v>1.4857561057207321E-5</v>
      </c>
      <c r="T22" s="83">
        <v>3059794758405991.5</v>
      </c>
      <c r="U22" s="83">
        <v>1.3676641030692701E-5</v>
      </c>
      <c r="V22" s="83">
        <v>2773213566915906.5</v>
      </c>
      <c r="W22" s="83">
        <v>1.2436559708447251E-5</v>
      </c>
      <c r="X22" s="83">
        <v>2456078816119886.5</v>
      </c>
      <c r="Y22" s="83">
        <v>1.0950623027509961E-5</v>
      </c>
      <c r="Z22" s="83">
        <v>2297759363505024.5</v>
      </c>
      <c r="AA22" s="83">
        <v>1.0202162352037848E-5</v>
      </c>
      <c r="AB22" s="83">
        <v>2125737149254847</v>
      </c>
      <c r="AC22" s="83">
        <v>9.5182180243167767E-6</v>
      </c>
      <c r="AD22" s="83">
        <v>2011913213514131.3</v>
      </c>
      <c r="AE22" s="83">
        <v>8.9011236339545298E-6</v>
      </c>
    </row>
    <row r="23" spans="2:31" x14ac:dyDescent="0.2">
      <c r="B23" s="83">
        <v>5257975799166918</v>
      </c>
      <c r="C23" s="83">
        <v>2.3751024542905391E-5</v>
      </c>
      <c r="D23" s="83">
        <v>4845329881883942</v>
      </c>
      <c r="E23" s="83">
        <v>2.2828362140468142E-5</v>
      </c>
      <c r="F23" s="83">
        <v>4673488798186571</v>
      </c>
      <c r="G23" s="83">
        <v>2.1750123901340715E-5</v>
      </c>
      <c r="H23" s="83">
        <v>4373865385028276</v>
      </c>
      <c r="I23" s="83">
        <v>2.0314400980417794E-5</v>
      </c>
      <c r="J23" s="83">
        <v>4192480371187348</v>
      </c>
      <c r="K23" s="83">
        <v>1.9316147966704257E-5</v>
      </c>
      <c r="L23" s="83">
        <v>3875823051709002.5</v>
      </c>
      <c r="M23" s="83">
        <v>1.8429943742315283E-5</v>
      </c>
      <c r="N23" s="83">
        <v>3696512310537154</v>
      </c>
      <c r="O23" s="83">
        <v>1.7452771712954009E-5</v>
      </c>
      <c r="P23" s="83">
        <v>3445092233209351.5</v>
      </c>
      <c r="Q23" s="83">
        <v>1.6112011535195234E-5</v>
      </c>
      <c r="R23" s="83">
        <v>3164185335116136.5</v>
      </c>
      <c r="S23" s="83">
        <v>1.4836598822703868E-5</v>
      </c>
      <c r="T23" s="83">
        <v>2887845823254547.5</v>
      </c>
      <c r="U23" s="83">
        <v>1.3666058481241076E-5</v>
      </c>
      <c r="V23" s="83">
        <v>2614980450076880.5</v>
      </c>
      <c r="W23" s="83">
        <v>1.2412668067892123E-5</v>
      </c>
      <c r="X23" s="83">
        <v>2311693604615756.5</v>
      </c>
      <c r="Y23" s="83">
        <v>1.0910062668183928E-5</v>
      </c>
      <c r="Z23" s="83">
        <v>2158605673066343</v>
      </c>
      <c r="AA23" s="83">
        <v>1.0147983918532938E-5</v>
      </c>
      <c r="AB23" s="83">
        <v>1997867600584854.7</v>
      </c>
      <c r="AC23" s="83">
        <v>9.4704413348796465E-6</v>
      </c>
      <c r="AD23" s="83">
        <v>1890506320955255.5</v>
      </c>
      <c r="AE23" s="83">
        <v>8.8568732946072114E-6</v>
      </c>
    </row>
    <row r="24" spans="2:31" x14ac:dyDescent="0.2">
      <c r="B24" s="83">
        <v>4987622790854283</v>
      </c>
      <c r="C24" s="83">
        <v>2.3852268192048323E-5</v>
      </c>
      <c r="D24" s="83">
        <v>4590476357160373</v>
      </c>
      <c r="E24" s="83">
        <v>2.2883713958710939E-5</v>
      </c>
      <c r="F24" s="83">
        <v>4430516050995509.5</v>
      </c>
      <c r="G24" s="83">
        <v>2.1822919793338901E-5</v>
      </c>
      <c r="H24" s="83">
        <v>4139617765977631</v>
      </c>
      <c r="I24" s="83">
        <v>2.0344608722680142E-5</v>
      </c>
      <c r="J24" s="83">
        <v>3970045034875324.5</v>
      </c>
      <c r="K24" s="83">
        <v>1.9365533735329742E-5</v>
      </c>
      <c r="L24" s="83">
        <v>3667976443595160.5</v>
      </c>
      <c r="M24" s="83">
        <v>1.8451853247914733E-5</v>
      </c>
      <c r="N24" s="83">
        <v>3497891848834060.5</v>
      </c>
      <c r="O24" s="83">
        <v>1.746795687113017E-5</v>
      </c>
      <c r="P24" s="83">
        <v>3254863047889660.5</v>
      </c>
      <c r="Q24" s="83">
        <v>1.6112300170233678E-5</v>
      </c>
      <c r="R24" s="83">
        <v>2987425219524378.5</v>
      </c>
      <c r="S24" s="83">
        <v>1.4820691215908641E-5</v>
      </c>
      <c r="T24" s="83">
        <v>2728041411661867</v>
      </c>
      <c r="U24" s="83">
        <v>1.365989230242131E-5</v>
      </c>
      <c r="V24" s="83">
        <v>2463786249661249.5</v>
      </c>
      <c r="W24" s="83">
        <v>1.2376337512708269E-5</v>
      </c>
      <c r="X24" s="83">
        <v>2175304865050213.2</v>
      </c>
      <c r="Y24" s="83">
        <v>1.0863996753134153E-5</v>
      </c>
      <c r="Z24" s="83">
        <v>2031226576500496</v>
      </c>
      <c r="AA24" s="83">
        <v>1.0108271846506286E-5</v>
      </c>
      <c r="AB24" s="83">
        <v>1877308073716259.2</v>
      </c>
      <c r="AC24" s="83">
        <v>9.4157229972760165E-6</v>
      </c>
      <c r="AD24" s="83">
        <v>1774088120472812</v>
      </c>
      <c r="AE24" s="83">
        <v>8.7973330437995501E-6</v>
      </c>
    </row>
    <row r="25" spans="2:31" x14ac:dyDescent="0.2">
      <c r="B25" s="83">
        <v>4730400967352925</v>
      </c>
      <c r="C25" s="83">
        <v>2.3940415472184466E-5</v>
      </c>
      <c r="D25" s="83">
        <v>4355843050800337.5</v>
      </c>
      <c r="E25" s="83">
        <v>2.296833284217714E-5</v>
      </c>
      <c r="F25" s="83">
        <v>4198738668671909</v>
      </c>
      <c r="G25" s="83">
        <v>2.1884881170764274E-5</v>
      </c>
      <c r="H25" s="83">
        <v>3914541625635211</v>
      </c>
      <c r="I25" s="83">
        <v>2.0355643406856609E-5</v>
      </c>
      <c r="J25" s="83">
        <v>3758684943274311</v>
      </c>
      <c r="K25" s="83">
        <v>1.9399616876282876E-5</v>
      </c>
      <c r="L25" s="83">
        <v>3472496042922282.5</v>
      </c>
      <c r="M25" s="83">
        <v>1.8476853491152519E-5</v>
      </c>
      <c r="N25" s="83">
        <v>3312083974839610</v>
      </c>
      <c r="O25" s="83">
        <v>1.7487306919996007E-5</v>
      </c>
      <c r="P25" s="83">
        <v>3073263391236740.5</v>
      </c>
      <c r="Q25" s="83">
        <v>1.6093671069251766E-5</v>
      </c>
      <c r="R25" s="83">
        <v>2819161136766807</v>
      </c>
      <c r="S25" s="83">
        <v>1.479118739727512E-5</v>
      </c>
      <c r="T25" s="83">
        <v>2572493895177089.5</v>
      </c>
      <c r="U25" s="83">
        <v>1.3623819589837419E-5</v>
      </c>
      <c r="V25" s="83">
        <v>2322797809342712</v>
      </c>
      <c r="W25" s="83">
        <v>1.233958028081613E-5</v>
      </c>
      <c r="X25" s="83">
        <v>2046976692457513</v>
      </c>
      <c r="Y25" s="83">
        <v>1.0813722357660526E-5</v>
      </c>
      <c r="Z25" s="83">
        <v>1910003379891645.5</v>
      </c>
      <c r="AA25" s="83">
        <v>1.0055285332216084E-5</v>
      </c>
      <c r="AB25" s="83">
        <v>1765536849879028.2</v>
      </c>
      <c r="AC25" s="83">
        <v>9.3665223471038199E-6</v>
      </c>
      <c r="AD25" s="83">
        <v>1667413560865581</v>
      </c>
      <c r="AE25" s="83">
        <v>8.7490988929304797E-6</v>
      </c>
    </row>
    <row r="26" spans="2:31" x14ac:dyDescent="0.2">
      <c r="B26" s="83">
        <v>4484571772907502.5</v>
      </c>
      <c r="C26" s="83">
        <v>2.401482165388873E-5</v>
      </c>
      <c r="D26" s="83">
        <v>4125562611682447.5</v>
      </c>
      <c r="E26" s="83">
        <v>2.3013342602439475E-5</v>
      </c>
      <c r="F26" s="83">
        <v>3975257477356820.5</v>
      </c>
      <c r="G26" s="83">
        <v>2.1926643104785953E-5</v>
      </c>
      <c r="H26" s="83">
        <v>3708966880948310</v>
      </c>
      <c r="I26" s="83">
        <v>2.0405950005764341E-5</v>
      </c>
      <c r="J26" s="83">
        <v>3555971348489226.5</v>
      </c>
      <c r="K26" s="83">
        <v>1.9420179270708542E-5</v>
      </c>
      <c r="L26" s="83">
        <v>3280032661256471.5</v>
      </c>
      <c r="M26" s="83">
        <v>1.8460020292463218E-5</v>
      </c>
      <c r="N26" s="83">
        <v>3132368192584501</v>
      </c>
      <c r="O26" s="83">
        <v>1.7488661656446974E-5</v>
      </c>
      <c r="P26" s="83">
        <v>2902544084990019</v>
      </c>
      <c r="Q26" s="83">
        <v>1.6083195992512125E-5</v>
      </c>
      <c r="R26" s="83">
        <v>2662668034154426.5</v>
      </c>
      <c r="S26" s="83">
        <v>1.4775349400145613E-5</v>
      </c>
      <c r="T26" s="83">
        <v>2422989249884781.5</v>
      </c>
      <c r="U26" s="83">
        <v>1.3574053853571439E-5</v>
      </c>
      <c r="V26" s="83">
        <v>2190358955974994.5</v>
      </c>
      <c r="W26" s="83">
        <v>1.2308242124592175E-5</v>
      </c>
      <c r="X26" s="83">
        <v>1930286282316380</v>
      </c>
      <c r="Y26" s="83">
        <v>1.0784181069342393E-5</v>
      </c>
      <c r="Z26" s="83">
        <v>1795793979750206.7</v>
      </c>
      <c r="AA26" s="83">
        <v>1.0002593441925504E-5</v>
      </c>
      <c r="AB26" s="83">
        <v>1656634533801486.5</v>
      </c>
      <c r="AC26" s="83">
        <v>9.2953741388451423E-6</v>
      </c>
      <c r="AD26" s="83">
        <v>1561268006305190.7</v>
      </c>
      <c r="AE26" s="83">
        <v>8.6680954213194351E-6</v>
      </c>
    </row>
    <row r="27" spans="2:31" x14ac:dyDescent="0.2">
      <c r="B27" s="83">
        <v>4253956868275290.5</v>
      </c>
      <c r="C27" s="83">
        <v>2.4096977280550533E-5</v>
      </c>
      <c r="D27" s="83">
        <v>3914787648852235</v>
      </c>
      <c r="E27" s="83">
        <v>2.3085927027874142E-5</v>
      </c>
      <c r="F27" s="83">
        <v>3760293232699347.5</v>
      </c>
      <c r="G27" s="83">
        <v>2.1933036523018918E-5</v>
      </c>
      <c r="H27" s="83">
        <v>3512616316396093.5</v>
      </c>
      <c r="I27" s="83">
        <v>2.0440272440510809E-5</v>
      </c>
      <c r="J27" s="83">
        <v>3364005682221182.5</v>
      </c>
      <c r="K27" s="83">
        <v>1.9431355220726054E-5</v>
      </c>
      <c r="L27" s="83">
        <v>3093299407057039</v>
      </c>
      <c r="M27" s="83">
        <v>1.841011793340642E-5</v>
      </c>
      <c r="N27" s="83">
        <v>2958620257894985</v>
      </c>
      <c r="O27" s="83">
        <v>1.7458159731598849E-5</v>
      </c>
      <c r="P27" s="83">
        <v>2738000222183222</v>
      </c>
      <c r="Q27" s="83">
        <v>1.604515780303012E-5</v>
      </c>
      <c r="R27" s="83">
        <v>2510745791322280.5</v>
      </c>
      <c r="S27" s="83">
        <v>1.4729687063577587E-5</v>
      </c>
      <c r="T27" s="83">
        <v>2285475226096150</v>
      </c>
      <c r="U27" s="83">
        <v>1.3537459486996389E-5</v>
      </c>
      <c r="V27" s="83">
        <v>2060718673101863.7</v>
      </c>
      <c r="W27" s="83">
        <v>1.2241698687465333E-5</v>
      </c>
      <c r="X27" s="83">
        <v>1817151018139053.5</v>
      </c>
      <c r="Y27" s="83">
        <v>1.0733967405593584E-5</v>
      </c>
      <c r="Z27" s="83">
        <v>1692047750379660.2</v>
      </c>
      <c r="AA27" s="83">
        <v>9.9653728437216511E-6</v>
      </c>
      <c r="AB27" s="83">
        <v>1557185161147492.7</v>
      </c>
      <c r="AC27" s="83">
        <v>9.2361508027076467E-6</v>
      </c>
      <c r="AD27" s="83">
        <v>1466168775928969.8</v>
      </c>
      <c r="AE27" s="83">
        <v>8.6070889941157731E-6</v>
      </c>
    </row>
    <row r="28" spans="2:31" x14ac:dyDescent="0.2">
      <c r="B28" s="83">
        <v>4029446417881325.5</v>
      </c>
      <c r="C28" s="83">
        <v>2.41341631372445E-5</v>
      </c>
      <c r="D28" s="83">
        <v>3708081014711954</v>
      </c>
      <c r="E28" s="83">
        <v>2.3112168956155857E-5</v>
      </c>
      <c r="F28" s="83">
        <v>3568436191896700.5</v>
      </c>
      <c r="G28" s="83">
        <v>2.2000613450161338E-5</v>
      </c>
      <c r="H28" s="83">
        <v>3322392087381956</v>
      </c>
      <c r="I28" s="83">
        <v>2.0433656737706408E-5</v>
      </c>
      <c r="J28" s="83">
        <v>3185652853143547.5</v>
      </c>
      <c r="K28" s="83">
        <v>1.9452435731846396E-5</v>
      </c>
      <c r="L28" s="83">
        <v>2926690969578465</v>
      </c>
      <c r="M28" s="83">
        <v>1.8412871734992632E-5</v>
      </c>
      <c r="N28" s="83">
        <v>2791396133698565</v>
      </c>
      <c r="O28" s="83">
        <v>1.7402234589667825E-5</v>
      </c>
      <c r="P28" s="83">
        <v>2583111942256500</v>
      </c>
      <c r="Q28" s="83">
        <v>1.600092686909067E-5</v>
      </c>
      <c r="R28" s="83">
        <v>2370678100419959.5</v>
      </c>
      <c r="S28" s="83">
        <v>1.4697055118809902E-5</v>
      </c>
      <c r="T28" s="83">
        <v>2152013324089199.7</v>
      </c>
      <c r="U28" s="83">
        <v>1.3473268720845844E-5</v>
      </c>
      <c r="V28" s="83">
        <v>1941583034536447.5</v>
      </c>
      <c r="W28" s="83">
        <v>1.219132564333113E-5</v>
      </c>
      <c r="X28" s="83">
        <v>1706538584993716.7</v>
      </c>
      <c r="Y28" s="83">
        <v>1.065306785221275E-5</v>
      </c>
      <c r="Z28" s="83">
        <v>1588701479467949.7</v>
      </c>
      <c r="AA28" s="83">
        <v>9.8909782090465748E-6</v>
      </c>
      <c r="AB28" s="83">
        <v>1462928613791669.5</v>
      </c>
      <c r="AC28" s="83">
        <v>9.1698181192840017E-6</v>
      </c>
      <c r="AD28" s="83">
        <v>1379300832227081.2</v>
      </c>
      <c r="AE28" s="83">
        <v>8.5607509010827593E-6</v>
      </c>
    </row>
    <row r="29" spans="2:31" x14ac:dyDescent="0.2">
      <c r="B29" s="83">
        <v>3817548863114840.5</v>
      </c>
      <c r="C29" s="83">
        <v>2.4168935720814857E-5</v>
      </c>
      <c r="D29" s="83">
        <v>3507737563917131.5</v>
      </c>
      <c r="E29" s="83">
        <v>2.309266825286426E-5</v>
      </c>
      <c r="F29" s="83">
        <v>3376863805840961.5</v>
      </c>
      <c r="G29" s="83">
        <v>2.199825230527676E-5</v>
      </c>
      <c r="H29" s="83">
        <v>3145036105620141</v>
      </c>
      <c r="I29" s="83">
        <v>2.0436585314415725E-5</v>
      </c>
      <c r="J29" s="83">
        <v>3010290436131035</v>
      </c>
      <c r="K29" s="83">
        <v>1.942332250697727E-5</v>
      </c>
      <c r="L29" s="83">
        <v>2767486349891538.5</v>
      </c>
      <c r="M29" s="83">
        <v>1.8400232574671764E-5</v>
      </c>
      <c r="N29" s="83">
        <v>2637534309443369.5</v>
      </c>
      <c r="O29" s="83">
        <v>1.7368038334177213E-5</v>
      </c>
      <c r="P29" s="83">
        <v>2437202932941068.5</v>
      </c>
      <c r="Q29" s="83">
        <v>1.5953807947979056E-5</v>
      </c>
      <c r="R29" s="83">
        <v>2235631214422017.7</v>
      </c>
      <c r="S29" s="83">
        <v>1.4641520896901821E-5</v>
      </c>
      <c r="T29" s="83">
        <v>2029832356500887.2</v>
      </c>
      <c r="U29" s="83">
        <v>1.3427125316183214E-5</v>
      </c>
      <c r="V29" s="83">
        <v>1829965061633460</v>
      </c>
      <c r="W29" s="83">
        <v>1.2141825256463219E-5</v>
      </c>
      <c r="X29" s="83">
        <v>1608189698628867.7</v>
      </c>
      <c r="Y29" s="83">
        <v>1.0607076172465739E-5</v>
      </c>
      <c r="Z29" s="83">
        <v>1492787003852204</v>
      </c>
      <c r="AA29" s="83">
        <v>9.8185657921682401E-6</v>
      </c>
      <c r="AB29" s="83">
        <v>1373803624886361</v>
      </c>
      <c r="AC29" s="83">
        <v>9.0979619920514862E-6</v>
      </c>
      <c r="AD29" s="83">
        <v>1293158965979789.7</v>
      </c>
      <c r="AE29" s="83">
        <v>8.4805602344705515E-6</v>
      </c>
    </row>
    <row r="30" spans="2:31" x14ac:dyDescent="0.2">
      <c r="B30" s="83">
        <v>3618157195366025.5</v>
      </c>
      <c r="C30" s="83">
        <v>2.4202090414965096E-5</v>
      </c>
      <c r="D30" s="83">
        <v>3324444611779891</v>
      </c>
      <c r="E30" s="83">
        <v>2.3121662543497619E-5</v>
      </c>
      <c r="F30" s="83">
        <v>3192840247803021.5</v>
      </c>
      <c r="G30" s="83">
        <v>2.1964823954259034E-5</v>
      </c>
      <c r="H30" s="83">
        <v>2976081333740102</v>
      </c>
      <c r="I30" s="83">
        <v>2.0429856938052386E-5</v>
      </c>
      <c r="J30" s="83">
        <v>2848022745211815.5</v>
      </c>
      <c r="K30" s="83">
        <v>1.9410309234743025E-5</v>
      </c>
      <c r="L30" s="83">
        <v>2616804874508842</v>
      </c>
      <c r="M30" s="83">
        <v>1.8380180712796378E-5</v>
      </c>
      <c r="N30" s="83">
        <v>2491532754273482</v>
      </c>
      <c r="O30" s="83">
        <v>1.7327187502269237E-5</v>
      </c>
      <c r="P30" s="83">
        <v>2300271336587662</v>
      </c>
      <c r="Q30" s="83">
        <v>1.5908078924963547E-5</v>
      </c>
      <c r="R30" s="83">
        <v>2105770834507080.3</v>
      </c>
      <c r="S30" s="83">
        <v>1.4564569492599847E-5</v>
      </c>
      <c r="T30" s="83">
        <v>1914026848661066.2</v>
      </c>
      <c r="U30" s="83">
        <v>1.3373372290193488E-5</v>
      </c>
      <c r="V30" s="83">
        <v>1720587857161286</v>
      </c>
      <c r="W30" s="83">
        <v>1.2058496640379594E-5</v>
      </c>
      <c r="X30" s="83">
        <v>1508681525363699.5</v>
      </c>
      <c r="Y30" s="83">
        <v>1.0512039360148919E-5</v>
      </c>
      <c r="Z30" s="83">
        <v>1402433403588751</v>
      </c>
      <c r="AA30" s="83">
        <v>9.7447371385207185E-6</v>
      </c>
      <c r="AB30" s="83">
        <v>1288023521574143.7</v>
      </c>
      <c r="AC30" s="83">
        <v>9.0087287118214901E-6</v>
      </c>
      <c r="AD30" s="83">
        <v>1211755079137380.5</v>
      </c>
      <c r="AE30" s="83">
        <v>8.3931031318195287E-6</v>
      </c>
    </row>
    <row r="31" spans="2:31" x14ac:dyDescent="0.2">
      <c r="B31" s="83">
        <v>3433883458396332</v>
      </c>
      <c r="C31" s="83">
        <v>2.4274214862168911E-5</v>
      </c>
      <c r="D31" s="83">
        <v>3140152487660413.5</v>
      </c>
      <c r="E31" s="83">
        <v>2.3108792991093807E-5</v>
      </c>
      <c r="F31" s="83">
        <v>3020580000514213</v>
      </c>
      <c r="G31" s="83">
        <v>2.1979446469935181E-5</v>
      </c>
      <c r="H31" s="83">
        <v>2811344148769946</v>
      </c>
      <c r="I31" s="83">
        <v>2.0408513903115803E-5</v>
      </c>
      <c r="J31" s="83">
        <v>2687974280351320</v>
      </c>
      <c r="K31" s="83">
        <v>1.9371576001976345E-5</v>
      </c>
      <c r="L31" s="83">
        <v>2470556385713048.5</v>
      </c>
      <c r="M31" s="83">
        <v>1.8359367475507921E-5</v>
      </c>
      <c r="N31" s="83">
        <v>2352090230076693</v>
      </c>
      <c r="O31" s="83">
        <v>1.7301640987861824E-5</v>
      </c>
      <c r="P31" s="83">
        <v>2172353104501329.5</v>
      </c>
      <c r="Q31" s="83">
        <v>1.5892690671828296E-5</v>
      </c>
      <c r="R31" s="83">
        <v>1986357807465027.2</v>
      </c>
      <c r="S31" s="83">
        <v>1.4532476880296498E-5</v>
      </c>
      <c r="T31" s="83">
        <v>1802363306976921</v>
      </c>
      <c r="U31" s="83">
        <v>1.3323355629476608E-5</v>
      </c>
      <c r="V31" s="83">
        <v>1621588305356069.7</v>
      </c>
      <c r="W31" s="83">
        <v>1.2025006427453638E-5</v>
      </c>
      <c r="X31" s="83">
        <v>1419210902985149.2</v>
      </c>
      <c r="Y31" s="83">
        <v>1.0460363278007771E-5</v>
      </c>
      <c r="Z31" s="83">
        <v>1318169722401023.7</v>
      </c>
      <c r="AA31" s="83">
        <v>9.6903725088165976E-6</v>
      </c>
      <c r="AB31" s="83">
        <v>1212182546815749.5</v>
      </c>
      <c r="AC31" s="83">
        <v>8.9693124802406761E-6</v>
      </c>
      <c r="AD31" s="83">
        <v>1136395005684116.5</v>
      </c>
      <c r="AE31" s="83">
        <v>8.3257757227990492E-6</v>
      </c>
    </row>
    <row r="32" spans="2:31" x14ac:dyDescent="0.2">
      <c r="B32" s="83">
        <v>3246395747800561.5</v>
      </c>
      <c r="C32" s="83">
        <v>2.426877937499144E-5</v>
      </c>
      <c r="D32" s="83">
        <v>2984718775098276.5</v>
      </c>
      <c r="E32" s="83">
        <v>2.3194442065507899E-5</v>
      </c>
      <c r="F32" s="83">
        <v>2863216840471900.5</v>
      </c>
      <c r="G32" s="83">
        <v>2.2008441760071351E-5</v>
      </c>
      <c r="H32" s="83">
        <v>2663943017662692</v>
      </c>
      <c r="I32" s="83">
        <v>2.0431236861243125E-5</v>
      </c>
      <c r="J32" s="83">
        <v>2542690820343297</v>
      </c>
      <c r="K32" s="83">
        <v>1.9368974838152558E-5</v>
      </c>
      <c r="L32" s="83">
        <v>2331060356287840.5</v>
      </c>
      <c r="M32" s="83">
        <v>1.829092209422995E-5</v>
      </c>
      <c r="N32" s="83">
        <v>2224386030165006.2</v>
      </c>
      <c r="O32" s="83">
        <v>1.7273035581973839E-5</v>
      </c>
      <c r="P32" s="83">
        <v>2052814392116323.2</v>
      </c>
      <c r="Q32" s="83">
        <v>1.5863547321047402E-5</v>
      </c>
      <c r="R32" s="83">
        <v>1871678902138716.5</v>
      </c>
      <c r="S32" s="83">
        <v>1.4462119612350094E-5</v>
      </c>
      <c r="T32" s="83">
        <v>1694749785214006.5</v>
      </c>
      <c r="U32" s="83">
        <v>1.3230624803357124E-5</v>
      </c>
      <c r="V32" s="83">
        <v>1526841985641738.2</v>
      </c>
      <c r="W32" s="83">
        <v>1.1956650377479662E-5</v>
      </c>
      <c r="X32" s="83">
        <v>1334726171170972.7</v>
      </c>
      <c r="Y32" s="83">
        <v>1.0389473543841928E-5</v>
      </c>
      <c r="Z32" s="83">
        <v>1237923210773135.2</v>
      </c>
      <c r="AA32" s="83">
        <v>9.6124084384702439E-6</v>
      </c>
      <c r="AB32" s="83">
        <v>1134855317744595.5</v>
      </c>
      <c r="AC32" s="83">
        <v>8.8666344019282911E-6</v>
      </c>
      <c r="AD32" s="83">
        <v>1064904616541912.4</v>
      </c>
      <c r="AE32" s="83">
        <v>8.2427422922033069E-6</v>
      </c>
    </row>
    <row r="33" spans="2:31" x14ac:dyDescent="0.2">
      <c r="B33" s="83">
        <v>3074756391713473</v>
      </c>
      <c r="C33" s="83">
        <v>2.4277178528229606E-5</v>
      </c>
      <c r="D33" s="83">
        <v>2825231297202677</v>
      </c>
      <c r="E33" s="83">
        <v>2.3172061946021193E-5</v>
      </c>
      <c r="F33" s="83">
        <v>2709000677979411.5</v>
      </c>
      <c r="G33" s="83">
        <v>2.1975855609393095E-5</v>
      </c>
      <c r="H33" s="83">
        <v>2517105399873677.5</v>
      </c>
      <c r="I33" s="83">
        <v>2.0380138096351823E-5</v>
      </c>
      <c r="J33" s="83">
        <v>2408419046946368</v>
      </c>
      <c r="K33" s="83">
        <v>1.9361010567327622E-5</v>
      </c>
      <c r="L33" s="83">
        <v>2206075408363706.5</v>
      </c>
      <c r="M33" s="83">
        <v>1.8270912659650737E-5</v>
      </c>
      <c r="N33" s="83">
        <v>2097558104125661</v>
      </c>
      <c r="O33" s="83">
        <v>1.7186389525729988E-5</v>
      </c>
      <c r="P33" s="83">
        <v>1935869217433204.2</v>
      </c>
      <c r="Q33" s="83">
        <v>1.5791481060704464E-5</v>
      </c>
      <c r="R33" s="83">
        <v>1767251170676293.2</v>
      </c>
      <c r="S33" s="83">
        <v>1.4408800271409882E-5</v>
      </c>
      <c r="T33" s="83">
        <v>1601185926391904.5</v>
      </c>
      <c r="U33" s="83">
        <v>1.3192695632181095E-5</v>
      </c>
      <c r="V33" s="83">
        <v>1439524043280167.7</v>
      </c>
      <c r="W33" s="83">
        <v>1.1893859449463833E-5</v>
      </c>
      <c r="X33" s="83">
        <v>1255274643594521.2</v>
      </c>
      <c r="Y33" s="83">
        <v>1.0314208499053963E-5</v>
      </c>
      <c r="Z33" s="83">
        <v>1163411667059781</v>
      </c>
      <c r="AA33" s="83">
        <v>9.5368801203898757E-6</v>
      </c>
      <c r="AB33" s="83">
        <v>1065989427026157.7</v>
      </c>
      <c r="AC33" s="83">
        <v>8.7913474309011985E-6</v>
      </c>
      <c r="AD33" s="83">
        <v>999866240541793.5</v>
      </c>
      <c r="AE33" s="83">
        <v>8.1694208238942482E-6</v>
      </c>
    </row>
    <row r="34" spans="2:31" x14ac:dyDescent="0.2">
      <c r="B34" s="83">
        <v>2913117713560420</v>
      </c>
      <c r="C34" s="83">
        <v>2.4277709604058952E-5</v>
      </c>
      <c r="D34" s="83">
        <v>2675451049515737</v>
      </c>
      <c r="E34" s="83">
        <v>2.3147093178506286E-5</v>
      </c>
      <c r="F34" s="83">
        <v>2564547898932311.5</v>
      </c>
      <c r="G34" s="83">
        <v>2.1951542425336737E-5</v>
      </c>
      <c r="H34" s="83">
        <v>2383264315535029</v>
      </c>
      <c r="I34" s="83">
        <v>2.0358979007266325E-5</v>
      </c>
      <c r="J34" s="83">
        <v>2273655417832791.5</v>
      </c>
      <c r="K34" s="83">
        <v>1.9288647870612344E-5</v>
      </c>
      <c r="L34" s="83">
        <v>2082595753464752.7</v>
      </c>
      <c r="M34" s="83">
        <v>1.8191714070942651E-5</v>
      </c>
      <c r="N34" s="83">
        <v>1983754049647245</v>
      </c>
      <c r="O34" s="83">
        <v>1.7140455106417665E-5</v>
      </c>
      <c r="P34" s="83">
        <v>1821679960834817</v>
      </c>
      <c r="Q34" s="83">
        <v>1.567765896807163E-5</v>
      </c>
      <c r="R34" s="83">
        <v>1664068274631702.5</v>
      </c>
      <c r="S34" s="83">
        <v>1.4313897141646796E-5</v>
      </c>
      <c r="T34" s="83">
        <v>1505126460372183</v>
      </c>
      <c r="U34" s="83">
        <v>1.30823117144403E-5</v>
      </c>
      <c r="V34" s="83">
        <v>1352719313365005</v>
      </c>
      <c r="W34" s="83">
        <v>1.1793104932178759E-5</v>
      </c>
      <c r="X34" s="83">
        <v>1181033338262852.5</v>
      </c>
      <c r="Y34" s="83">
        <v>1.0238836861506981E-5</v>
      </c>
      <c r="Z34" s="83">
        <v>1093804775696358.7</v>
      </c>
      <c r="AA34" s="83">
        <v>9.4587003047283746E-6</v>
      </c>
      <c r="AB34" s="83">
        <v>999129903788443.25</v>
      </c>
      <c r="AC34" s="83">
        <v>8.6905398862012611E-6</v>
      </c>
      <c r="AD34" s="83">
        <v>936191837522815.87</v>
      </c>
      <c r="AE34" s="83">
        <v>8.0720696978557259E-6</v>
      </c>
    </row>
    <row r="35" spans="2:31" x14ac:dyDescent="0.2">
      <c r="B35" s="83">
        <v>2764867762948245.5</v>
      </c>
      <c r="C35" s="83">
        <v>2.4311094977677343E-5</v>
      </c>
      <c r="D35" s="83">
        <v>2531055058232520.5</v>
      </c>
      <c r="E35" s="83">
        <v>2.3097967655617594E-5</v>
      </c>
      <c r="F35" s="83">
        <v>2422626847037310.5</v>
      </c>
      <c r="G35" s="83">
        <v>2.1867233722488702E-5</v>
      </c>
      <c r="H35" s="83">
        <v>2254207324487149.5</v>
      </c>
      <c r="I35" s="83">
        <v>2.0310200808832297E-5</v>
      </c>
      <c r="J35" s="83">
        <v>2146679206167917.2</v>
      </c>
      <c r="K35" s="83">
        <v>1.9201293993002206E-5</v>
      </c>
      <c r="L35" s="83">
        <v>1966475197647680</v>
      </c>
      <c r="M35" s="83">
        <v>1.8111669932758346E-5</v>
      </c>
      <c r="N35" s="83">
        <v>1867324858216505</v>
      </c>
      <c r="O35" s="83">
        <v>1.7011626880866566E-5</v>
      </c>
      <c r="P35" s="83">
        <v>1720897821620033.5</v>
      </c>
      <c r="Q35" s="83">
        <v>1.5623388792651359E-5</v>
      </c>
      <c r="R35" s="83">
        <v>1570035983196449.7</v>
      </c>
      <c r="S35" s="83">
        <v>1.4235895100965833E-5</v>
      </c>
      <c r="T35" s="83">
        <v>1414843135051333</v>
      </c>
      <c r="U35" s="83">
        <v>1.2968684976177013E-5</v>
      </c>
      <c r="V35" s="83">
        <v>1270106418409383.2</v>
      </c>
      <c r="W35" s="83">
        <v>1.1677868736627671E-5</v>
      </c>
      <c r="X35" s="83">
        <v>1110842205774551.7</v>
      </c>
      <c r="Y35" s="83">
        <v>1.0156266955600043E-5</v>
      </c>
      <c r="Z35" s="83">
        <v>1030063512770636.4</v>
      </c>
      <c r="AA35" s="83">
        <v>9.3954255404115383E-6</v>
      </c>
      <c r="AB35" s="83">
        <v>939668494151315</v>
      </c>
      <c r="AC35" s="83">
        <v>8.6200776088289081E-6</v>
      </c>
      <c r="AD35" s="83">
        <v>877426244764711.75</v>
      </c>
      <c r="AE35" s="83">
        <v>7.9796950055044035E-6</v>
      </c>
    </row>
    <row r="36" spans="2:31" x14ac:dyDescent="0.2">
      <c r="B36" s="83">
        <v>2612543843073994</v>
      </c>
      <c r="C36" s="83">
        <v>2.4227491256657397E-5</v>
      </c>
      <c r="D36" s="83">
        <v>2399741419332108.5</v>
      </c>
      <c r="E36" s="83">
        <v>2.3086471992252667E-5</v>
      </c>
      <c r="F36" s="83">
        <v>2292738437601485.5</v>
      </c>
      <c r="G36" s="83">
        <v>2.1826212866065118E-5</v>
      </c>
      <c r="H36" s="83">
        <v>2130196433546414</v>
      </c>
      <c r="I36" s="83">
        <v>2.024001150478719E-5</v>
      </c>
      <c r="J36" s="83">
        <v>2029053579444278.5</v>
      </c>
      <c r="K36" s="83">
        <v>1.9140618986315108E-5</v>
      </c>
      <c r="L36" s="83">
        <v>1853714672181214</v>
      </c>
      <c r="M36" s="83">
        <v>1.8004527283776723E-5</v>
      </c>
      <c r="N36" s="83">
        <v>1760986437960256.5</v>
      </c>
      <c r="O36" s="83">
        <v>1.6908664966109552E-5</v>
      </c>
      <c r="P36" s="83">
        <v>1619206540581717.7</v>
      </c>
      <c r="Q36" s="83">
        <v>1.5499807150850547E-5</v>
      </c>
      <c r="R36" s="83">
        <v>1480515175807609.7</v>
      </c>
      <c r="S36" s="83">
        <v>1.4151369081049798E-5</v>
      </c>
      <c r="T36" s="83">
        <v>1335693584771704</v>
      </c>
      <c r="U36" s="83">
        <v>1.2909392192921098E-5</v>
      </c>
      <c r="V36" s="83">
        <v>1197020331065478</v>
      </c>
      <c r="W36" s="83">
        <v>1.1604170596822624E-5</v>
      </c>
      <c r="X36" s="83">
        <v>1046375899859826.7</v>
      </c>
      <c r="Y36" s="83">
        <v>1.0087867798984082E-5</v>
      </c>
      <c r="Z36" s="83">
        <v>964292123970413</v>
      </c>
      <c r="AA36" s="83">
        <v>9.2739868840122607E-6</v>
      </c>
      <c r="AB36" s="83">
        <v>880183715551970.75</v>
      </c>
      <c r="AC36" s="83">
        <v>8.5147550034617309E-6</v>
      </c>
      <c r="AD36" s="83">
        <v>824890574658911.12</v>
      </c>
      <c r="AE36" s="83">
        <v>7.9088726132116755E-6</v>
      </c>
    </row>
    <row r="37" spans="2:31" x14ac:dyDescent="0.2">
      <c r="B37" s="83">
        <v>2473944489822669.5</v>
      </c>
      <c r="C37" s="83">
        <v>2.4187877788048483E-5</v>
      </c>
      <c r="D37" s="83">
        <v>2264153638457058.5</v>
      </c>
      <c r="E37" s="83">
        <v>2.2965124969127489E-5</v>
      </c>
      <c r="F37" s="83">
        <v>2170450249636410.2</v>
      </c>
      <c r="G37" s="83">
        <v>2.1777806877122881E-5</v>
      </c>
      <c r="H37" s="83">
        <v>2008961573068986.5</v>
      </c>
      <c r="I37" s="83">
        <v>2.0123036585405309E-5</v>
      </c>
      <c r="J37" s="83">
        <v>1912777641729602.7</v>
      </c>
      <c r="K37" s="83">
        <v>1.9021602378746655E-5</v>
      </c>
      <c r="L37" s="83">
        <v>1756800319265145.8</v>
      </c>
      <c r="M37" s="83">
        <v>1.7980113363719786E-5</v>
      </c>
      <c r="N37" s="83">
        <v>1665161507032421.7</v>
      </c>
      <c r="O37" s="83">
        <v>1.6847994110664159E-5</v>
      </c>
      <c r="P37" s="83">
        <v>1534102337537574</v>
      </c>
      <c r="Q37" s="83">
        <v>1.5479612705399653E-5</v>
      </c>
      <c r="R37" s="83">
        <v>1394682731402004.7</v>
      </c>
      <c r="S37" s="83">
        <v>1.4046847904591954E-5</v>
      </c>
      <c r="T37" s="83">
        <v>1253508602170416.5</v>
      </c>
      <c r="U37" s="83">
        <v>1.2765487295795199E-5</v>
      </c>
      <c r="V37" s="83">
        <v>1127600005569212.5</v>
      </c>
      <c r="W37" s="83">
        <v>1.1521530619000153E-5</v>
      </c>
      <c r="X37" s="83">
        <v>981654410699123.37</v>
      </c>
      <c r="Y37" s="83">
        <v>9.9736289703728168E-6</v>
      </c>
      <c r="Z37" s="83">
        <v>906465103072866.5</v>
      </c>
      <c r="AA37" s="83">
        <v>9.1903161275286414E-6</v>
      </c>
      <c r="AB37" s="83">
        <v>826713237401834.12</v>
      </c>
      <c r="AC37" s="83">
        <v>8.4286281728321847E-6</v>
      </c>
      <c r="AD37" s="83">
        <v>774898165429531.25</v>
      </c>
      <c r="AE37" s="83">
        <v>7.8321886258400694E-6</v>
      </c>
    </row>
    <row r="38" spans="2:31" x14ac:dyDescent="0.2">
      <c r="B38" s="83">
        <v>2341287840774022.5</v>
      </c>
      <c r="C38" s="83">
        <v>2.4131702595141747E-5</v>
      </c>
      <c r="D38" s="83">
        <v>2139714223647762.5</v>
      </c>
      <c r="E38" s="83">
        <v>2.2877286320184058E-5</v>
      </c>
      <c r="F38" s="83">
        <v>2048945515867944.7</v>
      </c>
      <c r="G38" s="83">
        <v>2.1670309949951705E-5</v>
      </c>
      <c r="H38" s="83">
        <v>1894865653969370.5</v>
      </c>
      <c r="I38" s="83">
        <v>2.0002875931722391E-5</v>
      </c>
      <c r="J38" s="83">
        <v>1805390552466354.7</v>
      </c>
      <c r="K38" s="83">
        <v>1.8918041831359971E-5</v>
      </c>
      <c r="L38" s="83">
        <v>1659207903573864.5</v>
      </c>
      <c r="M38" s="83">
        <v>1.7894511597133918E-5</v>
      </c>
      <c r="N38" s="83">
        <v>1570118634844651.5</v>
      </c>
      <c r="O38" s="83">
        <v>1.6737976013046776E-5</v>
      </c>
      <c r="P38" s="83">
        <v>1438390421094447.2</v>
      </c>
      <c r="Q38" s="83">
        <v>1.529940287454806E-5</v>
      </c>
      <c r="R38" s="83">
        <v>1313477526642767.2</v>
      </c>
      <c r="S38" s="83">
        <v>1.3939788518297967E-5</v>
      </c>
      <c r="T38" s="83">
        <v>1183705336263839.7</v>
      </c>
      <c r="U38" s="83">
        <v>1.2705883418344868E-5</v>
      </c>
      <c r="V38" s="83">
        <v>1058480971653276</v>
      </c>
      <c r="W38" s="83">
        <v>1.1398162433540436E-5</v>
      </c>
      <c r="X38" s="83">
        <v>920279321210841</v>
      </c>
      <c r="Y38" s="83">
        <v>9.8547928781745649E-6</v>
      </c>
      <c r="Z38" s="83">
        <v>853269820268529.62</v>
      </c>
      <c r="AA38" s="83">
        <v>9.1163518068932712E-6</v>
      </c>
      <c r="AB38" s="83">
        <v>776511744021359.75</v>
      </c>
      <c r="AC38" s="83">
        <v>8.3426236245392234E-6</v>
      </c>
      <c r="AD38" s="83">
        <v>725234586236742.87</v>
      </c>
      <c r="AE38" s="83">
        <v>7.7238661636552063E-6</v>
      </c>
    </row>
    <row r="39" spans="2:31" x14ac:dyDescent="0.2">
      <c r="B39" s="83">
        <v>2213793854181684.2</v>
      </c>
      <c r="C39" s="83">
        <v>2.404778871763247E-5</v>
      </c>
      <c r="D39" s="83">
        <v>2028311491317097.2</v>
      </c>
      <c r="E39" s="83">
        <v>2.2850546715385105E-5</v>
      </c>
      <c r="F39" s="83">
        <v>1932141248262682.5</v>
      </c>
      <c r="G39" s="83">
        <v>2.1531016102406021E-5</v>
      </c>
      <c r="H39" s="83">
        <v>1791247961605621.5</v>
      </c>
      <c r="I39" s="83">
        <v>1.9927118341828881E-5</v>
      </c>
      <c r="J39" s="83">
        <v>1709756601926986.2</v>
      </c>
      <c r="K39" s="83">
        <v>1.8876627890504537E-5</v>
      </c>
      <c r="L39" s="83">
        <v>1564366226516628.7</v>
      </c>
      <c r="M39" s="83">
        <v>1.7764163159375626E-5</v>
      </c>
      <c r="N39" s="83">
        <v>1478247437132455</v>
      </c>
      <c r="O39" s="83">
        <v>1.6596439213209661E-5</v>
      </c>
      <c r="P39" s="83">
        <v>1358628063586332.2</v>
      </c>
      <c r="Q39" s="83">
        <v>1.5223289849519765E-5</v>
      </c>
      <c r="R39" s="83">
        <v>1239415487497045.5</v>
      </c>
      <c r="S39" s="83">
        <v>1.3855694765874743E-5</v>
      </c>
      <c r="T39" s="83">
        <v>1115600604596819.6</v>
      </c>
      <c r="U39" s="83">
        <v>1.2608892499224575E-5</v>
      </c>
      <c r="V39" s="83">
        <v>999257199795453.75</v>
      </c>
      <c r="W39" s="83">
        <v>1.1333149724370886E-5</v>
      </c>
      <c r="X39" s="83">
        <v>866911298173467.5</v>
      </c>
      <c r="Y39" s="83">
        <v>9.7777851375706567E-6</v>
      </c>
      <c r="Z39" s="83">
        <v>800558521648755.12</v>
      </c>
      <c r="AA39" s="83">
        <v>9.0081760489662062E-6</v>
      </c>
      <c r="AB39" s="83">
        <v>731014809690440.37</v>
      </c>
      <c r="AC39" s="83">
        <v>8.2728922689625339E-6</v>
      </c>
      <c r="AD39" s="83">
        <v>680825335673179.75</v>
      </c>
      <c r="AE39" s="83">
        <v>7.6392552857855555E-6</v>
      </c>
    </row>
    <row r="40" spans="2:31" x14ac:dyDescent="0.2">
      <c r="B40" s="83">
        <v>2093569678592551.5</v>
      </c>
      <c r="C40" s="83">
        <v>2.3956049332523325E-5</v>
      </c>
      <c r="D40" s="83">
        <v>1924251335475406.5</v>
      </c>
      <c r="E40" s="83">
        <v>2.2820988863133608E-5</v>
      </c>
      <c r="F40" s="83">
        <v>1836217835068555.5</v>
      </c>
      <c r="G40" s="83">
        <v>2.1543725537792928E-5</v>
      </c>
      <c r="H40" s="83">
        <v>1690534724222382.5</v>
      </c>
      <c r="I40" s="83">
        <v>1.9802320650778188E-5</v>
      </c>
      <c r="J40" s="83">
        <v>1614690603727245.7</v>
      </c>
      <c r="K40" s="83">
        <v>1.8770590348662152E-5</v>
      </c>
      <c r="L40" s="83">
        <v>1475441566687171.3</v>
      </c>
      <c r="M40" s="83">
        <v>1.7637021824189734E-5</v>
      </c>
      <c r="N40" s="83">
        <v>1399730844086943.2</v>
      </c>
      <c r="O40" s="83">
        <v>1.6535037314900881E-5</v>
      </c>
      <c r="P40" s="83">
        <v>1282041256674012.5</v>
      </c>
      <c r="Q40" s="83">
        <v>1.5124071988159687E-5</v>
      </c>
      <c r="R40" s="83">
        <v>1168137884035207.5</v>
      </c>
      <c r="S40" s="83">
        <v>1.3745818241344365E-5</v>
      </c>
      <c r="T40" s="83">
        <v>1051376899804227.7</v>
      </c>
      <c r="U40" s="83">
        <v>1.2508487274609588E-5</v>
      </c>
      <c r="V40" s="83">
        <v>937179499660105.62</v>
      </c>
      <c r="W40" s="83">
        <v>1.1186630024691476E-5</v>
      </c>
      <c r="X40" s="83">
        <v>810426459152659.37</v>
      </c>
      <c r="Y40" s="83">
        <v>9.6239648989583382E-6</v>
      </c>
      <c r="Z40" s="83">
        <v>751135894464827.62</v>
      </c>
      <c r="AA40" s="83">
        <v>8.8998085841051292E-6</v>
      </c>
      <c r="AB40" s="83">
        <v>685303125353458.5</v>
      </c>
      <c r="AC40" s="83">
        <v>8.1643518958054858E-6</v>
      </c>
      <c r="AD40" s="83">
        <v>641112180605925</v>
      </c>
      <c r="AE40" s="83">
        <v>7.5731659862282727E-6</v>
      </c>
    </row>
    <row r="41" spans="2:31" x14ac:dyDescent="0.2">
      <c r="B41" s="83">
        <v>1985683908316802.2</v>
      </c>
      <c r="C41" s="83">
        <v>2.3916883178012314E-5</v>
      </c>
      <c r="D41" s="83">
        <v>1820177886553381.7</v>
      </c>
      <c r="E41" s="83">
        <v>2.2732413144515224E-5</v>
      </c>
      <c r="F41" s="83">
        <v>1736308049769213</v>
      </c>
      <c r="G41" s="83">
        <v>2.1455377940332002E-5</v>
      </c>
      <c r="H41" s="83">
        <v>1605308948891877.2</v>
      </c>
      <c r="I41" s="83">
        <v>1.9794052529811749E-5</v>
      </c>
      <c r="J41" s="83">
        <v>1521638711261499.5</v>
      </c>
      <c r="K41" s="83">
        <v>1.861767248067733E-5</v>
      </c>
      <c r="L41" s="83">
        <v>1392858125472104</v>
      </c>
      <c r="M41" s="83">
        <v>1.7542606284853728E-5</v>
      </c>
      <c r="N41" s="83">
        <v>1319168876730990.2</v>
      </c>
      <c r="O41" s="83">
        <v>1.6404983960850519E-5</v>
      </c>
      <c r="P41" s="83">
        <v>1205024844692397</v>
      </c>
      <c r="Q41" s="83">
        <v>1.4970334115132912E-5</v>
      </c>
      <c r="R41" s="83">
        <v>1097833417579709.5</v>
      </c>
      <c r="S41" s="83">
        <v>1.3595362729794351E-5</v>
      </c>
      <c r="T41" s="83">
        <v>985510411353961.37</v>
      </c>
      <c r="U41" s="83">
        <v>1.2344706168379185E-5</v>
      </c>
      <c r="V41" s="83">
        <v>879343328777696</v>
      </c>
      <c r="W41" s="83">
        <v>1.1054654048503407E-5</v>
      </c>
      <c r="X41" s="83">
        <v>763358463740832.12</v>
      </c>
      <c r="Y41" s="83">
        <v>9.5472625839769504E-6</v>
      </c>
      <c r="Z41" s="83">
        <v>705643315539878.87</v>
      </c>
      <c r="AA41" s="83">
        <v>8.8035439553302759E-6</v>
      </c>
      <c r="AB41" s="83">
        <v>639730945215730.37</v>
      </c>
      <c r="AC41" s="83">
        <v>8.024443098433121E-6</v>
      </c>
      <c r="AD41" s="83">
        <v>595661946587995.87</v>
      </c>
      <c r="AE41" s="83">
        <v>7.4089690988427436E-6</v>
      </c>
    </row>
    <row r="42" spans="2:31" x14ac:dyDescent="0.2">
      <c r="B42" s="83">
        <v>1876733734171807</v>
      </c>
      <c r="C42" s="83">
        <v>2.381104708515755E-5</v>
      </c>
      <c r="D42" s="83">
        <v>1718192319156978.7</v>
      </c>
      <c r="E42" s="83">
        <v>2.2591401436108616E-5</v>
      </c>
      <c r="F42" s="83">
        <v>1631112811715489.5</v>
      </c>
      <c r="G42" s="83">
        <v>2.1223001733800661E-5</v>
      </c>
      <c r="H42" s="83">
        <v>1509517844923190.7</v>
      </c>
      <c r="I42" s="83">
        <v>1.9606385315961333E-5</v>
      </c>
      <c r="J42" s="83">
        <v>1436186739169226</v>
      </c>
      <c r="K42" s="83">
        <v>1.8509077464033908E-5</v>
      </c>
      <c r="L42" s="83">
        <v>1308640783562120.7</v>
      </c>
      <c r="M42" s="83">
        <v>1.7350362488596907E-5</v>
      </c>
      <c r="N42" s="83">
        <v>1240401152576683.7</v>
      </c>
      <c r="O42" s="83">
        <v>1.623302993739196E-5</v>
      </c>
      <c r="P42" s="83">
        <v>1134219860115824</v>
      </c>
      <c r="Q42" s="83">
        <v>1.4843117750234056E-5</v>
      </c>
      <c r="R42" s="83">
        <v>1031002708582244.6</v>
      </c>
      <c r="S42" s="83">
        <v>1.3441683956225613E-5</v>
      </c>
      <c r="T42" s="83">
        <v>930108277786699.5</v>
      </c>
      <c r="U42" s="83">
        <v>1.2262322124606805E-5</v>
      </c>
      <c r="V42" s="83">
        <v>826993183010667.12</v>
      </c>
      <c r="W42" s="83">
        <v>1.0944796245632688E-5</v>
      </c>
      <c r="X42" s="83">
        <v>716953783064207</v>
      </c>
      <c r="Y42" s="83">
        <v>9.4428312712157199E-6</v>
      </c>
      <c r="Z42" s="83">
        <v>661995196918345.62</v>
      </c>
      <c r="AA42" s="83">
        <v>8.6989332719904423E-6</v>
      </c>
      <c r="AB42" s="83">
        <v>600441359284427.75</v>
      </c>
      <c r="AC42" s="83">
        <v>7.9297059385227818E-6</v>
      </c>
      <c r="AD42" s="83">
        <v>557915277517240.19</v>
      </c>
      <c r="AE42" s="83">
        <v>7.3094350383070343E-6</v>
      </c>
    </row>
    <row r="43" spans="2:31" x14ac:dyDescent="0.2">
      <c r="B43" s="83">
        <v>1770820787986064.2</v>
      </c>
      <c r="C43" s="83">
        <v>2.3656079705910229E-5</v>
      </c>
      <c r="D43" s="83">
        <v>1621428436372209.7</v>
      </c>
      <c r="E43" s="83">
        <v>2.2445754712481833E-5</v>
      </c>
      <c r="F43" s="83">
        <v>1543345847072056.2</v>
      </c>
      <c r="G43" s="83">
        <v>2.1148436617729755E-5</v>
      </c>
      <c r="H43" s="83">
        <v>1419412004720351.7</v>
      </c>
      <c r="I43" s="83">
        <v>1.9402216710155095E-5</v>
      </c>
      <c r="J43" s="83">
        <v>1356476188725312.5</v>
      </c>
      <c r="K43" s="83">
        <v>1.8402862526153942E-5</v>
      </c>
      <c r="L43" s="83">
        <v>1237808673660173</v>
      </c>
      <c r="M43" s="83">
        <v>1.7280470251795614E-5</v>
      </c>
      <c r="N43" s="83">
        <v>1169625032915579.2</v>
      </c>
      <c r="O43" s="83">
        <v>1.6110580975283266E-5</v>
      </c>
      <c r="P43" s="83">
        <v>1070032167695256.5</v>
      </c>
      <c r="Q43" s="83">
        <v>1.4742878211838272E-5</v>
      </c>
      <c r="R43" s="83">
        <v>975054604348197.25</v>
      </c>
      <c r="S43" s="83">
        <v>1.33798989564336E-5</v>
      </c>
      <c r="T43" s="83">
        <v>874488889488370.12</v>
      </c>
      <c r="U43" s="83">
        <v>1.2136071290616777E-5</v>
      </c>
      <c r="V43" s="83">
        <v>781556597736262.12</v>
      </c>
      <c r="W43" s="83">
        <v>1.0890846777496077E-5</v>
      </c>
      <c r="X43" s="83">
        <v>671440239179813.62</v>
      </c>
      <c r="Y43" s="83">
        <v>9.3094608860364192E-6</v>
      </c>
      <c r="Z43" s="83">
        <v>619176478630634</v>
      </c>
      <c r="AA43" s="83">
        <v>8.5640495549021041E-6</v>
      </c>
      <c r="AB43" s="83">
        <v>563263591005328.12</v>
      </c>
      <c r="AC43" s="83">
        <v>7.8313896223178042E-6</v>
      </c>
      <c r="AD43" s="83">
        <v>526547172111212.12</v>
      </c>
      <c r="AE43" s="83">
        <v>7.2621698427193412E-6</v>
      </c>
    </row>
    <row r="44" spans="2:31" x14ac:dyDescent="0.2">
      <c r="B44" s="83">
        <v>1669041841240039.5</v>
      </c>
      <c r="C44" s="83">
        <v>2.3476442533869463E-5</v>
      </c>
      <c r="D44" s="83">
        <v>1533381250330379.2</v>
      </c>
      <c r="E44" s="83">
        <v>2.232780588721945E-5</v>
      </c>
      <c r="F44" s="83">
        <v>1456501942003872.2</v>
      </c>
      <c r="G44" s="83">
        <v>2.1012332437048245E-5</v>
      </c>
      <c r="H44" s="83">
        <v>1345464097485802.5</v>
      </c>
      <c r="I44" s="83">
        <v>1.936087476653604E-5</v>
      </c>
      <c r="J44" s="83">
        <v>1278852267807053.5</v>
      </c>
      <c r="K44" s="83">
        <v>1.8257267120492312E-5</v>
      </c>
      <c r="L44" s="83">
        <v>1169038908247879.7</v>
      </c>
      <c r="M44" s="83">
        <v>1.7168001491718806E-5</v>
      </c>
      <c r="N44" s="83">
        <v>1108276368829888</v>
      </c>
      <c r="O44" s="83">
        <v>1.605381311725154E-5</v>
      </c>
      <c r="P44" s="83">
        <v>1007058292495726.5</v>
      </c>
      <c r="Q44" s="83">
        <v>1.460044948636143E-5</v>
      </c>
      <c r="R44" s="83">
        <v>919207952674504</v>
      </c>
      <c r="S44" s="83">
        <v>1.3269187348858765E-5</v>
      </c>
      <c r="T44" s="83">
        <v>821665635341669.87</v>
      </c>
      <c r="U44" s="83">
        <v>1.1988781900263502E-5</v>
      </c>
      <c r="V44" s="83">
        <v>736889666891407.87</v>
      </c>
      <c r="W44" s="83">
        <v>1.0797996118253079E-5</v>
      </c>
      <c r="X44" s="83">
        <v>632585605360739.87</v>
      </c>
      <c r="Y44" s="83">
        <v>9.2274366675129548E-6</v>
      </c>
      <c r="Z44" s="83">
        <v>583251294769073.62</v>
      </c>
      <c r="AA44" s="83">
        <v>8.4869077938776835E-6</v>
      </c>
      <c r="AB44" s="83">
        <v>526480441813486.87</v>
      </c>
      <c r="AC44" s="83">
        <v>7.6989546187877642E-6</v>
      </c>
      <c r="AD44" s="83">
        <v>493041792977399.44</v>
      </c>
      <c r="AE44" s="83">
        <v>7.1556059240225171E-6</v>
      </c>
    </row>
    <row r="45" spans="2:31" x14ac:dyDescent="0.2">
      <c r="B45" s="83">
        <v>1586327326141042.5</v>
      </c>
      <c r="C45" s="83">
        <v>2.3484891423406324E-5</v>
      </c>
      <c r="D45" s="83">
        <v>1443220283309104</v>
      </c>
      <c r="E45" s="83">
        <v>2.2128652732252918E-5</v>
      </c>
      <c r="F45" s="83">
        <v>1378526188609558.2</v>
      </c>
      <c r="G45" s="83">
        <v>2.0925030654697565E-5</v>
      </c>
      <c r="H45" s="83">
        <v>1266402360498921.7</v>
      </c>
      <c r="I45" s="83">
        <v>1.9179219259362511E-5</v>
      </c>
      <c r="J45" s="83">
        <v>1207099834225610.2</v>
      </c>
      <c r="K45" s="83">
        <v>1.8127839427779332E-5</v>
      </c>
      <c r="L45" s="83">
        <v>1103638444498159.4</v>
      </c>
      <c r="M45" s="83">
        <v>1.7049279117601352E-5</v>
      </c>
      <c r="N45" s="83">
        <v>1046306273565836</v>
      </c>
      <c r="O45" s="83">
        <v>1.5932692268311424E-5</v>
      </c>
      <c r="P45" s="83">
        <v>949820473928201.87</v>
      </c>
      <c r="Q45" s="83">
        <v>1.4486615337126796E-5</v>
      </c>
      <c r="R45" s="83">
        <v>863633569666510.25</v>
      </c>
      <c r="S45" s="83">
        <v>1.311246773536354E-5</v>
      </c>
      <c r="T45" s="83">
        <v>775559711121168</v>
      </c>
      <c r="U45" s="83">
        <v>1.1897849027719398E-5</v>
      </c>
      <c r="V45" s="83">
        <v>692152024434071.62</v>
      </c>
      <c r="W45" s="83">
        <v>1.0671114859860025E-5</v>
      </c>
      <c r="X45" s="83">
        <v>594877576548499.87</v>
      </c>
      <c r="Y45" s="83">
        <v>9.1310206567125037E-6</v>
      </c>
      <c r="Z45" s="83">
        <v>547960728452883.69</v>
      </c>
      <c r="AA45" s="83">
        <v>8.3900193201672982E-6</v>
      </c>
      <c r="AB45" s="83">
        <v>495249023293936.5</v>
      </c>
      <c r="AC45" s="83">
        <v>7.6212350481820376E-6</v>
      </c>
      <c r="AD45" s="83">
        <v>462026119368176.62</v>
      </c>
      <c r="AE45" s="83">
        <v>7.0552991470103114E-6</v>
      </c>
    </row>
    <row r="46" spans="2:31" x14ac:dyDescent="0.2">
      <c r="B46" s="83">
        <v>1496448678142218</v>
      </c>
      <c r="C46" s="83">
        <v>2.3310342779082637E-5</v>
      </c>
      <c r="D46" s="83">
        <v>1361471884672293.2</v>
      </c>
      <c r="E46" s="83">
        <v>2.1951334903343363E-5</v>
      </c>
      <c r="F46" s="83">
        <v>1300166454463933.7</v>
      </c>
      <c r="G46" s="83">
        <v>2.0758233445282782E-5</v>
      </c>
      <c r="H46" s="83">
        <v>1193992818239109.5</v>
      </c>
      <c r="I46" s="83">
        <v>1.9009526944782964E-5</v>
      </c>
      <c r="J46" s="83">
        <v>1139215068942175</v>
      </c>
      <c r="K46" s="83">
        <v>1.7996628321887048E-5</v>
      </c>
      <c r="L46" s="83">
        <v>1042602940570537.4</v>
      </c>
      <c r="M46" s="83">
        <v>1.6939566760445753E-5</v>
      </c>
      <c r="N46" s="83">
        <v>985160914100001.87</v>
      </c>
      <c r="O46" s="83">
        <v>1.5768807855690593E-5</v>
      </c>
      <c r="P46" s="83">
        <v>892525354141946.37</v>
      </c>
      <c r="Q46" s="83">
        <v>1.4319555224989477E-5</v>
      </c>
      <c r="R46" s="83">
        <v>813105707929783</v>
      </c>
      <c r="S46" s="83">
        <v>1.2984358668413227E-5</v>
      </c>
      <c r="T46" s="83">
        <v>728304632857617.25</v>
      </c>
      <c r="U46" s="83">
        <v>1.1745960877116587E-5</v>
      </c>
      <c r="V46" s="83">
        <v>648737201250368.62</v>
      </c>
      <c r="W46" s="83">
        <v>1.0511093125075227E-5</v>
      </c>
      <c r="X46" s="83">
        <v>558803497437873.87</v>
      </c>
      <c r="Y46" s="83">
        <v>9.0172536245353464E-6</v>
      </c>
      <c r="Z46" s="83">
        <v>509292035551904.69</v>
      </c>
      <c r="AA46" s="83">
        <v>8.2022783798480619E-6</v>
      </c>
      <c r="AB46" s="83">
        <v>464596347101598.06</v>
      </c>
      <c r="AC46" s="83">
        <v>7.5149488803733028E-6</v>
      </c>
      <c r="AD46" s="83">
        <v>433829643464896.94</v>
      </c>
      <c r="AE46" s="83">
        <v>6.9662979356602939E-6</v>
      </c>
    </row>
    <row r="47" spans="2:31" x14ac:dyDescent="0.2">
      <c r="B47" s="83">
        <v>1410020092327436.5</v>
      </c>
      <c r="C47" s="83">
        <v>2.3085954954803707E-5</v>
      </c>
      <c r="D47" s="83">
        <v>1291886758703108.5</v>
      </c>
      <c r="E47" s="83">
        <v>2.1909200079309799E-5</v>
      </c>
      <c r="F47" s="83">
        <v>1228062096394000.2</v>
      </c>
      <c r="G47" s="83">
        <v>2.0616813524343641E-5</v>
      </c>
      <c r="H47" s="83">
        <v>1130030140501112.7</v>
      </c>
      <c r="I47" s="83">
        <v>1.8920748063299112E-5</v>
      </c>
      <c r="J47" s="83">
        <v>1072968638677282.9</v>
      </c>
      <c r="K47" s="83">
        <v>1.7821852238180859E-5</v>
      </c>
      <c r="L47" s="83">
        <v>977916852759701.5</v>
      </c>
      <c r="M47" s="83">
        <v>1.6701526545059922E-5</v>
      </c>
      <c r="N47" s="83">
        <v>927451213741129.87</v>
      </c>
      <c r="O47" s="83">
        <v>1.5592924470372442E-5</v>
      </c>
      <c r="P47" s="83">
        <v>839480775033985.87</v>
      </c>
      <c r="Q47" s="83">
        <v>1.4162579071621665E-5</v>
      </c>
      <c r="R47" s="83">
        <v>763533724293524.75</v>
      </c>
      <c r="S47" s="83">
        <v>1.2816634324159485E-5</v>
      </c>
      <c r="T47" s="83">
        <v>685818599336489.12</v>
      </c>
      <c r="U47" s="83">
        <v>1.1620897791817533E-5</v>
      </c>
      <c r="V47" s="83">
        <v>608126083378597.62</v>
      </c>
      <c r="W47" s="83">
        <v>1.0365252100097816E-5</v>
      </c>
      <c r="X47" s="83">
        <v>525936397662685.12</v>
      </c>
      <c r="Y47" s="83">
        <v>8.9261845676731843E-6</v>
      </c>
      <c r="Z47" s="83">
        <v>480574082214431</v>
      </c>
      <c r="AA47" s="83">
        <v>8.1372028639881136E-6</v>
      </c>
      <c r="AB47" s="83">
        <v>436233375541676</v>
      </c>
      <c r="AC47" s="83">
        <v>7.4160463576829399E-6</v>
      </c>
      <c r="AD47" s="83">
        <v>406788351334993.5</v>
      </c>
      <c r="AE47" s="83">
        <v>6.8683086960485978E-6</v>
      </c>
    </row>
    <row r="48" spans="2:31" x14ac:dyDescent="0.2">
      <c r="B48" s="83">
        <v>1335575836085304</v>
      </c>
      <c r="C48" s="83">
        <v>2.3006166150313254E-5</v>
      </c>
      <c r="D48" s="83">
        <v>1216306170553279.5</v>
      </c>
      <c r="E48" s="83">
        <v>2.1679469782079455E-5</v>
      </c>
      <c r="F48" s="83">
        <v>1159097125814336.7</v>
      </c>
      <c r="G48" s="83">
        <v>2.0458257268675736E-5</v>
      </c>
      <c r="H48" s="83">
        <v>1065416679862274.1</v>
      </c>
      <c r="I48" s="83">
        <v>1.8752639771252186E-5</v>
      </c>
      <c r="J48" s="83">
        <v>1011198916427212.6</v>
      </c>
      <c r="K48" s="83">
        <v>1.7657808873152327E-5</v>
      </c>
      <c r="L48" s="83">
        <v>924862303405113.12</v>
      </c>
      <c r="M48" s="83">
        <v>1.6596659034309958E-5</v>
      </c>
      <c r="N48" s="83">
        <v>877110548460293.37</v>
      </c>
      <c r="O48" s="83">
        <v>1.5493284042173942E-5</v>
      </c>
      <c r="P48" s="83">
        <v>790111511171948.5</v>
      </c>
      <c r="Q48" s="83">
        <v>1.4011130264276645E-5</v>
      </c>
      <c r="R48" s="83">
        <v>720518549179717.5</v>
      </c>
      <c r="S48" s="83">
        <v>1.271481529694113E-5</v>
      </c>
      <c r="T48" s="83">
        <v>649263718791795</v>
      </c>
      <c r="U48" s="83">
        <v>1.1556572437622195E-5</v>
      </c>
      <c r="V48" s="83">
        <v>569431178458965.37</v>
      </c>
      <c r="W48" s="83">
        <v>1.020128222547751E-5</v>
      </c>
      <c r="X48" s="83">
        <v>496384760970123.25</v>
      </c>
      <c r="Y48" s="83">
        <v>8.8521482395427699E-6</v>
      </c>
      <c r="Z48" s="83">
        <v>453412841054303.56</v>
      </c>
      <c r="AA48" s="83">
        <v>8.0710413913491201E-6</v>
      </c>
      <c r="AB48" s="83">
        <v>409334140817121.44</v>
      </c>
      <c r="AC48" s="83">
        <v>7.3193302165181706E-6</v>
      </c>
      <c r="AD48" s="83">
        <v>381639097352997.81</v>
      </c>
      <c r="AE48" s="83">
        <v>6.7732033193177903E-6</v>
      </c>
    </row>
    <row r="49" spans="2:31" x14ac:dyDescent="0.2">
      <c r="B49" s="83">
        <v>1257444901917714.2</v>
      </c>
      <c r="C49" s="83">
        <v>2.2760529971151436E-5</v>
      </c>
      <c r="D49" s="83">
        <v>1147068982808904.2</v>
      </c>
      <c r="E49" s="83">
        <v>2.1481932358217165E-5</v>
      </c>
      <c r="F49" s="83">
        <v>1091348221889180.1</v>
      </c>
      <c r="G49" s="83">
        <v>2.0239314782556352E-5</v>
      </c>
      <c r="H49" s="83">
        <v>998727076006931.12</v>
      </c>
      <c r="I49" s="83">
        <v>1.8469810672436639E-5</v>
      </c>
      <c r="J49" s="83">
        <v>954936294856568.5</v>
      </c>
      <c r="K49" s="83">
        <v>1.7516348976202133E-5</v>
      </c>
      <c r="L49" s="83">
        <v>869076358249073.5</v>
      </c>
      <c r="M49" s="83">
        <v>1.6399303070763615E-5</v>
      </c>
      <c r="N49" s="83">
        <v>821039440221555.12</v>
      </c>
      <c r="O49" s="83">
        <v>1.5241734947965503E-5</v>
      </c>
      <c r="P49" s="83">
        <v>742378725611329.12</v>
      </c>
      <c r="Q49" s="83">
        <v>1.3837555851008952E-5</v>
      </c>
      <c r="R49" s="83">
        <v>678795643178911.25</v>
      </c>
      <c r="S49" s="83">
        <v>1.2585568706579526E-5</v>
      </c>
      <c r="T49" s="83">
        <v>610479224720129</v>
      </c>
      <c r="U49" s="83">
        <v>1.1412859342031232E-5</v>
      </c>
      <c r="V49" s="83">
        <v>538453127329899.87</v>
      </c>
      <c r="W49" s="83">
        <v>1.0141623158609843E-5</v>
      </c>
      <c r="X49" s="83">
        <v>466529452901519.75</v>
      </c>
      <c r="Y49" s="83">
        <v>8.7428900299952001E-6</v>
      </c>
      <c r="Z49" s="83">
        <v>424307766624296.25</v>
      </c>
      <c r="AA49" s="83">
        <v>7.9396923784663226E-6</v>
      </c>
      <c r="AB49" s="83">
        <v>382952727240906.25</v>
      </c>
      <c r="AC49" s="83">
        <v>7.1939743540298511E-6</v>
      </c>
      <c r="AD49" s="83">
        <v>355750301436222.44</v>
      </c>
      <c r="AE49" s="83">
        <v>6.6352071352353318E-6</v>
      </c>
    </row>
    <row r="50" spans="2:31" x14ac:dyDescent="0.2">
      <c r="B50" s="83">
        <v>1184711515958829.2</v>
      </c>
      <c r="C50" s="83">
        <v>2.2551009527506518E-5</v>
      </c>
      <c r="D50" s="83">
        <v>1081760026697140.4</v>
      </c>
      <c r="E50" s="83">
        <v>2.130434825834531E-5</v>
      </c>
      <c r="F50" s="83">
        <v>1032977920232095.4</v>
      </c>
      <c r="G50" s="83">
        <v>2.0153465279911697E-5</v>
      </c>
      <c r="H50" s="83">
        <v>946395283988593.62</v>
      </c>
      <c r="I50" s="83">
        <v>1.8403147287363864E-5</v>
      </c>
      <c r="J50" s="83">
        <v>899727218068207.62</v>
      </c>
      <c r="K50" s="83">
        <v>1.7351019831115584E-5</v>
      </c>
      <c r="L50" s="83">
        <v>816130797521271</v>
      </c>
      <c r="M50" s="83">
        <v>1.6184564876220434E-5</v>
      </c>
      <c r="N50" s="83">
        <v>774054437167137.5</v>
      </c>
      <c r="O50" s="83">
        <v>1.5101516944072113E-5</v>
      </c>
      <c r="P50" s="83">
        <v>701647568637615</v>
      </c>
      <c r="Q50" s="83">
        <v>1.3745643885598234E-5</v>
      </c>
      <c r="R50" s="83">
        <v>641858530006040.87</v>
      </c>
      <c r="S50" s="83">
        <v>1.2504176048418677E-5</v>
      </c>
      <c r="T50" s="83">
        <v>578259521772040.5</v>
      </c>
      <c r="U50" s="83">
        <v>1.1354542591485382E-5</v>
      </c>
      <c r="V50" s="83">
        <v>508012119075656.69</v>
      </c>
      <c r="W50" s="83">
        <v>1.0059592670874031E-5</v>
      </c>
      <c r="X50" s="83">
        <v>436356495374078.56</v>
      </c>
      <c r="Y50" s="83">
        <v>8.5930508262793448E-6</v>
      </c>
      <c r="Z50" s="83">
        <v>396477541271759</v>
      </c>
      <c r="AA50" s="83">
        <v>7.7951324054631439E-6</v>
      </c>
      <c r="AB50" s="83">
        <v>361309222380720.44</v>
      </c>
      <c r="AC50" s="83">
        <v>7.132293036167688E-6</v>
      </c>
      <c r="AD50" s="83">
        <v>335176883048881.5</v>
      </c>
      <c r="AE50" s="83">
        <v>6.5717247934154533E-6</v>
      </c>
    </row>
    <row r="51" spans="2:31" x14ac:dyDescent="0.2">
      <c r="B51" s="83">
        <v>1119433385260778.9</v>
      </c>
      <c r="C51" s="83">
        <v>2.2396893704134477E-5</v>
      </c>
      <c r="D51" s="83">
        <v>1017151045433336.4</v>
      </c>
      <c r="E51" s="83">
        <v>2.1047863741651377E-5</v>
      </c>
      <c r="F51" s="83">
        <v>966527004646612.5</v>
      </c>
      <c r="G51" s="83">
        <v>1.9812429804835114E-5</v>
      </c>
      <c r="H51" s="83">
        <v>886505623292543.62</v>
      </c>
      <c r="I51" s="83">
        <v>1.8113024436761606E-5</v>
      </c>
      <c r="J51" s="83">
        <v>843496095005384.75</v>
      </c>
      <c r="K51" s="83">
        <v>1.7088500418839131E-5</v>
      </c>
      <c r="L51" s="83">
        <v>772212241556389.87</v>
      </c>
      <c r="M51" s="83">
        <v>1.6083545796688656E-5</v>
      </c>
      <c r="N51" s="83">
        <v>732308427756961.75</v>
      </c>
      <c r="O51" s="83">
        <v>1.5004515153569265E-5</v>
      </c>
      <c r="P51" s="83">
        <v>660331223216211.25</v>
      </c>
      <c r="Q51" s="83">
        <v>1.3593669491926006E-5</v>
      </c>
      <c r="R51" s="83">
        <v>599503161559245.25</v>
      </c>
      <c r="S51" s="83">
        <v>1.227090470343399E-5</v>
      </c>
      <c r="T51" s="83">
        <v>541149327643226.31</v>
      </c>
      <c r="U51" s="83">
        <v>1.1152556985275992E-5</v>
      </c>
      <c r="V51" s="83">
        <v>479489835248083.62</v>
      </c>
      <c r="W51" s="83">
        <v>9.9708814163528511E-6</v>
      </c>
      <c r="X51" s="83">
        <v>410926321710108.94</v>
      </c>
      <c r="Y51" s="83">
        <v>8.5011600950259004E-6</v>
      </c>
      <c r="Z51" s="83">
        <v>379558667172910.25</v>
      </c>
      <c r="AA51" s="83">
        <v>7.8411731149292316E-6</v>
      </c>
      <c r="AB51" s="83">
        <v>337045005880780.31</v>
      </c>
      <c r="AC51" s="83">
        <v>6.9936293847131163E-6</v>
      </c>
      <c r="AD51" s="83">
        <v>316200749543348.5</v>
      </c>
      <c r="AE51" s="83">
        <v>6.5125849692680064E-6</v>
      </c>
    </row>
    <row r="52" spans="2:31" x14ac:dyDescent="0.2">
      <c r="B52" s="83">
        <v>1060917216781197.1</v>
      </c>
      <c r="C52" s="83">
        <v>2.2314934040745061E-5</v>
      </c>
      <c r="D52" s="83">
        <v>960796867737036.25</v>
      </c>
      <c r="E52" s="83">
        <v>2.0896480001258638E-5</v>
      </c>
      <c r="F52" s="83">
        <v>918834367605442.37</v>
      </c>
      <c r="G52" s="83">
        <v>1.9794038909162564E-5</v>
      </c>
      <c r="H52" s="83">
        <v>842565463762150.87</v>
      </c>
      <c r="I52" s="83">
        <v>1.8092001062412161E-5</v>
      </c>
      <c r="J52" s="83">
        <v>800278315351726.75</v>
      </c>
      <c r="K52" s="83">
        <v>1.7034398570774017E-5</v>
      </c>
      <c r="L52" s="83">
        <v>727901789866027.25</v>
      </c>
      <c r="M52" s="83">
        <v>1.5933243906369285E-5</v>
      </c>
      <c r="N52" s="83">
        <v>692520686571903</v>
      </c>
      <c r="O52" s="83">
        <v>1.4905183896137132E-5</v>
      </c>
      <c r="P52" s="83">
        <v>621753611310166.87</v>
      </c>
      <c r="Q52" s="83">
        <v>1.34449940336314E-5</v>
      </c>
      <c r="R52" s="83">
        <v>565728983450216.87</v>
      </c>
      <c r="S52" s="83">
        <v>1.2158557121971606E-5</v>
      </c>
      <c r="T52" s="83">
        <v>508049354062626.31</v>
      </c>
      <c r="U52" s="83">
        <v>1.0993494027609967E-5</v>
      </c>
      <c r="V52" s="83">
        <v>448286263492160.44</v>
      </c>
      <c r="W52" s="83">
        <v>9.7891764635523808E-6</v>
      </c>
      <c r="X52" s="83">
        <v>383061719521397.62</v>
      </c>
      <c r="Y52" s="83">
        <v>8.3287483830284529E-6</v>
      </c>
      <c r="Z52" s="83">
        <v>351890839398522.75</v>
      </c>
      <c r="AA52" s="83">
        <v>7.639957576122436E-6</v>
      </c>
      <c r="AB52" s="83">
        <v>315629236736090.94</v>
      </c>
      <c r="AC52" s="83">
        <v>6.8785388022476413E-6</v>
      </c>
      <c r="AD52" s="83">
        <v>297107141657940.62</v>
      </c>
      <c r="AE52" s="83">
        <v>6.4310977000404508E-6</v>
      </c>
    </row>
    <row r="53" spans="2:31" x14ac:dyDescent="0.2">
      <c r="B53" s="83">
        <v>1000328707369708.9</v>
      </c>
      <c r="C53" s="83">
        <v>2.2102758694922723E-5</v>
      </c>
      <c r="D53" s="83">
        <v>913250235867021.5</v>
      </c>
      <c r="E53" s="83">
        <v>2.0862480826617191E-5</v>
      </c>
      <c r="F53" s="83">
        <v>864812534103686.62</v>
      </c>
      <c r="G53" s="83">
        <v>1.9566761676152101E-5</v>
      </c>
      <c r="H53" s="83">
        <v>794103077505527.25</v>
      </c>
      <c r="I53" s="83">
        <v>1.7913803951904509E-5</v>
      </c>
      <c r="J53" s="83">
        <v>755413155937224.25</v>
      </c>
      <c r="K53" s="83">
        <v>1.6887242713097988E-5</v>
      </c>
      <c r="L53" s="83">
        <v>687064850893350.87</v>
      </c>
      <c r="M53" s="83">
        <v>1.5790652269845801E-5</v>
      </c>
      <c r="N53" s="83">
        <v>650907135234275.62</v>
      </c>
      <c r="O53" s="83">
        <v>1.4707881686807731E-5</v>
      </c>
      <c r="P53" s="83">
        <v>584933932776709.75</v>
      </c>
      <c r="Q53" s="83">
        <v>1.3284812242751931E-5</v>
      </c>
      <c r="R53" s="83">
        <v>537163960695941.06</v>
      </c>
      <c r="S53" s="83">
        <v>1.2121211496678785E-5</v>
      </c>
      <c r="T53" s="83">
        <v>477788699222378.87</v>
      </c>
      <c r="U53" s="83">
        <v>1.0854792234173462E-5</v>
      </c>
      <c r="V53" s="83">
        <v>424926199684563.75</v>
      </c>
      <c r="W53" s="83">
        <v>9.7507994039225167E-6</v>
      </c>
      <c r="X53" s="83">
        <v>361623820867841.12</v>
      </c>
      <c r="Y53" s="83">
        <v>8.255316929080576E-6</v>
      </c>
      <c r="Z53" s="83">
        <v>330659161252250.87</v>
      </c>
      <c r="AA53" s="83">
        <v>7.5361256634792777E-6</v>
      </c>
      <c r="AB53" s="83">
        <v>299741544992094.62</v>
      </c>
      <c r="AC53" s="83">
        <v>6.8582691217344633E-6</v>
      </c>
      <c r="AD53" s="83">
        <v>277278115845822.03</v>
      </c>
      <c r="AE53" s="83">
        <v>6.3001730662215023E-6</v>
      </c>
    </row>
    <row r="54" spans="2:31" x14ac:dyDescent="0.2">
      <c r="B54" s="83">
        <v>947530148631117.5</v>
      </c>
      <c r="C54" s="83">
        <v>2.1982835909301803E-5</v>
      </c>
      <c r="D54" s="83">
        <v>865355922437581.37</v>
      </c>
      <c r="E54" s="83">
        <v>2.0756104428607979E-5</v>
      </c>
      <c r="F54" s="83">
        <v>821148552609521.5</v>
      </c>
      <c r="G54" s="83">
        <v>1.9514724109755396E-5</v>
      </c>
      <c r="H54" s="83">
        <v>752727959128074.37</v>
      </c>
      <c r="I54" s="83">
        <v>1.7820709976265006E-5</v>
      </c>
      <c r="J54" s="83">
        <v>713242449520406.75</v>
      </c>
      <c r="K54" s="83">
        <v>1.6737873565314513E-5</v>
      </c>
      <c r="L54" s="83">
        <v>646180116638412.75</v>
      </c>
      <c r="M54" s="83">
        <v>1.5589382299250565E-5</v>
      </c>
      <c r="N54" s="83">
        <v>619913587080138.37</v>
      </c>
      <c r="O54" s="83">
        <v>1.4701686909737795E-5</v>
      </c>
      <c r="P54" s="83">
        <v>549467550515811.44</v>
      </c>
      <c r="Q54" s="83">
        <v>1.310438330390204E-5</v>
      </c>
      <c r="R54" s="83">
        <v>501779315539115.81</v>
      </c>
      <c r="S54" s="83">
        <v>1.1889251722343349E-5</v>
      </c>
      <c r="T54" s="83">
        <v>448644551268710.81</v>
      </c>
      <c r="U54" s="83">
        <v>1.0700694585505329E-5</v>
      </c>
      <c r="V54" s="83">
        <v>397956853715539.62</v>
      </c>
      <c r="W54" s="83">
        <v>9.5806924404035419E-6</v>
      </c>
      <c r="X54" s="83">
        <v>342507794712562.25</v>
      </c>
      <c r="Y54" s="83">
        <v>8.2124229724332779E-6</v>
      </c>
      <c r="Z54" s="83">
        <v>310741215678107.37</v>
      </c>
      <c r="AA54" s="83">
        <v>7.4330852360348938E-6</v>
      </c>
      <c r="AB54" s="83">
        <v>278309011616602.62</v>
      </c>
      <c r="AC54" s="83">
        <v>6.6853729284940375E-6</v>
      </c>
      <c r="AD54" s="83">
        <v>260466323609453.09</v>
      </c>
      <c r="AE54" s="83">
        <v>6.2141074945059427E-6</v>
      </c>
    </row>
    <row r="55" spans="2:31" x14ac:dyDescent="0.2">
      <c r="B55" s="83">
        <v>895775323977021.87</v>
      </c>
      <c r="C55" s="83">
        <v>2.1841443076004678E-5</v>
      </c>
      <c r="D55" s="83">
        <v>815317582462375.25</v>
      </c>
      <c r="E55" s="83">
        <v>2.0525300746325282E-5</v>
      </c>
      <c r="F55" s="83">
        <v>773881056528175.12</v>
      </c>
      <c r="G55" s="83">
        <v>1.930824537202082E-5</v>
      </c>
      <c r="H55" s="83">
        <v>707493432816434.62</v>
      </c>
      <c r="I55" s="83">
        <v>1.7579490414005604E-5</v>
      </c>
      <c r="J55" s="83">
        <v>674251939834937.37</v>
      </c>
      <c r="K55" s="83">
        <v>1.660264710857758E-5</v>
      </c>
      <c r="L55" s="83">
        <v>610098941502479.75</v>
      </c>
      <c r="M55" s="83">
        <v>1.5454100087626146E-5</v>
      </c>
      <c r="N55" s="83">
        <v>581579682526546</v>
      </c>
      <c r="O55" s="83">
        <v>1.4472805833139423E-5</v>
      </c>
      <c r="P55" s="83">
        <v>516210230452132</v>
      </c>
      <c r="Q55" s="83">
        <v>1.2921129127087655E-5</v>
      </c>
      <c r="R55" s="83">
        <v>470801541480657.81</v>
      </c>
      <c r="S55" s="83">
        <v>1.1706347940866236E-5</v>
      </c>
      <c r="T55" s="83">
        <v>425363063234474.31</v>
      </c>
      <c r="U55" s="83">
        <v>1.064685058296968E-5</v>
      </c>
      <c r="V55" s="83">
        <v>370801657543800.94</v>
      </c>
      <c r="W55" s="83">
        <v>9.3773460226783652E-6</v>
      </c>
      <c r="X55" s="83">
        <v>320778588159744.81</v>
      </c>
      <c r="Y55" s="83">
        <v>8.0714280891287982E-6</v>
      </c>
      <c r="Z55" s="83">
        <v>291606328119533.06</v>
      </c>
      <c r="AA55" s="83">
        <v>7.3248259566825623E-6</v>
      </c>
      <c r="AB55" s="83">
        <v>261273204921771.59</v>
      </c>
      <c r="AC55" s="83">
        <v>6.588862692454392E-6</v>
      </c>
      <c r="AD55" s="83">
        <v>243914129151085.81</v>
      </c>
      <c r="AE55" s="83">
        <v>6.10890845640239E-6</v>
      </c>
    </row>
    <row r="56" spans="2:31" x14ac:dyDescent="0.2">
      <c r="B56" s="83">
        <v>845446687888051</v>
      </c>
      <c r="C56" s="83">
        <v>2.163543416830898E-5</v>
      </c>
      <c r="D56" s="83">
        <v>770757694957884.12</v>
      </c>
      <c r="E56" s="83">
        <v>2.0363122377374193E-5</v>
      </c>
      <c r="F56" s="83">
        <v>731887355233462.12</v>
      </c>
      <c r="G56" s="83">
        <v>1.9170156504899895E-5</v>
      </c>
      <c r="H56" s="83">
        <v>666540997941064.12</v>
      </c>
      <c r="I56" s="83">
        <v>1.7389630140888195E-5</v>
      </c>
      <c r="J56" s="83">
        <v>629784711388742.87</v>
      </c>
      <c r="K56" s="83">
        <v>1.6283078360415714E-5</v>
      </c>
      <c r="L56" s="83">
        <v>574780161996126.75</v>
      </c>
      <c r="M56" s="83">
        <v>1.5295066217321189E-5</v>
      </c>
      <c r="N56" s="83">
        <v>544030912358041.44</v>
      </c>
      <c r="O56" s="83">
        <v>1.4201677049504307E-5</v>
      </c>
      <c r="P56" s="83">
        <v>488499658972002.06</v>
      </c>
      <c r="Q56" s="83">
        <v>1.2841963229543823E-5</v>
      </c>
      <c r="R56" s="83">
        <v>446702704428058.56</v>
      </c>
      <c r="S56" s="83">
        <v>1.1664701925965128E-5</v>
      </c>
      <c r="T56" s="83">
        <v>399191315280852.12</v>
      </c>
      <c r="U56" s="83">
        <v>1.0491416874974748E-5</v>
      </c>
      <c r="V56" s="83">
        <v>351205408671405.87</v>
      </c>
      <c r="W56" s="83">
        <v>9.3252506741394469E-6</v>
      </c>
      <c r="X56" s="83">
        <v>301192926109249.12</v>
      </c>
      <c r="Y56" s="83">
        <v>7.9536926353344834E-6</v>
      </c>
      <c r="Z56" s="83">
        <v>273138007173869.19</v>
      </c>
      <c r="AA56" s="83">
        <v>7.2067731779918923E-6</v>
      </c>
      <c r="AB56" s="83">
        <v>245454942103980.06</v>
      </c>
      <c r="AC56" s="83">
        <v>6.5003274976490428E-6</v>
      </c>
      <c r="AD56" s="83">
        <v>227651270364176.5</v>
      </c>
      <c r="AE56" s="83">
        <v>5.9902216916955266E-6</v>
      </c>
    </row>
    <row r="57" spans="2:31" x14ac:dyDescent="0.2">
      <c r="B57" s="83">
        <v>801686885421089.62</v>
      </c>
      <c r="C57" s="83">
        <v>2.1549891174457525E-5</v>
      </c>
      <c r="D57" s="83">
        <v>721254318500308.37</v>
      </c>
      <c r="E57" s="83">
        <v>1.9998777268614784E-5</v>
      </c>
      <c r="F57" s="83">
        <v>689530849143814.75</v>
      </c>
      <c r="G57" s="83">
        <v>1.8969108474036354E-5</v>
      </c>
      <c r="H57" s="83">
        <v>628987054714099.12</v>
      </c>
      <c r="I57" s="83">
        <v>1.7224472088886375E-5</v>
      </c>
      <c r="J57" s="83">
        <v>591282404855365.75</v>
      </c>
      <c r="K57" s="83">
        <v>1.6050658358620862E-5</v>
      </c>
      <c r="L57" s="83">
        <v>545558118562033.25</v>
      </c>
      <c r="M57" s="83">
        <v>1.5231735855332074E-5</v>
      </c>
      <c r="N57" s="83">
        <v>512231543057942.37</v>
      </c>
      <c r="O57" s="83">
        <v>1.4040674462487751E-5</v>
      </c>
      <c r="P57" s="83">
        <v>458974699467253.12</v>
      </c>
      <c r="Q57" s="83">
        <v>1.2667648266334504E-5</v>
      </c>
      <c r="R57" s="83">
        <v>418977118529659.25</v>
      </c>
      <c r="S57" s="83">
        <v>1.1479087481647966E-5</v>
      </c>
      <c r="T57" s="83">
        <v>372539276181078.31</v>
      </c>
      <c r="U57" s="83">
        <v>1.0269713928033034E-5</v>
      </c>
      <c r="V57" s="83">
        <v>332587905903904.31</v>
      </c>
      <c r="W57" s="83">
        <v>9.2691704194514394E-6</v>
      </c>
      <c r="X57" s="83">
        <v>281686691212186.31</v>
      </c>
      <c r="Y57" s="83">
        <v>7.812481005989878E-6</v>
      </c>
      <c r="Z57" s="83">
        <v>258460586039135.25</v>
      </c>
      <c r="AA57" s="83">
        <v>7.1539037710871754E-6</v>
      </c>
      <c r="AB57" s="83">
        <v>231577551147509.34</v>
      </c>
      <c r="AC57" s="83">
        <v>6.4364699084493931E-6</v>
      </c>
      <c r="AD57" s="83">
        <v>216184085536803.12</v>
      </c>
      <c r="AE57" s="83">
        <v>5.9733748961075459E-6</v>
      </c>
    </row>
    <row r="58" spans="2:31" x14ac:dyDescent="0.2">
      <c r="B58" s="83">
        <v>755745002016046.25</v>
      </c>
      <c r="C58" s="83">
        <v>2.1321272870262259E-5</v>
      </c>
      <c r="D58" s="83">
        <v>679439707328766.5</v>
      </c>
      <c r="E58" s="83">
        <v>1.9777674657353455E-5</v>
      </c>
      <c r="F58" s="83">
        <v>646377394619152.75</v>
      </c>
      <c r="G58" s="83">
        <v>1.8654352102494552E-5</v>
      </c>
      <c r="H58" s="83">
        <v>590577009365372.12</v>
      </c>
      <c r="I58" s="83">
        <v>1.6965930338934449E-5</v>
      </c>
      <c r="J58" s="83">
        <v>559635274159314.81</v>
      </c>
      <c r="K58" s="83">
        <v>1.5954505951305608E-5</v>
      </c>
      <c r="L58" s="83">
        <v>516290594872729.87</v>
      </c>
      <c r="M58" s="83">
        <v>1.5122326172806739E-5</v>
      </c>
      <c r="N58" s="83">
        <v>482075932170723.31</v>
      </c>
      <c r="O58" s="83">
        <v>1.386787946082308E-5</v>
      </c>
      <c r="P58" s="83">
        <v>428565139192625.06</v>
      </c>
      <c r="Q58" s="83">
        <v>1.2408073052084779E-5</v>
      </c>
      <c r="R58" s="83">
        <v>391286850243741.62</v>
      </c>
      <c r="S58" s="83">
        <v>1.1245525752266726E-5</v>
      </c>
      <c r="T58" s="83">
        <v>350516086224476.12</v>
      </c>
      <c r="U58" s="83">
        <v>1.0135205293967614E-5</v>
      </c>
      <c r="V58" s="83">
        <v>311609846949681.06</v>
      </c>
      <c r="W58" s="83">
        <v>9.1122363198528706E-6</v>
      </c>
      <c r="X58" s="83">
        <v>263812641506680.25</v>
      </c>
      <c r="Y58" s="83">
        <v>7.6806281530294079E-6</v>
      </c>
      <c r="Z58" s="83">
        <v>243554848193499.5</v>
      </c>
      <c r="AA58" s="83">
        <v>7.0750636861943365E-6</v>
      </c>
      <c r="AB58" s="83">
        <v>215785368399667.12</v>
      </c>
      <c r="AC58" s="83">
        <v>6.2950499760756543E-6</v>
      </c>
      <c r="AD58" s="83">
        <v>203881745329685.59</v>
      </c>
      <c r="AE58" s="83">
        <v>5.9113782707085998E-6</v>
      </c>
    </row>
    <row r="59" spans="2:31" x14ac:dyDescent="0.2">
      <c r="B59" s="83">
        <v>718100431933704.75</v>
      </c>
      <c r="C59" s="83">
        <v>2.1260516104681398E-5</v>
      </c>
      <c r="D59" s="83">
        <v>638366494853642.62</v>
      </c>
      <c r="E59" s="83">
        <v>1.952034111402028E-5</v>
      </c>
      <c r="F59" s="83">
        <v>617577329417055.5</v>
      </c>
      <c r="G59" s="83">
        <v>1.8720072952539382E-5</v>
      </c>
      <c r="H59" s="83">
        <v>556775127264800.37</v>
      </c>
      <c r="I59" s="83">
        <v>1.6790166151794868E-5</v>
      </c>
      <c r="J59" s="83">
        <v>528411312261922.06</v>
      </c>
      <c r="K59" s="83">
        <v>1.5808812630080677E-5</v>
      </c>
      <c r="L59" s="83">
        <v>481779284301410.12</v>
      </c>
      <c r="M59" s="83">
        <v>1.4797831053517856E-5</v>
      </c>
      <c r="N59" s="83">
        <v>457877073321845.69</v>
      </c>
      <c r="O59" s="83">
        <v>1.3818868912422696E-5</v>
      </c>
      <c r="P59" s="83">
        <v>404533931313301.5</v>
      </c>
      <c r="Q59" s="83">
        <v>1.2296212376868652E-5</v>
      </c>
      <c r="R59" s="83">
        <v>369506508904998.87</v>
      </c>
      <c r="S59" s="83">
        <v>1.1147763245161531E-5</v>
      </c>
      <c r="T59" s="83">
        <v>332987684674418.37</v>
      </c>
      <c r="U59" s="83">
        <v>1.0106087142492264E-5</v>
      </c>
      <c r="V59" s="83">
        <v>292513389837700.81</v>
      </c>
      <c r="W59" s="83">
        <v>8.9700577193421525E-6</v>
      </c>
      <c r="X59" s="83">
        <v>247722526360051.34</v>
      </c>
      <c r="Y59" s="83">
        <v>7.5695421166542838E-6</v>
      </c>
      <c r="Z59" s="83">
        <v>225058716957091.41</v>
      </c>
      <c r="AA59" s="83">
        <v>6.8605732150778617E-6</v>
      </c>
      <c r="AB59" s="83">
        <v>203936332682522.22</v>
      </c>
      <c r="AC59" s="83">
        <v>6.2384408557014796E-6</v>
      </c>
      <c r="AD59" s="83">
        <v>190675314649954.25</v>
      </c>
      <c r="AE59" s="83">
        <v>5.8001026388120676E-6</v>
      </c>
    </row>
    <row r="60" spans="2:31" x14ac:dyDescent="0.2">
      <c r="B60" s="83">
        <v>674655876384711</v>
      </c>
      <c r="C60" s="83">
        <v>2.0963921344732125E-5</v>
      </c>
      <c r="D60" s="83">
        <v>604129701760431.12</v>
      </c>
      <c r="E60" s="83">
        <v>1.9375222546556053E-5</v>
      </c>
      <c r="F60" s="83">
        <v>582059705517476.12</v>
      </c>
      <c r="G60" s="83">
        <v>1.8500467388598499E-5</v>
      </c>
      <c r="H60" s="83">
        <v>525425857391545.12</v>
      </c>
      <c r="I60" s="83">
        <v>1.6629171487296016E-5</v>
      </c>
      <c r="J60" s="83">
        <v>501654080321042.69</v>
      </c>
      <c r="K60" s="83">
        <v>1.5737422998925572E-5</v>
      </c>
      <c r="L60" s="83">
        <v>453518404665467.69</v>
      </c>
      <c r="M60" s="83">
        <v>1.4620994704997533E-5</v>
      </c>
      <c r="N60" s="83">
        <v>431603686102420</v>
      </c>
      <c r="O60" s="83">
        <v>1.3660954127294794E-5</v>
      </c>
      <c r="P60" s="83">
        <v>383751004687071.94</v>
      </c>
      <c r="Q60" s="83">
        <v>1.2238919253249351E-5</v>
      </c>
      <c r="R60" s="83">
        <v>350123748214476.75</v>
      </c>
      <c r="S60" s="83">
        <v>1.1083164466087849E-5</v>
      </c>
      <c r="T60" s="83">
        <v>313422504321221.12</v>
      </c>
      <c r="U60" s="83">
        <v>9.9716829988263833E-6</v>
      </c>
      <c r="V60" s="83">
        <v>270428268711059.81</v>
      </c>
      <c r="W60" s="83">
        <v>8.7039196302232093E-6</v>
      </c>
      <c r="X60" s="83">
        <v>234409524429355.06</v>
      </c>
      <c r="Y60" s="83">
        <v>7.5132858124943017E-6</v>
      </c>
      <c r="Z60" s="83">
        <v>211025873207234.06</v>
      </c>
      <c r="AA60" s="83">
        <v>6.7465355171186089E-6</v>
      </c>
      <c r="AB60" s="83">
        <v>192455976488422</v>
      </c>
      <c r="AC60" s="83">
        <v>6.1779871109593682E-6</v>
      </c>
      <c r="AD60" s="83">
        <v>179513208037814.31</v>
      </c>
      <c r="AE60" s="83">
        <v>5.7265770989443902E-6</v>
      </c>
    </row>
    <row r="61" spans="2:31" x14ac:dyDescent="0.2">
      <c r="B61" s="83">
        <v>640028712629076.87</v>
      </c>
      <c r="C61" s="83">
        <v>2.0853781938611346E-5</v>
      </c>
      <c r="D61" s="83">
        <v>571804468450092</v>
      </c>
      <c r="E61" s="83">
        <v>1.9265774961415802E-5</v>
      </c>
      <c r="F61" s="83">
        <v>549363536575897.62</v>
      </c>
      <c r="G61" s="83">
        <v>1.8323517847068741E-5</v>
      </c>
      <c r="H61" s="83">
        <v>497688202375123.81</v>
      </c>
      <c r="I61" s="83">
        <v>1.6519525775207222E-5</v>
      </c>
      <c r="J61" s="83">
        <v>466629036324377.31</v>
      </c>
      <c r="K61" s="83">
        <v>1.5355826580260978E-5</v>
      </c>
      <c r="L61" s="83">
        <v>422471844609777.75</v>
      </c>
      <c r="M61" s="83">
        <v>1.430435142556709E-5</v>
      </c>
      <c r="N61" s="83">
        <v>407620136442325.12</v>
      </c>
      <c r="O61" s="83">
        <v>1.3527235392877814E-5</v>
      </c>
      <c r="P61" s="83">
        <v>357996600295476.37</v>
      </c>
      <c r="Q61" s="83">
        <v>1.1975267662485586E-5</v>
      </c>
      <c r="R61" s="83">
        <v>328972377832576.94</v>
      </c>
      <c r="S61" s="83">
        <v>1.0924338656037884E-5</v>
      </c>
      <c r="T61" s="83">
        <v>294866417337173.56</v>
      </c>
      <c r="U61" s="83">
        <v>9.8436625409115383E-6</v>
      </c>
      <c r="V61" s="83">
        <v>256576697489758.41</v>
      </c>
      <c r="W61" s="83">
        <v>8.6711824263077725E-6</v>
      </c>
      <c r="X61" s="83">
        <v>223882285214754.78</v>
      </c>
      <c r="Y61" s="83">
        <v>7.5311984300044829E-6</v>
      </c>
      <c r="Z61" s="83">
        <v>199030159973631.78</v>
      </c>
      <c r="AA61" s="83">
        <v>6.6801615756100256E-6</v>
      </c>
      <c r="AB61" s="83">
        <v>175782833918823.5</v>
      </c>
      <c r="AC61" s="83">
        <v>5.9270679502364945E-6</v>
      </c>
      <c r="AD61" s="83">
        <v>167462420251761.12</v>
      </c>
      <c r="AE61" s="83">
        <v>5.609189457840713E-6</v>
      </c>
    </row>
    <row r="62" spans="2:31" x14ac:dyDescent="0.2">
      <c r="B62" s="83">
        <v>599323531273239</v>
      </c>
      <c r="C62" s="83">
        <v>2.0519111511616592E-5</v>
      </c>
      <c r="D62" s="83">
        <v>534691500068080.25</v>
      </c>
      <c r="E62" s="83">
        <v>1.8917872865882443E-5</v>
      </c>
      <c r="F62" s="83">
        <v>514290067176904.87</v>
      </c>
      <c r="G62" s="83">
        <v>1.8013652723412289E-5</v>
      </c>
      <c r="H62" s="83">
        <v>471359063153378.44</v>
      </c>
      <c r="I62" s="83">
        <v>1.6426658065837016E-5</v>
      </c>
      <c r="J62" s="83">
        <v>440758591640544.19</v>
      </c>
      <c r="K62" s="83">
        <v>1.5238508643318386E-5</v>
      </c>
      <c r="L62" s="83">
        <v>404765044198511.37</v>
      </c>
      <c r="M62" s="83">
        <v>1.4382001328118238E-5</v>
      </c>
      <c r="N62" s="83">
        <v>384365256973557.19</v>
      </c>
      <c r="O62" s="83">
        <v>1.3401550103331195E-5</v>
      </c>
      <c r="P62" s="83">
        <v>337827178218116.69</v>
      </c>
      <c r="Q62" s="83">
        <v>1.1877535670633694E-5</v>
      </c>
      <c r="R62" s="83">
        <v>311830697298934.12</v>
      </c>
      <c r="S62" s="83">
        <v>1.0869651445934E-5</v>
      </c>
      <c r="T62" s="83">
        <v>278655909684872.84</v>
      </c>
      <c r="U62" s="83">
        <v>9.7602101090344085E-6</v>
      </c>
      <c r="V62" s="83">
        <v>240441667376501.19</v>
      </c>
      <c r="W62" s="83">
        <v>8.5360515991704482E-6</v>
      </c>
      <c r="X62" s="83">
        <v>206982737866104.34</v>
      </c>
      <c r="Y62" s="83">
        <v>7.3140519213267552E-6</v>
      </c>
      <c r="Z62" s="83">
        <v>187795637904914.75</v>
      </c>
      <c r="AA62" s="83">
        <v>6.6258334396372077E-6</v>
      </c>
      <c r="AB62" s="83">
        <v>167610889649329.56</v>
      </c>
      <c r="AC62" s="83">
        <v>5.9335736496934479E-6</v>
      </c>
      <c r="AD62" s="83">
        <v>158438758264840.47</v>
      </c>
      <c r="AE62" s="83">
        <v>5.5730294235629385E-6</v>
      </c>
    </row>
    <row r="63" spans="2:31" x14ac:dyDescent="0.2">
      <c r="B63" s="83">
        <v>563843015908685.62</v>
      </c>
      <c r="C63" s="83">
        <v>2.0262777847798498E-5</v>
      </c>
      <c r="D63" s="83">
        <v>506722929567095</v>
      </c>
      <c r="E63" s="83">
        <v>1.8817881475501308E-5</v>
      </c>
      <c r="F63" s="83">
        <v>485974440316771.31</v>
      </c>
      <c r="G63" s="83">
        <v>1.7869520002158047E-5</v>
      </c>
      <c r="H63" s="83">
        <v>439580820255367.62</v>
      </c>
      <c r="I63" s="83">
        <v>1.607373691641157E-5</v>
      </c>
      <c r="J63" s="83">
        <v>419901908685368.87</v>
      </c>
      <c r="K63" s="83">
        <v>1.5227156281110533E-5</v>
      </c>
      <c r="L63" s="83">
        <v>378437880248701.87</v>
      </c>
      <c r="M63" s="83">
        <v>1.410608373488444E-5</v>
      </c>
      <c r="N63" s="83">
        <v>359676517162130.87</v>
      </c>
      <c r="O63" s="83">
        <v>1.3146012577350497E-5</v>
      </c>
      <c r="P63" s="83">
        <v>316914203284321.56</v>
      </c>
      <c r="Q63" s="83">
        <v>1.1681956999122764E-5</v>
      </c>
      <c r="R63" s="83">
        <v>292050738634596.87</v>
      </c>
      <c r="S63" s="83">
        <v>1.0683092296000814E-5</v>
      </c>
      <c r="T63" s="83">
        <v>260178240674670.62</v>
      </c>
      <c r="U63" s="83">
        <v>9.5661574907174612E-6</v>
      </c>
      <c r="V63" s="83">
        <v>229116482596846.47</v>
      </c>
      <c r="W63" s="83">
        <v>8.5292698705249927E-6</v>
      </c>
      <c r="X63" s="83">
        <v>194297478983106.44</v>
      </c>
      <c r="Y63" s="83">
        <v>7.1970079617019873E-6</v>
      </c>
      <c r="Z63" s="83">
        <v>175922905659289.19</v>
      </c>
      <c r="AA63" s="83">
        <v>6.5140842963173797E-6</v>
      </c>
      <c r="AB63" s="83">
        <v>160829537497244.44</v>
      </c>
      <c r="AC63" s="83">
        <v>5.975587576478216E-6</v>
      </c>
      <c r="AD63" s="83">
        <v>147796785023002.94</v>
      </c>
      <c r="AE63" s="83">
        <v>5.4545730096210082E-6</v>
      </c>
    </row>
    <row r="64" spans="2:31" x14ac:dyDescent="0.2">
      <c r="B64" s="83">
        <v>531394257565601.19</v>
      </c>
      <c r="C64" s="83">
        <v>2.0052582638667605E-5</v>
      </c>
      <c r="D64" s="83">
        <v>478081550694482.56</v>
      </c>
      <c r="E64" s="83">
        <v>1.8637469583295393E-5</v>
      </c>
      <c r="F64" s="83">
        <v>456874039956302.94</v>
      </c>
      <c r="G64" s="83">
        <v>1.7655176281548437E-5</v>
      </c>
      <c r="H64" s="83">
        <v>411300753877737.31</v>
      </c>
      <c r="I64" s="83">
        <v>1.5769749635559788E-5</v>
      </c>
      <c r="J64" s="83">
        <v>390768324147561.44</v>
      </c>
      <c r="K64" s="83">
        <v>1.4866093231798039E-5</v>
      </c>
      <c r="L64" s="83">
        <v>355761728383939.12</v>
      </c>
      <c r="M64" s="83">
        <v>1.393126124447667E-5</v>
      </c>
      <c r="N64" s="83">
        <v>340179894453332.5</v>
      </c>
      <c r="O64" s="83">
        <v>1.3035592196356859E-5</v>
      </c>
      <c r="P64" s="83">
        <v>300321540172375.94</v>
      </c>
      <c r="Q64" s="83">
        <v>1.1622809509764546E-5</v>
      </c>
      <c r="R64" s="83">
        <v>276416109086197.06</v>
      </c>
      <c r="S64" s="83">
        <v>1.0609744180302325E-5</v>
      </c>
      <c r="T64" s="83">
        <v>245321102335159.62</v>
      </c>
      <c r="U64" s="83">
        <v>9.460768248023507E-6</v>
      </c>
      <c r="V64" s="83">
        <v>212640146045570</v>
      </c>
      <c r="W64" s="83">
        <v>8.3085664801702222E-6</v>
      </c>
      <c r="X64" s="83">
        <v>182123397385648.66</v>
      </c>
      <c r="Y64" s="83">
        <v>7.0822710787511864E-6</v>
      </c>
      <c r="Z64" s="83">
        <v>169716314780450.94</v>
      </c>
      <c r="AA64" s="83">
        <v>6.5889106655388897E-6</v>
      </c>
      <c r="AB64" s="83">
        <v>148232807907207.56</v>
      </c>
      <c r="AC64" s="83">
        <v>5.777870462398994E-6</v>
      </c>
      <c r="AD64" s="83">
        <v>137748694260660.3</v>
      </c>
      <c r="AE64" s="83">
        <v>5.3324729548877923E-6</v>
      </c>
    </row>
    <row r="65" spans="2:31" x14ac:dyDescent="0.2">
      <c r="B65" s="83">
        <v>501592271413201.25</v>
      </c>
      <c r="C65" s="83">
        <v>1.9903131804141178E-5</v>
      </c>
      <c r="D65" s="83">
        <v>451337037826259.19</v>
      </c>
      <c r="E65" s="83">
        <v>1.8496494193869418E-5</v>
      </c>
      <c r="F65" s="83">
        <v>436647736656381.19</v>
      </c>
      <c r="G65" s="83">
        <v>1.7716290958725088E-5</v>
      </c>
      <c r="H65" s="83">
        <v>383941462215713</v>
      </c>
      <c r="I65" s="83">
        <v>1.5481682633645004E-5</v>
      </c>
      <c r="J65" s="83">
        <v>369796262145124</v>
      </c>
      <c r="K65" s="83">
        <v>1.4772088017184932E-5</v>
      </c>
      <c r="L65" s="83">
        <v>332909499535781.06</v>
      </c>
      <c r="M65" s="83">
        <v>1.3701388126007265E-5</v>
      </c>
      <c r="N65" s="83">
        <v>315916166133741.5</v>
      </c>
      <c r="O65" s="83">
        <v>1.27268306743929E-5</v>
      </c>
      <c r="P65" s="83">
        <v>280495207316236.31</v>
      </c>
      <c r="Q65" s="83">
        <v>1.1416711904888183E-5</v>
      </c>
      <c r="R65" s="83">
        <v>258270616325954.06</v>
      </c>
      <c r="S65" s="83">
        <v>1.041862134024803E-5</v>
      </c>
      <c r="T65" s="83">
        <v>234644109972737.31</v>
      </c>
      <c r="U65" s="83">
        <v>9.511786963143625E-6</v>
      </c>
      <c r="V65" s="83">
        <v>205397007887180.47</v>
      </c>
      <c r="W65" s="83">
        <v>8.4407738512596925E-6</v>
      </c>
      <c r="X65" s="83">
        <v>172037571277213.97</v>
      </c>
      <c r="Y65" s="83">
        <v>7.0309072454594627E-6</v>
      </c>
      <c r="Z65" s="83">
        <v>156193228422635.56</v>
      </c>
      <c r="AA65" s="83">
        <v>6.371699996572451E-6</v>
      </c>
      <c r="AB65" s="83">
        <v>138367529802426.62</v>
      </c>
      <c r="AC65" s="83">
        <v>5.6645973841794835E-6</v>
      </c>
      <c r="AD65" s="83">
        <v>130932004767992</v>
      </c>
      <c r="AE65" s="83">
        <v>5.3333736300578099E-6</v>
      </c>
    </row>
    <row r="66" spans="2:31" x14ac:dyDescent="0.2">
      <c r="B66" s="83">
        <v>477618505763267.31</v>
      </c>
      <c r="C66" s="83">
        <v>1.9915900513586803E-5</v>
      </c>
      <c r="D66" s="83">
        <v>428055740945983.25</v>
      </c>
      <c r="E66" s="83">
        <v>1.8397722146344185E-5</v>
      </c>
      <c r="F66" s="83">
        <v>406059937951185.19</v>
      </c>
      <c r="G66" s="83">
        <v>1.7294859135570815E-5</v>
      </c>
      <c r="H66" s="83">
        <v>364032732970949.44</v>
      </c>
      <c r="I66" s="83">
        <v>1.541308128590878E-5</v>
      </c>
      <c r="J66" s="83">
        <v>346521213677229.19</v>
      </c>
      <c r="K66" s="83">
        <v>1.4542729356183858E-5</v>
      </c>
      <c r="L66" s="83">
        <v>318687689471149.56</v>
      </c>
      <c r="M66" s="83">
        <v>1.3747178078028549E-5</v>
      </c>
      <c r="N66" s="83">
        <v>301661660675943.75</v>
      </c>
      <c r="O66" s="83">
        <v>1.2751728308326283E-5</v>
      </c>
      <c r="P66" s="83">
        <v>263020658504995.56</v>
      </c>
      <c r="Q66" s="83">
        <v>1.1223812570893968E-5</v>
      </c>
      <c r="R66" s="83">
        <v>242315757009617.06</v>
      </c>
      <c r="S66" s="83">
        <v>1.0258186506563087E-5</v>
      </c>
      <c r="T66" s="83">
        <v>223366408144172.22</v>
      </c>
      <c r="U66" s="83">
        <v>9.4947499186621967E-6</v>
      </c>
      <c r="V66" s="83">
        <v>191088508508373.94</v>
      </c>
      <c r="W66" s="83">
        <v>8.2358413264779165E-6</v>
      </c>
      <c r="X66" s="83">
        <v>158621065731657.69</v>
      </c>
      <c r="Y66" s="83">
        <v>6.8027616818395652E-6</v>
      </c>
      <c r="Z66" s="83">
        <v>146513363824323.25</v>
      </c>
      <c r="AA66" s="83">
        <v>6.2722419337027869E-6</v>
      </c>
      <c r="AB66" s="83">
        <v>132190530648875.27</v>
      </c>
      <c r="AC66" s="83">
        <v>5.681817101768538E-6</v>
      </c>
      <c r="AD66" s="83">
        <v>123207633973800.05</v>
      </c>
      <c r="AE66" s="83">
        <v>5.2660296076399135E-6</v>
      </c>
    </row>
    <row r="67" spans="2:31" x14ac:dyDescent="0.2">
      <c r="B67" s="83">
        <v>453659101974491.37</v>
      </c>
      <c r="C67" s="83">
        <v>1.9821283426332261E-5</v>
      </c>
      <c r="D67" s="83">
        <v>401592735816758.87</v>
      </c>
      <c r="E67" s="83">
        <v>1.809248854876668E-5</v>
      </c>
      <c r="F67" s="83">
        <v>385781325091137.69</v>
      </c>
      <c r="G67" s="83">
        <v>1.7227971772230982E-5</v>
      </c>
      <c r="H67" s="83">
        <v>342872178170377.81</v>
      </c>
      <c r="I67" s="83">
        <v>1.5230903010074713E-5</v>
      </c>
      <c r="J67" s="83">
        <v>324117839425568.75</v>
      </c>
      <c r="K67" s="83">
        <v>1.4255033914850962E-5</v>
      </c>
      <c r="L67" s="83">
        <v>297961466813958.5</v>
      </c>
      <c r="M67" s="83">
        <v>1.3477729350514838E-5</v>
      </c>
      <c r="N67" s="83">
        <v>284021387568328.5</v>
      </c>
      <c r="O67" s="83">
        <v>1.2590471704918728E-5</v>
      </c>
      <c r="P67" s="83">
        <v>252309494117778.53</v>
      </c>
      <c r="Q67" s="83">
        <v>1.1297938054971372E-5</v>
      </c>
      <c r="R67" s="83">
        <v>230551811940180.41</v>
      </c>
      <c r="S67" s="83">
        <v>1.0237914869584543E-5</v>
      </c>
      <c r="T67" s="83">
        <v>212432075767049.44</v>
      </c>
      <c r="U67" s="83">
        <v>9.457062267249702E-6</v>
      </c>
      <c r="V67" s="83">
        <v>180307845469297.28</v>
      </c>
      <c r="W67" s="83">
        <v>8.1376823528582447E-6</v>
      </c>
      <c r="X67" s="83">
        <v>149292398503537.66</v>
      </c>
      <c r="Y67" s="83">
        <v>6.7131808114457031E-6</v>
      </c>
      <c r="Z67" s="83">
        <v>136665286030007.8</v>
      </c>
      <c r="AA67" s="83">
        <v>6.1404779146936023E-6</v>
      </c>
      <c r="AB67" s="83">
        <v>122727185466134.61</v>
      </c>
      <c r="AC67" s="83">
        <v>5.5333878403047999E-6</v>
      </c>
      <c r="AD67" s="83">
        <v>116635075123572.48</v>
      </c>
      <c r="AE67" s="83">
        <v>5.2235417291028799E-6</v>
      </c>
    </row>
    <row r="68" spans="2:31" x14ac:dyDescent="0.2">
      <c r="B68" s="83">
        <v>423481394147375.5</v>
      </c>
      <c r="C68" s="83">
        <v>1.9419409289855979E-5</v>
      </c>
      <c r="D68" s="83">
        <v>378526586028269.06</v>
      </c>
      <c r="E68" s="83">
        <v>1.7882613040209307E-5</v>
      </c>
      <c r="F68" s="83">
        <v>364622826410694.5</v>
      </c>
      <c r="G68" s="83">
        <v>1.7086545344472941E-5</v>
      </c>
      <c r="H68" s="83">
        <v>323938883786456.44</v>
      </c>
      <c r="I68" s="83">
        <v>1.5091399086297687E-5</v>
      </c>
      <c r="J68" s="83">
        <v>305727018694077.06</v>
      </c>
      <c r="K68" s="83">
        <v>1.4110581927893289E-5</v>
      </c>
      <c r="L68" s="83">
        <v>277721469718181.34</v>
      </c>
      <c r="M68" s="83">
        <v>1.31592350420165E-5</v>
      </c>
      <c r="N68" s="83">
        <v>266606322742639.75</v>
      </c>
      <c r="O68" s="83">
        <v>1.2389529742049766E-5</v>
      </c>
      <c r="P68" s="83">
        <v>235232676865957.81</v>
      </c>
      <c r="Q68" s="83">
        <v>1.103644340900793E-5</v>
      </c>
      <c r="R68" s="83">
        <v>216463300373328.97</v>
      </c>
      <c r="S68" s="83">
        <v>1.0074655086814662E-5</v>
      </c>
      <c r="T68" s="83">
        <v>196387758360825.5</v>
      </c>
      <c r="U68" s="83">
        <v>9.1568987656325591E-6</v>
      </c>
      <c r="V68" s="83">
        <v>166993675889964.84</v>
      </c>
      <c r="W68" s="83">
        <v>7.8945289108674274E-6</v>
      </c>
      <c r="X68" s="83">
        <v>142007226815471.22</v>
      </c>
      <c r="Y68" s="83">
        <v>6.7007422665530539E-6</v>
      </c>
      <c r="Z68" s="83">
        <v>128978384640543.53</v>
      </c>
      <c r="AA68" s="83">
        <v>6.0777758930937024E-6</v>
      </c>
      <c r="AB68" s="83">
        <v>115736035583153.47</v>
      </c>
      <c r="AC68" s="83">
        <v>5.468744936202713E-6</v>
      </c>
      <c r="AD68" s="83">
        <v>106411919822766.7</v>
      </c>
      <c r="AE68" s="83">
        <v>5.0028614659970478E-6</v>
      </c>
    </row>
    <row r="69" spans="2:31" x14ac:dyDescent="0.2">
      <c r="B69" s="83">
        <v>400787116939625.06</v>
      </c>
      <c r="C69" s="83">
        <v>1.9256264518982012E-5</v>
      </c>
      <c r="D69" s="83">
        <v>354726872495454.06</v>
      </c>
      <c r="E69" s="83">
        <v>1.7590468466766731E-5</v>
      </c>
      <c r="F69" s="83">
        <v>339500103161005</v>
      </c>
      <c r="G69" s="83">
        <v>1.6691807364443123E-5</v>
      </c>
      <c r="H69" s="83">
        <v>311485581391334.37</v>
      </c>
      <c r="I69" s="83">
        <v>1.5215457920442734E-5</v>
      </c>
      <c r="J69" s="83">
        <v>279402820046144.25</v>
      </c>
      <c r="K69" s="83">
        <v>1.3527936475154068E-5</v>
      </c>
      <c r="L69" s="83">
        <v>257918038986297.75</v>
      </c>
      <c r="M69" s="83">
        <v>1.2826756096446068E-5</v>
      </c>
      <c r="N69" s="83">
        <v>250704155876472.22</v>
      </c>
      <c r="O69" s="83">
        <v>1.2203179628868713E-5</v>
      </c>
      <c r="P69" s="83">
        <v>223017160219175.84</v>
      </c>
      <c r="Q69" s="83">
        <v>1.0974473535152183E-5</v>
      </c>
      <c r="R69" s="83">
        <v>200695995381659.5</v>
      </c>
      <c r="S69" s="83">
        <v>9.7944083246083237E-6</v>
      </c>
      <c r="T69" s="83">
        <v>183456258947698.72</v>
      </c>
      <c r="U69" s="83">
        <v>8.9653469843505146E-6</v>
      </c>
      <c r="V69" s="83">
        <v>152286253526570.53</v>
      </c>
      <c r="W69" s="83">
        <v>7.5576085119437136E-6</v>
      </c>
      <c r="X69" s="83">
        <v>130115737143489.77</v>
      </c>
      <c r="Y69" s="83">
        <v>6.4328388984842105E-6</v>
      </c>
      <c r="Z69" s="83">
        <v>122155475056865.89</v>
      </c>
      <c r="AA69" s="83">
        <v>6.0335877356263658E-6</v>
      </c>
      <c r="AB69" s="83">
        <v>110065351315304.83</v>
      </c>
      <c r="AC69" s="83">
        <v>5.4580393161255514E-6</v>
      </c>
      <c r="AD69" s="83">
        <v>100662792697314.45</v>
      </c>
      <c r="AE69" s="83">
        <v>4.9604288492423386E-6</v>
      </c>
    </row>
    <row r="70" spans="2:31" x14ac:dyDescent="0.2">
      <c r="B70" s="83">
        <v>383076980504372</v>
      </c>
      <c r="C70" s="83">
        <v>1.9307338480240096E-5</v>
      </c>
      <c r="D70" s="83">
        <v>336362179149980.56</v>
      </c>
      <c r="E70" s="83">
        <v>1.7484568252347748E-5</v>
      </c>
      <c r="F70" s="83">
        <v>318693509235193.37</v>
      </c>
      <c r="G70" s="83">
        <v>1.6428516639919481E-5</v>
      </c>
      <c r="H70" s="83">
        <v>291338318408635.62</v>
      </c>
      <c r="I70" s="83">
        <v>1.4903888259749908E-5</v>
      </c>
      <c r="J70" s="83">
        <v>271225990731676.97</v>
      </c>
      <c r="K70" s="83">
        <v>1.3769104018942424E-5</v>
      </c>
      <c r="L70" s="83">
        <v>246957995264090.97</v>
      </c>
      <c r="M70" s="83">
        <v>1.2886913447695367E-5</v>
      </c>
      <c r="N70" s="83">
        <v>236730108286842.72</v>
      </c>
      <c r="O70" s="83">
        <v>1.2092774719427584E-5</v>
      </c>
      <c r="P70" s="83">
        <v>206512998826042.34</v>
      </c>
      <c r="Q70" s="83">
        <v>1.065199796179617E-5</v>
      </c>
      <c r="R70" s="83">
        <v>192468302917576.34</v>
      </c>
      <c r="S70" s="83">
        <v>9.8535753782842992E-6</v>
      </c>
      <c r="T70" s="83">
        <v>172220426414343.81</v>
      </c>
      <c r="U70" s="83">
        <v>8.8211849030449159E-6</v>
      </c>
      <c r="V70" s="83">
        <v>145504986829043.78</v>
      </c>
      <c r="W70" s="83">
        <v>7.5733328494238799E-6</v>
      </c>
      <c r="X70" s="83">
        <v>122657335641369.5</v>
      </c>
      <c r="Y70" s="83">
        <v>6.3597456248027236E-6</v>
      </c>
      <c r="Z70" s="83">
        <v>117518652584320.84</v>
      </c>
      <c r="AA70" s="83">
        <v>6.0876244275255218E-6</v>
      </c>
      <c r="AB70" s="83">
        <v>105086086875305.16</v>
      </c>
      <c r="AC70" s="83">
        <v>5.4639265549682441E-6</v>
      </c>
      <c r="AD70" s="83">
        <v>97097747864390.266</v>
      </c>
      <c r="AE70" s="83">
        <v>5.0198700955484933E-6</v>
      </c>
    </row>
    <row r="71" spans="2:31" x14ac:dyDescent="0.2">
      <c r="B71" s="83">
        <v>353309329222413.06</v>
      </c>
      <c r="C71" s="83">
        <v>1.8674059339829038E-5</v>
      </c>
      <c r="D71" s="83">
        <v>316053466591268.25</v>
      </c>
      <c r="E71" s="83">
        <v>1.7255035904556888E-5</v>
      </c>
      <c r="F71" s="83">
        <v>305848119253048.5</v>
      </c>
      <c r="G71" s="83">
        <v>1.6554734746008739E-5</v>
      </c>
      <c r="H71" s="83">
        <v>272767351742095.09</v>
      </c>
      <c r="I71" s="83">
        <v>1.4645818723542292E-5</v>
      </c>
      <c r="J71" s="83">
        <v>257038741774351.19</v>
      </c>
      <c r="K71" s="83">
        <v>1.3709356158541866E-5</v>
      </c>
      <c r="L71" s="83">
        <v>230834176761159.5</v>
      </c>
      <c r="M71" s="83">
        <v>1.2643234323014797E-5</v>
      </c>
      <c r="N71" s="83">
        <v>223980980569352.81</v>
      </c>
      <c r="O71" s="83">
        <v>1.198883429903994E-5</v>
      </c>
      <c r="P71" s="83">
        <v>196684803542311.16</v>
      </c>
      <c r="Q71" s="83">
        <v>1.0651835511220096E-5</v>
      </c>
      <c r="R71" s="83">
        <v>178395328691657.47</v>
      </c>
      <c r="S71" s="83">
        <v>9.5706115053222037E-6</v>
      </c>
      <c r="T71" s="83">
        <v>162206696976951</v>
      </c>
      <c r="U71" s="83">
        <v>8.711863608324498E-6</v>
      </c>
      <c r="V71" s="83">
        <v>135192285994950.95</v>
      </c>
      <c r="W71" s="83">
        <v>7.3932637545439599E-6</v>
      </c>
      <c r="X71" s="83">
        <v>117898866455761.83</v>
      </c>
      <c r="Y71" s="83">
        <v>6.4172686379474538E-6</v>
      </c>
      <c r="Z71" s="83">
        <v>108074381009539.75</v>
      </c>
      <c r="AA71" s="83">
        <v>5.8720492244047891E-6</v>
      </c>
      <c r="AB71" s="83">
        <v>98584592794713.203</v>
      </c>
      <c r="AC71" s="83">
        <v>5.3829797237271653E-6</v>
      </c>
      <c r="AD71" s="83">
        <v>90780173175973.406</v>
      </c>
      <c r="AE71" s="83">
        <v>4.9260814202730606E-6</v>
      </c>
    </row>
    <row r="72" spans="2:31" x14ac:dyDescent="0.2">
      <c r="B72" s="83">
        <v>332233572190657.94</v>
      </c>
      <c r="C72" s="83">
        <v>1.8440663525019379E-5</v>
      </c>
      <c r="D72" s="83">
        <v>290560627990805.06</v>
      </c>
      <c r="E72" s="83">
        <v>1.6629044902861336E-5</v>
      </c>
      <c r="F72" s="83">
        <v>281009941930387.91</v>
      </c>
      <c r="G72" s="83">
        <v>1.595742678982163E-5</v>
      </c>
      <c r="H72" s="83">
        <v>256578756914195.03</v>
      </c>
      <c r="I72" s="83">
        <v>1.4469858213327189E-5</v>
      </c>
      <c r="J72" s="83">
        <v>240475347799439.34</v>
      </c>
      <c r="K72" s="83">
        <v>1.3433111849235877E-5</v>
      </c>
      <c r="L72" s="83">
        <v>216584814584370.22</v>
      </c>
      <c r="M72" s="83">
        <v>1.2446297477400352E-5</v>
      </c>
      <c r="N72" s="83">
        <v>210494674604107.16</v>
      </c>
      <c r="O72" s="83">
        <v>1.1821122039944649E-5</v>
      </c>
      <c r="P72" s="83">
        <v>180685867473405.28</v>
      </c>
      <c r="Q72" s="83">
        <v>1.0282005307083944E-5</v>
      </c>
      <c r="R72" s="83">
        <v>166127606525311.66</v>
      </c>
      <c r="S72" s="83">
        <v>9.3594077109371631E-6</v>
      </c>
      <c r="T72" s="83">
        <v>152123150499551.53</v>
      </c>
      <c r="U72" s="83">
        <v>8.5827854776051084E-6</v>
      </c>
      <c r="V72" s="83">
        <v>129530715448441.48</v>
      </c>
      <c r="W72" s="83">
        <v>7.4302278444389183E-6</v>
      </c>
      <c r="X72" s="83">
        <v>108508245967704.77</v>
      </c>
      <c r="Y72" s="83">
        <v>6.1959217084737081E-6</v>
      </c>
      <c r="Z72" s="83">
        <v>101172244862934.81</v>
      </c>
      <c r="AA72" s="83">
        <v>5.7678371516850886E-6</v>
      </c>
      <c r="AB72" s="83">
        <v>92865545433051</v>
      </c>
      <c r="AC72" s="83">
        <v>5.3163523272299983E-6</v>
      </c>
      <c r="AD72" s="83">
        <v>85736522583347.094</v>
      </c>
      <c r="AE72" s="83">
        <v>4.8838717668274422E-6</v>
      </c>
    </row>
    <row r="73" spans="2:31" x14ac:dyDescent="0.2">
      <c r="B73" s="83">
        <v>314279482715158.12</v>
      </c>
      <c r="C73" s="83">
        <v>1.8335992745697415E-5</v>
      </c>
      <c r="D73" s="83">
        <v>274581197419296.12</v>
      </c>
      <c r="E73" s="83">
        <v>1.6484761517661331E-5</v>
      </c>
      <c r="F73" s="83">
        <v>267838921460995.34</v>
      </c>
      <c r="G73" s="83">
        <v>1.5961637760915275E-5</v>
      </c>
      <c r="H73" s="83">
        <v>238707493377913.97</v>
      </c>
      <c r="I73" s="83">
        <v>1.4120708651280894E-5</v>
      </c>
      <c r="J73" s="83">
        <v>228464520651847.53</v>
      </c>
      <c r="K73" s="83">
        <v>1.3394050100651642E-5</v>
      </c>
      <c r="L73" s="83">
        <v>202834846052034.31</v>
      </c>
      <c r="M73" s="83">
        <v>1.2232037680501498E-5</v>
      </c>
      <c r="N73" s="83">
        <v>194385774941071.25</v>
      </c>
      <c r="O73" s="83">
        <v>1.1457941291059565E-5</v>
      </c>
      <c r="P73" s="83">
        <v>172736190344170.56</v>
      </c>
      <c r="Q73" s="83">
        <v>1.0295509520005705E-5</v>
      </c>
      <c r="R73" s="83">
        <v>152472732561382.37</v>
      </c>
      <c r="S73" s="83">
        <v>9.0191524603675842E-6</v>
      </c>
      <c r="T73" s="83">
        <v>144859467633270.94</v>
      </c>
      <c r="U73" s="83">
        <v>8.5621953688737129E-6</v>
      </c>
      <c r="V73" s="83">
        <v>124038854300182.89</v>
      </c>
      <c r="W73" s="83">
        <v>7.4525193962451244E-6</v>
      </c>
      <c r="X73" s="83">
        <v>103672119910114.28</v>
      </c>
      <c r="Y73" s="83">
        <v>6.2154706092680169E-6</v>
      </c>
      <c r="Z73" s="83">
        <v>91651297731740.406</v>
      </c>
      <c r="AA73" s="83">
        <v>5.4837327663440133E-6</v>
      </c>
      <c r="AB73" s="83">
        <v>85446893106778.453</v>
      </c>
      <c r="AC73" s="83">
        <v>5.1330407605766552E-6</v>
      </c>
      <c r="AD73" s="83">
        <v>81157578416633.703</v>
      </c>
      <c r="AE73" s="83">
        <v>4.8474207126550827E-6</v>
      </c>
    </row>
    <row r="74" spans="2:31" x14ac:dyDescent="0.2">
      <c r="B74" s="83">
        <v>297278862388002.25</v>
      </c>
      <c r="C74" s="83">
        <v>1.8192563023062574E-5</v>
      </c>
      <c r="D74" s="83">
        <v>254679834544182.62</v>
      </c>
      <c r="E74" s="83">
        <v>1.6045545109127101E-5</v>
      </c>
      <c r="F74" s="83">
        <v>252116595567651.94</v>
      </c>
      <c r="G74" s="83">
        <v>1.5738268994482217E-5</v>
      </c>
      <c r="H74" s="83">
        <v>229952692350169.97</v>
      </c>
      <c r="I74" s="83">
        <v>1.4279843982448575E-5</v>
      </c>
      <c r="J74" s="83">
        <v>210231622336390</v>
      </c>
      <c r="K74" s="83">
        <v>1.2942190677953042E-5</v>
      </c>
      <c r="L74" s="83">
        <v>194130898201324.94</v>
      </c>
      <c r="M74" s="83">
        <v>1.2256752304906228E-5</v>
      </c>
      <c r="N74" s="83">
        <v>180854139550477</v>
      </c>
      <c r="O74" s="83">
        <v>1.1179358343275576E-5</v>
      </c>
      <c r="P74" s="83">
        <v>162561616635789.87</v>
      </c>
      <c r="Q74" s="83">
        <v>1.0166457580624489E-5</v>
      </c>
      <c r="R74" s="83">
        <v>143945545327777.62</v>
      </c>
      <c r="S74" s="83">
        <v>8.933187209860062E-6</v>
      </c>
      <c r="T74" s="83">
        <v>141404695198818.12</v>
      </c>
      <c r="U74" s="83">
        <v>8.7725621249745994E-6</v>
      </c>
      <c r="V74" s="83">
        <v>115890437943948.3</v>
      </c>
      <c r="W74" s="83">
        <v>7.3025711868941649E-6</v>
      </c>
      <c r="X74" s="83">
        <v>95777572202118.828</v>
      </c>
      <c r="Y74" s="83">
        <v>6.0184289890876754E-6</v>
      </c>
      <c r="Z74" s="83">
        <v>85101157313425.578</v>
      </c>
      <c r="AA74" s="83">
        <v>5.3417341690467408E-6</v>
      </c>
      <c r="AB74" s="83">
        <v>81200386241650.297</v>
      </c>
      <c r="AC74" s="83">
        <v>5.1095105154947453E-6</v>
      </c>
      <c r="AD74" s="83">
        <v>75619039211329.937</v>
      </c>
      <c r="AE74" s="83">
        <v>4.7335301788513559E-6</v>
      </c>
    </row>
    <row r="75" spans="2:31" x14ac:dyDescent="0.2">
      <c r="B75" s="83">
        <v>284611658076863.06</v>
      </c>
      <c r="C75" s="83">
        <v>1.8272291697265826E-5</v>
      </c>
      <c r="D75" s="83">
        <v>240040100020978</v>
      </c>
      <c r="E75" s="83">
        <v>1.5876375518964142E-5</v>
      </c>
      <c r="F75" s="83">
        <v>236204720377403.31</v>
      </c>
      <c r="G75" s="83">
        <v>1.5477517231602005E-5</v>
      </c>
      <c r="H75" s="83">
        <v>218920548333084.69</v>
      </c>
      <c r="I75" s="83">
        <v>1.4234413437482793E-5</v>
      </c>
      <c r="J75" s="83">
        <v>202262219629575.72</v>
      </c>
      <c r="K75" s="83">
        <v>1.3031129164972656E-5</v>
      </c>
      <c r="L75" s="83">
        <v>182549545132937.37</v>
      </c>
      <c r="M75" s="83">
        <v>1.2101047488655523E-5</v>
      </c>
      <c r="N75" s="83">
        <v>176733846474960.81</v>
      </c>
      <c r="O75" s="83">
        <v>1.1457482696037673E-5</v>
      </c>
      <c r="P75" s="83">
        <v>149389128591150.53</v>
      </c>
      <c r="Q75" s="83">
        <v>9.7848942176703679E-6</v>
      </c>
      <c r="R75" s="83">
        <v>138914710809053.86</v>
      </c>
      <c r="S75" s="83">
        <v>9.0381506428553784E-6</v>
      </c>
      <c r="T75" s="83">
        <v>129486536369802.81</v>
      </c>
      <c r="U75" s="83">
        <v>8.4101396004330666E-6</v>
      </c>
      <c r="V75" s="83">
        <v>105903811344123.08</v>
      </c>
      <c r="W75" s="83">
        <v>6.9961316083312518E-6</v>
      </c>
      <c r="X75" s="83">
        <v>92121302546752.172</v>
      </c>
      <c r="Y75" s="83">
        <v>6.073132920107045E-6</v>
      </c>
      <c r="Z75" s="83">
        <v>80920838116110.312</v>
      </c>
      <c r="AA75" s="83">
        <v>5.3304342307022713E-6</v>
      </c>
      <c r="AB75" s="83">
        <v>72548044189688.719</v>
      </c>
      <c r="AC75" s="83">
        <v>4.7889066320954796E-6</v>
      </c>
      <c r="AD75" s="83">
        <v>68835646478881.273</v>
      </c>
      <c r="AE75" s="83">
        <v>4.5188134122850916E-6</v>
      </c>
    </row>
    <row r="76" spans="2:31" x14ac:dyDescent="0.2">
      <c r="B76" s="83">
        <v>264244831708593.19</v>
      </c>
      <c r="C76" s="83">
        <v>1.7755611687528962E-5</v>
      </c>
      <c r="D76" s="83">
        <v>223013979483197.94</v>
      </c>
      <c r="E76" s="83">
        <v>1.5464674078377375E-5</v>
      </c>
      <c r="F76" s="83">
        <v>222511952494720.25</v>
      </c>
      <c r="G76" s="83">
        <v>1.5299511457558458E-5</v>
      </c>
      <c r="H76" s="83">
        <v>202850982228103.22</v>
      </c>
      <c r="I76" s="83">
        <v>1.3820074477318621E-5</v>
      </c>
      <c r="J76" s="83">
        <v>189737717489411.44</v>
      </c>
      <c r="K76" s="83">
        <v>1.2829014676184994E-5</v>
      </c>
      <c r="L76" s="83">
        <v>167484658896943.78</v>
      </c>
      <c r="M76" s="83">
        <v>1.1612255734178922E-5</v>
      </c>
      <c r="N76" s="83">
        <v>158612657565439.28</v>
      </c>
      <c r="O76" s="83">
        <v>1.0768101942088444E-5</v>
      </c>
      <c r="P76" s="83">
        <v>139988726513263.27</v>
      </c>
      <c r="Q76" s="83">
        <v>9.6156329441414943E-6</v>
      </c>
      <c r="R76" s="83">
        <v>130930728684047.92</v>
      </c>
      <c r="S76" s="83">
        <v>8.9284960937267893E-6</v>
      </c>
      <c r="T76" s="83">
        <v>124730486045028.84</v>
      </c>
      <c r="U76" s="83">
        <v>8.4776875687442412E-6</v>
      </c>
      <c r="V76" s="83">
        <v>100038424445626.92</v>
      </c>
      <c r="W76" s="83">
        <v>6.9303638929546439E-6</v>
      </c>
      <c r="X76" s="83">
        <v>83627026968321.281</v>
      </c>
      <c r="Y76" s="83">
        <v>5.7786407078860443E-6</v>
      </c>
      <c r="Z76" s="83">
        <v>77561964228705.797</v>
      </c>
      <c r="AA76" s="83">
        <v>5.3581415603087803E-6</v>
      </c>
      <c r="AB76" s="83">
        <v>71438913920988.047</v>
      </c>
      <c r="AC76" s="83">
        <v>4.948688332255273E-6</v>
      </c>
      <c r="AD76" s="83">
        <v>65863384195330.937</v>
      </c>
      <c r="AE76" s="83">
        <v>4.5380018289401971E-6</v>
      </c>
    </row>
    <row r="77" spans="2:31" x14ac:dyDescent="0.2">
      <c r="B77" s="83">
        <v>251060706825494.37</v>
      </c>
      <c r="C77" s="83">
        <v>1.7653727168520421E-5</v>
      </c>
      <c r="D77" s="83">
        <v>213156629262596.72</v>
      </c>
      <c r="E77" s="83">
        <v>1.5521730646591717E-5</v>
      </c>
      <c r="F77" s="83">
        <v>214191918862507.25</v>
      </c>
      <c r="G77" s="83">
        <v>1.5424230404114641E-5</v>
      </c>
      <c r="H77" s="83">
        <v>187090823049118.44</v>
      </c>
      <c r="I77" s="83">
        <v>1.3367491255337776E-5</v>
      </c>
      <c r="J77" s="83">
        <v>172285382064695.28</v>
      </c>
      <c r="K77" s="83">
        <v>1.2205663682895446E-5</v>
      </c>
      <c r="L77" s="83">
        <v>158651788091863.22</v>
      </c>
      <c r="M77" s="83">
        <v>1.1549760574410356E-5</v>
      </c>
      <c r="N77" s="83">
        <v>154567418003870.31</v>
      </c>
      <c r="O77" s="83">
        <v>1.1019853159915659E-5</v>
      </c>
      <c r="P77" s="83">
        <v>129623839205298.16</v>
      </c>
      <c r="Q77" s="83">
        <v>9.3569225464271718E-6</v>
      </c>
      <c r="R77" s="83">
        <v>126787483812983.84</v>
      </c>
      <c r="S77" s="83">
        <v>9.0619705102799374E-6</v>
      </c>
      <c r="T77" s="83">
        <v>117270408013430.77</v>
      </c>
      <c r="U77" s="83">
        <v>8.3588883648497124E-6</v>
      </c>
      <c r="V77" s="83">
        <v>91910561154029.266</v>
      </c>
      <c r="W77" s="83">
        <v>6.6724135424640149E-6</v>
      </c>
      <c r="X77" s="83">
        <v>79434274140220.281</v>
      </c>
      <c r="Y77" s="83">
        <v>5.7532832528609813E-6</v>
      </c>
      <c r="Z77" s="83">
        <v>76164310956672.953</v>
      </c>
      <c r="AA77" s="83">
        <v>5.5143335378041552E-6</v>
      </c>
      <c r="AB77" s="83">
        <v>66640277521344.828</v>
      </c>
      <c r="AC77" s="83">
        <v>4.8403942849649927E-6</v>
      </c>
      <c r="AD77" s="83">
        <v>62978942874832.312</v>
      </c>
      <c r="AE77" s="83">
        <v>4.5485069048843179E-6</v>
      </c>
    </row>
    <row r="78" spans="2:31" x14ac:dyDescent="0.2">
      <c r="B78" s="83">
        <v>226840696430332.69</v>
      </c>
      <c r="C78" s="83">
        <v>1.6749194350539221E-5</v>
      </c>
      <c r="D78" s="83">
        <v>198993171602184.34</v>
      </c>
      <c r="E78" s="83">
        <v>1.5174792487423099E-5</v>
      </c>
      <c r="F78" s="83">
        <v>198565205871291.75</v>
      </c>
      <c r="G78" s="83">
        <v>1.4989066313652843E-5</v>
      </c>
      <c r="H78" s="83">
        <v>180179626981259.34</v>
      </c>
      <c r="I78" s="83">
        <v>1.3504511516271627E-5</v>
      </c>
      <c r="J78" s="83">
        <v>165150968958475.66</v>
      </c>
      <c r="K78" s="83">
        <v>1.2279724807483022E-5</v>
      </c>
      <c r="L78" s="83">
        <v>151044614395936.44</v>
      </c>
      <c r="M78" s="83">
        <v>1.153418412113404E-5</v>
      </c>
      <c r="N78" s="83">
        <v>145018767551723.53</v>
      </c>
      <c r="O78" s="83">
        <v>1.0835775455755939E-5</v>
      </c>
      <c r="P78" s="83">
        <v>126645894556420.44</v>
      </c>
      <c r="Q78" s="83">
        <v>9.5840519073478862E-6</v>
      </c>
      <c r="R78" s="83">
        <v>116599171431981.69</v>
      </c>
      <c r="S78" s="83">
        <v>8.7336807135512471E-6</v>
      </c>
      <c r="T78" s="83">
        <v>106760735200116.47</v>
      </c>
      <c r="U78" s="83">
        <v>7.9795745355782104E-6</v>
      </c>
      <c r="V78" s="83">
        <v>87067208877654.891</v>
      </c>
      <c r="W78" s="83">
        <v>6.6296699909742404E-6</v>
      </c>
      <c r="X78" s="83">
        <v>75701869115549.219</v>
      </c>
      <c r="Y78" s="83">
        <v>5.7565541878108782E-6</v>
      </c>
      <c r="Z78" s="83">
        <v>71218674733444.391</v>
      </c>
      <c r="AA78" s="83">
        <v>5.4026673303885338E-6</v>
      </c>
      <c r="AB78" s="83">
        <v>64424479422600.742</v>
      </c>
      <c r="AC78" s="83">
        <v>4.9128558957549374E-6</v>
      </c>
      <c r="AD78" s="83">
        <v>59092407678519.133</v>
      </c>
      <c r="AE78" s="83">
        <v>4.4735557230684439E-6</v>
      </c>
    </row>
    <row r="79" spans="2:31" x14ac:dyDescent="0.2">
      <c r="B79" s="83">
        <v>212737960012718.31</v>
      </c>
      <c r="C79" s="83">
        <v>1.6507502909782218E-5</v>
      </c>
      <c r="D79" s="83">
        <v>186692195517893.66</v>
      </c>
      <c r="E79" s="83">
        <v>1.4932779311969805E-5</v>
      </c>
      <c r="F79" s="83">
        <v>186013790429053.62</v>
      </c>
      <c r="G79" s="83">
        <v>1.4711646358737119E-5</v>
      </c>
      <c r="H79" s="83">
        <v>169175611238706.28</v>
      </c>
      <c r="I79" s="83">
        <v>1.3294268999602622E-5</v>
      </c>
      <c r="J79" s="83">
        <v>158760196415065.56</v>
      </c>
      <c r="K79" s="83">
        <v>1.238562099519416E-5</v>
      </c>
      <c r="L79" s="83">
        <v>142246131529944.34</v>
      </c>
      <c r="M79" s="83">
        <v>1.1408315388221368E-5</v>
      </c>
      <c r="N79" s="83">
        <v>137008465122345.75</v>
      </c>
      <c r="O79" s="83">
        <v>1.0717015148060065E-5</v>
      </c>
      <c r="P79" s="83">
        <v>118340304608730.95</v>
      </c>
      <c r="Q79" s="83">
        <v>9.3832681121017252E-6</v>
      </c>
      <c r="R79" s="83">
        <v>109880741242920.97</v>
      </c>
      <c r="S79" s="83">
        <v>8.6272511519960683E-6</v>
      </c>
      <c r="T79" s="83">
        <v>100888496679171.02</v>
      </c>
      <c r="U79" s="83">
        <v>7.8986071074071083E-6</v>
      </c>
      <c r="V79" s="83">
        <v>82649884405153.094</v>
      </c>
      <c r="W79" s="83">
        <v>6.6095486083836188E-6</v>
      </c>
      <c r="X79" s="83">
        <v>67887382724532.203</v>
      </c>
      <c r="Y79" s="83">
        <v>5.407190143592818E-6</v>
      </c>
      <c r="Z79" s="83">
        <v>66180663799294.086</v>
      </c>
      <c r="AA79" s="83">
        <v>5.2644529676355859E-6</v>
      </c>
      <c r="AB79" s="83">
        <v>60116852485902.703</v>
      </c>
      <c r="AC79" s="83">
        <v>4.8044306814530609E-6</v>
      </c>
      <c r="AD79" s="83">
        <v>54879441940064.508</v>
      </c>
      <c r="AE79" s="83">
        <v>4.3576084441764972E-6</v>
      </c>
    </row>
    <row r="80" spans="2:31" x14ac:dyDescent="0.2">
      <c r="B80" s="83">
        <v>203580150334792.91</v>
      </c>
      <c r="C80" s="83">
        <v>1.6629181583842143E-5</v>
      </c>
      <c r="D80" s="83">
        <v>175416372707075.75</v>
      </c>
      <c r="E80" s="83">
        <v>1.4716830020413951E-5</v>
      </c>
      <c r="F80" s="83">
        <v>177392923935769.25</v>
      </c>
      <c r="G80" s="83">
        <v>1.4744730126333617E-5</v>
      </c>
      <c r="H80" s="83">
        <v>155316116703348.5</v>
      </c>
      <c r="I80" s="83">
        <v>1.2805176679557247E-5</v>
      </c>
      <c r="J80" s="83">
        <v>148924353616721.41</v>
      </c>
      <c r="K80" s="83">
        <v>1.2177987613972235E-5</v>
      </c>
      <c r="L80" s="83">
        <v>132236178054865.53</v>
      </c>
      <c r="M80" s="83">
        <v>1.1119484896836183E-5</v>
      </c>
      <c r="N80" s="83">
        <v>128190456018895.52</v>
      </c>
      <c r="O80" s="83">
        <v>1.0528439359118846E-5</v>
      </c>
      <c r="P80" s="83">
        <v>112002446187650.67</v>
      </c>
      <c r="Q80" s="83">
        <v>9.3204414839761017E-6</v>
      </c>
      <c r="R80" s="83">
        <v>102081702966411.25</v>
      </c>
      <c r="S80" s="83">
        <v>8.4137395159167199E-6</v>
      </c>
      <c r="T80" s="83">
        <v>99002540365593.594</v>
      </c>
      <c r="U80" s="83">
        <v>8.150609479389097E-6</v>
      </c>
      <c r="V80" s="83">
        <v>79945465271662.234</v>
      </c>
      <c r="W80" s="83">
        <v>6.7034486332890438E-6</v>
      </c>
      <c r="X80" s="83">
        <v>65786979248123.922</v>
      </c>
      <c r="Y80" s="83">
        <v>5.5095933329676942E-6</v>
      </c>
      <c r="Z80" s="83">
        <v>58183037792025.789</v>
      </c>
      <c r="AA80" s="83">
        <v>4.8570710720608311E-6</v>
      </c>
      <c r="AB80" s="83">
        <v>59252692137336.242</v>
      </c>
      <c r="AC80" s="83">
        <v>4.9681845232071749E-6</v>
      </c>
      <c r="AD80" s="83">
        <v>53404351572723.078</v>
      </c>
      <c r="AE80" s="83">
        <v>4.4469943469455001E-6</v>
      </c>
    </row>
    <row r="81" spans="2:31" x14ac:dyDescent="0.2">
      <c r="B81" s="83">
        <v>194146036441544.06</v>
      </c>
      <c r="C81" s="83">
        <v>1.662801861416812E-5</v>
      </c>
      <c r="D81" s="83">
        <v>162024459368864.87</v>
      </c>
      <c r="E81" s="83">
        <v>1.4309396638039851E-5</v>
      </c>
      <c r="F81" s="83">
        <v>161250867236127.16</v>
      </c>
      <c r="G81" s="83">
        <v>1.4074416542240249E-5</v>
      </c>
      <c r="H81" s="83">
        <v>147105956304571.09</v>
      </c>
      <c r="I81" s="83">
        <v>1.2760631655751018E-5</v>
      </c>
      <c r="J81" s="83">
        <v>138455529158569.19</v>
      </c>
      <c r="K81" s="83">
        <v>1.1877242453393909E-5</v>
      </c>
      <c r="L81" s="83">
        <v>126418255448236.92</v>
      </c>
      <c r="M81" s="83">
        <v>1.1157056244497478E-5</v>
      </c>
      <c r="N81" s="83">
        <v>120329085181419.27</v>
      </c>
      <c r="O81" s="83">
        <v>1.0363917345690796E-5</v>
      </c>
      <c r="P81" s="83">
        <v>103643756991532.67</v>
      </c>
      <c r="Q81" s="83">
        <v>9.055782452165955E-6</v>
      </c>
      <c r="R81" s="83">
        <v>96456263308023.625</v>
      </c>
      <c r="S81" s="83">
        <v>8.3411011489911776E-6</v>
      </c>
      <c r="T81" s="83">
        <v>94203182531686.187</v>
      </c>
      <c r="U81" s="83">
        <v>8.1230512214197804E-6</v>
      </c>
      <c r="V81" s="83">
        <v>75899762090673.422</v>
      </c>
      <c r="W81" s="83">
        <v>6.6853596823806749E-6</v>
      </c>
      <c r="X81" s="83">
        <v>61926801644526.148</v>
      </c>
      <c r="Y81" s="83">
        <v>5.4434572981821972E-6</v>
      </c>
      <c r="Z81" s="83">
        <v>54740617510408.984</v>
      </c>
      <c r="AA81" s="83">
        <v>4.7975539965845967E-6</v>
      </c>
      <c r="AB81" s="83">
        <v>52359786003711.992</v>
      </c>
      <c r="AC81" s="83">
        <v>4.6064691850272391E-6</v>
      </c>
      <c r="AD81" s="83">
        <v>50985018007305.523</v>
      </c>
      <c r="AE81" s="83">
        <v>4.4622050398669285E-6</v>
      </c>
    </row>
    <row r="82" spans="2:31" x14ac:dyDescent="0.2">
      <c r="B82" s="83">
        <v>185807634388040</v>
      </c>
      <c r="C82" s="83">
        <v>1.6713302809625347E-5</v>
      </c>
      <c r="D82" s="83">
        <v>158976940082554.41</v>
      </c>
      <c r="E82" s="83">
        <v>1.4731047869261094E-5</v>
      </c>
      <c r="F82" s="83">
        <v>155614988216570.78</v>
      </c>
      <c r="G82" s="83">
        <v>1.4246549237389583E-5</v>
      </c>
      <c r="H82" s="83">
        <v>142910022002488.12</v>
      </c>
      <c r="I82" s="83">
        <v>1.3001641912261807E-5</v>
      </c>
      <c r="J82" s="83">
        <v>135162612347471.94</v>
      </c>
      <c r="K82" s="83">
        <v>1.2178878789987849E-5</v>
      </c>
      <c r="L82" s="83">
        <v>122986602559012.55</v>
      </c>
      <c r="M82" s="83">
        <v>1.1412452905665676E-5</v>
      </c>
      <c r="N82" s="83">
        <v>114951447684975.64</v>
      </c>
      <c r="O82" s="83">
        <v>1.0385367780519402E-5</v>
      </c>
      <c r="P82" s="83">
        <v>97271029001804.016</v>
      </c>
      <c r="Q82" s="83">
        <v>8.9241586977829113E-6</v>
      </c>
      <c r="R82" s="83">
        <v>92285267582495.953</v>
      </c>
      <c r="S82" s="83">
        <v>8.3914681438693033E-6</v>
      </c>
      <c r="T82" s="83">
        <v>88998483396335.016</v>
      </c>
      <c r="U82" s="83">
        <v>8.0385244227741255E-6</v>
      </c>
      <c r="V82" s="83">
        <v>70827329696366.594</v>
      </c>
      <c r="W82" s="83">
        <v>6.5438190282695665E-6</v>
      </c>
      <c r="X82" s="83">
        <v>59219310493642.984</v>
      </c>
      <c r="Y82" s="83">
        <v>5.453380816111744E-6</v>
      </c>
      <c r="Z82" s="83">
        <v>52772146352849.727</v>
      </c>
      <c r="AA82" s="83">
        <v>4.8583913067984102E-6</v>
      </c>
      <c r="AB82" s="83">
        <v>48879008338002.18</v>
      </c>
      <c r="AC82" s="83">
        <v>4.5172653263746991E-6</v>
      </c>
      <c r="AD82" s="83">
        <v>45864279282712.633</v>
      </c>
      <c r="AE82" s="83">
        <v>4.2154613827283217E-6</v>
      </c>
    </row>
    <row r="83" spans="2:31" x14ac:dyDescent="0.2">
      <c r="B83" s="83">
        <v>172042891105424.75</v>
      </c>
      <c r="C83" s="83">
        <v>1.6226122994372957E-5</v>
      </c>
      <c r="D83" s="83">
        <v>147655871413237.19</v>
      </c>
      <c r="E83" s="83">
        <v>1.4342984738283162E-5</v>
      </c>
      <c r="F83" s="83">
        <v>145235598147660.97</v>
      </c>
      <c r="G83" s="83">
        <v>1.3959603034752845E-5</v>
      </c>
      <c r="H83" s="83">
        <v>136551115163433.56</v>
      </c>
      <c r="I83" s="83">
        <v>1.3023468635231355E-5</v>
      </c>
      <c r="J83" s="83">
        <v>124627406798078.42</v>
      </c>
      <c r="K83" s="83">
        <v>1.179239209072633E-5</v>
      </c>
      <c r="L83" s="83">
        <v>111336883905840.17</v>
      </c>
      <c r="M83" s="83">
        <v>1.080364063561278E-5</v>
      </c>
      <c r="N83" s="83">
        <v>105384660471369.72</v>
      </c>
      <c r="O83" s="83">
        <v>9.9909852608236168E-6</v>
      </c>
      <c r="P83" s="83">
        <v>94581033377213.703</v>
      </c>
      <c r="Q83" s="83">
        <v>9.0938055161098375E-6</v>
      </c>
      <c r="R83" s="83">
        <v>87339777626977.922</v>
      </c>
      <c r="S83" s="83">
        <v>8.3268367310170059E-6</v>
      </c>
      <c r="T83" s="83">
        <v>75864655826558.359</v>
      </c>
      <c r="U83" s="83">
        <v>7.195068547517163E-6</v>
      </c>
      <c r="V83" s="83">
        <v>67282288688902.883</v>
      </c>
      <c r="W83" s="83">
        <v>6.5164156335460909E-6</v>
      </c>
      <c r="X83" s="83">
        <v>55532307451007.289</v>
      </c>
      <c r="Y83" s="83">
        <v>5.3725307699382439E-6</v>
      </c>
      <c r="Z83" s="83">
        <v>48869474439337.93</v>
      </c>
      <c r="AA83" s="83">
        <v>4.7283240506916159E-6</v>
      </c>
      <c r="AB83" s="83">
        <v>47200105063166.781</v>
      </c>
      <c r="AC83" s="83">
        <v>4.5790371797290311E-6</v>
      </c>
      <c r="AD83" s="83">
        <v>44420716729771.094</v>
      </c>
      <c r="AE83" s="83">
        <v>4.2777686015232291E-6</v>
      </c>
    </row>
    <row r="84" spans="2:31" x14ac:dyDescent="0.2">
      <c r="B84" s="83">
        <v>160999715182957.16</v>
      </c>
      <c r="C84" s="83">
        <v>1.5935254661410468E-5</v>
      </c>
      <c r="D84" s="83">
        <v>143177439238178.12</v>
      </c>
      <c r="E84" s="83">
        <v>1.455753058821699E-5</v>
      </c>
      <c r="F84" s="83">
        <v>135376384321257.59</v>
      </c>
      <c r="G84" s="83">
        <v>1.3681270567977918E-5</v>
      </c>
      <c r="H84" s="83">
        <v>127630209962142.11</v>
      </c>
      <c r="I84" s="83">
        <v>1.2743443865801671E-5</v>
      </c>
      <c r="J84" s="83">
        <v>117871267609352.22</v>
      </c>
      <c r="K84" s="83">
        <v>1.1701090930854109E-5</v>
      </c>
      <c r="L84" s="83">
        <v>104434789343867.73</v>
      </c>
      <c r="M84" s="83">
        <v>1.0642030929977913E-5</v>
      </c>
      <c r="N84" s="83">
        <v>99088205382430.156</v>
      </c>
      <c r="O84" s="83">
        <v>9.8521381072048866E-6</v>
      </c>
      <c r="P84" s="83">
        <v>82431111376254.312</v>
      </c>
      <c r="Q84" s="83">
        <v>8.3316392685162493E-6</v>
      </c>
      <c r="R84" s="83">
        <v>83826323920725.172</v>
      </c>
      <c r="S84" s="83">
        <v>8.3765398817743494E-6</v>
      </c>
      <c r="T84" s="83">
        <v>73829593512148.078</v>
      </c>
      <c r="U84" s="83">
        <v>7.3390533027288854E-6</v>
      </c>
      <c r="V84" s="83">
        <v>63794164336982.102</v>
      </c>
      <c r="W84" s="83">
        <v>6.4798510412459032E-6</v>
      </c>
      <c r="X84" s="83">
        <v>53841720313191.492</v>
      </c>
      <c r="Y84" s="83">
        <v>5.4649309128061139E-6</v>
      </c>
      <c r="Z84" s="83">
        <v>48485719986958.023</v>
      </c>
      <c r="AA84" s="83">
        <v>4.9279599005072557E-6</v>
      </c>
      <c r="AB84" s="83">
        <v>44962366834669.328</v>
      </c>
      <c r="AC84" s="83">
        <v>4.5818830763422675E-6</v>
      </c>
      <c r="AD84" s="83">
        <v>42834720206595.516</v>
      </c>
      <c r="AE84" s="83">
        <v>4.3365419583407061E-6</v>
      </c>
    </row>
    <row r="85" spans="2:31" x14ac:dyDescent="0.2">
      <c r="B85" s="83">
        <v>152081749671541.84</v>
      </c>
      <c r="C85" s="83">
        <v>1.5796291333943731E-5</v>
      </c>
      <c r="D85" s="83">
        <v>129658704498758</v>
      </c>
      <c r="E85" s="83">
        <v>1.3809412176930178E-5</v>
      </c>
      <c r="F85" s="83">
        <v>122753492439446.02</v>
      </c>
      <c r="G85" s="83">
        <v>1.3011838465795319E-5</v>
      </c>
      <c r="H85" s="83">
        <v>113218940689981.19</v>
      </c>
      <c r="I85" s="83">
        <v>1.1888045835596959E-5</v>
      </c>
      <c r="J85" s="83">
        <v>112494182119488.64</v>
      </c>
      <c r="K85" s="83">
        <v>1.1702921070630894E-5</v>
      </c>
      <c r="L85" s="83">
        <v>100475031692552.48</v>
      </c>
      <c r="M85" s="83">
        <v>1.0751029881913917E-5</v>
      </c>
      <c r="N85" s="83">
        <v>91361196577898.297</v>
      </c>
      <c r="O85" s="83">
        <v>9.5410868927589579E-6</v>
      </c>
      <c r="P85" s="83">
        <v>80840933888918.797</v>
      </c>
      <c r="Q85" s="83">
        <v>8.566803522260082E-6</v>
      </c>
      <c r="R85" s="83">
        <v>77477045307728.641</v>
      </c>
      <c r="S85" s="83">
        <v>8.1213574232678243E-6</v>
      </c>
      <c r="T85" s="83">
        <v>70128873201658.484</v>
      </c>
      <c r="U85" s="83">
        <v>7.3521732934302378E-6</v>
      </c>
      <c r="V85" s="83">
        <v>59097103287035.992</v>
      </c>
      <c r="W85" s="83">
        <v>6.3027918348568668E-6</v>
      </c>
      <c r="X85" s="83">
        <v>48553690855707.719</v>
      </c>
      <c r="Y85" s="83">
        <v>5.1713219407476822E-6</v>
      </c>
      <c r="Z85" s="83">
        <v>47302795026698.648</v>
      </c>
      <c r="AA85" s="83">
        <v>5.0384005843303059E-6</v>
      </c>
      <c r="AB85" s="83">
        <v>42544476457445.352</v>
      </c>
      <c r="AC85" s="83">
        <v>4.5494672389226173E-6</v>
      </c>
      <c r="AD85" s="83">
        <v>40920911006855.859</v>
      </c>
      <c r="AE85" s="83">
        <v>4.3453062069454721E-6</v>
      </c>
    </row>
    <row r="86" spans="2:31" x14ac:dyDescent="0.2">
      <c r="B86" s="83">
        <v>141111519560893.81</v>
      </c>
      <c r="C86" s="83">
        <v>1.5377879358971241E-5</v>
      </c>
      <c r="D86" s="83">
        <v>120681787023662.03</v>
      </c>
      <c r="E86" s="83">
        <v>1.3498019345111433E-5</v>
      </c>
      <c r="F86" s="83">
        <v>118928520717604.27</v>
      </c>
      <c r="G86" s="83">
        <v>1.3227131226650391E-5</v>
      </c>
      <c r="H86" s="83">
        <v>112872185038604.98</v>
      </c>
      <c r="I86" s="83">
        <v>1.2445576041067094E-5</v>
      </c>
      <c r="J86" s="83">
        <v>103706826315725.34</v>
      </c>
      <c r="K86" s="83">
        <v>1.1318383187500409E-5</v>
      </c>
      <c r="L86" s="83">
        <v>96128067070358.406</v>
      </c>
      <c r="M86" s="83">
        <v>1.0802545259889934E-5</v>
      </c>
      <c r="N86" s="83">
        <v>88493856381569.812</v>
      </c>
      <c r="O86" s="83">
        <v>9.6906755656450194E-6</v>
      </c>
      <c r="P86" s="83">
        <v>77403601317445.672</v>
      </c>
      <c r="Q86" s="83">
        <v>8.6164407769594824E-6</v>
      </c>
      <c r="R86" s="83">
        <v>71784899584451.125</v>
      </c>
      <c r="S86" s="83">
        <v>7.8974833014461361E-6</v>
      </c>
      <c r="T86" s="83">
        <v>65578033717086.086</v>
      </c>
      <c r="U86" s="83">
        <v>7.2059919312007415E-6</v>
      </c>
      <c r="V86" s="83">
        <v>57519907599204.797</v>
      </c>
      <c r="W86" s="83">
        <v>6.4363797896671572E-6</v>
      </c>
      <c r="X86" s="83">
        <v>46038095245649.547</v>
      </c>
      <c r="Y86" s="83">
        <v>5.1418186698722867E-6</v>
      </c>
      <c r="Z86" s="83">
        <v>44027207761523.914</v>
      </c>
      <c r="AA86" s="83">
        <v>4.9244061034214713E-6</v>
      </c>
      <c r="AB86" s="83">
        <v>43284871441735.859</v>
      </c>
      <c r="AC86" s="83">
        <v>4.8590741187664336E-6</v>
      </c>
      <c r="AD86" s="83">
        <v>36739373449218.555</v>
      </c>
      <c r="AE86" s="83">
        <v>4.091787678437085E-6</v>
      </c>
    </row>
    <row r="87" spans="2:31" x14ac:dyDescent="0.2">
      <c r="B87" s="83">
        <v>134009127860060.66</v>
      </c>
      <c r="C87" s="83">
        <v>1.5345633856552562E-5</v>
      </c>
      <c r="D87" s="83">
        <v>116418599414898</v>
      </c>
      <c r="E87" s="83">
        <v>1.3711873522709193E-5</v>
      </c>
      <c r="F87" s="83">
        <v>113934572938968.77</v>
      </c>
      <c r="G87" s="83">
        <v>1.3340603009271212E-5</v>
      </c>
      <c r="H87" s="83">
        <v>104525686571706.11</v>
      </c>
      <c r="I87" s="83">
        <v>1.2095680809916552E-5</v>
      </c>
      <c r="J87" s="83">
        <v>95714209861922.641</v>
      </c>
      <c r="K87" s="83">
        <v>1.0973128466500004E-5</v>
      </c>
      <c r="L87" s="83">
        <v>86007484473921.953</v>
      </c>
      <c r="M87" s="83">
        <v>1.0127550685670172E-5</v>
      </c>
      <c r="N87" s="83">
        <v>86228368578408.734</v>
      </c>
      <c r="O87" s="83">
        <v>9.9062629392613671E-6</v>
      </c>
      <c r="P87" s="83">
        <v>71284050998720.047</v>
      </c>
      <c r="Q87" s="83">
        <v>8.3149622956130436E-6</v>
      </c>
      <c r="R87" s="83">
        <v>63631047620447.789</v>
      </c>
      <c r="S87" s="83">
        <v>7.3371771833832296E-6</v>
      </c>
      <c r="T87" s="83">
        <v>66120136626468.164</v>
      </c>
      <c r="U87" s="83">
        <v>7.6122346964415543E-6</v>
      </c>
      <c r="V87" s="83">
        <v>53670304647275.398</v>
      </c>
      <c r="W87" s="83">
        <v>6.2989332197038643E-6</v>
      </c>
      <c r="X87" s="83">
        <v>43220080313024.859</v>
      </c>
      <c r="Y87" s="83">
        <v>5.0708766234062442E-6</v>
      </c>
      <c r="Z87" s="83">
        <v>44682167669287.062</v>
      </c>
      <c r="AA87" s="83">
        <v>5.2331338020143118E-6</v>
      </c>
      <c r="AB87" s="83">
        <v>41064210301093.828</v>
      </c>
      <c r="AC87" s="83">
        <v>4.8299655366033778E-6</v>
      </c>
      <c r="AD87" s="83">
        <v>36111873304960.227</v>
      </c>
      <c r="AE87" s="83">
        <v>4.2175919689355493E-6</v>
      </c>
    </row>
    <row r="88" spans="2:31" x14ac:dyDescent="0.2">
      <c r="B88" s="83">
        <v>120528185702589.59</v>
      </c>
      <c r="C88" s="83">
        <v>1.4477822106064365E-5</v>
      </c>
      <c r="D88" s="83">
        <v>110696377064973.3</v>
      </c>
      <c r="E88" s="83">
        <v>1.3664266352391475E-5</v>
      </c>
      <c r="F88" s="83">
        <v>105035193744328.42</v>
      </c>
      <c r="G88" s="83">
        <v>1.2886158609853255E-5</v>
      </c>
      <c r="H88" s="83">
        <v>98981911074011.531</v>
      </c>
      <c r="I88" s="83">
        <v>1.1994387976686328E-5</v>
      </c>
      <c r="J88" s="83">
        <v>89634001960521</v>
      </c>
      <c r="K88" s="83">
        <v>1.079747504959055E-5</v>
      </c>
      <c r="L88" s="83">
        <v>87414706837812.219</v>
      </c>
      <c r="M88" s="83">
        <v>1.080976755073405E-5</v>
      </c>
      <c r="N88" s="83">
        <v>74746346095335.906</v>
      </c>
      <c r="O88" s="83">
        <v>8.9884009730728205E-6</v>
      </c>
      <c r="P88" s="83">
        <v>68472606967522.609</v>
      </c>
      <c r="Q88" s="83">
        <v>8.3851255114694243E-6</v>
      </c>
      <c r="R88" s="83">
        <v>61044021517203.203</v>
      </c>
      <c r="S88" s="83">
        <v>7.4024664565689539E-6</v>
      </c>
      <c r="T88" s="83">
        <v>60140172244639.125</v>
      </c>
      <c r="U88" s="83">
        <v>7.2603265176852091E-6</v>
      </c>
      <c r="V88" s="83">
        <v>48742416684348.961</v>
      </c>
      <c r="W88" s="83">
        <v>6.0011525135531839E-6</v>
      </c>
      <c r="X88" s="83">
        <v>41870671022837.562</v>
      </c>
      <c r="Y88" s="83">
        <v>5.1583190092689787E-6</v>
      </c>
      <c r="Z88" s="83">
        <v>37036133812086.828</v>
      </c>
      <c r="AA88" s="83">
        <v>4.5581285400169307E-6</v>
      </c>
      <c r="AB88" s="83">
        <v>34936909250378.492</v>
      </c>
      <c r="AC88" s="83">
        <v>4.3073611210274908E-6</v>
      </c>
      <c r="AD88" s="83">
        <v>33103906660121.973</v>
      </c>
      <c r="AE88" s="83">
        <v>4.0594120542971997E-6</v>
      </c>
    </row>
    <row r="89" spans="2:31" x14ac:dyDescent="0.2">
      <c r="B89" s="83">
        <v>115922702810825.09</v>
      </c>
      <c r="C89" s="83">
        <v>1.4653729521800704E-5</v>
      </c>
      <c r="D89" s="83">
        <v>102861430093558</v>
      </c>
      <c r="E89" s="83">
        <v>1.3294129008278705E-5</v>
      </c>
      <c r="F89" s="83">
        <v>99960230971402.062</v>
      </c>
      <c r="G89" s="83">
        <v>1.2863886819996217E-5</v>
      </c>
      <c r="H89" s="83">
        <v>92987649831373.359</v>
      </c>
      <c r="I89" s="83">
        <v>1.185012457099128E-5</v>
      </c>
      <c r="J89" s="83">
        <v>87650383122039.016</v>
      </c>
      <c r="K89" s="83">
        <v>1.1076789242826564E-5</v>
      </c>
      <c r="L89" s="83">
        <v>79944392284758.797</v>
      </c>
      <c r="M89" s="83">
        <v>1.0343512749907679E-5</v>
      </c>
      <c r="N89" s="83">
        <v>71491141472569.281</v>
      </c>
      <c r="O89" s="83">
        <v>9.04140711255703E-6</v>
      </c>
      <c r="P89" s="83">
        <v>59851017450201.25</v>
      </c>
      <c r="Q89" s="83">
        <v>7.6945665086735861E-6</v>
      </c>
      <c r="R89" s="83">
        <v>57582363540378.305</v>
      </c>
      <c r="S89" s="83">
        <v>7.3336508078928732E-6</v>
      </c>
      <c r="T89" s="83">
        <v>56388226114961.648</v>
      </c>
      <c r="U89" s="83">
        <v>7.1227090221924886E-6</v>
      </c>
      <c r="V89" s="83">
        <v>45355819333821.227</v>
      </c>
      <c r="W89" s="83">
        <v>5.8536339091645076E-6</v>
      </c>
      <c r="X89" s="83">
        <v>36796818139133.687</v>
      </c>
      <c r="Y89" s="83">
        <v>4.7578860034045463E-6</v>
      </c>
      <c r="Z89" s="83">
        <v>36733105988807.148</v>
      </c>
      <c r="AA89" s="83">
        <v>4.7411362556762382E-6</v>
      </c>
      <c r="AB89" s="83">
        <v>31409624693765.469</v>
      </c>
      <c r="AC89" s="83">
        <v>4.0615592170394548E-6</v>
      </c>
      <c r="AD89" s="83">
        <v>30910091647007.52</v>
      </c>
      <c r="AE89" s="83">
        <v>3.9779815287797986E-6</v>
      </c>
    </row>
    <row r="90" spans="2:31" x14ac:dyDescent="0.2">
      <c r="B90" s="83">
        <v>105968985682383.72</v>
      </c>
      <c r="C90" s="83">
        <v>1.4069800122053027E-5</v>
      </c>
      <c r="D90" s="83">
        <v>94673153885478.484</v>
      </c>
      <c r="E90" s="83">
        <v>1.283579140695546E-5</v>
      </c>
      <c r="F90" s="83">
        <v>88875828907324.484</v>
      </c>
      <c r="G90" s="83">
        <v>1.1985579870530626E-5</v>
      </c>
      <c r="H90" s="83">
        <v>84919650318197.922</v>
      </c>
      <c r="I90" s="83">
        <v>1.1373219766798644E-5</v>
      </c>
      <c r="J90" s="83">
        <v>85311062568092.734</v>
      </c>
      <c r="K90" s="83">
        <v>1.1313715297207301E-5</v>
      </c>
      <c r="L90" s="83">
        <v>69160585360345.039</v>
      </c>
      <c r="M90" s="83">
        <v>9.3920159426536804E-6</v>
      </c>
      <c r="N90" s="83">
        <v>69090985260939.227</v>
      </c>
      <c r="O90" s="83">
        <v>9.1578083565954168E-6</v>
      </c>
      <c r="P90" s="83">
        <v>57879151741858.773</v>
      </c>
      <c r="Q90" s="83">
        <v>7.815136877391661E-6</v>
      </c>
      <c r="R90" s="83">
        <v>56238814634669.656</v>
      </c>
      <c r="S90" s="83">
        <v>7.5238259747401859E-6</v>
      </c>
      <c r="T90" s="83">
        <v>51150554934979.594</v>
      </c>
      <c r="U90" s="83">
        <v>6.810297084734103E-6</v>
      </c>
      <c r="V90" s="83">
        <v>42428403993393.797</v>
      </c>
      <c r="W90" s="83">
        <v>5.753651158885183E-6</v>
      </c>
      <c r="X90" s="83">
        <v>39004395878691.375</v>
      </c>
      <c r="Y90" s="83">
        <v>5.2972538743263104E-6</v>
      </c>
      <c r="Z90" s="83">
        <v>38439918100661.805</v>
      </c>
      <c r="AA90" s="83">
        <v>5.2159153325455219E-6</v>
      </c>
      <c r="AB90" s="83">
        <v>29707463354336.633</v>
      </c>
      <c r="AC90" s="83">
        <v>4.0445481846636015E-6</v>
      </c>
      <c r="AD90" s="83">
        <v>30027202548986.285</v>
      </c>
      <c r="AE90" s="83">
        <v>4.0665136708262491E-6</v>
      </c>
    </row>
    <row r="91" spans="2:31" x14ac:dyDescent="0.2">
      <c r="B91" s="83">
        <v>101771392935487.03</v>
      </c>
      <c r="C91" s="83">
        <v>1.4196155874798525E-5</v>
      </c>
      <c r="D91" s="83">
        <v>91220563588590.922</v>
      </c>
      <c r="E91" s="83">
        <v>1.3007979399173786E-5</v>
      </c>
      <c r="F91" s="83">
        <v>84717805009388.859</v>
      </c>
      <c r="G91" s="83">
        <v>1.2015806033237409E-5</v>
      </c>
      <c r="H91" s="83">
        <v>83216189234078.172</v>
      </c>
      <c r="I91" s="83">
        <v>1.1701569728322484E-5</v>
      </c>
      <c r="J91" s="83">
        <v>71920119540207.266</v>
      </c>
      <c r="K91" s="83">
        <v>1.0001595308473186E-5</v>
      </c>
      <c r="L91" s="83">
        <v>64656607009769.383</v>
      </c>
      <c r="M91" s="83">
        <v>9.2479440275497656E-6</v>
      </c>
      <c r="N91" s="83">
        <v>66806724684968.766</v>
      </c>
      <c r="O91" s="83">
        <v>9.2965267861340678E-6</v>
      </c>
      <c r="P91" s="83">
        <v>57257702765718.586</v>
      </c>
      <c r="Q91" s="83">
        <v>8.1200595405346986E-6</v>
      </c>
      <c r="R91" s="83">
        <v>53043894108052.391</v>
      </c>
      <c r="S91" s="83">
        <v>7.4251796058784122E-6</v>
      </c>
      <c r="T91" s="83">
        <v>46361152775958.031</v>
      </c>
      <c r="U91" s="83">
        <v>6.4621418286162724E-6</v>
      </c>
      <c r="V91" s="83">
        <v>39612232309040.469</v>
      </c>
      <c r="W91" s="83">
        <v>5.6472269814589634E-6</v>
      </c>
      <c r="X91" s="83">
        <v>34724956138347.5</v>
      </c>
      <c r="Y91" s="83">
        <v>4.9395269635819129E-6</v>
      </c>
      <c r="Z91" s="83">
        <v>33162228221970.023</v>
      </c>
      <c r="AA91" s="83">
        <v>4.7169175026509015E-6</v>
      </c>
      <c r="AB91" s="83">
        <v>29601981334039.137</v>
      </c>
      <c r="AC91" s="83">
        <v>4.2310424843277672E-6</v>
      </c>
      <c r="AD91" s="83">
        <v>28020296324098.75</v>
      </c>
      <c r="AE91" s="83">
        <v>3.9817186958709439E-6</v>
      </c>
    </row>
    <row r="92" spans="2:31" x14ac:dyDescent="0.2">
      <c r="B92" s="83">
        <v>93193329488754.656</v>
      </c>
      <c r="C92" s="83">
        <v>1.363590007058821E-5</v>
      </c>
      <c r="D92" s="83">
        <v>83514624518789.109</v>
      </c>
      <c r="E92" s="83">
        <v>1.2552657815943526E-5</v>
      </c>
      <c r="F92" s="83">
        <v>77572612678749.281</v>
      </c>
      <c r="G92" s="83">
        <v>1.1586823778334655E-5</v>
      </c>
      <c r="H92" s="83">
        <v>78240175614733.734</v>
      </c>
      <c r="I92" s="83">
        <v>1.1529266344734802E-5</v>
      </c>
      <c r="J92" s="83">
        <v>73317006215905.703</v>
      </c>
      <c r="K92" s="83">
        <v>1.070045627074387E-5</v>
      </c>
      <c r="L92" s="83">
        <v>61848757814646.734</v>
      </c>
      <c r="M92" s="83">
        <v>9.2976977910163385E-6</v>
      </c>
      <c r="N92" s="83">
        <v>58090319103571.148</v>
      </c>
      <c r="O92" s="83">
        <v>8.5045530920221672E-6</v>
      </c>
      <c r="P92" s="83">
        <v>53422916140273.359</v>
      </c>
      <c r="Q92" s="83">
        <v>7.9627879873020544E-6</v>
      </c>
      <c r="R92" s="83">
        <v>49240297223117.148</v>
      </c>
      <c r="S92" s="83">
        <v>7.2432836179490961E-6</v>
      </c>
      <c r="T92" s="83">
        <v>43987042345285.484</v>
      </c>
      <c r="U92" s="83">
        <v>6.4691849219124354E-6</v>
      </c>
      <c r="V92" s="83">
        <v>37437025296617.781</v>
      </c>
      <c r="W92" s="83">
        <v>5.6094352028867355E-6</v>
      </c>
      <c r="X92" s="83">
        <v>34304040447779.578</v>
      </c>
      <c r="Y92" s="83">
        <v>5.1186603467605523E-6</v>
      </c>
      <c r="Z92" s="83">
        <v>32971077404451.094</v>
      </c>
      <c r="AA92" s="83">
        <v>4.9205069386543585E-6</v>
      </c>
      <c r="AB92" s="83">
        <v>29752571724158.598</v>
      </c>
      <c r="AC92" s="83">
        <v>4.4670262187859464E-6</v>
      </c>
      <c r="AD92" s="83">
        <v>29315441789346.539</v>
      </c>
      <c r="AE92" s="83">
        <v>4.3669215864129394E-6</v>
      </c>
    </row>
    <row r="93" spans="2:31" x14ac:dyDescent="0.2">
      <c r="B93" s="83">
        <v>86079648523113.016</v>
      </c>
      <c r="C93" s="83">
        <v>1.3269578850956301E-5</v>
      </c>
      <c r="D93" s="83">
        <v>80629748569628.437</v>
      </c>
      <c r="E93" s="83">
        <v>1.2721092107740581E-5</v>
      </c>
      <c r="F93" s="83">
        <v>78255581931540.844</v>
      </c>
      <c r="G93" s="83">
        <v>1.2278919521069701E-5</v>
      </c>
      <c r="H93" s="83">
        <v>71484819253207.391</v>
      </c>
      <c r="I93" s="83">
        <v>1.1111106350613069E-5</v>
      </c>
      <c r="J93" s="83">
        <v>69660364278277</v>
      </c>
      <c r="K93" s="83">
        <v>1.0696287442134524E-5</v>
      </c>
      <c r="L93" s="83">
        <v>61921372666082.781</v>
      </c>
      <c r="M93" s="83">
        <v>9.8271446187636156E-6</v>
      </c>
      <c r="N93" s="83">
        <v>56523234378256.914</v>
      </c>
      <c r="O93" s="83">
        <v>8.6826716504459512E-6</v>
      </c>
      <c r="P93" s="83">
        <v>50574821053637.523</v>
      </c>
      <c r="Q93" s="83">
        <v>7.9133844991219339E-6</v>
      </c>
      <c r="R93" s="83">
        <v>45154461139186.617</v>
      </c>
      <c r="S93" s="83">
        <v>6.9653822406636912E-6</v>
      </c>
      <c r="T93" s="83">
        <v>44411614516681.82</v>
      </c>
      <c r="U93" s="83">
        <v>6.8636201288286328E-6</v>
      </c>
      <c r="V93" s="83">
        <v>37199466463395.273</v>
      </c>
      <c r="W93" s="83">
        <v>5.8568070536242536E-6</v>
      </c>
      <c r="X93" s="83">
        <v>28902110832481.367</v>
      </c>
      <c r="Y93" s="83">
        <v>4.5305896441980113E-6</v>
      </c>
      <c r="Z93" s="83">
        <v>31616877651409.406</v>
      </c>
      <c r="AA93" s="83">
        <v>4.9625611519126508E-6</v>
      </c>
      <c r="AB93" s="83">
        <v>25447949054671.332</v>
      </c>
      <c r="AC93" s="83">
        <v>4.0145262678892024E-6</v>
      </c>
      <c r="AD93" s="83">
        <v>23086600001695.137</v>
      </c>
      <c r="AE93" s="83">
        <v>3.6151712132411729E-6</v>
      </c>
    </row>
    <row r="94" spans="2:31" x14ac:dyDescent="0.2">
      <c r="B94" s="83">
        <v>80925028098619.437</v>
      </c>
      <c r="C94" s="83">
        <v>1.3129273363571072E-5</v>
      </c>
      <c r="D94" s="83">
        <v>77299457323901.047</v>
      </c>
      <c r="E94" s="83">
        <v>1.2782543542285242E-5</v>
      </c>
      <c r="F94" s="83">
        <v>71796609917068.25</v>
      </c>
      <c r="G94" s="83">
        <v>1.1826957055332376E-5</v>
      </c>
      <c r="H94" s="83">
        <v>68959173540080.484</v>
      </c>
      <c r="I94" s="83">
        <v>1.1237383168168385E-5</v>
      </c>
      <c r="J94" s="83">
        <v>67654783841826.75</v>
      </c>
      <c r="K94" s="83">
        <v>1.0914433316768749E-5</v>
      </c>
      <c r="L94" s="83">
        <v>58485180181394.992</v>
      </c>
      <c r="M94" s="83">
        <v>9.6810595830823028E-6</v>
      </c>
      <c r="N94" s="83">
        <v>49290704585786.984</v>
      </c>
      <c r="O94" s="83">
        <v>7.9540713095537349E-6</v>
      </c>
      <c r="P94" s="83">
        <v>45823464812878.43</v>
      </c>
      <c r="Q94" s="83">
        <v>7.5396061229280412E-6</v>
      </c>
      <c r="R94" s="83">
        <v>42066261040123.305</v>
      </c>
      <c r="S94" s="83">
        <v>6.8198500907729842E-6</v>
      </c>
      <c r="T94" s="83">
        <v>40784607012569.687</v>
      </c>
      <c r="U94" s="83">
        <v>6.6021391847213084E-6</v>
      </c>
      <c r="V94" s="83">
        <v>33326924671310.84</v>
      </c>
      <c r="W94" s="83">
        <v>5.5055652151960254E-6</v>
      </c>
      <c r="X94" s="83">
        <v>24599140172633.539</v>
      </c>
      <c r="Y94" s="83">
        <v>4.0594040516456797E-6</v>
      </c>
      <c r="Z94" s="83">
        <v>27175290735311.441</v>
      </c>
      <c r="AA94" s="83">
        <v>4.4881939653218078E-6</v>
      </c>
      <c r="AB94" s="83">
        <v>26019598824152.703</v>
      </c>
      <c r="AC94" s="83">
        <v>4.3176586820291752E-6</v>
      </c>
      <c r="AD94" s="83">
        <v>22049662632956.566</v>
      </c>
      <c r="AE94" s="83">
        <v>3.6280872089104776E-6</v>
      </c>
    </row>
    <row r="95" spans="2:31" x14ac:dyDescent="0.2">
      <c r="B95" s="83">
        <v>78813912292475.828</v>
      </c>
      <c r="C95" s="83">
        <v>1.3456243161711161E-5</v>
      </c>
      <c r="D95" s="83">
        <v>75872441401330.937</v>
      </c>
      <c r="E95" s="83">
        <v>1.3205225549877159E-5</v>
      </c>
      <c r="F95" s="83">
        <v>69379004156534.953</v>
      </c>
      <c r="G95" s="83">
        <v>1.2002371365017372E-5</v>
      </c>
      <c r="H95" s="83">
        <v>68985849432503.18</v>
      </c>
      <c r="I95" s="83">
        <v>1.1820725493281377E-5</v>
      </c>
      <c r="J95" s="83">
        <v>61640514949942.617</v>
      </c>
      <c r="K95" s="83">
        <v>1.0434638545723418E-5</v>
      </c>
      <c r="L95" s="83">
        <v>55171383150630.703</v>
      </c>
      <c r="M95" s="83">
        <v>9.6255961650495118E-6</v>
      </c>
      <c r="N95" s="83">
        <v>52491528556679.18</v>
      </c>
      <c r="O95" s="83">
        <v>8.8879179909037667E-6</v>
      </c>
      <c r="P95" s="83">
        <v>43320600518461.789</v>
      </c>
      <c r="Q95" s="83">
        <v>7.4886815088466249E-6</v>
      </c>
      <c r="R95" s="83">
        <v>37842863276014.937</v>
      </c>
      <c r="S95" s="83">
        <v>6.4621163603107065E-6</v>
      </c>
      <c r="T95" s="83">
        <v>36292491172532.687</v>
      </c>
      <c r="U95" s="83">
        <v>6.1883655103887097E-6</v>
      </c>
      <c r="V95" s="83">
        <v>32085447106465.953</v>
      </c>
      <c r="W95" s="83">
        <v>5.5654497024597231E-6</v>
      </c>
      <c r="X95" s="83">
        <v>25119976604209.305</v>
      </c>
      <c r="Y95" s="83">
        <v>4.3624402501472838E-6</v>
      </c>
      <c r="Z95" s="83">
        <v>25791352245873.113</v>
      </c>
      <c r="AA95" s="83">
        <v>4.4770396297622324E-6</v>
      </c>
      <c r="AB95" s="83">
        <v>23823802367700.086</v>
      </c>
      <c r="AC95" s="83">
        <v>4.1557537111644697E-6</v>
      </c>
      <c r="AD95" s="83">
        <v>19522813683744.777</v>
      </c>
      <c r="AE95" s="83">
        <v>3.3836854817560604E-6</v>
      </c>
    </row>
    <row r="96" spans="2:31" x14ac:dyDescent="0.2">
      <c r="B96" s="83">
        <v>72731077956279.437</v>
      </c>
      <c r="C96" s="83">
        <v>1.2962536397231037E-5</v>
      </c>
      <c r="D96" s="83">
        <v>67848281581020.758</v>
      </c>
      <c r="E96" s="83">
        <v>1.2372498199232481E-5</v>
      </c>
      <c r="F96" s="83">
        <v>60565721302622.875</v>
      </c>
      <c r="G96" s="83">
        <v>1.1057598027237136E-5</v>
      </c>
      <c r="H96" s="83">
        <v>66195030225125.234</v>
      </c>
      <c r="I96" s="83">
        <v>1.1915553229588263E-5</v>
      </c>
      <c r="J96" s="83">
        <v>57252650499525.508</v>
      </c>
      <c r="K96" s="83">
        <v>1.0198206759616892E-5</v>
      </c>
      <c r="L96" s="83">
        <v>53019199850861.508</v>
      </c>
      <c r="M96" s="83">
        <v>9.7525567632534793E-6</v>
      </c>
      <c r="N96" s="83">
        <v>44227226987389.961</v>
      </c>
      <c r="O96" s="83">
        <v>7.9012962997896146E-6</v>
      </c>
      <c r="P96" s="83">
        <v>43620102772235.18</v>
      </c>
      <c r="Q96" s="83">
        <v>7.9338317417149068E-6</v>
      </c>
      <c r="R96" s="83">
        <v>32993736703209.852</v>
      </c>
      <c r="S96" s="83">
        <v>5.9326669160261621E-6</v>
      </c>
      <c r="T96" s="83">
        <v>35695074320599.93</v>
      </c>
      <c r="U96" s="83">
        <v>6.375095237860293E-6</v>
      </c>
      <c r="V96" s="83">
        <v>28417613329231.152</v>
      </c>
      <c r="W96" s="83">
        <v>5.1913771238977076E-6</v>
      </c>
      <c r="X96" s="83">
        <v>26144997666151.078</v>
      </c>
      <c r="Y96" s="83">
        <v>4.7777764399927362E-6</v>
      </c>
      <c r="Z96" s="83">
        <v>25377869065983.047</v>
      </c>
      <c r="AA96" s="83">
        <v>4.6434283876009623E-6</v>
      </c>
      <c r="AB96" s="83">
        <v>21314045289192.477</v>
      </c>
      <c r="AC96" s="83">
        <v>3.9030788695828606E-6</v>
      </c>
      <c r="AD96" s="83">
        <v>20871139181704.516</v>
      </c>
      <c r="AE96" s="83">
        <v>3.7982483119625724E-6</v>
      </c>
    </row>
    <row r="97" spans="2:31" x14ac:dyDescent="0.2">
      <c r="B97" s="83">
        <v>70466173462513.937</v>
      </c>
      <c r="C97" s="83">
        <v>1.3255382695904154E-5</v>
      </c>
      <c r="D97" s="83">
        <v>69185267451544.977</v>
      </c>
      <c r="E97" s="83">
        <v>1.3217521843993435E-5</v>
      </c>
      <c r="F97" s="83">
        <v>56417276535348.805</v>
      </c>
      <c r="G97" s="83">
        <v>1.0807967510809428E-5</v>
      </c>
      <c r="H97" s="83">
        <v>59207968374124.898</v>
      </c>
      <c r="I97" s="83">
        <v>1.1204161526826936E-5</v>
      </c>
      <c r="J97" s="83">
        <v>51954442739536.766</v>
      </c>
      <c r="K97" s="83">
        <v>9.7325784559982835E-6</v>
      </c>
      <c r="L97" s="83">
        <v>53962192715191.336</v>
      </c>
      <c r="M97" s="83">
        <v>1.0409404592951996E-5</v>
      </c>
      <c r="N97" s="83">
        <v>41006793820076.961</v>
      </c>
      <c r="O97" s="83">
        <v>7.6832108637407249E-6</v>
      </c>
      <c r="P97" s="83">
        <v>37890423086403.883</v>
      </c>
      <c r="Q97" s="83">
        <v>7.249585861984926E-6</v>
      </c>
      <c r="R97" s="83">
        <v>35184471550793.969</v>
      </c>
      <c r="S97" s="83">
        <v>6.6575602833611948E-6</v>
      </c>
      <c r="T97" s="83">
        <v>30533385153801.414</v>
      </c>
      <c r="U97" s="83">
        <v>5.7291344363905321E-6</v>
      </c>
      <c r="V97" s="83">
        <v>28800721465612.383</v>
      </c>
      <c r="W97" s="83">
        <v>5.5473962780868131E-6</v>
      </c>
      <c r="X97" s="83">
        <v>22483085329580.437</v>
      </c>
      <c r="Y97" s="83">
        <v>4.3181803658149154E-6</v>
      </c>
      <c r="Z97" s="83">
        <v>25648199293365.605</v>
      </c>
      <c r="AA97" s="83">
        <v>4.9331006308684648E-6</v>
      </c>
      <c r="AB97" s="83">
        <v>21539415481648.836</v>
      </c>
      <c r="AC97" s="83">
        <v>4.1514684100477883E-6</v>
      </c>
      <c r="AD97" s="83">
        <v>17125907608606.83</v>
      </c>
      <c r="AE97" s="83">
        <v>3.2848751710830947E-6</v>
      </c>
    </row>
    <row r="98" spans="2:31" x14ac:dyDescent="0.2">
      <c r="B98" s="83">
        <v>58372775260975.867</v>
      </c>
      <c r="C98" s="83">
        <v>1.1559553763641807E-5</v>
      </c>
      <c r="D98" s="83">
        <v>61432794903429.258</v>
      </c>
      <c r="E98" s="83">
        <v>1.2389255193557939E-5</v>
      </c>
      <c r="F98" s="83">
        <v>54741385862624.297</v>
      </c>
      <c r="G98" s="83">
        <v>1.1044094628311385E-5</v>
      </c>
      <c r="H98" s="83">
        <v>56286927569808.258</v>
      </c>
      <c r="I98" s="83">
        <v>1.1174236257520493E-5</v>
      </c>
      <c r="J98" s="83">
        <v>52435853982837.93</v>
      </c>
      <c r="K98" s="83">
        <v>1.0356421360046745E-5</v>
      </c>
      <c r="L98" s="83">
        <v>45817078290490.445</v>
      </c>
      <c r="M98" s="83">
        <v>9.3088620282692055E-6</v>
      </c>
      <c r="N98" s="83">
        <v>42708814365347.219</v>
      </c>
      <c r="O98" s="83">
        <v>8.4412677325537726E-6</v>
      </c>
      <c r="P98" s="83">
        <v>37783527338026.133</v>
      </c>
      <c r="Q98" s="83">
        <v>7.6129131905044947E-6</v>
      </c>
      <c r="R98" s="83">
        <v>31168828638787.359</v>
      </c>
      <c r="S98" s="83">
        <v>6.1929714940339516E-6</v>
      </c>
      <c r="T98" s="83">
        <v>28589561159029.652</v>
      </c>
      <c r="U98" s="83">
        <v>5.6409505949368379E-6</v>
      </c>
      <c r="V98" s="83">
        <v>28435824699821.187</v>
      </c>
      <c r="W98" s="83">
        <v>5.7622747116229463E-6</v>
      </c>
      <c r="X98" s="83">
        <v>22046596906371.477</v>
      </c>
      <c r="Y98" s="83">
        <v>4.4543627397303479E-6</v>
      </c>
      <c r="Z98" s="83">
        <v>23024997460056.113</v>
      </c>
      <c r="AA98" s="83">
        <v>4.6586799639516426E-6</v>
      </c>
      <c r="AB98" s="83">
        <v>19466876698054.973</v>
      </c>
      <c r="AC98" s="83">
        <v>3.9429783473714067E-6</v>
      </c>
      <c r="AD98" s="83">
        <v>16686532065524.437</v>
      </c>
      <c r="AE98" s="83">
        <v>3.3721417113794382E-6</v>
      </c>
    </row>
    <row r="99" spans="2:31" x14ac:dyDescent="0.2">
      <c r="B99" s="83">
        <v>56451374662072.703</v>
      </c>
      <c r="C99" s="83">
        <v>1.1776812395308327E-5</v>
      </c>
      <c r="D99" s="83">
        <v>57899793545330.805</v>
      </c>
      <c r="E99" s="83">
        <v>1.2260237613746036E-5</v>
      </c>
      <c r="F99" s="83">
        <v>46025117001174.859</v>
      </c>
      <c r="G99" s="83">
        <v>9.7485021721513645E-6</v>
      </c>
      <c r="H99" s="83">
        <v>53579154267799.961</v>
      </c>
      <c r="I99" s="83">
        <v>1.1221903940702929E-5</v>
      </c>
      <c r="J99" s="83">
        <v>51346162529911</v>
      </c>
      <c r="K99" s="83">
        <v>1.0645947802009042E-5</v>
      </c>
      <c r="L99" s="83">
        <v>49320655377895.844</v>
      </c>
      <c r="M99" s="83">
        <v>1.0519249155992398E-5</v>
      </c>
      <c r="N99" s="83">
        <v>38385496824384.531</v>
      </c>
      <c r="O99" s="83">
        <v>7.9683304384852839E-6</v>
      </c>
      <c r="P99" s="83">
        <v>33383059616999.473</v>
      </c>
      <c r="Q99" s="83">
        <v>7.0898028756578056E-6</v>
      </c>
      <c r="R99" s="83">
        <v>29952640576107.359</v>
      </c>
      <c r="S99" s="83">
        <v>6.2560567019227582E-6</v>
      </c>
      <c r="T99" s="83">
        <v>24781106561084.93</v>
      </c>
      <c r="U99" s="83">
        <v>5.1621316626963381E-6</v>
      </c>
      <c r="V99" s="83">
        <v>27140949418966.242</v>
      </c>
      <c r="W99" s="83">
        <v>5.7653571147792915E-6</v>
      </c>
      <c r="X99" s="83">
        <v>19999148044437.879</v>
      </c>
      <c r="Y99" s="83">
        <v>4.2564243923027042E-6</v>
      </c>
      <c r="Z99" s="83">
        <v>22278213451700.398</v>
      </c>
      <c r="AA99" s="83">
        <v>4.7261173402280206E-6</v>
      </c>
      <c r="AB99" s="83">
        <v>18025971092897.246</v>
      </c>
      <c r="AC99" s="83">
        <v>3.8496176444849251E-6</v>
      </c>
      <c r="AD99" s="83">
        <v>16644006573714.744</v>
      </c>
      <c r="AE99" s="83">
        <v>3.5411816067341976E-6</v>
      </c>
    </row>
    <row r="100" spans="2:31" x14ac:dyDescent="0.2">
      <c r="B100" s="83">
        <v>51525138227361.523</v>
      </c>
      <c r="C100" s="83">
        <v>1.1349525301802646E-5</v>
      </c>
      <c r="D100" s="83">
        <v>53685238766678.805</v>
      </c>
      <c r="E100" s="83">
        <v>1.1940067770459521E-5</v>
      </c>
      <c r="F100" s="83">
        <v>46195412499711.031</v>
      </c>
      <c r="G100" s="83">
        <v>1.0309606667897658E-5</v>
      </c>
      <c r="H100" s="83">
        <v>49014962275987.937</v>
      </c>
      <c r="I100" s="83">
        <v>1.0775321339608201E-5</v>
      </c>
      <c r="J100" s="83">
        <v>48001755259092.086</v>
      </c>
      <c r="K100" s="83">
        <v>1.0472936909933391E-5</v>
      </c>
      <c r="L100" s="83">
        <v>43836353659189.781</v>
      </c>
      <c r="M100" s="83">
        <v>9.8644896754414262E-6</v>
      </c>
      <c r="N100" s="83">
        <v>35972167073901.641</v>
      </c>
      <c r="O100" s="83">
        <v>7.8217605330377786E-6</v>
      </c>
      <c r="P100" s="83">
        <v>33361740001291.285</v>
      </c>
      <c r="Q100" s="83">
        <v>7.4547596709212947E-6</v>
      </c>
      <c r="R100" s="83">
        <v>26953674314980.672</v>
      </c>
      <c r="S100" s="83">
        <v>5.9050571634669999E-6</v>
      </c>
      <c r="T100" s="83">
        <v>27031112674700.234</v>
      </c>
      <c r="U100" s="83">
        <v>5.9455312788665175E-6</v>
      </c>
      <c r="V100" s="83">
        <v>24807474473861.172</v>
      </c>
      <c r="W100" s="83">
        <v>5.5404901745505975E-6</v>
      </c>
      <c r="X100" s="83">
        <v>22113725646169.887</v>
      </c>
      <c r="Y100" s="83">
        <v>4.9521491483987903E-6</v>
      </c>
      <c r="Z100" s="83">
        <v>20245122424567.672</v>
      </c>
      <c r="AA100" s="83">
        <v>4.5304401028956499E-6</v>
      </c>
      <c r="AB100" s="83">
        <v>17020774159467.029</v>
      </c>
      <c r="AC100" s="83">
        <v>3.814820252024434E-6</v>
      </c>
      <c r="AD100" s="83">
        <v>17352737737357.102</v>
      </c>
      <c r="AE100" s="83">
        <v>3.8726669169119488E-6</v>
      </c>
    </row>
    <row r="101" spans="2:31" x14ac:dyDescent="0.2">
      <c r="B101" s="83">
        <v>50998613148637.008</v>
      </c>
      <c r="C101" s="83">
        <v>1.1851379603629289E-5</v>
      </c>
      <c r="D101" s="83">
        <v>53121443348536.531</v>
      </c>
      <c r="E101" s="83">
        <v>1.2498906388224327E-5</v>
      </c>
      <c r="F101" s="83">
        <v>41967698848029.687</v>
      </c>
      <c r="G101" s="83">
        <v>9.8807304157027799E-6</v>
      </c>
      <c r="H101" s="83">
        <v>43657481094794.508</v>
      </c>
      <c r="I101" s="83">
        <v>1.0079752194146369E-5</v>
      </c>
      <c r="J101" s="83">
        <v>43949628489304.883</v>
      </c>
      <c r="K101" s="83">
        <v>1.0075583407034548E-5</v>
      </c>
      <c r="L101" s="83">
        <v>40673141640738.391</v>
      </c>
      <c r="M101" s="83">
        <v>9.5631028346569679E-6</v>
      </c>
      <c r="N101" s="83">
        <v>33536547422845.512</v>
      </c>
      <c r="O101" s="83">
        <v>7.7018324758269336E-6</v>
      </c>
      <c r="P101" s="83">
        <v>31568331549111.383</v>
      </c>
      <c r="Q101" s="83">
        <v>7.4132850864062117E-6</v>
      </c>
      <c r="R101" s="83">
        <v>24098340970381.398</v>
      </c>
      <c r="S101" s="83">
        <v>5.5858594244282822E-6</v>
      </c>
      <c r="T101" s="83">
        <v>25204121243049.094</v>
      </c>
      <c r="U101" s="83">
        <v>5.84029257324068E-6</v>
      </c>
      <c r="V101" s="83">
        <v>23805226562990.941</v>
      </c>
      <c r="W101" s="83">
        <v>5.579503426468649E-6</v>
      </c>
      <c r="X101" s="83">
        <v>18489534989323.258</v>
      </c>
      <c r="Y101" s="83">
        <v>4.3512444693659134E-6</v>
      </c>
      <c r="Z101" s="83">
        <v>19356010641701.824</v>
      </c>
      <c r="AA101" s="83">
        <v>4.5573130362386522E-6</v>
      </c>
      <c r="AB101" s="83">
        <v>15596122714133.432</v>
      </c>
      <c r="AC101" s="83">
        <v>3.688816196813587E-6</v>
      </c>
      <c r="AD101" s="83">
        <v>13881744201277.66</v>
      </c>
      <c r="AE101" s="83">
        <v>3.2731339104967865E-6</v>
      </c>
    </row>
    <row r="102" spans="2:31" x14ac:dyDescent="0.2">
      <c r="B102" s="83">
        <v>43876820111273.195</v>
      </c>
      <c r="C102" s="83">
        <v>1.0764497232412265E-5</v>
      </c>
      <c r="D102" s="83">
        <v>45350143469506.555</v>
      </c>
      <c r="E102" s="83">
        <v>1.1222267195919521E-5</v>
      </c>
      <c r="F102" s="83">
        <v>42279678334899.305</v>
      </c>
      <c r="G102" s="83">
        <v>1.0526564851688896E-5</v>
      </c>
      <c r="H102" s="83">
        <v>43630873565862.281</v>
      </c>
      <c r="I102" s="83">
        <v>1.0680249170987175E-5</v>
      </c>
      <c r="J102" s="83">
        <v>42481235741893.914</v>
      </c>
      <c r="K102" s="83">
        <v>1.0315185063943828E-5</v>
      </c>
      <c r="L102" s="83">
        <v>36690933528493.594</v>
      </c>
      <c r="M102" s="83">
        <v>9.0844390920094458E-6</v>
      </c>
      <c r="N102" s="83">
        <v>29586665291487.754</v>
      </c>
      <c r="O102" s="83">
        <v>7.1601447851338249E-6</v>
      </c>
      <c r="P102" s="83">
        <v>31717742561635.805</v>
      </c>
      <c r="Q102" s="83">
        <v>7.814190283943433E-6</v>
      </c>
      <c r="R102" s="83">
        <v>21689909522070.816</v>
      </c>
      <c r="S102" s="83">
        <v>5.3075381214919848E-6</v>
      </c>
      <c r="T102" s="83">
        <v>25627176201941.543</v>
      </c>
      <c r="U102" s="83">
        <v>6.191336201080789E-6</v>
      </c>
      <c r="V102" s="83">
        <v>19361908644390.012</v>
      </c>
      <c r="W102" s="83">
        <v>4.7951930342675872E-6</v>
      </c>
      <c r="X102" s="83">
        <v>16410756109611.918</v>
      </c>
      <c r="Y102" s="83">
        <v>4.073603180816441E-6</v>
      </c>
      <c r="Z102" s="83">
        <v>19546524887380.492</v>
      </c>
      <c r="AA102" s="83">
        <v>4.8411699785564673E-6</v>
      </c>
      <c r="AB102" s="83">
        <v>15626135656403.027</v>
      </c>
      <c r="AC102" s="83">
        <v>3.894826617023577E-6</v>
      </c>
      <c r="AD102" s="83">
        <v>12678689272355.176</v>
      </c>
      <c r="AE102" s="83">
        <v>3.1375001017298937E-6</v>
      </c>
    </row>
    <row r="103" spans="2:31" x14ac:dyDescent="0.2">
      <c r="B103" s="83">
        <v>46260533423129.977</v>
      </c>
      <c r="C103" s="83">
        <v>1.1827186178523462E-5</v>
      </c>
      <c r="D103" s="83">
        <v>54100773381260.008</v>
      </c>
      <c r="E103" s="83">
        <v>1.4058716364991654E-5</v>
      </c>
      <c r="F103" s="83">
        <v>38904537930693.742</v>
      </c>
      <c r="G103" s="83">
        <v>1.0152022805700164E-5</v>
      </c>
      <c r="H103" s="83">
        <v>39177730481831.414</v>
      </c>
      <c r="I103" s="83">
        <v>1.0073660174033084E-5</v>
      </c>
      <c r="J103" s="83">
        <v>41595247441764.914</v>
      </c>
      <c r="K103" s="83">
        <v>1.0571278472383256E-5</v>
      </c>
      <c r="L103" s="83">
        <v>32083917636411.27</v>
      </c>
      <c r="M103" s="83">
        <v>8.4084753133041761E-6</v>
      </c>
      <c r="N103" s="83">
        <v>25937534692981.246</v>
      </c>
      <c r="O103" s="83">
        <v>6.5782560382818877E-6</v>
      </c>
      <c r="P103" s="83">
        <v>26106207108947.355</v>
      </c>
      <c r="Q103" s="83">
        <v>6.776528054658174E-6</v>
      </c>
      <c r="R103" s="83">
        <v>23794755027834.281</v>
      </c>
      <c r="S103" s="83">
        <v>6.1425249659318369E-6</v>
      </c>
      <c r="T103" s="83">
        <v>24338938721112.305</v>
      </c>
      <c r="U103" s="83">
        <v>6.22287030563244E-6</v>
      </c>
      <c r="V103" s="83">
        <v>18452005670890.797</v>
      </c>
      <c r="W103" s="83">
        <v>4.8209114226110149E-6</v>
      </c>
      <c r="X103" s="83">
        <v>20569575119990.066</v>
      </c>
      <c r="Y103" s="83">
        <v>5.3788794063634012E-6</v>
      </c>
      <c r="Z103" s="83">
        <v>18419623055576.777</v>
      </c>
      <c r="AA103" s="83">
        <v>4.8111373059386189E-6</v>
      </c>
      <c r="AB103" s="83">
        <v>15866021463970.762</v>
      </c>
      <c r="AC103" s="83">
        <v>4.1720991616572104E-6</v>
      </c>
      <c r="AD103" s="83">
        <v>11038029655723.979</v>
      </c>
      <c r="AE103" s="83">
        <v>2.8870708414351529E-6</v>
      </c>
    </row>
    <row r="104" spans="2:31" x14ac:dyDescent="0.2">
      <c r="B104" s="83">
        <v>40441617290507.07</v>
      </c>
      <c r="C104" s="83">
        <v>1.0877304613228414E-5</v>
      </c>
      <c r="D104" s="83">
        <v>44015979854474.836</v>
      </c>
      <c r="E104" s="83">
        <v>1.1995113223179953E-5</v>
      </c>
      <c r="F104" s="83">
        <v>38138985107933.406</v>
      </c>
      <c r="G104" s="83">
        <v>1.050542257510351E-5</v>
      </c>
      <c r="H104" s="83">
        <v>42040273002469.547</v>
      </c>
      <c r="I104" s="83">
        <v>1.1413227425253062E-5</v>
      </c>
      <c r="J104" s="83">
        <v>39519860217125.508</v>
      </c>
      <c r="K104" s="83">
        <v>1.0574709684468197E-5</v>
      </c>
      <c r="L104" s="83">
        <v>30878379879441.594</v>
      </c>
      <c r="M104" s="83">
        <v>8.5389263469724948E-6</v>
      </c>
      <c r="N104" s="83">
        <v>23964788319598.809</v>
      </c>
      <c r="O104" s="83">
        <v>6.4327265955263194E-6</v>
      </c>
      <c r="P104" s="83">
        <v>26234065592688.293</v>
      </c>
      <c r="Q104" s="83">
        <v>7.164304385674906E-6</v>
      </c>
      <c r="R104" s="83">
        <v>25090498099879.375</v>
      </c>
      <c r="S104" s="83">
        <v>6.812898871684768E-6</v>
      </c>
      <c r="T104" s="83">
        <v>17769367685165.219</v>
      </c>
      <c r="U104" s="83">
        <v>4.7703216782380357E-6</v>
      </c>
      <c r="V104" s="83">
        <v>19179928186578.937</v>
      </c>
      <c r="W104" s="83">
        <v>5.2991455353225302E-6</v>
      </c>
      <c r="X104" s="83">
        <v>18288283267637.207</v>
      </c>
      <c r="Y104" s="83">
        <v>5.0248821882440447E-6</v>
      </c>
      <c r="Z104" s="83">
        <v>17340656988865.32</v>
      </c>
      <c r="AA104" s="83">
        <v>4.7711399582806528E-6</v>
      </c>
      <c r="AB104" s="83">
        <v>12854116167966.283</v>
      </c>
      <c r="AC104" s="83">
        <v>3.5646480167743205E-6</v>
      </c>
      <c r="AD104" s="83">
        <v>12013825248258.893</v>
      </c>
      <c r="AE104" s="83">
        <v>3.3152853795381385E-6</v>
      </c>
    </row>
    <row r="105" spans="2:31" x14ac:dyDescent="0.2">
      <c r="B105" s="83">
        <v>30452113268186.207</v>
      </c>
      <c r="C105" s="83">
        <v>8.6776626572538984E-6</v>
      </c>
      <c r="D105" s="83">
        <v>40044165550956.82</v>
      </c>
      <c r="E105" s="83">
        <v>1.1484246407609368E-5</v>
      </c>
      <c r="F105" s="83">
        <v>33716729346037.227</v>
      </c>
      <c r="G105" s="83">
        <v>9.7805921430037362E-6</v>
      </c>
      <c r="H105" s="83">
        <v>37826328260184.344</v>
      </c>
      <c r="I105" s="83">
        <v>1.0776465481505511E-5</v>
      </c>
      <c r="J105" s="83">
        <v>34687974782091.102</v>
      </c>
      <c r="K105" s="83">
        <v>9.7723263817371248E-6</v>
      </c>
      <c r="L105" s="83">
        <v>31360518772875.879</v>
      </c>
      <c r="M105" s="83">
        <v>9.1056612914239775E-6</v>
      </c>
      <c r="N105" s="83">
        <v>21419642477983.262</v>
      </c>
      <c r="O105" s="83">
        <v>6.0632650893380965E-6</v>
      </c>
      <c r="P105" s="83">
        <v>22865745578439.195</v>
      </c>
      <c r="Q105" s="83">
        <v>6.5897105410524328E-6</v>
      </c>
      <c r="R105" s="83">
        <v>22377944296552.414</v>
      </c>
      <c r="S105" s="83">
        <v>6.3715032460992469E-6</v>
      </c>
      <c r="T105" s="83">
        <v>18306837329521.797</v>
      </c>
      <c r="U105" s="83">
        <v>5.2099059717209771E-6</v>
      </c>
      <c r="V105" s="83">
        <v>19725896973911.035</v>
      </c>
      <c r="W105" s="83">
        <v>5.7542413930742353E-6</v>
      </c>
      <c r="X105" s="83">
        <v>13831096004605.926</v>
      </c>
      <c r="Y105" s="83">
        <v>3.9706444535120974E-6</v>
      </c>
      <c r="Z105" s="83">
        <v>12886714121326.859</v>
      </c>
      <c r="AA105" s="83">
        <v>3.7408085063253309E-6</v>
      </c>
      <c r="AB105" s="83">
        <v>12659452109408.148</v>
      </c>
      <c r="AC105" s="83">
        <v>3.6812037130689953E-6</v>
      </c>
      <c r="AD105" s="83">
        <v>11900633169939.781</v>
      </c>
      <c r="AE105" s="83">
        <v>3.479112888351132E-6</v>
      </c>
    </row>
    <row r="106" spans="2:31" x14ac:dyDescent="0.2">
      <c r="B106" s="83">
        <v>28628524041873.746</v>
      </c>
      <c r="C106" s="83">
        <v>8.6470623066230622E-6</v>
      </c>
      <c r="D106" s="83">
        <v>36399952755951.898</v>
      </c>
      <c r="E106" s="83">
        <v>1.106170584660248E-5</v>
      </c>
      <c r="F106" s="83">
        <v>32299797177199.508</v>
      </c>
      <c r="G106" s="83">
        <v>9.8720940373444851E-6</v>
      </c>
      <c r="H106" s="83">
        <v>30517012473143.391</v>
      </c>
      <c r="I106" s="83">
        <v>9.1482020279956133E-6</v>
      </c>
      <c r="J106" s="83">
        <v>29530926527719.359</v>
      </c>
      <c r="K106" s="83">
        <v>8.8026138135556759E-6</v>
      </c>
      <c r="L106" s="83">
        <v>31698136085345.965</v>
      </c>
      <c r="M106" s="83">
        <v>9.7900876028467104E-6</v>
      </c>
      <c r="N106" s="83">
        <v>21648982210464.602</v>
      </c>
      <c r="O106" s="83">
        <v>6.4593464494857374E-6</v>
      </c>
      <c r="P106" s="83">
        <v>20074790622163.617</v>
      </c>
      <c r="Q106" s="83">
        <v>6.1361790763984144E-6</v>
      </c>
      <c r="R106" s="83">
        <v>21143682691895.82</v>
      </c>
      <c r="S106" s="83">
        <v>6.3174807607654761E-6</v>
      </c>
      <c r="T106" s="83">
        <v>19765930131463.918</v>
      </c>
      <c r="U106" s="83">
        <v>5.9286763657230818E-6</v>
      </c>
      <c r="V106" s="83">
        <v>19289040815938.754</v>
      </c>
      <c r="W106" s="83">
        <v>5.8964476611355862E-6</v>
      </c>
      <c r="X106" s="83">
        <v>12056886924688.834</v>
      </c>
      <c r="Y106" s="83">
        <v>3.6781006345339628E-6</v>
      </c>
      <c r="Z106" s="83">
        <v>16753818566916.354</v>
      </c>
      <c r="AA106" s="83">
        <v>5.1285551847781967E-6</v>
      </c>
      <c r="AB106" s="83">
        <v>10773492111255.34</v>
      </c>
      <c r="AC106" s="83">
        <v>3.3234786204914824E-6</v>
      </c>
      <c r="AD106" s="83">
        <v>10387812015799.9</v>
      </c>
      <c r="AE106" s="83">
        <v>3.1855848264817977E-6</v>
      </c>
    </row>
    <row r="107" spans="2:31" x14ac:dyDescent="0.2">
      <c r="B107" s="83">
        <v>32801481762270.238</v>
      </c>
      <c r="C107" s="83">
        <v>1.0515140806740493E-5</v>
      </c>
      <c r="D107" s="83">
        <v>37792358427079.875</v>
      </c>
      <c r="E107" s="83">
        <v>1.2131124607433167E-5</v>
      </c>
      <c r="F107" s="83">
        <v>29636809278666.586</v>
      </c>
      <c r="G107" s="83">
        <v>9.5652041052181621E-6</v>
      </c>
      <c r="H107" s="83">
        <v>31814122983411.973</v>
      </c>
      <c r="I107" s="83">
        <v>1.0058714484353962E-5</v>
      </c>
      <c r="J107" s="83">
        <v>26827460443325.332</v>
      </c>
      <c r="K107" s="83">
        <v>8.4341335381950511E-6</v>
      </c>
      <c r="L107" s="83">
        <v>28492169874197.184</v>
      </c>
      <c r="M107" s="83">
        <v>9.274401071357967E-6</v>
      </c>
      <c r="N107" s="83">
        <v>21259204832956.996</v>
      </c>
      <c r="O107" s="83">
        <v>6.6983455058337321E-6</v>
      </c>
      <c r="P107" s="83">
        <v>20692479776477.332</v>
      </c>
      <c r="Q107" s="83">
        <v>6.703071195489724E-6</v>
      </c>
      <c r="R107" s="83">
        <v>19505217122262.074</v>
      </c>
      <c r="S107" s="83">
        <v>6.1773605171031789E-6</v>
      </c>
      <c r="T107" s="83">
        <v>19881163393415.562</v>
      </c>
      <c r="U107" s="83">
        <v>6.3026752872863679E-6</v>
      </c>
      <c r="V107" s="83">
        <v>17924395259939.711</v>
      </c>
      <c r="W107" s="83">
        <v>5.786066823516923E-6</v>
      </c>
      <c r="X107" s="83">
        <v>11036348782605.006</v>
      </c>
      <c r="Y107" s="83">
        <v>3.563632894999591E-6</v>
      </c>
      <c r="Z107" s="83">
        <v>13361841793668.23</v>
      </c>
      <c r="AA107" s="83">
        <v>4.3175540620706311E-6</v>
      </c>
      <c r="AB107" s="83">
        <v>10519193949610.85</v>
      </c>
      <c r="AC107" s="83">
        <v>3.3924500101470143E-6</v>
      </c>
      <c r="AD107" s="83">
        <v>10571550365572.541</v>
      </c>
      <c r="AE107" s="83">
        <v>3.4136583749947178E-6</v>
      </c>
    </row>
    <row r="108" spans="2:31" x14ac:dyDescent="0.2">
      <c r="B108" s="83">
        <v>33110651736274.902</v>
      </c>
      <c r="C108" s="83">
        <v>1.117084818127628E-5</v>
      </c>
      <c r="D108" s="83">
        <v>31987270130069.316</v>
      </c>
      <c r="E108" s="83">
        <v>1.0807301668549229E-5</v>
      </c>
      <c r="F108" s="83">
        <v>24143696672623.875</v>
      </c>
      <c r="G108" s="83">
        <v>8.2290102894941021E-6</v>
      </c>
      <c r="H108" s="83">
        <v>29590610447484.297</v>
      </c>
      <c r="I108" s="83">
        <v>9.9083582104992816E-6</v>
      </c>
      <c r="J108" s="83">
        <v>30794494778186.215</v>
      </c>
      <c r="K108" s="83">
        <v>1.0176022957258299E-5</v>
      </c>
      <c r="L108" s="83">
        <v>31698136085345.965</v>
      </c>
      <c r="M108" s="83">
        <v>1.0847701546041487E-5</v>
      </c>
      <c r="N108" s="83">
        <v>19746630968088.687</v>
      </c>
      <c r="O108" s="83">
        <v>6.5140740523732022E-6</v>
      </c>
      <c r="P108" s="83">
        <v>22567436805248.348</v>
      </c>
      <c r="Q108" s="83">
        <v>7.6629580616521802E-6</v>
      </c>
      <c r="R108" s="83">
        <v>13483455898756.096</v>
      </c>
      <c r="S108" s="83">
        <v>4.4875722624147298E-6</v>
      </c>
      <c r="T108" s="83">
        <v>18729083998988.074</v>
      </c>
      <c r="U108" s="83">
        <v>6.220991938104803E-6</v>
      </c>
      <c r="V108" s="83">
        <v>15814769418611.916</v>
      </c>
      <c r="W108" s="83">
        <v>5.4053454020861101E-6</v>
      </c>
      <c r="X108" s="83">
        <v>13395811104118.633</v>
      </c>
      <c r="Y108" s="83">
        <v>4.5745582059262603E-6</v>
      </c>
      <c r="Z108" s="83">
        <v>14359988694885.072</v>
      </c>
      <c r="AA108" s="83">
        <v>4.890154599044805E-6</v>
      </c>
      <c r="AB108" s="83">
        <v>11177521745186.359</v>
      </c>
      <c r="AC108" s="83">
        <v>3.8296258433022251E-6</v>
      </c>
      <c r="AD108" s="83">
        <v>9935596974684.25</v>
      </c>
      <c r="AE108" s="83">
        <v>3.3872968658682775E-6</v>
      </c>
    </row>
    <row r="109" spans="2:31" x14ac:dyDescent="0.2">
      <c r="B109" s="83">
        <v>26125781820463.984</v>
      </c>
      <c r="C109" s="83">
        <v>9.2332794249475132E-6</v>
      </c>
      <c r="D109" s="83">
        <v>34148902712994.684</v>
      </c>
      <c r="E109" s="83">
        <v>1.2259712703170425E-5</v>
      </c>
      <c r="F109" s="83">
        <v>25870576332248</v>
      </c>
      <c r="G109" s="83">
        <v>9.4156371656188136E-6</v>
      </c>
      <c r="H109" s="83">
        <v>26732771901017.395</v>
      </c>
      <c r="I109" s="83">
        <v>9.5552388897345617E-6</v>
      </c>
      <c r="J109" s="83">
        <v>21499928304983.52</v>
      </c>
      <c r="K109" s="83">
        <v>7.5357590747017426E-6</v>
      </c>
      <c r="L109" s="83">
        <v>30540928810889.57</v>
      </c>
      <c r="M109" s="83">
        <v>1.1035982948099695E-5</v>
      </c>
      <c r="N109" s="83">
        <v>19219512807927.602</v>
      </c>
      <c r="O109" s="83">
        <v>6.7196156069594487E-6</v>
      </c>
      <c r="P109" s="83">
        <v>21395444395581.406</v>
      </c>
      <c r="Q109" s="83">
        <v>7.6862070390210005E-6</v>
      </c>
      <c r="R109" s="83">
        <v>15381943561552.729</v>
      </c>
      <c r="S109" s="83">
        <v>5.4329273697405132E-6</v>
      </c>
      <c r="T109" s="83">
        <v>15332647863014.9</v>
      </c>
      <c r="U109" s="83">
        <v>5.3738888731970005E-6</v>
      </c>
      <c r="V109" s="83">
        <v>16178383383747.236</v>
      </c>
      <c r="W109" s="83">
        <v>5.7934503522840313E-6</v>
      </c>
      <c r="X109" s="83">
        <v>14383659262937.029</v>
      </c>
      <c r="Y109" s="83">
        <v>5.183470359688106E-6</v>
      </c>
      <c r="Z109" s="83">
        <v>13456894351386.211</v>
      </c>
      <c r="AA109" s="83">
        <v>4.8535927389448628E-6</v>
      </c>
      <c r="AB109" s="83">
        <v>9950813219010.9941</v>
      </c>
      <c r="AC109" s="83">
        <v>3.5945808353762401E-6</v>
      </c>
      <c r="AD109" s="83">
        <v>7520950601937.8154</v>
      </c>
      <c r="AE109" s="83">
        <v>2.709089114572979E-6</v>
      </c>
    </row>
    <row r="110" spans="2:31" x14ac:dyDescent="0.2">
      <c r="B110" s="83">
        <v>26280163523490.148</v>
      </c>
      <c r="C110" s="83">
        <v>9.7839441721918557E-6</v>
      </c>
      <c r="D110" s="83">
        <v>32135373876248.098</v>
      </c>
      <c r="E110" s="83">
        <v>1.2144948167965181E-5</v>
      </c>
      <c r="F110" s="83">
        <v>26578263479008.941</v>
      </c>
      <c r="G110" s="83">
        <v>1.008251108931971E-5</v>
      </c>
      <c r="H110" s="83">
        <v>27103109263900.016</v>
      </c>
      <c r="I110" s="83">
        <v>1.0132561996680328E-5</v>
      </c>
      <c r="J110" s="83">
        <v>23771730015819.773</v>
      </c>
      <c r="K110" s="83">
        <v>8.738662299012069E-6</v>
      </c>
      <c r="L110" s="83">
        <v>24830381967142.492</v>
      </c>
      <c r="M110" s="83">
        <v>9.3730664284727705E-6</v>
      </c>
      <c r="N110" s="83">
        <v>17112109930339.352</v>
      </c>
      <c r="O110" s="83">
        <v>6.2783977710584499E-6</v>
      </c>
      <c r="P110" s="83">
        <v>19883088922244.703</v>
      </c>
      <c r="Q110" s="83">
        <v>7.4650521735855377E-6</v>
      </c>
      <c r="R110" s="83">
        <v>15644565419795.734</v>
      </c>
      <c r="S110" s="83">
        <v>5.8173001546906746E-6</v>
      </c>
      <c r="T110" s="83">
        <v>14680560704516.387</v>
      </c>
      <c r="U110" s="83">
        <v>5.389765383205613E-6</v>
      </c>
      <c r="V110" s="83">
        <v>11472594423207.115</v>
      </c>
      <c r="W110" s="83">
        <v>4.359611687512933E-6</v>
      </c>
      <c r="X110" s="83">
        <v>9882628192152.2832</v>
      </c>
      <c r="Y110" s="83">
        <v>3.7302303441207791E-6</v>
      </c>
      <c r="Z110" s="83">
        <v>10037692433406.666</v>
      </c>
      <c r="AA110" s="83">
        <v>3.8227026203461362E-6</v>
      </c>
      <c r="AB110" s="83">
        <v>8425985457921.7686</v>
      </c>
      <c r="AC110" s="83">
        <v>3.2189969953309949E-6</v>
      </c>
      <c r="AD110" s="83">
        <v>6096463953347.5107</v>
      </c>
      <c r="AE110" s="83">
        <v>2.3314771616583166E-6</v>
      </c>
    </row>
    <row r="111" spans="2:31" x14ac:dyDescent="0.2">
      <c r="B111" s="83">
        <v>25878555956535.492</v>
      </c>
      <c r="C111" s="83">
        <v>1.0208524148502744E-5</v>
      </c>
      <c r="D111" s="83">
        <v>31484009959307.574</v>
      </c>
      <c r="E111" s="83">
        <v>1.2429314614424333E-5</v>
      </c>
      <c r="F111" s="83">
        <v>28390560771796.719</v>
      </c>
      <c r="G111" s="83">
        <v>1.1320525991233711E-5</v>
      </c>
      <c r="H111" s="83">
        <v>28161541514847.66</v>
      </c>
      <c r="I111" s="83">
        <v>1.0995844699934774E-5</v>
      </c>
      <c r="J111" s="83">
        <v>20313987595231.602</v>
      </c>
      <c r="K111" s="83">
        <v>7.9333952019519151E-6</v>
      </c>
      <c r="L111" s="83">
        <v>20833931329104.59</v>
      </c>
      <c r="M111" s="83">
        <v>8.3264232504113741E-6</v>
      </c>
      <c r="N111" s="83">
        <v>14868240715086.453</v>
      </c>
      <c r="O111" s="83">
        <v>5.763937461812348E-6</v>
      </c>
      <c r="P111" s="83">
        <v>20713747078686</v>
      </c>
      <c r="Q111" s="83">
        <v>8.26936663174449E-6</v>
      </c>
      <c r="R111" s="83">
        <v>11525607352357.344</v>
      </c>
      <c r="S111" s="83">
        <v>4.5405908038392538E-6</v>
      </c>
      <c r="T111" s="83">
        <v>14949097984114.725</v>
      </c>
      <c r="U111" s="83">
        <v>5.8117611601737812E-6</v>
      </c>
      <c r="V111" s="83">
        <v>14251589453623.367</v>
      </c>
      <c r="W111" s="83">
        <v>5.7362895122129099E-6</v>
      </c>
      <c r="X111" s="83">
        <v>10250445479340.23</v>
      </c>
      <c r="Y111" s="83">
        <v>4.1047882270042646E-6</v>
      </c>
      <c r="Z111" s="83">
        <v>13789525212876.65</v>
      </c>
      <c r="AA111" s="83">
        <v>5.5154736154454035E-6</v>
      </c>
      <c r="AB111" s="83">
        <v>7858300634818.8555</v>
      </c>
      <c r="AC111" s="83">
        <v>3.1886292564700691E-6</v>
      </c>
      <c r="AD111" s="83">
        <v>9850809655496.25</v>
      </c>
      <c r="AE111" s="83">
        <v>3.9558195983230351E-6</v>
      </c>
    </row>
    <row r="112" spans="2:31" x14ac:dyDescent="0.2">
      <c r="B112" s="83">
        <v>19733431193396.133</v>
      </c>
      <c r="C112" s="83">
        <v>8.2894334759322252E-6</v>
      </c>
      <c r="D112" s="83">
        <v>24914381257145.227</v>
      </c>
      <c r="E112" s="83">
        <v>1.0491914628714827E-5</v>
      </c>
      <c r="F112" s="83">
        <v>19135904591007.398</v>
      </c>
      <c r="G112" s="83">
        <v>8.0985809711981951E-6</v>
      </c>
      <c r="H112" s="83">
        <v>18642564779307.23</v>
      </c>
      <c r="I112" s="83">
        <v>7.7171705781741739E-6</v>
      </c>
      <c r="J112" s="83">
        <v>22257181483657.441</v>
      </c>
      <c r="K112" s="83">
        <v>9.1866820585320371E-6</v>
      </c>
      <c r="L112" s="83">
        <v>24252343406390.922</v>
      </c>
      <c r="M112" s="83">
        <v>1.0236418553612235E-5</v>
      </c>
      <c r="N112" s="83">
        <v>11779322988813.094</v>
      </c>
      <c r="O112" s="83">
        <v>4.8512415889671641E-6</v>
      </c>
      <c r="P112" s="83">
        <v>14030419146538.748</v>
      </c>
      <c r="Q112" s="83">
        <v>5.9181412628523871E-6</v>
      </c>
      <c r="R112" s="83">
        <v>13140268979870.502</v>
      </c>
      <c r="S112" s="83">
        <v>5.4579091220815055E-6</v>
      </c>
      <c r="T112" s="83">
        <v>9890264966135.5742</v>
      </c>
      <c r="U112" s="83">
        <v>4.0854644544140832E-6</v>
      </c>
      <c r="V112" s="83">
        <v>13524757209430.207</v>
      </c>
      <c r="W112" s="83">
        <v>5.7520343966698574E-6</v>
      </c>
      <c r="X112" s="83">
        <v>11939694415419.74</v>
      </c>
      <c r="Y112" s="83">
        <v>5.0713248212554772E-6</v>
      </c>
      <c r="Z112" s="83">
        <v>11366831393286.281</v>
      </c>
      <c r="AA112" s="83">
        <v>4.8163857826573624E-6</v>
      </c>
      <c r="AB112" s="83">
        <v>6499405806490.3428</v>
      </c>
      <c r="AC112" s="83">
        <v>2.7708720348725922E-6</v>
      </c>
      <c r="AD112" s="83">
        <v>7619713454214.334</v>
      </c>
      <c r="AE112" s="83">
        <v>3.2331986168500563E-6</v>
      </c>
    </row>
    <row r="113" spans="2:31" x14ac:dyDescent="0.2">
      <c r="B113" s="83">
        <v>25940401235663.914</v>
      </c>
      <c r="C113" s="83">
        <v>1.1442645581664873E-5</v>
      </c>
      <c r="D113" s="83">
        <v>19059906082995.566</v>
      </c>
      <c r="E113" s="83">
        <v>8.4590404955077597E-6</v>
      </c>
      <c r="F113" s="83">
        <v>17608880396508.746</v>
      </c>
      <c r="G113" s="83">
        <v>7.9446793996978423E-6</v>
      </c>
      <c r="H113" s="83">
        <v>18536919062139.996</v>
      </c>
      <c r="I113" s="83">
        <v>8.0997108494824653E-6</v>
      </c>
      <c r="J113" s="83">
        <v>17236479252631.82</v>
      </c>
      <c r="K113" s="83">
        <v>7.531786624764882E-6</v>
      </c>
      <c r="L113" s="83">
        <v>16263546527479.008</v>
      </c>
      <c r="M113" s="83">
        <v>7.2807707026646461E-6</v>
      </c>
      <c r="N113" s="83">
        <v>15417697205851.111</v>
      </c>
      <c r="O113" s="83">
        <v>6.6963376397997376E-6</v>
      </c>
      <c r="P113" s="83">
        <v>18137118573467.66</v>
      </c>
      <c r="Q113" s="83">
        <v>8.1173040582892993E-6</v>
      </c>
      <c r="R113" s="83">
        <v>11949318320495.76</v>
      </c>
      <c r="S113" s="83">
        <v>5.2374310423256806E-6</v>
      </c>
      <c r="T113" s="83">
        <v>10866857421690.92</v>
      </c>
      <c r="U113" s="83">
        <v>4.7356431768400703E-6</v>
      </c>
      <c r="V113" s="83">
        <v>12689208461335.869</v>
      </c>
      <c r="W113" s="83">
        <v>5.659488366116756E-6</v>
      </c>
      <c r="X113" s="83">
        <v>7576877494734.8066</v>
      </c>
      <c r="Y113" s="83">
        <v>3.3733999823286881E-6</v>
      </c>
      <c r="Z113" s="83">
        <v>10306663916434.566</v>
      </c>
      <c r="AA113" s="83">
        <v>4.6101388955986095E-6</v>
      </c>
      <c r="AB113" s="83">
        <v>6842750025313.5244</v>
      </c>
      <c r="AC113" s="83">
        <v>3.0607689559831017E-6</v>
      </c>
      <c r="AD113" s="83">
        <v>8014896807774.1533</v>
      </c>
      <c r="AE113" s="83">
        <v>3.6017244967284649E-6</v>
      </c>
    </row>
    <row r="114" spans="2:31" x14ac:dyDescent="0.2">
      <c r="B114" s="83">
        <v>25971244971506.293</v>
      </c>
      <c r="C114" s="83">
        <v>1.2143079360428474E-5</v>
      </c>
      <c r="D114" s="83">
        <v>17966404293442.379</v>
      </c>
      <c r="E114" s="83">
        <v>8.4642737955397162E-6</v>
      </c>
      <c r="F114" s="83">
        <v>22304252537694.937</v>
      </c>
      <c r="G114" s="83">
        <v>1.0588792132170558E-5</v>
      </c>
      <c r="H114" s="83">
        <v>16001242017095.277</v>
      </c>
      <c r="I114" s="83">
        <v>7.4511691657383067E-6</v>
      </c>
      <c r="J114" s="83">
        <v>19001991039859.902</v>
      </c>
      <c r="K114" s="83">
        <v>8.7023652979909368E-6</v>
      </c>
      <c r="L114" s="83">
        <v>22085479152499.844</v>
      </c>
      <c r="M114" s="83">
        <v>1.0491508065577741E-5</v>
      </c>
      <c r="N114" s="83">
        <v>15463410396391.014</v>
      </c>
      <c r="O114" s="83">
        <v>7.0789976187395207E-6</v>
      </c>
      <c r="P114" s="83">
        <v>19563713730471.898</v>
      </c>
      <c r="Q114" s="83">
        <v>9.234445633307162E-6</v>
      </c>
      <c r="R114" s="83">
        <v>8520613758225.9766</v>
      </c>
      <c r="S114" s="83">
        <v>3.9569789485654782E-6</v>
      </c>
      <c r="T114" s="83">
        <v>13645302859819.494</v>
      </c>
      <c r="U114" s="83">
        <v>6.2694755079160848E-6</v>
      </c>
      <c r="V114" s="83">
        <v>11744952200850.326</v>
      </c>
      <c r="W114" s="83">
        <v>5.5038063826212709E-6</v>
      </c>
      <c r="X114" s="83">
        <v>7526775755522.4902</v>
      </c>
      <c r="Y114" s="83">
        <v>3.6016860148353084E-6</v>
      </c>
      <c r="Z114" s="83">
        <v>12158265764168.814</v>
      </c>
      <c r="AA114" s="83">
        <v>5.767311760306682E-6</v>
      </c>
      <c r="AB114" s="83">
        <v>5231186166858.1562</v>
      </c>
      <c r="AC114" s="83">
        <v>2.4924716650481982E-6</v>
      </c>
      <c r="AD114" s="83">
        <v>7393947729350.4189</v>
      </c>
      <c r="AE114" s="83">
        <v>3.5035299086742095E-6</v>
      </c>
    </row>
    <row r="115" spans="2:31" x14ac:dyDescent="0.2">
      <c r="B115" s="83">
        <v>17202931763496.586</v>
      </c>
      <c r="C115" s="83">
        <v>8.4447091795938922E-6</v>
      </c>
      <c r="D115" s="83">
        <v>18793889189368.16</v>
      </c>
      <c r="E115" s="83">
        <v>9.4860827348612952E-6</v>
      </c>
      <c r="F115" s="83">
        <v>15884429200011.791</v>
      </c>
      <c r="G115" s="83">
        <v>7.9426218526423229E-6</v>
      </c>
      <c r="H115" s="83">
        <v>17216049647311.586</v>
      </c>
      <c r="I115" s="83">
        <v>8.4777035050599154E-6</v>
      </c>
      <c r="J115" s="83">
        <v>13858718508564.629</v>
      </c>
      <c r="K115" s="83">
        <v>6.7607870086940605E-6</v>
      </c>
      <c r="L115" s="83">
        <v>15710483409868.691</v>
      </c>
      <c r="M115" s="83">
        <v>7.8894846477097868E-6</v>
      </c>
      <c r="N115" s="83">
        <v>12442653700738.238</v>
      </c>
      <c r="O115" s="83">
        <v>5.9822703205272774E-6</v>
      </c>
      <c r="P115" s="83">
        <v>13477548725014.838</v>
      </c>
      <c r="Q115" s="83">
        <v>6.6712154481511097E-6</v>
      </c>
      <c r="R115" s="83">
        <v>9165708702062.8633</v>
      </c>
      <c r="S115" s="83">
        <v>4.5052767725801988E-6</v>
      </c>
      <c r="T115" s="83">
        <v>9296855581807.4629</v>
      </c>
      <c r="U115" s="83">
        <v>4.5283931031795504E-6</v>
      </c>
      <c r="V115" s="83">
        <v>10165849320675.525</v>
      </c>
      <c r="W115" s="83">
        <v>5.0939164010548964E-6</v>
      </c>
      <c r="X115" s="83">
        <v>8980073642954.0684</v>
      </c>
      <c r="Y115" s="83">
        <v>4.505339577511041E-6</v>
      </c>
      <c r="Z115" s="83">
        <v>10907898874704.58</v>
      </c>
      <c r="AA115" s="83">
        <v>5.4545892232463178E-6</v>
      </c>
      <c r="AB115" s="83">
        <v>5425081337964.3037</v>
      </c>
      <c r="AC115" s="83">
        <v>2.7272744820548569E-6</v>
      </c>
      <c r="AD115" s="83">
        <v>4574805701668.0166</v>
      </c>
      <c r="AE115" s="83">
        <v>2.2881898011842472E-6</v>
      </c>
    </row>
    <row r="116" spans="2:31" x14ac:dyDescent="0.2">
      <c r="B116" s="83">
        <v>17171968330458.354</v>
      </c>
      <c r="C116" s="83">
        <v>8.963409017802875E-6</v>
      </c>
      <c r="D116" s="83">
        <v>15543917355633.059</v>
      </c>
      <c r="E116" s="83">
        <v>8.2993321363447907E-6</v>
      </c>
      <c r="F116" s="83">
        <v>17015235086428.838</v>
      </c>
      <c r="G116" s="83">
        <v>8.9262485248545932E-6</v>
      </c>
      <c r="H116" s="83">
        <v>17242555765983.846</v>
      </c>
      <c r="I116" s="83">
        <v>9.0113496412081444E-6</v>
      </c>
      <c r="J116" s="83">
        <v>13128025007465.199</v>
      </c>
      <c r="K116" s="83">
        <v>6.7564029880815147E-6</v>
      </c>
      <c r="L116" s="83">
        <v>15470101397596.437</v>
      </c>
      <c r="M116" s="83">
        <v>8.1818234154877615E-6</v>
      </c>
      <c r="N116" s="83">
        <v>7482205525569.2646</v>
      </c>
      <c r="O116" s="83">
        <v>3.8115560760629074E-6</v>
      </c>
      <c r="P116" s="83">
        <v>13732742615037.658</v>
      </c>
      <c r="Q116" s="83">
        <v>7.157635615539294E-6</v>
      </c>
      <c r="R116" s="83">
        <v>11909021452728.955</v>
      </c>
      <c r="S116" s="83">
        <v>6.1848623077983756E-6</v>
      </c>
      <c r="T116" s="83">
        <v>9947707620480.0801</v>
      </c>
      <c r="U116" s="83">
        <v>5.0970687748200154E-6</v>
      </c>
      <c r="V116" s="83">
        <v>6956240811403.0996</v>
      </c>
      <c r="W116" s="83">
        <v>3.6845022212310794E-6</v>
      </c>
      <c r="X116" s="83">
        <v>6291483412224.5898</v>
      </c>
      <c r="Y116" s="83">
        <v>3.3515935281620607E-6</v>
      </c>
      <c r="Z116" s="83">
        <v>8567177169207.7783</v>
      </c>
      <c r="AA116" s="83">
        <v>4.5017618227835466E-6</v>
      </c>
      <c r="AB116" s="83">
        <v>2371010295628.3477</v>
      </c>
      <c r="AC116" s="83">
        <v>1.2526072944015136E-6</v>
      </c>
      <c r="AD116" s="83">
        <v>4462161218964.7549</v>
      </c>
      <c r="AE116" s="83">
        <v>2.3579650392191525E-6</v>
      </c>
    </row>
    <row r="117" spans="2:31" x14ac:dyDescent="0.2">
      <c r="B117" s="83">
        <v>19023560471185.781</v>
      </c>
      <c r="C117" s="83">
        <v>1.0466434585352809E-5</v>
      </c>
      <c r="D117" s="83">
        <v>17700585786843.625</v>
      </c>
      <c r="E117" s="83">
        <v>9.90936049688316E-6</v>
      </c>
      <c r="F117" s="83">
        <v>10178083337535.428</v>
      </c>
      <c r="G117" s="83">
        <v>5.7330958758539911E-6</v>
      </c>
      <c r="H117" s="83">
        <v>14733877638073.514</v>
      </c>
      <c r="I117" s="83">
        <v>8.0802918427537096E-6</v>
      </c>
      <c r="J117" s="83">
        <v>12850835213353.262</v>
      </c>
      <c r="K117" s="83">
        <v>7.0150119729445768E-6</v>
      </c>
      <c r="L117" s="83">
        <v>12610432829795.439</v>
      </c>
      <c r="M117" s="83">
        <v>7.094124133734534E-6</v>
      </c>
      <c r="N117" s="83">
        <v>8944394065106.957</v>
      </c>
      <c r="O117" s="83">
        <v>4.8206774004784775E-6</v>
      </c>
      <c r="P117" s="83">
        <v>9801053604077.4297</v>
      </c>
      <c r="Q117" s="83">
        <v>5.499791074584561E-6</v>
      </c>
      <c r="R117" s="83">
        <v>8863299688896.5156</v>
      </c>
      <c r="S117" s="83">
        <v>4.8408737015996763E-6</v>
      </c>
      <c r="T117" s="83">
        <v>11230777720123.84</v>
      </c>
      <c r="U117" s="83">
        <v>6.1396495322055251E-6</v>
      </c>
      <c r="V117" s="83">
        <v>7916825699428.7441</v>
      </c>
      <c r="W117" s="83">
        <v>4.4630855965043788E-6</v>
      </c>
      <c r="X117" s="83">
        <v>7459986824201.8779</v>
      </c>
      <c r="Y117" s="83">
        <v>4.198590022795842E-6</v>
      </c>
      <c r="Z117" s="83">
        <v>11572586727202.447</v>
      </c>
      <c r="AA117" s="83">
        <v>6.463925345950332E-6</v>
      </c>
      <c r="AB117" s="83">
        <v>4306850427566.8926</v>
      </c>
      <c r="AC117" s="83">
        <v>2.4251431747936309E-6</v>
      </c>
      <c r="AD117" s="83">
        <v>2380308219748.499</v>
      </c>
      <c r="AE117" s="83">
        <v>1.3469181455709587E-6</v>
      </c>
    </row>
    <row r="118" spans="2:31" x14ac:dyDescent="0.2">
      <c r="B118" s="83">
        <v>14920018896204.195</v>
      </c>
      <c r="C118" s="83">
        <v>8.7233638463143353E-6</v>
      </c>
      <c r="D118" s="83">
        <v>12738529319346.002</v>
      </c>
      <c r="E118" s="83">
        <v>7.6089842157200927E-6</v>
      </c>
      <c r="F118" s="83">
        <v>13567206950408.662</v>
      </c>
      <c r="G118" s="83">
        <v>8.0464549302525714E-6</v>
      </c>
      <c r="H118" s="83">
        <v>15367586506175.084</v>
      </c>
      <c r="I118" s="83">
        <v>8.952449589000013E-6</v>
      </c>
      <c r="J118" s="83">
        <v>9954704264483.9512</v>
      </c>
      <c r="K118" s="83">
        <v>5.7089994014879144E-6</v>
      </c>
      <c r="L118" s="83">
        <v>14725037732703.396</v>
      </c>
      <c r="M118" s="83">
        <v>8.7551760279725463E-6</v>
      </c>
      <c r="N118" s="83">
        <v>3989940204889.7295</v>
      </c>
      <c r="O118" s="83">
        <v>2.3044170880293807E-6</v>
      </c>
      <c r="P118" s="83">
        <v>9609908043907.7969</v>
      </c>
      <c r="Q118" s="83">
        <v>5.6439456747150023E-6</v>
      </c>
      <c r="R118" s="83">
        <v>7815217729657.2041</v>
      </c>
      <c r="S118" s="83">
        <v>4.5162417947949716E-6</v>
      </c>
      <c r="T118" s="83">
        <v>10943540581815.736</v>
      </c>
      <c r="U118" s="83">
        <v>6.2785258620969269E-6</v>
      </c>
      <c r="V118" s="83">
        <v>9911769450201.5234</v>
      </c>
      <c r="W118" s="83">
        <v>5.9382422521534423E-6</v>
      </c>
      <c r="X118" s="83">
        <v>7793971183831.6924</v>
      </c>
      <c r="Y118" s="83">
        <v>4.6520868550255585E-6</v>
      </c>
      <c r="Z118" s="83">
        <v>8282734245029.4746</v>
      </c>
      <c r="AA118" s="83">
        <v>4.9134806339502752E-6</v>
      </c>
      <c r="AB118" s="83">
        <v>5052236060780.0703</v>
      </c>
      <c r="AC118" s="83">
        <v>3.0085953407608803E-6</v>
      </c>
      <c r="AD118" s="83">
        <v>4786042744442.8574</v>
      </c>
      <c r="AE118" s="83">
        <v>2.8425026963608715E-6</v>
      </c>
    </row>
    <row r="119" spans="2:31" x14ac:dyDescent="0.2">
      <c r="B119" s="83">
        <v>11497464026466.637</v>
      </c>
      <c r="C119" s="83">
        <v>7.1011098336414386E-6</v>
      </c>
      <c r="D119" s="83">
        <v>12384284964421.139</v>
      </c>
      <c r="E119" s="83">
        <v>7.7991969165235901E-6</v>
      </c>
      <c r="F119" s="83">
        <v>16675954568260.223</v>
      </c>
      <c r="G119" s="83">
        <v>1.0652738233327486E-5</v>
      </c>
      <c r="H119" s="83">
        <v>12912640731405.801</v>
      </c>
      <c r="I119" s="83">
        <v>7.9648161522470207E-6</v>
      </c>
      <c r="J119" s="83">
        <v>8822032961125.625</v>
      </c>
      <c r="K119" s="83">
        <v>5.3672436157406867E-6</v>
      </c>
      <c r="L119" s="83">
        <v>11553585692627.451</v>
      </c>
      <c r="M119" s="83">
        <v>7.2955795913222878E-6</v>
      </c>
      <c r="N119" s="83">
        <v>8121829633789.9521</v>
      </c>
      <c r="O119" s="83">
        <v>4.9168225928767018E-6</v>
      </c>
      <c r="P119" s="83">
        <v>11670715280289.551</v>
      </c>
      <c r="Q119" s="83">
        <v>7.3571287666136413E-6</v>
      </c>
      <c r="R119" s="83">
        <v>5861361131781.0244</v>
      </c>
      <c r="S119" s="83">
        <v>3.600327894835104E-6</v>
      </c>
      <c r="T119" s="83">
        <v>6217130987650.8193</v>
      </c>
      <c r="U119" s="83">
        <v>3.8236599224000024E-6</v>
      </c>
      <c r="V119" s="83">
        <v>9295025199218.332</v>
      </c>
      <c r="W119" s="83">
        <v>5.8797396186270976E-6</v>
      </c>
      <c r="X119" s="83">
        <v>8278356565312.8604</v>
      </c>
      <c r="Y119" s="83">
        <v>5.2180902770948036E-6</v>
      </c>
      <c r="Z119" s="83">
        <v>7808653276863.9873</v>
      </c>
      <c r="AA119" s="83">
        <v>4.9045762207745516E-6</v>
      </c>
      <c r="AB119" s="83">
        <v>2757901253571.5527</v>
      </c>
      <c r="AC119" s="83">
        <v>1.7724705687014279E-6</v>
      </c>
      <c r="AD119" s="83">
        <v>8071338623400.7637</v>
      </c>
      <c r="AE119" s="83">
        <v>5.1214771167991701E-6</v>
      </c>
    </row>
    <row r="120" spans="2:31" x14ac:dyDescent="0.2">
      <c r="B120" s="83">
        <v>11220058504179.166</v>
      </c>
      <c r="C120" s="83">
        <v>7.3620784633035738E-6</v>
      </c>
      <c r="D120" s="83">
        <v>12089098004232.982</v>
      </c>
      <c r="E120" s="83">
        <v>8.1676303843081536E-6</v>
      </c>
      <c r="F120" s="83">
        <v>12070032818793.564</v>
      </c>
      <c r="G120" s="83">
        <v>8.1725682858555214E-6</v>
      </c>
      <c r="H120" s="83">
        <v>12411258080278.504</v>
      </c>
      <c r="I120" s="83">
        <v>8.1551661187570615E-6</v>
      </c>
      <c r="J120" s="83">
        <v>5979494984448.9297</v>
      </c>
      <c r="K120" s="83">
        <v>3.9033248108772665E-6</v>
      </c>
      <c r="L120" s="83">
        <v>10112896962683.045</v>
      </c>
      <c r="M120" s="83">
        <v>6.6584575262767538E-6</v>
      </c>
      <c r="N120" s="83">
        <v>4332086648038.9185</v>
      </c>
      <c r="O120" s="83">
        <v>2.8137372666364785E-6</v>
      </c>
      <c r="P120" s="83">
        <v>7104955525269.7705</v>
      </c>
      <c r="Q120" s="83">
        <v>4.7515881917015775E-6</v>
      </c>
      <c r="R120" s="83">
        <v>6928732519377.3877</v>
      </c>
      <c r="S120" s="83">
        <v>4.4608171039575441E-6</v>
      </c>
      <c r="T120" s="83">
        <v>7613020473991.7187</v>
      </c>
      <c r="U120" s="83">
        <v>4.9291331025334774E-6</v>
      </c>
      <c r="V120" s="83">
        <v>9149871429546.9434</v>
      </c>
      <c r="W120" s="83">
        <v>6.1419627251608744E-6</v>
      </c>
      <c r="X120" s="83">
        <v>5707518901897.5459</v>
      </c>
      <c r="Y120" s="83">
        <v>3.8181588340925584E-6</v>
      </c>
      <c r="Z120" s="83">
        <v>6876677573387.6377</v>
      </c>
      <c r="AA120" s="83">
        <v>4.5661306384978705E-6</v>
      </c>
      <c r="AB120" s="83">
        <v>3919413450322.0059</v>
      </c>
      <c r="AC120" s="83">
        <v>2.6179356792251353E-6</v>
      </c>
      <c r="AD120" s="83">
        <v>4645209251346.9893</v>
      </c>
      <c r="AE120" s="83">
        <v>3.083632629214022E-6</v>
      </c>
    </row>
    <row r="121" spans="2:31" x14ac:dyDescent="0.2">
      <c r="B121" s="83">
        <v>8847328264656.5449</v>
      </c>
      <c r="C121" s="83">
        <v>6.1822338045489977E-6</v>
      </c>
      <c r="D121" s="83">
        <v>16518690959049.484</v>
      </c>
      <c r="E121" s="83">
        <v>1.1896024297044978E-5</v>
      </c>
      <c r="F121" s="83">
        <v>13510705269125.73</v>
      </c>
      <c r="G121" s="83">
        <v>9.6543820343012677E-6</v>
      </c>
      <c r="H121" s="83">
        <v>8507903430778.0586</v>
      </c>
      <c r="I121" s="83">
        <v>5.8969740304639823E-6</v>
      </c>
      <c r="J121" s="83">
        <v>5602369344234.7285</v>
      </c>
      <c r="K121" s="83">
        <v>3.9053952845013708E-6</v>
      </c>
      <c r="L121" s="83">
        <v>4644218485552.5508</v>
      </c>
      <c r="M121" s="83">
        <v>3.302011293587254E-6</v>
      </c>
      <c r="N121" s="83">
        <v>3488243109855.8667</v>
      </c>
      <c r="O121" s="83">
        <v>2.397031750818556E-6</v>
      </c>
      <c r="P121" s="83">
        <v>10480785296045.367</v>
      </c>
      <c r="Q121" s="83">
        <v>7.4397884866327203E-6</v>
      </c>
      <c r="R121" s="83">
        <v>6123124459921.2803</v>
      </c>
      <c r="S121" s="83">
        <v>4.2013870695995008E-6</v>
      </c>
      <c r="T121" s="83">
        <v>10081712598401.971</v>
      </c>
      <c r="U121" s="83">
        <v>6.9775157867573313E-6</v>
      </c>
      <c r="V121" s="83">
        <v>10383532825372.469</v>
      </c>
      <c r="W121" s="83">
        <v>7.3505939541314361E-6</v>
      </c>
      <c r="X121" s="83">
        <v>4840281870809.5693</v>
      </c>
      <c r="Y121" s="83">
        <v>3.4535588273033561E-6</v>
      </c>
      <c r="Z121" s="83">
        <v>8424991004578.6484</v>
      </c>
      <c r="AA121" s="83">
        <v>5.9522188023493492E-6</v>
      </c>
      <c r="AB121" s="83">
        <v>4381365389757.7002</v>
      </c>
      <c r="AC121" s="83">
        <v>3.119797827341683E-6</v>
      </c>
      <c r="AD121" s="83">
        <v>6716880326317.8936</v>
      </c>
      <c r="AE121" s="83">
        <v>4.72795478381396E-6</v>
      </c>
    </row>
    <row r="122" spans="2:31" x14ac:dyDescent="0.2">
      <c r="B122" s="83">
        <v>7245689635742.2578</v>
      </c>
      <c r="C122" s="83">
        <v>5.3818730997351704E-6</v>
      </c>
      <c r="D122" s="83">
        <v>12118614396903.904</v>
      </c>
      <c r="E122" s="83">
        <v>9.1758422844981731E-6</v>
      </c>
      <c r="F122" s="83">
        <v>12776199138026.178</v>
      </c>
      <c r="G122" s="83">
        <v>9.5656696060102548E-6</v>
      </c>
      <c r="H122" s="83">
        <v>11593348858596.959</v>
      </c>
      <c r="I122" s="83">
        <v>8.4664808670661824E-6</v>
      </c>
      <c r="J122" s="83">
        <v>8998203259779.3184</v>
      </c>
      <c r="K122" s="83">
        <v>6.5788469812809274E-6</v>
      </c>
      <c r="L122" s="83">
        <v>6513898029100.9785</v>
      </c>
      <c r="M122" s="83">
        <v>4.8975815386551394E-6</v>
      </c>
      <c r="N122" s="83">
        <v>6203413086882.0137</v>
      </c>
      <c r="O122" s="83">
        <v>4.4688992831594444E-6</v>
      </c>
      <c r="P122" s="83">
        <v>9779815810384.209</v>
      </c>
      <c r="Q122" s="83">
        <v>7.3000204010285655E-6</v>
      </c>
      <c r="R122" s="83">
        <v>2080059267307.2295</v>
      </c>
      <c r="S122" s="83">
        <v>1.5237958524397341E-6</v>
      </c>
      <c r="T122" s="83">
        <v>4134660500538.3564</v>
      </c>
      <c r="U122" s="83">
        <v>3.0261693903719132E-6</v>
      </c>
      <c r="V122" s="83">
        <v>9512632822690.0723</v>
      </c>
      <c r="W122" s="83">
        <v>7.1212781167116954E-6</v>
      </c>
      <c r="X122" s="83">
        <v>5874344560472.2021</v>
      </c>
      <c r="Y122" s="83">
        <v>4.4108426284152759E-6</v>
      </c>
      <c r="Z122" s="83">
        <v>6939850803505.875</v>
      </c>
      <c r="AA122" s="83">
        <v>5.1928208145074828E-6</v>
      </c>
      <c r="AB122" s="83">
        <v>1062872359801.2106</v>
      </c>
      <c r="AC122" s="83">
        <v>7.9789769211016617E-7</v>
      </c>
      <c r="AD122" s="83">
        <v>3856875738431.2085</v>
      </c>
      <c r="AE122" s="83">
        <v>2.8355668087481214E-6</v>
      </c>
    </row>
    <row r="123" spans="2:31" x14ac:dyDescent="0.2">
      <c r="B123" s="83">
        <v>10295475107438.053</v>
      </c>
      <c r="C123" s="83">
        <v>8.2152109893740553E-6</v>
      </c>
      <c r="D123" s="83">
        <v>11646343239312.533</v>
      </c>
      <c r="E123" s="83">
        <v>9.1186785719719092E-6</v>
      </c>
      <c r="F123" s="83">
        <v>14584432503310.527</v>
      </c>
      <c r="G123" s="83">
        <v>1.1650712213082686E-5</v>
      </c>
      <c r="H123" s="83">
        <v>7532691195410.1777</v>
      </c>
      <c r="I123" s="83">
        <v>5.8264172558576999E-6</v>
      </c>
      <c r="J123" s="83">
        <v>6356671704577.8701</v>
      </c>
      <c r="K123" s="83">
        <v>4.9854211371322393E-6</v>
      </c>
      <c r="L123" s="83">
        <v>9056776727672.5605</v>
      </c>
      <c r="M123" s="83">
        <v>7.2840737421808247E-6</v>
      </c>
      <c r="N123" s="83">
        <v>4765557777346.2236</v>
      </c>
      <c r="O123" s="83">
        <v>3.6783837754772102E-6</v>
      </c>
      <c r="P123" s="83">
        <v>7805267920572.2256</v>
      </c>
      <c r="Q123" s="83">
        <v>6.1659537607922832E-6</v>
      </c>
      <c r="R123" s="83">
        <v>2662750052820.7925</v>
      </c>
      <c r="S123" s="83">
        <v>2.1215790331859676E-6</v>
      </c>
      <c r="T123" s="83">
        <v>8799241430381.1191</v>
      </c>
      <c r="U123" s="83">
        <v>6.8452016290140319E-6</v>
      </c>
      <c r="V123" s="83">
        <v>9295025199218.332</v>
      </c>
      <c r="W123" s="83">
        <v>7.3418585578493575E-6</v>
      </c>
      <c r="X123" s="83">
        <v>7126050973802.084</v>
      </c>
      <c r="Y123" s="83">
        <v>5.6660509701086426E-6</v>
      </c>
      <c r="Z123" s="83">
        <v>8377570931912.0264</v>
      </c>
      <c r="AA123" s="83">
        <v>6.5155912503556659E-6</v>
      </c>
      <c r="AB123" s="83">
        <v>1166842218789.2717</v>
      </c>
      <c r="AC123" s="83">
        <v>9.2678112103540913E-7</v>
      </c>
      <c r="AD123" s="83">
        <v>934386149398.05164</v>
      </c>
      <c r="AE123" s="83">
        <v>7.3495863574958745E-7</v>
      </c>
    </row>
    <row r="124" spans="2:31" x14ac:dyDescent="0.2">
      <c r="B124" s="83">
        <v>5613903148861.4316</v>
      </c>
      <c r="C124" s="83">
        <v>4.7503079796360501E-6</v>
      </c>
      <c r="D124" s="83">
        <v>10082275051894.49</v>
      </c>
      <c r="E124" s="83">
        <v>8.4238495651055706E-6</v>
      </c>
      <c r="F124" s="83">
        <v>10883940670082.906</v>
      </c>
      <c r="G124" s="83">
        <v>9.1395572191744783E-6</v>
      </c>
      <c r="H124" s="83">
        <v>6162623992491.3232</v>
      </c>
      <c r="I124" s="83">
        <v>5.0873711167765789E-6</v>
      </c>
      <c r="J124" s="83">
        <v>3365933674172.3843</v>
      </c>
      <c r="K124" s="83">
        <v>2.7736264050366325E-6</v>
      </c>
      <c r="L124" s="83">
        <v>8456843448233.9531</v>
      </c>
      <c r="M124" s="83">
        <v>7.1671385725673809E-6</v>
      </c>
      <c r="N124" s="83">
        <v>5290380895025.9258</v>
      </c>
      <c r="O124" s="83">
        <v>4.230332272422584E-6</v>
      </c>
      <c r="P124" s="83">
        <v>7486923463446.8252</v>
      </c>
      <c r="Q124" s="83">
        <v>6.2588565264616605E-6</v>
      </c>
      <c r="R124" s="83">
        <v>7271200109274.6553</v>
      </c>
      <c r="S124" s="83">
        <v>6.0652177763085378E-6</v>
      </c>
      <c r="T124" s="83">
        <v>11154184845877.012</v>
      </c>
      <c r="U124" s="83">
        <v>9.0835178766999715E-6</v>
      </c>
      <c r="V124" s="83">
        <v>7191818527040.1729</v>
      </c>
      <c r="W124" s="83">
        <v>5.9872852629502062E-6</v>
      </c>
      <c r="X124" s="83">
        <v>5407264158596.5264</v>
      </c>
      <c r="Y124" s="83">
        <v>4.5712392942062898E-6</v>
      </c>
      <c r="Z124" s="83">
        <v>5061589675902.0049</v>
      </c>
      <c r="AA124" s="83">
        <v>4.2701015232541409E-6</v>
      </c>
      <c r="AB124" s="83">
        <v>2698366570413.1128</v>
      </c>
      <c r="AC124" s="83">
        <v>2.3118831302869068E-6</v>
      </c>
      <c r="AD124" s="83">
        <v>3716160452613.4868</v>
      </c>
      <c r="AE124" s="83">
        <v>3.1097751450034832E-6</v>
      </c>
    </row>
    <row r="125" spans="2:31" x14ac:dyDescent="0.2">
      <c r="B125" s="83">
        <v>10665293785704.301</v>
      </c>
      <c r="C125" s="83">
        <v>9.5077919132945096E-6</v>
      </c>
      <c r="D125" s="83">
        <v>9167695167663.7129</v>
      </c>
      <c r="E125" s="83">
        <v>8.1356756409631506E-6</v>
      </c>
      <c r="F125" s="83">
        <v>12493714210636.068</v>
      </c>
      <c r="G125" s="83">
        <v>1.1067048456954548E-5</v>
      </c>
      <c r="H125" s="83">
        <v>6347010201068.6279</v>
      </c>
      <c r="I125" s="83">
        <v>5.4783920378879325E-6</v>
      </c>
      <c r="J125" s="83">
        <v>5451531217765.4893</v>
      </c>
      <c r="K125" s="83">
        <v>4.6745807256454996E-6</v>
      </c>
      <c r="L125" s="83">
        <v>6034367071666.9561</v>
      </c>
      <c r="M125" s="83">
        <v>5.3742346228879732E-6</v>
      </c>
      <c r="N125" s="83">
        <v>1756198136425.8716</v>
      </c>
      <c r="O125" s="83">
        <v>1.505926446765374E-6</v>
      </c>
      <c r="P125" s="83">
        <v>7784034334706.5518</v>
      </c>
      <c r="Q125" s="83">
        <v>6.9819221216516175E-6</v>
      </c>
      <c r="R125" s="83">
        <v>7049600787350.2314</v>
      </c>
      <c r="S125" s="83">
        <v>6.1212862783346819E-6</v>
      </c>
      <c r="T125" s="83">
        <v>10943540581815.736</v>
      </c>
      <c r="U125" s="83">
        <v>9.3711631421795689E-6</v>
      </c>
      <c r="V125" s="83">
        <v>6267801873616.6064</v>
      </c>
      <c r="W125" s="83">
        <v>5.5438586114799698E-6</v>
      </c>
      <c r="X125" s="83">
        <v>3173949192784.0449</v>
      </c>
      <c r="Y125" s="83">
        <v>2.8645409431493381E-6</v>
      </c>
      <c r="Z125" s="83">
        <v>4604203669686.3633</v>
      </c>
      <c r="AA125" s="83">
        <v>4.1110457531518437E-6</v>
      </c>
      <c r="AB125" s="83">
        <v>3025831655020.2676</v>
      </c>
      <c r="AC125" s="83">
        <v>2.7413648350868231E-6</v>
      </c>
      <c r="AD125" s="83">
        <v>5870924959512.5254</v>
      </c>
      <c r="AE125" s="83">
        <v>5.2244161978774165E-6</v>
      </c>
    </row>
    <row r="126" spans="2:31" x14ac:dyDescent="0.2">
      <c r="B126" s="83">
        <v>11250878830986.582</v>
      </c>
      <c r="C126" s="83">
        <v>0</v>
      </c>
      <c r="D126" s="83">
        <v>6631558043802.6758</v>
      </c>
      <c r="E126" s="83">
        <v>0</v>
      </c>
      <c r="F126" s="83">
        <v>8089448373091.7969</v>
      </c>
      <c r="G126" s="83">
        <v>0</v>
      </c>
      <c r="H126" s="83">
        <v>2687792477107.7031</v>
      </c>
      <c r="I126" s="83">
        <v>0</v>
      </c>
      <c r="J126" s="83">
        <v>100000</v>
      </c>
      <c r="K126" s="83">
        <v>0</v>
      </c>
      <c r="L126" s="83">
        <v>5291256144852.3545</v>
      </c>
      <c r="M126" s="83">
        <v>0</v>
      </c>
      <c r="N126" s="83">
        <v>185836899914.8259</v>
      </c>
      <c r="O126" s="83">
        <v>0</v>
      </c>
      <c r="P126" s="83">
        <v>9100243729640.3652</v>
      </c>
      <c r="Q126" s="83">
        <v>0</v>
      </c>
      <c r="R126" s="83">
        <v>6707155303824.8164</v>
      </c>
      <c r="S126" s="83">
        <v>0</v>
      </c>
      <c r="T126" s="83">
        <v>3657366711377.165</v>
      </c>
      <c r="U126" s="83">
        <v>0</v>
      </c>
      <c r="V126" s="83">
        <v>5217482141554.8936</v>
      </c>
      <c r="W126" s="83">
        <v>0</v>
      </c>
      <c r="X126" s="83">
        <v>7393191625540.9912</v>
      </c>
      <c r="Y126" s="83">
        <v>0</v>
      </c>
      <c r="Z126" s="83">
        <v>5487553010978.3506</v>
      </c>
      <c r="AA126" s="83">
        <v>0</v>
      </c>
      <c r="AB126" s="83">
        <v>2296632291391.6279</v>
      </c>
      <c r="AC126" s="83">
        <v>0</v>
      </c>
      <c r="AD126" s="83">
        <v>2267902735282.6265</v>
      </c>
      <c r="AE126" s="83">
        <v>0</v>
      </c>
    </row>
    <row r="127" spans="2:31" x14ac:dyDescent="0.2">
      <c r="B127" s="83">
        <v>14303178418631.691</v>
      </c>
      <c r="C127" s="83">
        <v>0</v>
      </c>
      <c r="D127" s="83">
        <v>5275730015459.377</v>
      </c>
      <c r="E127" s="83">
        <v>0</v>
      </c>
      <c r="F127" s="83">
        <v>7412294201687.7363</v>
      </c>
      <c r="G127" s="83">
        <v>0</v>
      </c>
      <c r="H127" s="83">
        <v>6057252050153.5693</v>
      </c>
      <c r="I127" s="83">
        <v>0</v>
      </c>
      <c r="J127" s="83">
        <v>430020772921.73059</v>
      </c>
      <c r="K127" s="83">
        <v>0</v>
      </c>
      <c r="L127" s="83">
        <v>2225555519668.8008</v>
      </c>
      <c r="M127" s="83">
        <v>0</v>
      </c>
      <c r="N127" s="83">
        <v>49466823042.269073</v>
      </c>
      <c r="O127" s="83">
        <v>0</v>
      </c>
      <c r="P127" s="83">
        <v>9312590294323.4238</v>
      </c>
      <c r="Q127" s="83">
        <v>0</v>
      </c>
      <c r="R127" s="83">
        <v>4251275478283.0132</v>
      </c>
      <c r="S127" s="83">
        <v>0</v>
      </c>
      <c r="T127" s="83">
        <v>5567307668015.4141</v>
      </c>
      <c r="U127" s="83">
        <v>0</v>
      </c>
      <c r="V127" s="83">
        <v>5959882499142.2471</v>
      </c>
      <c r="W127" s="83">
        <v>0</v>
      </c>
      <c r="X127" s="83">
        <v>5023701178325.1797</v>
      </c>
      <c r="Y127" s="83">
        <v>0</v>
      </c>
      <c r="Z127" s="83">
        <v>5850506844074.2881</v>
      </c>
      <c r="AA127" s="83">
        <v>0</v>
      </c>
      <c r="AB127" s="83">
        <v>1850466411713.9973</v>
      </c>
      <c r="AC127" s="83">
        <v>0</v>
      </c>
      <c r="AD127" s="83">
        <v>1355209698596.6841</v>
      </c>
      <c r="AE127" s="83">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123</vt:i4>
      </vt:variant>
    </vt:vector>
  </HeadingPairs>
  <TitlesOfParts>
    <vt:vector size="129" baseType="lpstr">
      <vt:lpstr>User</vt:lpstr>
      <vt:lpstr>Settings</vt:lpstr>
      <vt:lpstr>Summary</vt:lpstr>
      <vt:lpstr>Multi</vt:lpstr>
      <vt:lpstr>RawData</vt:lpstr>
      <vt:lpstr>Plots</vt:lpstr>
      <vt:lpstr>A_cal</vt:lpstr>
      <vt:lpstr>AccessSummary</vt:lpstr>
      <vt:lpstr>AccessSummaryFN</vt:lpstr>
      <vt:lpstr>Air_Voltage</vt:lpstr>
      <vt:lpstr>AirVoltageError</vt:lpstr>
      <vt:lpstr>AirVoltageRange</vt:lpstr>
      <vt:lpstr>AirVStdev</vt:lpstr>
      <vt:lpstr>AnalysisMode</vt:lpstr>
      <vt:lpstr>AnalysisModeErrorMsg</vt:lpstr>
      <vt:lpstr>AreaFrac</vt:lpstr>
      <vt:lpstr>Auger_Coefficient</vt:lpstr>
      <vt:lpstr>AugerModel</vt:lpstr>
      <vt:lpstr>AugerModelList</vt:lpstr>
      <vt:lpstr>AutoRescale</vt:lpstr>
      <vt:lpstr>AutoSummary</vt:lpstr>
      <vt:lpstr>B_cal</vt:lpstr>
      <vt:lpstr>BaseGainFlag</vt:lpstr>
      <vt:lpstr>BiasLight</vt:lpstr>
      <vt:lpstr>BiasPtCD</vt:lpstr>
      <vt:lpstr>C_cal</vt:lpstr>
      <vt:lpstr>C_wafer</vt:lpstr>
      <vt:lpstr>CorrectedResistivity</vt:lpstr>
      <vt:lpstr>CorrectedSheetRho</vt:lpstr>
      <vt:lpstr>CouplingMode</vt:lpstr>
      <vt:lpstr>cutoffflag</vt:lpstr>
      <vt:lpstr>Dark_Voltage</vt:lpstr>
      <vt:lpstr>DK</vt:lpstr>
      <vt:lpstr>DL</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HighTemp</vt:lpstr>
      <vt:lpstr>ImpliedVoc1sun</vt:lpstr>
      <vt:lpstr>InputResistivity</vt:lpstr>
      <vt:lpstr>InstrumentSN</vt:lpstr>
      <vt:lpstr>InstrumentType</vt:lpstr>
      <vt:lpstr>IsLogged</vt:lpstr>
      <vt:lpstr>Jo</vt:lpstr>
      <vt:lpstr>LifetimeTextLabel</vt:lpstr>
      <vt:lpstr>LightBiasErrorMsg</vt:lpstr>
      <vt:lpstr>LowTemp</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MeasureTempCmd</vt:lpstr>
      <vt:lpstr>MinApparentCD</vt:lpstr>
      <vt:lpstr>MinTauLimit</vt:lpstr>
      <vt:lpstr>MobilityModel</vt:lpstr>
      <vt:lpstr>mobilitymodelerror</vt:lpstr>
      <vt:lpstr>MobilityModelList</vt:lpstr>
      <vt:lpstr>Mode_List</vt:lpstr>
      <vt:lpstr>ntransientFlag</vt:lpstr>
      <vt:lpstr>numflashes</vt:lpstr>
      <vt:lpstr>numFlashesFlag</vt:lpstr>
      <vt:lpstr>NumFlashesInitial</vt:lpstr>
      <vt:lpstr>ONOFFList</vt:lpstr>
      <vt:lpstr>OptConst</vt:lpstr>
      <vt:lpstr>PassFailMsg</vt:lpstr>
      <vt:lpstr>PathName</vt:lpstr>
      <vt:lpstr>PC_ZoomIn</vt:lpstr>
      <vt:lpstr>PC_ZoomOut</vt:lpstr>
      <vt:lpstr>PCGainFlag</vt:lpstr>
      <vt:lpstr>PCRange</vt:lpstr>
      <vt:lpstr>PCRefRatio</vt:lpstr>
      <vt:lpstr>PCVoltageUpperBound</vt:lpstr>
      <vt:lpstr>PCVoltUpperBound</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SampleNameUserSheet</vt:lpstr>
      <vt:lpstr>SampleType</vt:lpstr>
      <vt:lpstr>SheetResistance</vt:lpstr>
      <vt:lpstr>ShowUserForm</vt:lpstr>
      <vt:lpstr>SpecMCD</vt:lpstr>
      <vt:lpstr>SpecMCDminusTraps</vt:lpstr>
      <vt:lpstr>StepSize</vt:lpstr>
      <vt:lpstr>TauFitIntercept</vt:lpstr>
      <vt:lpstr>TauInvspecMCD</vt:lpstr>
      <vt:lpstr>Temperature</vt:lpstr>
      <vt:lpstr>TempScanAverage</vt:lpstr>
      <vt:lpstr>TextSummary</vt:lpstr>
      <vt:lpstr>TextSummaryFN</vt:lpstr>
      <vt:lpstr>TF_List</vt:lpstr>
      <vt:lpstr>TF_PassFail</vt:lpstr>
      <vt:lpstr>Thickness</vt:lpstr>
      <vt:lpstr>TimeofMaxCD</vt:lpstr>
      <vt:lpstr>TimeScaleFlags</vt:lpstr>
      <vt:lpstr>TNumTaus</vt:lpstr>
      <vt:lpstr>Tolerance</vt:lpstr>
      <vt:lpstr>TransFlashDelay</vt:lpstr>
      <vt:lpstr>Traps</vt:lpstr>
      <vt:lpstr>TSampleTime</vt:lpstr>
      <vt:lpstr>type_list</vt:lpstr>
      <vt:lpstr>ViewPoint</vt:lpstr>
      <vt:lpstr>VRangeList</vt:lpstr>
      <vt:lpstr>xferFlag</vt:lpstr>
      <vt:lpstr>ZeroInstrCmd</vt:lpstr>
      <vt:lpstr>ZeroInstTime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Matthew A. Mahaffey</cp:lastModifiedBy>
  <cp:lastPrinted>2012-01-16T22:35:25Z</cp:lastPrinted>
  <dcterms:created xsi:type="dcterms:W3CDTF">1998-06-23T16:13:05Z</dcterms:created>
  <dcterms:modified xsi:type="dcterms:W3CDTF">2015-02-16T19:25:59Z</dcterms:modified>
</cp:coreProperties>
</file>