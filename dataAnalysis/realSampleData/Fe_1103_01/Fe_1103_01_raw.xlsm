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4505" yWindow="405" windowWidth="9495" windowHeight="9720" activeTab="8"/>
  </bookViews>
  <sheets>
    <sheet name="User" sheetId="8" r:id="rId1"/>
    <sheet name="Calc" sheetId="3" state="veryHidden" r:id="rId2"/>
    <sheet name="Settings" sheetId="14" r:id="rId3"/>
    <sheet name="Summary" sheetId="9" r:id="rId4"/>
    <sheet name="Multi" sheetId="21" r:id="rId5"/>
    <sheet name="RawData" sheetId="15" r:id="rId6"/>
    <sheet name="Command" sheetId="13" state="veryHidden" r:id="rId7"/>
    <sheet name="Module1" sheetId="4" state="veryHidden" r:id=""/>
    <sheet name="Plots" sheetId="20" r:id="rId8"/>
  </sheets>
  <functionGroups builtInGroupCount="17"/>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Settings!$E$26</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Settings!#REF!</definedName>
    <definedName name="BaseGainFlag">Command!$E$5</definedName>
    <definedName name="BiasLight">User!$G$6</definedName>
    <definedName name="BiasPtCD">Calc!$M$6</definedName>
    <definedName name="C_cal">Settings!$C$9</definedName>
    <definedName name="C_wafer">Settings!$H$6</definedName>
    <definedName name="CorrectedResistivity">Calc!$AE$6</definedName>
    <definedName name="CorrectedSheetRho">Calc!$AD$6</definedName>
    <definedName name="CouplingMode">Settings!$C$14</definedName>
    <definedName name="cutoffflag">Command!$E$13</definedName>
    <definedName name="Dark_Voltage">Calc!$A$6</definedName>
    <definedName name="DK">Command!$B$46</definedName>
    <definedName name="DL">Command!$B$47</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HighTemp">User!$M$6</definedName>
    <definedName name="ImpliedVoc1sun">Calc!$AB$6</definedName>
    <definedName name="InputRangeAvg">#REF!</definedName>
    <definedName name="InputRangeFit">#REF!</definedName>
    <definedName name="InputRangeMCD">#REF!</definedName>
    <definedName name="InputRangeMode">#REF!</definedName>
    <definedName name="InputRangeOptConst">#REF!</definedName>
    <definedName name="InputRangePC">#REF!</definedName>
    <definedName name="InputRangeRef">#REF!</definedName>
    <definedName name="InputRangeType">#REF!</definedName>
    <definedName name="InputResCoverSheet">#REF!</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owTemp">User!$L$6</definedName>
    <definedName name="ltransientFlag">Command!$E$7</definedName>
    <definedName name="MaxApparentCD">Calc!$J$6</definedName>
    <definedName name="MaxSuns">Calc!$F$6</definedName>
    <definedName name="MaxTauLimit">Settings!$C$25</definedName>
    <definedName name="MCDErrorMsg">Calc!$R$2</definedName>
    <definedName name="MeasDate">Calc!$F$1</definedName>
    <definedName name="MeasTime">Calc!$F$2</definedName>
    <definedName name="MeasureCmd">Command!$H$4</definedName>
    <definedName name="MeasuredLifetime">Calc!$R$6</definedName>
    <definedName name="MeasuredLifetimeAuger">Calc!$V$6</definedName>
    <definedName name="MeasuredResistivity">Calc!$C$6</definedName>
    <definedName name="MeasureTempCmd">Command!$H$6</definedName>
    <definedName name="MinApparentCD">Calc!$I$6</definedName>
    <definedName name="MinTauLimit">Settings!$C$24</definedName>
    <definedName name="MobilityModel">Settings!$C$18</definedName>
    <definedName name="mobilitymodelerror">Calc!$T$2</definedName>
    <definedName name="MobilityModelList">Command!$B$46:$B$47</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Settings!$C$26</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PulseLength">Settings!$E$29</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#REF!</definedName>
    <definedName name="SampleNameCoverSheet">#REF!</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Calc!$O$6</definedName>
    <definedName name="StepSize">User!$N$6</definedName>
    <definedName name="TauFitIntercept">Calc!$Y$6</definedName>
    <definedName name="TauInvspecMCD">Calc!$X$6</definedName>
    <definedName name="Temperature">Calc!$F$3</definedName>
    <definedName name="TempScanAverage">Settings!$E$23</definedName>
    <definedName name="TextSummary">Settings!$E$5</definedName>
    <definedName name="TextSummaryFN">Settings!$F$5</definedName>
    <definedName name="TF_List">Command!$B$29:$B$30</definedName>
    <definedName name="TF_PassFail">Settings!$C$23</definedName>
    <definedName name="Thickness">User!$B$6</definedName>
    <definedName name="ThicknessCoverSheet">#REF!</definedName>
    <definedName name="TimeofMaxCD">Calc!$K$6</definedName>
    <definedName name="TimeScaleFlags">Command!$H$7</definedName>
    <definedName name="TNumTaus">Settings!$E$31</definedName>
    <definedName name="Tolerance">User!$O$6</definedName>
    <definedName name="TransFlashDelay">Settings!$E$22</definedName>
    <definedName name="Traps">Calc!$N$6</definedName>
    <definedName name="TSampleTime">Settings!$E$30</definedName>
    <definedName name="type_list">Command!$B$37:$B$38</definedName>
    <definedName name="ViewPoint">User!$I$2</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AD12" i="3" l="1"/>
  <c r="AD11" i="3"/>
  <c r="AD10" i="3"/>
  <c r="AD9" i="3"/>
  <c r="AC44" i="3"/>
  <c r="E13" i="13" l="1"/>
  <c r="C13" i="13"/>
  <c r="T2" i="3" l="1"/>
  <c r="W134" i="3"/>
  <c r="D2" i="9" l="1"/>
  <c r="L9" i="8" l="1"/>
  <c r="AC43" i="3" l="1"/>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E6" i="3" l="1"/>
  <c r="T1" i="3" s="1"/>
  <c r="E9" i="3"/>
  <c r="G6" i="3" l="1"/>
  <c r="D9" i="3"/>
  <c r="D17" i="3" l="1"/>
  <c r="N134" i="3" l="1"/>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F17" i="13" s="1"/>
  <c r="C17" i="13"/>
  <c r="D17" i="13" s="1"/>
  <c r="D18" i="13" l="1"/>
  <c r="F18" i="13"/>
  <c r="C12" i="13" l="1"/>
  <c r="D12" i="13" s="1"/>
  <c r="E12" i="13" s="1"/>
  <c r="H5" i="13" s="1"/>
  <c r="E11" i="13"/>
  <c r="E9" i="13"/>
  <c r="E8" i="13"/>
  <c r="E7" i="13"/>
  <c r="D5" i="13" l="1"/>
  <c r="E5" i="13" s="1"/>
  <c r="D4" i="13"/>
  <c r="D3" i="13"/>
  <c r="E22" i="13" l="1"/>
  <c r="E23" i="13"/>
  <c r="C22" i="13"/>
  <c r="C23" i="13"/>
  <c r="E3" i="13"/>
  <c r="Z2" i="9"/>
  <c r="X2" i="9"/>
  <c r="W2" i="9"/>
  <c r="V2" i="9"/>
  <c r="J2" i="9" l="1"/>
  <c r="I2" i="9"/>
  <c r="H2" i="9"/>
  <c r="G2" i="9"/>
  <c r="E2" i="9"/>
  <c r="C2" i="9"/>
  <c r="B2" i="9"/>
  <c r="A2" i="9"/>
  <c r="E12" i="14"/>
  <c r="C10" i="14" l="1"/>
  <c r="C9" i="14"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Y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R2" i="9" l="1"/>
  <c r="D6" i="3"/>
  <c r="F2" i="9" l="1"/>
  <c r="A6" i="3"/>
  <c r="J2" i="3"/>
  <c r="J9" i="8"/>
  <c r="H9" i="3"/>
  <c r="H120" i="3"/>
  <c r="H47" i="3"/>
  <c r="H57" i="3"/>
  <c r="H104" i="3"/>
  <c r="H71" i="3"/>
  <c r="H30" i="3"/>
  <c r="H90" i="3"/>
  <c r="H78" i="3"/>
  <c r="H70" i="3"/>
  <c r="H14" i="3"/>
  <c r="H127" i="3"/>
  <c r="H54" i="3"/>
  <c r="H46" i="3"/>
  <c r="H110" i="3"/>
  <c r="H21" i="3"/>
  <c r="H22" i="3"/>
  <c r="H33" i="3"/>
  <c r="H53" i="3"/>
  <c r="H29" i="3"/>
  <c r="H12" i="3"/>
  <c r="H65" i="3"/>
  <c r="H86" i="3"/>
  <c r="H82" i="3"/>
  <c r="B6" i="3"/>
  <c r="H109" i="3"/>
  <c r="H55" i="3"/>
  <c r="H44" i="3"/>
  <c r="H88" i="3"/>
  <c r="H45" i="3"/>
  <c r="H128" i="3"/>
  <c r="H38" i="3"/>
  <c r="H99" i="3"/>
  <c r="H89" i="3"/>
  <c r="H48" i="3"/>
  <c r="H31" i="3"/>
  <c r="H26" i="3"/>
  <c r="H85" i="3"/>
  <c r="H96" i="3"/>
  <c r="H100" i="3"/>
  <c r="H37" i="3"/>
  <c r="H51" i="3"/>
  <c r="H74" i="3"/>
  <c r="H66" i="3"/>
  <c r="H113" i="3"/>
  <c r="AD6" i="3" l="1"/>
  <c r="P2" i="9" s="1"/>
  <c r="N2" i="9"/>
  <c r="C6" i="3"/>
  <c r="I70" i="3"/>
  <c r="I113" i="3"/>
  <c r="I53" i="3"/>
  <c r="I89" i="3"/>
  <c r="I48" i="3"/>
  <c r="I90" i="3"/>
  <c r="I38" i="3"/>
  <c r="I37" i="3"/>
  <c r="I12" i="3"/>
  <c r="I88" i="3"/>
  <c r="I21" i="3"/>
  <c r="I85" i="3"/>
  <c r="I9" i="3"/>
  <c r="I120" i="3"/>
  <c r="I31" i="3"/>
  <c r="I100" i="3"/>
  <c r="I99" i="3"/>
  <c r="I55" i="3"/>
  <c r="I46" i="3"/>
  <c r="I127" i="3"/>
  <c r="I57" i="3"/>
  <c r="I86" i="3"/>
  <c r="I109" i="3"/>
  <c r="I51" i="3"/>
  <c r="I110" i="3"/>
  <c r="I33" i="3"/>
  <c r="I22" i="3"/>
  <c r="I96" i="3"/>
  <c r="I44" i="3"/>
  <c r="I30" i="3"/>
  <c r="I82" i="3"/>
  <c r="I26" i="3"/>
  <c r="I128" i="3"/>
  <c r="I78" i="3"/>
  <c r="I65" i="3"/>
  <c r="I66" i="3"/>
  <c r="I71" i="3"/>
  <c r="I54" i="3"/>
  <c r="I45" i="3"/>
  <c r="I29" i="3"/>
  <c r="I14" i="3"/>
  <c r="I74" i="3"/>
  <c r="I47" i="3"/>
  <c r="I104" i="3"/>
  <c r="AE6" i="3" l="1"/>
  <c r="B9" i="8"/>
  <c r="O2" i="9"/>
  <c r="N94" i="3"/>
  <c r="N96" i="3"/>
  <c r="N99" i="3"/>
  <c r="N98" i="3"/>
  <c r="N95" i="3"/>
  <c r="C9" i="8" l="1"/>
  <c r="Q2" i="9"/>
  <c r="N97" i="3"/>
  <c r="M6" i="3" s="1"/>
  <c r="H19" i="3"/>
  <c r="H60" i="3"/>
  <c r="H130" i="3"/>
  <c r="H107" i="3"/>
  <c r="H115" i="3"/>
  <c r="H17" i="3"/>
  <c r="H132" i="3"/>
  <c r="H52" i="3"/>
  <c r="H56" i="3"/>
  <c r="H76" i="3"/>
  <c r="H79" i="3"/>
  <c r="H63" i="3"/>
  <c r="H18" i="3"/>
  <c r="H112" i="3"/>
  <c r="H28" i="3"/>
  <c r="H97" i="3"/>
  <c r="H117" i="3"/>
  <c r="H11" i="3"/>
  <c r="H72" i="3"/>
  <c r="H25" i="3"/>
  <c r="H84" i="3"/>
  <c r="H95" i="3"/>
  <c r="H36" i="3"/>
  <c r="H111" i="3"/>
  <c r="H13" i="3"/>
  <c r="H43" i="3"/>
  <c r="H81" i="3"/>
  <c r="H77" i="3"/>
  <c r="H23" i="3"/>
  <c r="H64" i="3"/>
  <c r="H61" i="3"/>
  <c r="H91" i="3"/>
  <c r="H41" i="3"/>
  <c r="H42" i="3"/>
  <c r="H24" i="3"/>
  <c r="H73" i="3"/>
  <c r="H69" i="3"/>
  <c r="H67" i="3"/>
  <c r="H108" i="3"/>
  <c r="H131" i="3"/>
  <c r="H87" i="3"/>
  <c r="H20" i="3"/>
  <c r="H92" i="3"/>
  <c r="H116" i="3"/>
  <c r="H124" i="3"/>
  <c r="H58" i="3"/>
  <c r="H102" i="3"/>
  <c r="H94" i="3"/>
  <c r="H59" i="3"/>
  <c r="H10" i="3"/>
  <c r="H123" i="3"/>
  <c r="H125" i="3"/>
  <c r="H122" i="3"/>
  <c r="H27" i="3"/>
  <c r="H93" i="3"/>
  <c r="H80" i="3"/>
  <c r="H50" i="3"/>
  <c r="H32" i="3"/>
  <c r="H133" i="3"/>
  <c r="H106" i="3"/>
  <c r="H75" i="3"/>
  <c r="H121" i="3"/>
  <c r="H126" i="3"/>
  <c r="H15" i="3"/>
  <c r="H49" i="3"/>
  <c r="H114" i="3"/>
  <c r="H16" i="3"/>
  <c r="H39" i="3"/>
  <c r="H62" i="3"/>
  <c r="H119" i="3"/>
  <c r="H68" i="3"/>
  <c r="H129" i="3"/>
  <c r="H98" i="3"/>
  <c r="H35" i="3"/>
  <c r="H83" i="3"/>
  <c r="H101" i="3"/>
  <c r="H34" i="3"/>
  <c r="H118" i="3"/>
  <c r="H40" i="3"/>
  <c r="H103" i="3"/>
  <c r="H105" i="3"/>
  <c r="D81" i="15" l="1"/>
  <c r="D41" i="15"/>
  <c r="D48" i="15"/>
  <c r="D82" i="15"/>
  <c r="D58" i="15"/>
  <c r="D79" i="15"/>
  <c r="D24" i="15"/>
  <c r="D83" i="15"/>
  <c r="D89" i="15"/>
  <c r="D92" i="15"/>
  <c r="D102" i="15"/>
  <c r="D2" i="15"/>
  <c r="D44" i="15"/>
  <c r="D97" i="15"/>
  <c r="D120" i="15"/>
  <c r="D93" i="15"/>
  <c r="D64" i="15"/>
  <c r="D37" i="15"/>
  <c r="D15" i="15"/>
  <c r="D46" i="15"/>
  <c r="D75" i="15"/>
  <c r="D40" i="15"/>
  <c r="D22" i="15"/>
  <c r="D5" i="15"/>
  <c r="D14" i="15"/>
  <c r="D121" i="15"/>
  <c r="D50" i="15"/>
  <c r="D39" i="15"/>
  <c r="D113" i="15"/>
  <c r="D106" i="15"/>
  <c r="D103" i="15"/>
  <c r="D63" i="15"/>
  <c r="D38" i="15"/>
  <c r="D23" i="15"/>
  <c r="D31" i="15"/>
  <c r="D78" i="15"/>
  <c r="D26" i="15"/>
  <c r="D47" i="15"/>
  <c r="D30" i="15"/>
  <c r="D59" i="15"/>
  <c r="D7" i="15"/>
  <c r="D67" i="15"/>
  <c r="D19" i="15"/>
  <c r="D71" i="15"/>
  <c r="K9" i="3"/>
  <c r="K53" i="3"/>
  <c r="H9" i="8"/>
  <c r="K33" i="3"/>
  <c r="K71" i="3"/>
  <c r="K55" i="3"/>
  <c r="K29" i="3"/>
  <c r="K38" i="3"/>
  <c r="K54" i="3"/>
  <c r="K120" i="3"/>
  <c r="K127" i="3"/>
  <c r="K44" i="3"/>
  <c r="K66" i="3"/>
  <c r="K89" i="3"/>
  <c r="K100" i="3"/>
  <c r="K26" i="3"/>
  <c r="K128" i="3"/>
  <c r="K22" i="3"/>
  <c r="K74" i="3"/>
  <c r="K85" i="3"/>
  <c r="K78" i="3"/>
  <c r="K37" i="3"/>
  <c r="K109" i="3"/>
  <c r="K21" i="3"/>
  <c r="K14" i="3"/>
  <c r="K31" i="3"/>
  <c r="K86" i="3"/>
  <c r="K51" i="3"/>
  <c r="K46" i="3"/>
  <c r="K90" i="3"/>
  <c r="K12" i="3"/>
  <c r="K104" i="3"/>
  <c r="K65" i="3"/>
  <c r="K113" i="3"/>
  <c r="K30" i="3"/>
  <c r="K70" i="3"/>
  <c r="K110" i="3"/>
  <c r="K45" i="3"/>
  <c r="K96" i="3"/>
  <c r="K57" i="3"/>
  <c r="K99" i="3"/>
  <c r="K47" i="3"/>
  <c r="K88" i="3"/>
  <c r="K82" i="3"/>
  <c r="K48" i="3"/>
  <c r="V9" i="3"/>
  <c r="V71" i="3"/>
  <c r="V54" i="3"/>
  <c r="V66" i="3"/>
  <c r="V128" i="3"/>
  <c r="V78" i="3"/>
  <c r="V14" i="3"/>
  <c r="V46" i="3"/>
  <c r="V65" i="3"/>
  <c r="V110" i="3"/>
  <c r="V99" i="3"/>
  <c r="V48" i="3"/>
  <c r="V53" i="3"/>
  <c r="V55" i="3"/>
  <c r="V120" i="3"/>
  <c r="V89" i="3"/>
  <c r="V22" i="3"/>
  <c r="V37" i="3"/>
  <c r="V31" i="3"/>
  <c r="V90" i="3"/>
  <c r="V113" i="3"/>
  <c r="V45" i="3"/>
  <c r="V47" i="3"/>
  <c r="V29" i="3"/>
  <c r="V127" i="3"/>
  <c r="V100" i="3"/>
  <c r="V74" i="3"/>
  <c r="V109" i="3"/>
  <c r="V86" i="3"/>
  <c r="V12" i="3"/>
  <c r="V30" i="3"/>
  <c r="V96" i="3"/>
  <c r="V88" i="3"/>
  <c r="V33" i="3"/>
  <c r="V38" i="3"/>
  <c r="V44" i="3"/>
  <c r="V26" i="3"/>
  <c r="V85" i="3"/>
  <c r="V21" i="3"/>
  <c r="V51" i="3"/>
  <c r="V104" i="3"/>
  <c r="V70" i="3"/>
  <c r="V57" i="3"/>
  <c r="V82" i="3"/>
  <c r="I39" i="3"/>
  <c r="I69" i="3"/>
  <c r="I108" i="3"/>
  <c r="I34" i="3"/>
  <c r="I87" i="3"/>
  <c r="I117" i="3"/>
  <c r="I64" i="3"/>
  <c r="I16" i="3"/>
  <c r="I28" i="3"/>
  <c r="I60" i="3"/>
  <c r="I27" i="3"/>
  <c r="I121" i="3"/>
  <c r="I62" i="3"/>
  <c r="I105" i="3"/>
  <c r="I95" i="3"/>
  <c r="I75" i="3"/>
  <c r="I101" i="3"/>
  <c r="I115" i="3"/>
  <c r="I49" i="3"/>
  <c r="I80" i="3"/>
  <c r="I76" i="3"/>
  <c r="I59" i="3"/>
  <c r="I91" i="3"/>
  <c r="I94" i="3"/>
  <c r="I102" i="3"/>
  <c r="I129" i="3"/>
  <c r="I73" i="3"/>
  <c r="I133" i="3"/>
  <c r="I112" i="3"/>
  <c r="I35" i="3"/>
  <c r="I67" i="3"/>
  <c r="I119" i="3"/>
  <c r="I92" i="3"/>
  <c r="I40" i="3"/>
  <c r="I125" i="3"/>
  <c r="I77" i="3"/>
  <c r="I58" i="3"/>
  <c r="I25" i="3"/>
  <c r="I130" i="3"/>
  <c r="I106" i="3"/>
  <c r="I98" i="3"/>
  <c r="I63" i="3"/>
  <c r="I19" i="3"/>
  <c r="I84" i="3"/>
  <c r="I132" i="3"/>
  <c r="I52" i="3"/>
  <c r="I41" i="3"/>
  <c r="I123" i="3"/>
  <c r="I56" i="3"/>
  <c r="I18" i="3"/>
  <c r="I10" i="3"/>
  <c r="I50" i="3"/>
  <c r="I116" i="3"/>
  <c r="I43" i="3"/>
  <c r="I24" i="3"/>
  <c r="I126" i="3"/>
  <c r="I103" i="3"/>
  <c r="I42" i="3"/>
  <c r="I131" i="3"/>
  <c r="I83" i="3"/>
  <c r="I114" i="3"/>
  <c r="I36" i="3"/>
  <c r="I72" i="3"/>
  <c r="I97" i="3"/>
  <c r="I93" i="3"/>
  <c r="I122" i="3"/>
  <c r="I15" i="3"/>
  <c r="I81" i="3"/>
  <c r="I11" i="3"/>
  <c r="I68" i="3"/>
  <c r="I13" i="3"/>
  <c r="I118" i="3"/>
  <c r="I79" i="3"/>
  <c r="I23" i="3"/>
  <c r="I107" i="3"/>
  <c r="I17" i="3"/>
  <c r="I124" i="3"/>
  <c r="I32" i="3"/>
  <c r="I111" i="3"/>
  <c r="I61" i="3"/>
  <c r="I20" i="3"/>
  <c r="W9" i="3" l="1"/>
  <c r="AE82" i="3"/>
  <c r="J75" i="15" s="1"/>
  <c r="AE57" i="3"/>
  <c r="J50" i="15" s="1"/>
  <c r="AE70" i="3"/>
  <c r="J63" i="15" s="1"/>
  <c r="AE104" i="3"/>
  <c r="J97" i="15" s="1"/>
  <c r="AE51" i="3"/>
  <c r="J44" i="15" s="1"/>
  <c r="AE21" i="3"/>
  <c r="J14" i="15" s="1"/>
  <c r="AE85" i="3"/>
  <c r="J78" i="15" s="1"/>
  <c r="AE26" i="3"/>
  <c r="J19" i="15" s="1"/>
  <c r="AE44" i="3"/>
  <c r="J37" i="15" s="1"/>
  <c r="AE38" i="3"/>
  <c r="J31" i="15" s="1"/>
  <c r="AE33" i="3"/>
  <c r="J26" i="15" s="1"/>
  <c r="AE88" i="3"/>
  <c r="J81" i="15" s="1"/>
  <c r="AE96" i="3"/>
  <c r="J89" i="15" s="1"/>
  <c r="AE30" i="3"/>
  <c r="J23" i="15" s="1"/>
  <c r="AE12" i="3"/>
  <c r="J5" i="15" s="1"/>
  <c r="AE86" i="3"/>
  <c r="J79" i="15" s="1"/>
  <c r="AE109" i="3"/>
  <c r="J102" i="15" s="1"/>
  <c r="AE74" i="3"/>
  <c r="J67" i="15" s="1"/>
  <c r="AE100" i="3"/>
  <c r="J93" i="15" s="1"/>
  <c r="AE127" i="3"/>
  <c r="J120" i="15" s="1"/>
  <c r="AE29" i="3"/>
  <c r="J22" i="15" s="1"/>
  <c r="AE47" i="3"/>
  <c r="J40" i="15" s="1"/>
  <c r="AE45" i="3"/>
  <c r="J38" i="15" s="1"/>
  <c r="AE113" i="3"/>
  <c r="J106" i="15" s="1"/>
  <c r="AE90" i="3"/>
  <c r="J83" i="15" s="1"/>
  <c r="AE31" i="3"/>
  <c r="J24" i="15" s="1"/>
  <c r="AE37" i="3"/>
  <c r="J30" i="15" s="1"/>
  <c r="AE22" i="3"/>
  <c r="J15" i="15" s="1"/>
  <c r="AE89" i="3"/>
  <c r="J82" i="15" s="1"/>
  <c r="AE120" i="3"/>
  <c r="J113" i="15" s="1"/>
  <c r="AE55" i="3"/>
  <c r="J48" i="15" s="1"/>
  <c r="AE53" i="3"/>
  <c r="J46" i="15" s="1"/>
  <c r="AE48" i="3"/>
  <c r="J41" i="15" s="1"/>
  <c r="AE99" i="3"/>
  <c r="J92" i="15" s="1"/>
  <c r="AE110" i="3"/>
  <c r="J103" i="15" s="1"/>
  <c r="AE65" i="3"/>
  <c r="J58" i="15" s="1"/>
  <c r="AE46" i="3"/>
  <c r="J39" i="15" s="1"/>
  <c r="AE14" i="3"/>
  <c r="J7" i="15" s="1"/>
  <c r="AE78" i="3"/>
  <c r="J71" i="15" s="1"/>
  <c r="AE128" i="3"/>
  <c r="J121" i="15" s="1"/>
  <c r="AE66" i="3"/>
  <c r="J59" i="15" s="1"/>
  <c r="AE54" i="3"/>
  <c r="J47" i="15" s="1"/>
  <c r="AE71" i="3"/>
  <c r="J64" i="15" s="1"/>
  <c r="AE9" i="3"/>
  <c r="J2" i="15" s="1"/>
  <c r="K118" i="3"/>
  <c r="D111" i="15"/>
  <c r="D118" i="15"/>
  <c r="K125" i="3"/>
  <c r="K124" i="3"/>
  <c r="D117" i="15"/>
  <c r="D42" i="15"/>
  <c r="K49" i="3"/>
  <c r="D73" i="15"/>
  <c r="K80" i="3"/>
  <c r="K40" i="3"/>
  <c r="D33" i="15"/>
  <c r="D8" i="15"/>
  <c r="K15" i="3"/>
  <c r="D99" i="15"/>
  <c r="K106" i="3"/>
  <c r="D25" i="15"/>
  <c r="K32" i="3"/>
  <c r="D68" i="15"/>
  <c r="K75" i="3"/>
  <c r="K102" i="3"/>
  <c r="D95" i="15"/>
  <c r="K27" i="3"/>
  <c r="D20" i="15"/>
  <c r="D10" i="15"/>
  <c r="K17" i="3"/>
  <c r="K52" i="3"/>
  <c r="D45" i="15"/>
  <c r="K114" i="3"/>
  <c r="D107" i="15"/>
  <c r="D21" i="15"/>
  <c r="K28" i="3"/>
  <c r="K121" i="3"/>
  <c r="D114" i="15"/>
  <c r="K132" i="3"/>
  <c r="D125" i="15"/>
  <c r="K19" i="3"/>
  <c r="D12" i="15"/>
  <c r="K84" i="3"/>
  <c r="D77" i="15"/>
  <c r="D72" i="15"/>
  <c r="K79" i="3"/>
  <c r="D55" i="15"/>
  <c r="K62" i="3"/>
  <c r="K119" i="3"/>
  <c r="D112" i="15"/>
  <c r="D32" i="15"/>
  <c r="K39" i="3"/>
  <c r="K18" i="3"/>
  <c r="D11" i="15"/>
  <c r="D110" i="15"/>
  <c r="K117" i="3"/>
  <c r="D96" i="15"/>
  <c r="K103" i="3"/>
  <c r="D104" i="15"/>
  <c r="K111" i="3"/>
  <c r="D76" i="15"/>
  <c r="K83" i="3"/>
  <c r="K64" i="3"/>
  <c r="D57" i="15"/>
  <c r="D98" i="15"/>
  <c r="K105" i="3"/>
  <c r="K101" i="3"/>
  <c r="D94" i="15"/>
  <c r="D9" i="15"/>
  <c r="K16" i="3"/>
  <c r="D36" i="15"/>
  <c r="K43" i="3"/>
  <c r="K108" i="3"/>
  <c r="D101" i="15"/>
  <c r="D69" i="15"/>
  <c r="K76" i="3"/>
  <c r="K72" i="3"/>
  <c r="D65" i="15"/>
  <c r="K50" i="3"/>
  <c r="L52" i="3" s="1"/>
  <c r="D43" i="15"/>
  <c r="D29" i="15"/>
  <c r="K36" i="3"/>
  <c r="K24" i="3"/>
  <c r="D17" i="15"/>
  <c r="K131" i="3"/>
  <c r="D124" i="15"/>
  <c r="D6" i="15"/>
  <c r="K13" i="3"/>
  <c r="K122" i="3"/>
  <c r="D115" i="15"/>
  <c r="K73" i="3"/>
  <c r="D66" i="15"/>
  <c r="D34" i="15"/>
  <c r="K41" i="3"/>
  <c r="D116" i="15"/>
  <c r="K123" i="3"/>
  <c r="D119" i="15"/>
  <c r="K126" i="3"/>
  <c r="D52" i="15"/>
  <c r="K59" i="3"/>
  <c r="K93" i="3"/>
  <c r="D86" i="15"/>
  <c r="D53" i="15"/>
  <c r="K60" i="3"/>
  <c r="K23" i="3"/>
  <c r="D16" i="15"/>
  <c r="K95" i="3"/>
  <c r="D88" i="15"/>
  <c r="D126" i="15"/>
  <c r="K133" i="3"/>
  <c r="D84" i="15"/>
  <c r="K91" i="3"/>
  <c r="D56" i="15"/>
  <c r="K63" i="3"/>
  <c r="K129" i="3"/>
  <c r="D122" i="15"/>
  <c r="D90" i="15"/>
  <c r="K97" i="3"/>
  <c r="K77" i="3"/>
  <c r="D70" i="15"/>
  <c r="D28" i="15"/>
  <c r="K35" i="3"/>
  <c r="K98" i="3"/>
  <c r="D91" i="15"/>
  <c r="K25" i="3"/>
  <c r="D18" i="15"/>
  <c r="D80" i="15"/>
  <c r="K87" i="3"/>
  <c r="K61" i="3"/>
  <c r="D54" i="15"/>
  <c r="K116" i="3"/>
  <c r="D109" i="15"/>
  <c r="I6" i="3"/>
  <c r="F9" i="8" s="1"/>
  <c r="D61" i="15"/>
  <c r="K68" i="3"/>
  <c r="D62" i="15"/>
  <c r="K69" i="3"/>
  <c r="D35" i="15"/>
  <c r="K42" i="3"/>
  <c r="D3" i="15"/>
  <c r="J6" i="3"/>
  <c r="K6" i="3" s="1"/>
  <c r="K10" i="3"/>
  <c r="D105" i="15"/>
  <c r="K112" i="3"/>
  <c r="D4" i="15"/>
  <c r="K11" i="3"/>
  <c r="D13" i="15"/>
  <c r="K20" i="3"/>
  <c r="D87" i="15"/>
  <c r="K94" i="3"/>
  <c r="D27" i="15"/>
  <c r="K34" i="3"/>
  <c r="D123" i="15"/>
  <c r="K130" i="3"/>
  <c r="D51" i="15"/>
  <c r="K58" i="3"/>
  <c r="D85" i="15"/>
  <c r="K92" i="3"/>
  <c r="D100" i="15"/>
  <c r="K107" i="3"/>
  <c r="D108" i="15"/>
  <c r="K115" i="3"/>
  <c r="D74" i="15"/>
  <c r="K81" i="3"/>
  <c r="D49" i="15"/>
  <c r="K56" i="3"/>
  <c r="D60" i="15"/>
  <c r="K67" i="3"/>
  <c r="L46" i="3"/>
  <c r="J6" i="8"/>
  <c r="I6" i="8"/>
  <c r="V118" i="3"/>
  <c r="V124" i="3"/>
  <c r="V102" i="3"/>
  <c r="V114" i="3"/>
  <c r="V121" i="3"/>
  <c r="V19" i="3"/>
  <c r="V119" i="3"/>
  <c r="V18" i="3"/>
  <c r="V108" i="3"/>
  <c r="V72" i="3"/>
  <c r="V131" i="3"/>
  <c r="V122" i="3"/>
  <c r="V93" i="3"/>
  <c r="V23" i="3"/>
  <c r="V25" i="3"/>
  <c r="V61" i="3"/>
  <c r="V69" i="3"/>
  <c r="V34" i="3"/>
  <c r="V58" i="3"/>
  <c r="V107" i="3"/>
  <c r="V81" i="3"/>
  <c r="V67" i="3"/>
  <c r="V15" i="3"/>
  <c r="V79" i="3"/>
  <c r="V83" i="3"/>
  <c r="V16" i="3"/>
  <c r="V36" i="3"/>
  <c r="V126" i="3"/>
  <c r="V133" i="3"/>
  <c r="V97" i="3"/>
  <c r="V10" i="3"/>
  <c r="V40" i="3"/>
  <c r="V27" i="3"/>
  <c r="V52" i="3"/>
  <c r="V132" i="3"/>
  <c r="V84" i="3"/>
  <c r="V64" i="3"/>
  <c r="V101" i="3"/>
  <c r="V50" i="3"/>
  <c r="V24" i="3"/>
  <c r="V73" i="3"/>
  <c r="V95" i="3"/>
  <c r="V129" i="3"/>
  <c r="V77" i="3"/>
  <c r="V98" i="3"/>
  <c r="V116" i="3"/>
  <c r="V68" i="3"/>
  <c r="V42" i="3"/>
  <c r="V94" i="3"/>
  <c r="V130" i="3"/>
  <c r="V92" i="3"/>
  <c r="V115" i="3"/>
  <c r="V56" i="3"/>
  <c r="V125" i="3"/>
  <c r="V49" i="3"/>
  <c r="V106" i="3"/>
  <c r="V75" i="3"/>
  <c r="V28" i="3"/>
  <c r="V62" i="3"/>
  <c r="V39" i="3"/>
  <c r="V117" i="3"/>
  <c r="V111" i="3"/>
  <c r="V43" i="3"/>
  <c r="V76" i="3"/>
  <c r="V13" i="3"/>
  <c r="V123" i="3"/>
  <c r="V59" i="3"/>
  <c r="V60" i="3"/>
  <c r="V91" i="3"/>
  <c r="V87" i="3"/>
  <c r="V112" i="3"/>
  <c r="V20" i="3"/>
  <c r="V80" i="3"/>
  <c r="V32" i="3"/>
  <c r="V17" i="3"/>
  <c r="V103" i="3"/>
  <c r="V105" i="3"/>
  <c r="V41" i="3"/>
  <c r="V63" i="3"/>
  <c r="V35" i="3"/>
  <c r="V11" i="3"/>
  <c r="Y133" i="3" l="1"/>
  <c r="I126" i="15" s="1"/>
  <c r="W11" i="3"/>
  <c r="W10" i="3"/>
  <c r="L120" i="3"/>
  <c r="L25" i="3"/>
  <c r="AE35" i="3"/>
  <c r="J28" i="15" s="1"/>
  <c r="AE63" i="3"/>
  <c r="J56" i="15" s="1"/>
  <c r="AE41" i="3"/>
  <c r="J34" i="15" s="1"/>
  <c r="AE105" i="3"/>
  <c r="J98" i="15" s="1"/>
  <c r="AE103" i="3"/>
  <c r="J96" i="15" s="1"/>
  <c r="AE17" i="3"/>
  <c r="J10" i="15" s="1"/>
  <c r="AE32" i="3"/>
  <c r="J25" i="15" s="1"/>
  <c r="AE80" i="3"/>
  <c r="J73" i="15" s="1"/>
  <c r="AE87" i="3"/>
  <c r="J80" i="15" s="1"/>
  <c r="AE91" i="3"/>
  <c r="J84" i="15" s="1"/>
  <c r="AE60" i="3"/>
  <c r="J53" i="15" s="1"/>
  <c r="AE59" i="3"/>
  <c r="J52" i="15" s="1"/>
  <c r="AE123" i="3"/>
  <c r="J116" i="15" s="1"/>
  <c r="AE13" i="3"/>
  <c r="J6" i="15" s="1"/>
  <c r="AE76" i="3"/>
  <c r="J69" i="15" s="1"/>
  <c r="AE43" i="3"/>
  <c r="J36" i="15" s="1"/>
  <c r="AE111" i="3"/>
  <c r="J104" i="15" s="1"/>
  <c r="AE117" i="3"/>
  <c r="J110" i="15" s="1"/>
  <c r="AE39" i="3"/>
  <c r="J32" i="15" s="1"/>
  <c r="AE62" i="3"/>
  <c r="J55" i="15" s="1"/>
  <c r="AE28" i="3"/>
  <c r="J21" i="15" s="1"/>
  <c r="AE75" i="3"/>
  <c r="J68" i="15" s="1"/>
  <c r="AE106" i="3"/>
  <c r="J99" i="15" s="1"/>
  <c r="AE49" i="3"/>
  <c r="J42" i="15" s="1"/>
  <c r="AE125" i="3"/>
  <c r="J118" i="15" s="1"/>
  <c r="L29" i="3"/>
  <c r="L47" i="3"/>
  <c r="AE68" i="3"/>
  <c r="J61" i="15" s="1"/>
  <c r="AE116" i="3"/>
  <c r="J109" i="15" s="1"/>
  <c r="AE98" i="3"/>
  <c r="J91" i="15" s="1"/>
  <c r="AE77" i="3"/>
  <c r="J70" i="15" s="1"/>
  <c r="AE129" i="3"/>
  <c r="J122" i="15" s="1"/>
  <c r="AE95" i="3"/>
  <c r="J88" i="15" s="1"/>
  <c r="AE73" i="3"/>
  <c r="J66" i="15" s="1"/>
  <c r="AE24" i="3"/>
  <c r="J17" i="15" s="1"/>
  <c r="AE50" i="3"/>
  <c r="J43" i="15" s="1"/>
  <c r="AE101" i="3"/>
  <c r="J94" i="15" s="1"/>
  <c r="AE64" i="3"/>
  <c r="J57" i="15" s="1"/>
  <c r="AE84" i="3"/>
  <c r="J77" i="15" s="1"/>
  <c r="AE132" i="3"/>
  <c r="J125" i="15" s="1"/>
  <c r="AE52" i="3"/>
  <c r="J45" i="15" s="1"/>
  <c r="AE27" i="3"/>
  <c r="J20" i="15" s="1"/>
  <c r="AE40" i="3"/>
  <c r="J33" i="15" s="1"/>
  <c r="AE10" i="3"/>
  <c r="J3" i="15" s="1"/>
  <c r="AE97" i="3"/>
  <c r="J90" i="15" s="1"/>
  <c r="AE133" i="3"/>
  <c r="J126" i="15" s="1"/>
  <c r="AE126" i="3"/>
  <c r="J119" i="15" s="1"/>
  <c r="AE36" i="3"/>
  <c r="J29" i="15" s="1"/>
  <c r="AE16" i="3"/>
  <c r="J9" i="15" s="1"/>
  <c r="AE83" i="3"/>
  <c r="J76" i="15" s="1"/>
  <c r="AE79" i="3"/>
  <c r="J72" i="15" s="1"/>
  <c r="AE15" i="3"/>
  <c r="J8" i="15" s="1"/>
  <c r="AE58" i="3"/>
  <c r="J51" i="15" s="1"/>
  <c r="AE61" i="3"/>
  <c r="J54" i="15" s="1"/>
  <c r="AE25" i="3"/>
  <c r="J18" i="15" s="1"/>
  <c r="AE23" i="3"/>
  <c r="J16" i="15" s="1"/>
  <c r="AE93" i="3"/>
  <c r="J86" i="15" s="1"/>
  <c r="AE122" i="3"/>
  <c r="J115" i="15" s="1"/>
  <c r="AE131" i="3"/>
  <c r="J124" i="15" s="1"/>
  <c r="AE72" i="3"/>
  <c r="J65" i="15" s="1"/>
  <c r="AE108" i="3"/>
  <c r="J101" i="15" s="1"/>
  <c r="AE18" i="3"/>
  <c r="J11" i="15" s="1"/>
  <c r="AE119" i="3"/>
  <c r="J112" i="15" s="1"/>
  <c r="AE19" i="3"/>
  <c r="J12" i="15" s="1"/>
  <c r="AE121" i="3"/>
  <c r="J114" i="15" s="1"/>
  <c r="AE114" i="3"/>
  <c r="J107" i="15" s="1"/>
  <c r="AE102" i="3"/>
  <c r="J95" i="15" s="1"/>
  <c r="AE124" i="3"/>
  <c r="J117" i="15" s="1"/>
  <c r="AE118" i="3"/>
  <c r="J111" i="15" s="1"/>
  <c r="L23" i="3"/>
  <c r="L72" i="3"/>
  <c r="L73" i="3"/>
  <c r="L100" i="3"/>
  <c r="L118" i="3"/>
  <c r="L24" i="3"/>
  <c r="L28" i="3"/>
  <c r="L51" i="3"/>
  <c r="L22" i="3"/>
  <c r="L45" i="3"/>
  <c r="L87" i="3"/>
  <c r="L26" i="3"/>
  <c r="L39" i="3"/>
  <c r="L121" i="3"/>
  <c r="L50" i="3"/>
  <c r="L74" i="3"/>
  <c r="L119" i="3"/>
  <c r="L75" i="3"/>
  <c r="L53" i="3"/>
  <c r="L86" i="3"/>
  <c r="L123" i="3"/>
  <c r="L122" i="3"/>
  <c r="L49" i="3"/>
  <c r="L101" i="3"/>
  <c r="L88" i="3"/>
  <c r="L77" i="3"/>
  <c r="L27" i="3"/>
  <c r="L76" i="3"/>
  <c r="L89" i="3"/>
  <c r="L48" i="3"/>
  <c r="L61" i="3"/>
  <c r="L63" i="3"/>
  <c r="L30" i="3"/>
  <c r="L102" i="3"/>
  <c r="L126" i="3"/>
  <c r="L124" i="3"/>
  <c r="L103" i="3"/>
  <c r="L98" i="3"/>
  <c r="L97" i="3"/>
  <c r="L31" i="3"/>
  <c r="L38" i="3"/>
  <c r="L125" i="3"/>
  <c r="L64" i="3"/>
  <c r="L14" i="3"/>
  <c r="L99" i="3"/>
  <c r="L104" i="3"/>
  <c r="L16" i="3"/>
  <c r="L127" i="3"/>
  <c r="L62" i="3"/>
  <c r="L37" i="3"/>
  <c r="L78" i="3"/>
  <c r="L15" i="3"/>
  <c r="L17" i="3"/>
  <c r="L84" i="3"/>
  <c r="L85" i="3"/>
  <c r="L111" i="3"/>
  <c r="AE112" i="3"/>
  <c r="J105" i="15" s="1"/>
  <c r="L54" i="3"/>
  <c r="AE56" i="3"/>
  <c r="J49" i="15" s="1"/>
  <c r="L115" i="3"/>
  <c r="AE115" i="3"/>
  <c r="J108" i="15" s="1"/>
  <c r="L94" i="3"/>
  <c r="AE92" i="3"/>
  <c r="J85" i="15" s="1"/>
  <c r="L131" i="3"/>
  <c r="AE130" i="3"/>
  <c r="J123" i="15" s="1"/>
  <c r="L96" i="3"/>
  <c r="AE94" i="3"/>
  <c r="J87" i="15" s="1"/>
  <c r="L42" i="3"/>
  <c r="AE42" i="3"/>
  <c r="J35" i="15" s="1"/>
  <c r="L21" i="3"/>
  <c r="AE20" i="3"/>
  <c r="J13" i="15" s="1"/>
  <c r="L13" i="3"/>
  <c r="AE11" i="3"/>
  <c r="J4" i="15" s="1"/>
  <c r="L66" i="3"/>
  <c r="AE67" i="3"/>
  <c r="J60" i="15" s="1"/>
  <c r="L81" i="3"/>
  <c r="AE81" i="3"/>
  <c r="J74" i="15" s="1"/>
  <c r="L105" i="3"/>
  <c r="AE107" i="3"/>
  <c r="J100" i="15" s="1"/>
  <c r="L33" i="3"/>
  <c r="AE34" i="3"/>
  <c r="J27" i="15" s="1"/>
  <c r="L71" i="3"/>
  <c r="AE69" i="3"/>
  <c r="J62" i="15" s="1"/>
  <c r="L56" i="3"/>
  <c r="L91" i="3"/>
  <c r="L130" i="3"/>
  <c r="L18" i="3"/>
  <c r="L110" i="3"/>
  <c r="L19" i="3"/>
  <c r="L129" i="3"/>
  <c r="L116" i="3"/>
  <c r="J95" i="3"/>
  <c r="L108" i="3"/>
  <c r="J92" i="3"/>
  <c r="J28" i="3"/>
  <c r="L128" i="3"/>
  <c r="L40" i="3"/>
  <c r="L93" i="3"/>
  <c r="J31" i="3"/>
  <c r="L92" i="3"/>
  <c r="L43" i="3"/>
  <c r="L80" i="3"/>
  <c r="J37" i="3"/>
  <c r="J51" i="3"/>
  <c r="J115" i="3"/>
  <c r="L83" i="3"/>
  <c r="L6" i="3"/>
  <c r="J60" i="3"/>
  <c r="J129" i="3"/>
  <c r="J63" i="3"/>
  <c r="J132" i="3"/>
  <c r="L20" i="3"/>
  <c r="L59" i="3"/>
  <c r="L82" i="3"/>
  <c r="L112" i="3"/>
  <c r="L57" i="3"/>
  <c r="L114" i="3"/>
  <c r="J110" i="3"/>
  <c r="J17" i="3"/>
  <c r="J76" i="3"/>
  <c r="J11" i="3"/>
  <c r="J79" i="3"/>
  <c r="L70" i="3"/>
  <c r="L55" i="3"/>
  <c r="J14" i="3"/>
  <c r="J30" i="3"/>
  <c r="J50" i="3"/>
  <c r="J62" i="3"/>
  <c r="J78" i="3"/>
  <c r="J94" i="3"/>
  <c r="J112" i="3"/>
  <c r="J131" i="3"/>
  <c r="J16" i="3"/>
  <c r="J33" i="3"/>
  <c r="J53" i="3"/>
  <c r="J65" i="3"/>
  <c r="J81" i="3"/>
  <c r="J97" i="3"/>
  <c r="J118" i="3"/>
  <c r="J109" i="3"/>
  <c r="L60" i="3"/>
  <c r="L90" i="3"/>
  <c r="L113" i="3"/>
  <c r="L117" i="3"/>
  <c r="L95" i="3"/>
  <c r="L36" i="3"/>
  <c r="L41" i="3"/>
  <c r="L44" i="3"/>
  <c r="Y132" i="3"/>
  <c r="I125" i="15" s="1"/>
  <c r="J20" i="3"/>
  <c r="J40" i="3"/>
  <c r="J57" i="3"/>
  <c r="J68" i="3"/>
  <c r="J84" i="3"/>
  <c r="J101" i="3"/>
  <c r="J121" i="3"/>
  <c r="J116" i="3"/>
  <c r="J23" i="3"/>
  <c r="J43" i="3"/>
  <c r="J48" i="3"/>
  <c r="J71" i="3"/>
  <c r="J87" i="3"/>
  <c r="J106" i="3"/>
  <c r="J124" i="3"/>
  <c r="J9" i="3"/>
  <c r="L65" i="3"/>
  <c r="L34" i="3"/>
  <c r="L68" i="3"/>
  <c r="L79" i="3"/>
  <c r="J22" i="3"/>
  <c r="J42" i="3"/>
  <c r="J47" i="3"/>
  <c r="J70" i="3"/>
  <c r="J86" i="3"/>
  <c r="J105" i="3"/>
  <c r="J123" i="3"/>
  <c r="J15" i="3"/>
  <c r="J25" i="3"/>
  <c r="J45" i="3"/>
  <c r="J56" i="3"/>
  <c r="J73" i="3"/>
  <c r="J89" i="3"/>
  <c r="J103" i="3"/>
  <c r="J126" i="3"/>
  <c r="L107" i="3"/>
  <c r="L106" i="3"/>
  <c r="L35" i="3"/>
  <c r="G9" i="8"/>
  <c r="L11" i="3"/>
  <c r="J24" i="3"/>
  <c r="J52" i="3"/>
  <c r="J72" i="3"/>
  <c r="J96" i="3"/>
  <c r="J125" i="3"/>
  <c r="J19" i="3"/>
  <c r="J36" i="3"/>
  <c r="J83" i="3"/>
  <c r="L109" i="3"/>
  <c r="L58" i="3"/>
  <c r="L69" i="3"/>
  <c r="L12" i="3"/>
  <c r="T2" i="9"/>
  <c r="Y9" i="3"/>
  <c r="I2" i="15" s="1"/>
  <c r="Y10" i="3"/>
  <c r="I3" i="15" s="1"/>
  <c r="J12" i="3"/>
  <c r="J32" i="3"/>
  <c r="J44" i="3"/>
  <c r="J49" i="3"/>
  <c r="J64" i="3"/>
  <c r="J80" i="3"/>
  <c r="J88" i="3"/>
  <c r="J100" i="3"/>
  <c r="J117" i="3"/>
  <c r="J107" i="3"/>
  <c r="J10" i="3"/>
  <c r="J27" i="3"/>
  <c r="J39" i="3"/>
  <c r="J55" i="3"/>
  <c r="J59" i="3"/>
  <c r="J67" i="3"/>
  <c r="J75" i="3"/>
  <c r="J91" i="3"/>
  <c r="J99" i="3"/>
  <c r="J108" i="3"/>
  <c r="J120" i="3"/>
  <c r="J128" i="3"/>
  <c r="J114" i="3"/>
  <c r="J18" i="3"/>
  <c r="J26" i="3"/>
  <c r="J34" i="3"/>
  <c r="J35" i="3"/>
  <c r="J54" i="3"/>
  <c r="J58" i="3"/>
  <c r="J66" i="3"/>
  <c r="J74" i="3"/>
  <c r="J82" i="3"/>
  <c r="J90" i="3"/>
  <c r="J98" i="3"/>
  <c r="J104" i="3"/>
  <c r="J119" i="3"/>
  <c r="J127" i="3"/>
  <c r="J113" i="3"/>
  <c r="J13" i="3"/>
  <c r="J21" i="3"/>
  <c r="J29" i="3"/>
  <c r="J41" i="3"/>
  <c r="J38" i="3"/>
  <c r="J46" i="3"/>
  <c r="J61" i="3"/>
  <c r="J69" i="3"/>
  <c r="J77" i="3"/>
  <c r="J85" i="3"/>
  <c r="J93" i="3"/>
  <c r="J102" i="3"/>
  <c r="J111" i="3"/>
  <c r="J122" i="3"/>
  <c r="J130" i="3"/>
  <c r="J133" i="3"/>
  <c r="L32" i="3"/>
  <c r="L67" i="3"/>
  <c r="R2" i="3"/>
  <c r="P42" i="3"/>
  <c r="P123" i="3"/>
  <c r="P54" i="3"/>
  <c r="P114" i="3"/>
  <c r="P99" i="3"/>
  <c r="P67" i="3"/>
  <c r="P16" i="3"/>
  <c r="P22" i="3"/>
  <c r="P128" i="3"/>
  <c r="P116" i="3"/>
  <c r="P35" i="3"/>
  <c r="P45" i="3"/>
  <c r="P93" i="3"/>
  <c r="P12" i="3"/>
  <c r="P58" i="3"/>
  <c r="P100" i="3"/>
  <c r="P26" i="3"/>
  <c r="P38" i="3"/>
  <c r="P48" i="3"/>
  <c r="P51" i="3"/>
  <c r="P107" i="3"/>
  <c r="P121" i="3"/>
  <c r="P101" i="3"/>
  <c r="P130" i="3"/>
  <c r="P59" i="3"/>
  <c r="P87" i="3"/>
  <c r="P71" i="3"/>
  <c r="P115" i="3"/>
  <c r="P104" i="3"/>
  <c r="P72" i="3"/>
  <c r="S114" i="3"/>
  <c r="P95" i="3"/>
  <c r="P105" i="3"/>
  <c r="P117" i="3"/>
  <c r="P120" i="3"/>
  <c r="P84" i="3"/>
  <c r="P91" i="3"/>
  <c r="P83" i="3"/>
  <c r="P56" i="3"/>
  <c r="P28" i="3"/>
  <c r="P112" i="3"/>
  <c r="P29" i="3"/>
  <c r="P20" i="3"/>
  <c r="S54" i="3"/>
  <c r="P31" i="3"/>
  <c r="P11" i="3"/>
  <c r="P79" i="3"/>
  <c r="P32" i="3"/>
  <c r="P69" i="3"/>
  <c r="P76" i="3"/>
  <c r="P13" i="3"/>
  <c r="P50" i="3"/>
  <c r="P63" i="3"/>
  <c r="P126" i="3"/>
  <c r="P47" i="3"/>
  <c r="S47" i="3" s="1"/>
  <c r="P74" i="3"/>
  <c r="E113" i="15" l="1"/>
  <c r="E40" i="15"/>
  <c r="E22" i="15"/>
  <c r="E44" i="15"/>
  <c r="E93" i="15"/>
  <c r="E21" i="15"/>
  <c r="E65" i="15"/>
  <c r="E15" i="15"/>
  <c r="E116" i="15"/>
  <c r="E67" i="15"/>
  <c r="E19" i="15"/>
  <c r="E43" i="15"/>
  <c r="E80" i="15"/>
  <c r="E114" i="15"/>
  <c r="E38" i="15"/>
  <c r="E119" i="15"/>
  <c r="E41" i="15"/>
  <c r="E56" i="15"/>
  <c r="E69" i="15"/>
  <c r="E94" i="15"/>
  <c r="E92" i="15"/>
  <c r="E31" i="15"/>
  <c r="E24" i="15"/>
  <c r="E9" i="15"/>
  <c r="E97" i="15"/>
  <c r="E64" i="15"/>
  <c r="E98" i="15"/>
  <c r="E47" i="15"/>
  <c r="E35" i="15"/>
  <c r="E108" i="15"/>
  <c r="E49" i="15"/>
  <c r="E123" i="15"/>
  <c r="E84" i="15"/>
  <c r="E109" i="15"/>
  <c r="E121" i="15"/>
  <c r="E86" i="15"/>
  <c r="E76" i="15"/>
  <c r="E107" i="15"/>
  <c r="E52" i="15"/>
  <c r="E13" i="15"/>
  <c r="E105" i="15"/>
  <c r="Y11" i="3"/>
  <c r="E4" i="15"/>
  <c r="E72" i="15"/>
  <c r="E28" i="15"/>
  <c r="E100" i="15"/>
  <c r="E88" i="15"/>
  <c r="E110" i="15"/>
  <c r="E62" i="15"/>
  <c r="E5" i="15"/>
  <c r="E60" i="15"/>
  <c r="E25" i="15"/>
  <c r="E51" i="15"/>
  <c r="E6" i="15"/>
  <c r="E77" i="15"/>
  <c r="F107" i="15"/>
  <c r="F40" i="15"/>
  <c r="F47" i="15"/>
  <c r="Q26" i="3"/>
  <c r="R26" i="3" s="1"/>
  <c r="Q12" i="3"/>
  <c r="R12" i="3" s="1"/>
  <c r="T12" i="3"/>
  <c r="W12" i="3" s="1"/>
  <c r="Q20" i="3"/>
  <c r="R20" i="3" s="1"/>
  <c r="Q28" i="3"/>
  <c r="R28" i="3" s="1"/>
  <c r="T28" i="3"/>
  <c r="W28" i="3" s="1"/>
  <c r="Q32" i="3"/>
  <c r="R32" i="3" s="1"/>
  <c r="Q72" i="3"/>
  <c r="R72" i="3" s="1"/>
  <c r="Q76" i="3"/>
  <c r="R76" i="3" s="1"/>
  <c r="Q84" i="3"/>
  <c r="R84" i="3" s="1"/>
  <c r="Q101" i="3"/>
  <c r="R101" i="3" s="1"/>
  <c r="T101" i="3"/>
  <c r="W101" i="3" s="1"/>
  <c r="T100" i="3"/>
  <c r="W100" i="3" s="1"/>
  <c r="Q100" i="3"/>
  <c r="R100" i="3" s="1"/>
  <c r="Q110" i="3"/>
  <c r="R110" i="3" s="1"/>
  <c r="Q117" i="3"/>
  <c r="R117" i="3" s="1"/>
  <c r="T117" i="3"/>
  <c r="W117" i="3" s="1"/>
  <c r="T121" i="3"/>
  <c r="W121" i="3" s="1"/>
  <c r="Q121" i="3"/>
  <c r="R121" i="3" s="1"/>
  <c r="T125" i="3"/>
  <c r="W125" i="3" s="1"/>
  <c r="Q125" i="3"/>
  <c r="R125" i="3" s="1"/>
  <c r="Q129" i="3"/>
  <c r="R129" i="3" s="1"/>
  <c r="Q107" i="3"/>
  <c r="R107" i="3" s="1"/>
  <c r="T107" i="3"/>
  <c r="W107" i="3" s="1"/>
  <c r="T116" i="3"/>
  <c r="W116" i="3" s="1"/>
  <c r="Q116" i="3"/>
  <c r="R116" i="3" s="1"/>
  <c r="Q31" i="3"/>
  <c r="R31" i="3" s="1"/>
  <c r="Q51" i="3"/>
  <c r="R51" i="3" s="1"/>
  <c r="T51" i="3"/>
  <c r="W51" i="3" s="1"/>
  <c r="Q48" i="3"/>
  <c r="R48" i="3" s="1"/>
  <c r="Q59" i="3"/>
  <c r="R59" i="3" s="1"/>
  <c r="Q63" i="3"/>
  <c r="R63" i="3" s="1"/>
  <c r="Q67" i="3"/>
  <c r="R67" i="3" s="1"/>
  <c r="Q71" i="3"/>
  <c r="R71" i="3" s="1"/>
  <c r="Q79" i="3"/>
  <c r="R79" i="3" s="1"/>
  <c r="Q83" i="3"/>
  <c r="R83" i="3" s="1"/>
  <c r="Q87" i="3"/>
  <c r="R87" i="3" s="1"/>
  <c r="Q91" i="3"/>
  <c r="R91" i="3" s="1"/>
  <c r="Q95" i="3"/>
  <c r="R95" i="3" s="1"/>
  <c r="Q99" i="3"/>
  <c r="R99" i="3" s="1"/>
  <c r="T99" i="3"/>
  <c r="W99" i="3" s="1"/>
  <c r="Q106" i="3"/>
  <c r="R106" i="3" s="1"/>
  <c r="Q108" i="3"/>
  <c r="R108" i="3" s="1"/>
  <c r="T115" i="3"/>
  <c r="W115" i="3" s="1"/>
  <c r="Q115" i="3"/>
  <c r="R115" i="3" s="1"/>
  <c r="T120" i="3"/>
  <c r="W120" i="3" s="1"/>
  <c r="Q120" i="3"/>
  <c r="R120" i="3" s="1"/>
  <c r="Q124" i="3"/>
  <c r="R124" i="3" s="1"/>
  <c r="Q128" i="3"/>
  <c r="R128" i="3" s="1"/>
  <c r="T128" i="3"/>
  <c r="W128" i="3" s="1"/>
  <c r="T132" i="3"/>
  <c r="W132" i="3" s="1"/>
  <c r="Q132" i="3"/>
  <c r="R132" i="3" s="1"/>
  <c r="T114" i="3"/>
  <c r="W114" i="3" s="1"/>
  <c r="Q114" i="3"/>
  <c r="R114" i="3" s="1"/>
  <c r="Q22" i="3"/>
  <c r="R22" i="3" s="1"/>
  <c r="Q42" i="3"/>
  <c r="R42" i="3" s="1"/>
  <c r="T42" i="3"/>
  <c r="W42" i="3" s="1"/>
  <c r="Q35" i="3"/>
  <c r="R35" i="3" s="1"/>
  <c r="Q50" i="3"/>
  <c r="R50" i="3" s="1"/>
  <c r="T50" i="3"/>
  <c r="W50" i="3" s="1"/>
  <c r="Q54" i="3"/>
  <c r="R54" i="3" s="1"/>
  <c r="T54" i="3"/>
  <c r="W54" i="3" s="1"/>
  <c r="Q47" i="3"/>
  <c r="R47" i="3" s="1"/>
  <c r="T47" i="3"/>
  <c r="W47" i="3" s="1"/>
  <c r="Q58" i="3"/>
  <c r="R58" i="3" s="1"/>
  <c r="Q74" i="3"/>
  <c r="R74" i="3" s="1"/>
  <c r="Q98" i="3"/>
  <c r="R98" i="3" s="1"/>
  <c r="Q105" i="3"/>
  <c r="R105" i="3" s="1"/>
  <c r="T105" i="3"/>
  <c r="W105" i="3" s="1"/>
  <c r="T104" i="3"/>
  <c r="W104" i="3" s="1"/>
  <c r="Q104" i="3"/>
  <c r="R104" i="3" s="1"/>
  <c r="Q112" i="3"/>
  <c r="R112" i="3" s="1"/>
  <c r="T112" i="3"/>
  <c r="W112" i="3" s="1"/>
  <c r="Q119" i="3"/>
  <c r="R119" i="3" s="1"/>
  <c r="Q123" i="3"/>
  <c r="R123" i="3" s="1"/>
  <c r="T123" i="3"/>
  <c r="W123" i="3" s="1"/>
  <c r="Q127" i="3"/>
  <c r="R127" i="3" s="1"/>
  <c r="Q131" i="3"/>
  <c r="R131" i="3" s="1"/>
  <c r="Q113" i="3"/>
  <c r="R113" i="3" s="1"/>
  <c r="T13" i="3"/>
  <c r="W13" i="3" s="1"/>
  <c r="Q13" i="3"/>
  <c r="R13" i="3" s="1"/>
  <c r="Q16" i="3"/>
  <c r="R16" i="3" s="1"/>
  <c r="T29" i="3"/>
  <c r="W29" i="3" s="1"/>
  <c r="Q29" i="3"/>
  <c r="R29" i="3" s="1"/>
  <c r="Q45" i="3"/>
  <c r="R45" i="3" s="1"/>
  <c r="Q38" i="3"/>
  <c r="R38" i="3" s="1"/>
  <c r="Q56" i="3"/>
  <c r="R56" i="3" s="1"/>
  <c r="Q69" i="3"/>
  <c r="R69" i="3" s="1"/>
  <c r="Q93" i="3"/>
  <c r="R93" i="3" s="1"/>
  <c r="Q102" i="3"/>
  <c r="R102" i="3" s="1"/>
  <c r="Q103" i="3"/>
  <c r="R103" i="3" s="1"/>
  <c r="Q111" i="3"/>
  <c r="R111" i="3" s="1"/>
  <c r="Q118" i="3"/>
  <c r="R118" i="3" s="1"/>
  <c r="T118" i="3"/>
  <c r="W118" i="3" s="1"/>
  <c r="Q122" i="3"/>
  <c r="R122" i="3" s="1"/>
  <c r="T126" i="3"/>
  <c r="W126" i="3" s="1"/>
  <c r="Q126" i="3"/>
  <c r="R126" i="3" s="1"/>
  <c r="T130" i="3"/>
  <c r="W130" i="3" s="1"/>
  <c r="Q130" i="3"/>
  <c r="R130" i="3" s="1"/>
  <c r="Q109" i="3"/>
  <c r="R109" i="3" s="1"/>
  <c r="Q133" i="3"/>
  <c r="R133" i="3" s="1"/>
  <c r="T133" i="3"/>
  <c r="W133" i="3" s="1"/>
  <c r="S29" i="3"/>
  <c r="P65" i="3"/>
  <c r="P62" i="3"/>
  <c r="S51" i="3"/>
  <c r="S93" i="3"/>
  <c r="P27" i="3"/>
  <c r="P66" i="3"/>
  <c r="P41" i="3"/>
  <c r="S35" i="3"/>
  <c r="S28" i="3"/>
  <c r="S31" i="3"/>
  <c r="S45" i="3"/>
  <c r="P108" i="3"/>
  <c r="S12" i="3"/>
  <c r="P80" i="3"/>
  <c r="P21" i="3"/>
  <c r="S107" i="3"/>
  <c r="P40" i="3"/>
  <c r="P30" i="3"/>
  <c r="S130" i="3"/>
  <c r="P25" i="3"/>
  <c r="S22" i="3"/>
  <c r="P85" i="3"/>
  <c r="P64" i="3"/>
  <c r="P124" i="3"/>
  <c r="P23" i="3"/>
  <c r="S123" i="3"/>
  <c r="S11" i="3"/>
  <c r="P49" i="3"/>
  <c r="S79" i="3"/>
  <c r="P111" i="3"/>
  <c r="S117" i="3"/>
  <c r="S104" i="3"/>
  <c r="P70" i="3"/>
  <c r="P96" i="3"/>
  <c r="P131" i="3"/>
  <c r="P46" i="3"/>
  <c r="P89" i="3"/>
  <c r="S71" i="3"/>
  <c r="P98" i="3"/>
  <c r="P73" i="3"/>
  <c r="P110" i="3"/>
  <c r="P103" i="3"/>
  <c r="P55" i="3"/>
  <c r="S84" i="3"/>
  <c r="S100" i="3"/>
  <c r="P34" i="3"/>
  <c r="P125" i="3"/>
  <c r="P86" i="3"/>
  <c r="P44" i="3"/>
  <c r="S87" i="3"/>
  <c r="P102" i="3"/>
  <c r="P97" i="3"/>
  <c r="P109" i="3"/>
  <c r="S56" i="3"/>
  <c r="S128" i="3"/>
  <c r="P17" i="3"/>
  <c r="P82" i="3"/>
  <c r="S65" i="3"/>
  <c r="P24" i="3"/>
  <c r="P52" i="3"/>
  <c r="S121" i="3"/>
  <c r="P92" i="3"/>
  <c r="S99" i="3"/>
  <c r="P37" i="3"/>
  <c r="S74" i="3"/>
  <c r="P75" i="3"/>
  <c r="P53" i="3"/>
  <c r="S58" i="3"/>
  <c r="P81" i="3"/>
  <c r="S91" i="3"/>
  <c r="S26" i="3"/>
  <c r="P88" i="3"/>
  <c r="P57" i="3"/>
  <c r="S116" i="3"/>
  <c r="S120" i="3"/>
  <c r="P61" i="3"/>
  <c r="S59" i="3"/>
  <c r="S48" i="3"/>
  <c r="S16" i="3"/>
  <c r="S38" i="3"/>
  <c r="P122" i="3"/>
  <c r="S72" i="3"/>
  <c r="S95" i="3"/>
  <c r="P90" i="3"/>
  <c r="S20" i="3"/>
  <c r="S32" i="3"/>
  <c r="S13" i="3"/>
  <c r="P119" i="3"/>
  <c r="S112" i="3"/>
  <c r="P129" i="3"/>
  <c r="P14" i="3"/>
  <c r="P113" i="3"/>
  <c r="S105" i="3"/>
  <c r="P127" i="3"/>
  <c r="S101" i="3"/>
  <c r="S115" i="3"/>
  <c r="P68" i="3"/>
  <c r="S69" i="3"/>
  <c r="P118" i="3"/>
  <c r="S76" i="3"/>
  <c r="P33" i="3"/>
  <c r="P43" i="3"/>
  <c r="P18" i="3"/>
  <c r="S24" i="3"/>
  <c r="P39" i="3"/>
  <c r="P15" i="3"/>
  <c r="P36" i="3"/>
  <c r="S67" i="3"/>
  <c r="S126" i="3"/>
  <c r="S83" i="3"/>
  <c r="S42" i="3"/>
  <c r="P94" i="3"/>
  <c r="P78" i="3"/>
  <c r="P60" i="3"/>
  <c r="S50" i="3"/>
  <c r="P19" i="3"/>
  <c r="P106" i="3"/>
  <c r="P77" i="3"/>
  <c r="S63" i="3"/>
  <c r="Q85" i="3" l="1"/>
  <c r="R85" i="3" s="1"/>
  <c r="Q97" i="3"/>
  <c r="R97" i="3" s="1"/>
  <c r="Q96" i="3"/>
  <c r="R96" i="3" s="1"/>
  <c r="Q94" i="3"/>
  <c r="R94" i="3" s="1"/>
  <c r="Q90" i="3"/>
  <c r="R90" i="3" s="1"/>
  <c r="T95" i="3"/>
  <c r="W95" i="3" s="1"/>
  <c r="Q88" i="3"/>
  <c r="R88" i="3" s="1"/>
  <c r="T91" i="3"/>
  <c r="W91" i="3" s="1"/>
  <c r="Q92" i="3"/>
  <c r="R92" i="3" s="1"/>
  <c r="T87" i="3"/>
  <c r="W87" i="3" s="1"/>
  <c r="Q86" i="3"/>
  <c r="R86" i="3" s="1"/>
  <c r="Q89" i="3"/>
  <c r="R89" i="3" s="1"/>
  <c r="T93" i="3"/>
  <c r="W93" i="3" s="1"/>
  <c r="F22" i="15"/>
  <c r="F43" i="15"/>
  <c r="T71" i="3"/>
  <c r="W71" i="3" s="1"/>
  <c r="F64" i="15"/>
  <c r="F110" i="15"/>
  <c r="F21" i="15"/>
  <c r="F113" i="15"/>
  <c r="F93" i="15"/>
  <c r="F108" i="15"/>
  <c r="F35" i="15"/>
  <c r="F44" i="15"/>
  <c r="F77" i="15"/>
  <c r="F114" i="15"/>
  <c r="Q17" i="3"/>
  <c r="R17" i="3" s="1"/>
  <c r="T16" i="3"/>
  <c r="W16" i="3" s="1"/>
  <c r="T18" i="3"/>
  <c r="W18" i="3" s="1"/>
  <c r="Q18" i="3"/>
  <c r="R18" i="3" s="1"/>
  <c r="Q19" i="3"/>
  <c r="R19" i="3" s="1"/>
  <c r="T20" i="3"/>
  <c r="W20" i="3" s="1"/>
  <c r="Q21" i="3"/>
  <c r="R21" i="3" s="1"/>
  <c r="T22" i="3"/>
  <c r="W22" i="3" s="1"/>
  <c r="Q23" i="3"/>
  <c r="R23" i="3" s="1"/>
  <c r="T26" i="3"/>
  <c r="W26" i="3" s="1"/>
  <c r="Q25" i="3"/>
  <c r="R25" i="3" s="1"/>
  <c r="Q24" i="3"/>
  <c r="R24" i="3" s="1"/>
  <c r="F116" i="15"/>
  <c r="F19" i="15"/>
  <c r="F97" i="15"/>
  <c r="F15" i="15"/>
  <c r="F94" i="15"/>
  <c r="F9" i="15"/>
  <c r="T48" i="3"/>
  <c r="W48" i="3" s="1"/>
  <c r="F41" i="15"/>
  <c r="Q27" i="3"/>
  <c r="R27" i="3" s="1"/>
  <c r="Q30" i="3"/>
  <c r="R30" i="3" s="1"/>
  <c r="F123" i="15"/>
  <c r="F121" i="15"/>
  <c r="F4" i="15"/>
  <c r="T56" i="3"/>
  <c r="W56" i="3" s="1"/>
  <c r="F72" i="15"/>
  <c r="T79" i="3"/>
  <c r="W79" i="3" s="1"/>
  <c r="F100" i="15"/>
  <c r="F5" i="15"/>
  <c r="F84" i="15"/>
  <c r="F76" i="15"/>
  <c r="T83" i="3"/>
  <c r="W83" i="3" s="1"/>
  <c r="T35" i="3"/>
  <c r="W35" i="3" s="1"/>
  <c r="T32" i="3"/>
  <c r="W32" i="3" s="1"/>
  <c r="T44" i="3"/>
  <c r="W44" i="3" s="1"/>
  <c r="T31" i="3"/>
  <c r="W31"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F17" i="15"/>
  <c r="E91" i="15"/>
  <c r="Q57" i="3"/>
  <c r="R57" i="3" s="1"/>
  <c r="E50" i="15"/>
  <c r="E45" i="15"/>
  <c r="E42" i="15"/>
  <c r="E95" i="15"/>
  <c r="E90" i="15"/>
  <c r="E27" i="15"/>
  <c r="E32" i="15"/>
  <c r="E46" i="15"/>
  <c r="E103" i="15"/>
  <c r="E26" i="15"/>
  <c r="E81" i="15"/>
  <c r="F58" i="15"/>
  <c r="E101" i="15"/>
  <c r="E34" i="15"/>
  <c r="E85" i="15"/>
  <c r="E120" i="15"/>
  <c r="E79" i="15"/>
  <c r="F105" i="15"/>
  <c r="F92" i="15"/>
  <c r="F25" i="15"/>
  <c r="F31"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F67" i="15"/>
  <c r="T74" i="3"/>
  <c r="W74" i="3" s="1"/>
  <c r="F65" i="15"/>
  <c r="T72" i="3"/>
  <c r="W72" i="3" s="1"/>
  <c r="F38" i="15"/>
  <c r="T76" i="3"/>
  <c r="W76" i="3" s="1"/>
  <c r="F69" i="15"/>
  <c r="F119" i="15"/>
  <c r="T63" i="3"/>
  <c r="W63" i="3" s="1"/>
  <c r="F56" i="15"/>
  <c r="E106" i="15"/>
  <c r="E36" i="15"/>
  <c r="E124" i="15"/>
  <c r="E78" i="15"/>
  <c r="E18" i="15"/>
  <c r="E20" i="15"/>
  <c r="E96" i="15"/>
  <c r="E23" i="15"/>
  <c r="E48" i="15"/>
  <c r="E68" i="15"/>
  <c r="Q75" i="3"/>
  <c r="R75" i="3" s="1"/>
  <c r="E102" i="15"/>
  <c r="Q60" i="3"/>
  <c r="R60" i="3" s="1"/>
  <c r="E53" i="15"/>
  <c r="E17" i="15"/>
  <c r="E14" i="15"/>
  <c r="Q77" i="3"/>
  <c r="R77" i="3" s="1"/>
  <c r="E70" i="15"/>
  <c r="E11" i="15"/>
  <c r="T59" i="3"/>
  <c r="W59" i="3" s="1"/>
  <c r="F52" i="15"/>
  <c r="F24" i="15"/>
  <c r="T69" i="3"/>
  <c r="W69" i="3" s="1"/>
  <c r="F62" i="15"/>
  <c r="F28" i="15"/>
  <c r="F98" i="15"/>
  <c r="F51"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F109" i="15"/>
  <c r="T67" i="3"/>
  <c r="W67" i="3" s="1"/>
  <c r="F60" i="15"/>
  <c r="F13" i="15"/>
  <c r="F88" i="15"/>
  <c r="F6" i="15"/>
  <c r="T127" i="3"/>
  <c r="W127" i="3" s="1"/>
  <c r="T55" i="3"/>
  <c r="W55" i="3" s="1"/>
  <c r="T106" i="3"/>
  <c r="W106" i="3" s="1"/>
  <c r="T108" i="3"/>
  <c r="W108" i="3" s="1"/>
  <c r="T119" i="3"/>
  <c r="W119" i="3" s="1"/>
  <c r="Q15" i="3"/>
  <c r="R15" i="3" s="1"/>
  <c r="Q14" i="3"/>
  <c r="R14" i="3" s="1"/>
  <c r="T24" i="3"/>
  <c r="W24" i="3" s="1"/>
  <c r="T129" i="3"/>
  <c r="W129" i="3" s="1"/>
  <c r="T131" i="3"/>
  <c r="W131" i="3" s="1"/>
  <c r="T109" i="3"/>
  <c r="W109" i="3" s="1"/>
  <c r="T110" i="3"/>
  <c r="W110" i="3" s="1"/>
  <c r="T111" i="3"/>
  <c r="W111" i="3" s="1"/>
  <c r="T113" i="3"/>
  <c r="W113" i="3" s="1"/>
  <c r="T103" i="3"/>
  <c r="W103" i="3" s="1"/>
  <c r="T102" i="3"/>
  <c r="W102" i="3" s="1"/>
  <c r="T98" i="3"/>
  <c r="W98" i="3" s="1"/>
  <c r="T84" i="3"/>
  <c r="W84" i="3" s="1"/>
  <c r="T122" i="3"/>
  <c r="W122" i="3" s="1"/>
  <c r="T124" i="3"/>
  <c r="W124" i="3" s="1"/>
  <c r="T65" i="3"/>
  <c r="W65" i="3" s="1"/>
  <c r="E8" i="15"/>
  <c r="E7" i="15"/>
  <c r="T49" i="3"/>
  <c r="W49" i="3" s="1"/>
  <c r="S44" i="3"/>
  <c r="S108" i="3"/>
  <c r="S14" i="3"/>
  <c r="S46" i="3"/>
  <c r="S86" i="3"/>
  <c r="S57" i="3"/>
  <c r="S33" i="3"/>
  <c r="S53" i="3"/>
  <c r="S66" i="3"/>
  <c r="S17" i="3"/>
  <c r="S19" i="3"/>
  <c r="S118" i="3"/>
  <c r="S82" i="3"/>
  <c r="S15" i="3"/>
  <c r="S92" i="3"/>
  <c r="S96" i="3"/>
  <c r="S85" i="3"/>
  <c r="S113" i="3"/>
  <c r="C26" i="14"/>
  <c r="S68" i="3"/>
  <c r="S81" i="3"/>
  <c r="S124" i="3"/>
  <c r="S60" i="3"/>
  <c r="S25" i="3"/>
  <c r="S109" i="3"/>
  <c r="S37" i="3"/>
  <c r="S75" i="3"/>
  <c r="S80" i="3"/>
  <c r="S55" i="3"/>
  <c r="S98" i="3"/>
  <c r="S36" i="3"/>
  <c r="S30" i="3"/>
  <c r="S127" i="3"/>
  <c r="S94" i="3"/>
  <c r="S106" i="3"/>
  <c r="S122" i="3"/>
  <c r="S73" i="3"/>
  <c r="S103" i="3"/>
  <c r="S27" i="3"/>
  <c r="S34" i="3"/>
  <c r="S61" i="3"/>
  <c r="S23" i="3"/>
  <c r="S39" i="3"/>
  <c r="S64" i="3"/>
  <c r="S21" i="3"/>
  <c r="S49" i="3"/>
  <c r="S77" i="3"/>
  <c r="S43" i="3"/>
  <c r="S131" i="3"/>
  <c r="S90" i="3"/>
  <c r="S52" i="3"/>
  <c r="S70" i="3"/>
  <c r="S102" i="3"/>
  <c r="S41" i="3"/>
  <c r="S18" i="3"/>
  <c r="S119" i="3"/>
  <c r="S78" i="3"/>
  <c r="S111" i="3"/>
  <c r="S129" i="3"/>
  <c r="S40" i="3"/>
  <c r="S125" i="3"/>
  <c r="S89" i="3"/>
  <c r="S97" i="3"/>
  <c r="S62" i="3"/>
  <c r="S88" i="3"/>
  <c r="S110" i="3"/>
  <c r="T85" i="3" l="1"/>
  <c r="W85" i="3" s="1"/>
  <c r="T97" i="3"/>
  <c r="W97" i="3" s="1"/>
  <c r="T96" i="3"/>
  <c r="W96" i="3" s="1"/>
  <c r="T88" i="3"/>
  <c r="W88" i="3" s="1"/>
  <c r="T89" i="3"/>
  <c r="W89" i="3" s="1"/>
  <c r="T90" i="3"/>
  <c r="W90" i="3" s="1"/>
  <c r="T94" i="3"/>
  <c r="W94" i="3" s="1"/>
  <c r="T92" i="3"/>
  <c r="W92" i="3" s="1"/>
  <c r="T86" i="3"/>
  <c r="W86" i="3" s="1"/>
  <c r="F42" i="15"/>
  <c r="F68" i="15"/>
  <c r="T75" i="3"/>
  <c r="W75" i="3" s="1"/>
  <c r="F37" i="15"/>
  <c r="F11" i="15"/>
  <c r="F120" i="15"/>
  <c r="F96" i="15"/>
  <c r="F54" i="15"/>
  <c r="T61" i="3"/>
  <c r="W61" i="3" s="1"/>
  <c r="F112" i="15"/>
  <c r="F75" i="15"/>
  <c r="T82" i="3"/>
  <c r="W82" i="3" s="1"/>
  <c r="F90" i="15"/>
  <c r="T77" i="3"/>
  <c r="W77" i="3" s="1"/>
  <c r="T62" i="3"/>
  <c r="W62" i="3" s="1"/>
  <c r="T17" i="3"/>
  <c r="W17" i="3" s="1"/>
  <c r="T19" i="3"/>
  <c r="W19" i="3" s="1"/>
  <c r="T21" i="3"/>
  <c r="W21" i="3" s="1"/>
  <c r="T23" i="3"/>
  <c r="W23" i="3" s="1"/>
  <c r="T25" i="3"/>
  <c r="W25" i="3" s="1"/>
  <c r="F101" i="15"/>
  <c r="T40" i="3"/>
  <c r="W40" i="3" s="1"/>
  <c r="F33" i="15"/>
  <c r="F70" i="15"/>
  <c r="T39" i="3"/>
  <c r="W39" i="3" s="1"/>
  <c r="F32" i="15"/>
  <c r="F55" i="15"/>
  <c r="F117" i="15"/>
  <c r="T53" i="3"/>
  <c r="W53" i="3" s="1"/>
  <c r="T27" i="3"/>
  <c r="W27" i="3" s="1"/>
  <c r="T46" i="3"/>
  <c r="W46" i="3" s="1"/>
  <c r="T33" i="3"/>
  <c r="W33" i="3" s="1"/>
  <c r="T34" i="3"/>
  <c r="W34" i="3" s="1"/>
  <c r="T30" i="3"/>
  <c r="W30" i="3" s="1"/>
  <c r="T41" i="3"/>
  <c r="W41" i="3" s="1"/>
  <c r="F79" i="15"/>
  <c r="F74" i="15"/>
  <c r="T81" i="3"/>
  <c r="W81" i="3" s="1"/>
  <c r="F85" i="15"/>
  <c r="F14" i="15"/>
  <c r="F103" i="15"/>
  <c r="F16" i="15"/>
  <c r="F12" i="15"/>
  <c r="F34" i="15"/>
  <c r="F48" i="15"/>
  <c r="F87" i="15"/>
  <c r="F39" i="15"/>
  <c r="F18" i="15"/>
  <c r="F26" i="15"/>
  <c r="F82" i="15"/>
  <c r="F46" i="15"/>
  <c r="F104" i="15"/>
  <c r="T66" i="3"/>
  <c r="W66" i="3" s="1"/>
  <c r="F59" i="15"/>
  <c r="F27" i="15"/>
  <c r="F95" i="15"/>
  <c r="F10" i="15"/>
  <c r="F115" i="15"/>
  <c r="F57" i="15"/>
  <c r="T64" i="3"/>
  <c r="W64" i="3" s="1"/>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H4" i="13" s="1"/>
  <c r="Z6" i="3" l="1"/>
  <c r="T6" i="3"/>
  <c r="R6" i="3"/>
  <c r="U6" i="3"/>
  <c r="AA6" i="3"/>
  <c r="S6" i="3" l="1"/>
  <c r="K2" i="9"/>
  <c r="A9" i="8"/>
  <c r="K2" i="3"/>
  <c r="M1" i="3" s="1"/>
  <c r="A10" i="8" s="1"/>
  <c r="V6" i="3"/>
  <c r="N6" i="3" s="1"/>
  <c r="U10" i="3" l="1"/>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L2" i="9"/>
  <c r="D9" i="8"/>
  <c r="X10" i="3"/>
  <c r="H3" i="15" s="1"/>
  <c r="X11" i="3"/>
  <c r="H4" i="15" s="1"/>
  <c r="X9" i="3"/>
  <c r="H2" i="15" s="1"/>
  <c r="O55" i="3"/>
  <c r="Y55" i="3" s="1"/>
  <c r="O28" i="3"/>
  <c r="Y28" i="3" s="1"/>
  <c r="O56" i="3"/>
  <c r="Y56" i="3" s="1"/>
  <c r="O66" i="3"/>
  <c r="Y66" i="3" s="1"/>
  <c r="O133" i="3"/>
  <c r="O53" i="3"/>
  <c r="Y53" i="3" s="1"/>
  <c r="X6" i="3"/>
  <c r="O107" i="3"/>
  <c r="Y107" i="3" s="1"/>
  <c r="O76" i="3"/>
  <c r="Y76" i="3" s="1"/>
  <c r="O58" i="3"/>
  <c r="Y58" i="3" s="1"/>
  <c r="O75" i="3"/>
  <c r="Y75" i="3" s="1"/>
  <c r="O42" i="3"/>
  <c r="Y42" i="3" s="1"/>
  <c r="O60" i="3"/>
  <c r="Y60" i="3" s="1"/>
  <c r="W6" i="3"/>
  <c r="O6" i="3"/>
  <c r="O29" i="3"/>
  <c r="Y29" i="3" s="1"/>
  <c r="O116" i="3"/>
  <c r="Y116" i="3" s="1"/>
  <c r="O122" i="3"/>
  <c r="Y122" i="3" s="1"/>
  <c r="O38" i="3"/>
  <c r="Y38" i="3" s="1"/>
  <c r="O104" i="3"/>
  <c r="Y104" i="3" s="1"/>
  <c r="O33" i="3"/>
  <c r="Y33" i="3" s="1"/>
  <c r="O59" i="3"/>
  <c r="Y59" i="3" s="1"/>
  <c r="O13" i="3"/>
  <c r="Y13" i="3" s="1"/>
  <c r="O62" i="3"/>
  <c r="Y62" i="3" s="1"/>
  <c r="O117" i="3"/>
  <c r="Y117" i="3" s="1"/>
  <c r="Y6" i="3"/>
  <c r="O95" i="3"/>
  <c r="Y95" i="3" s="1"/>
  <c r="O97" i="3"/>
  <c r="Y97" i="3" s="1"/>
  <c r="O105" i="3"/>
  <c r="Y105" i="3" s="1"/>
  <c r="O20" i="3"/>
  <c r="Y20" i="3" s="1"/>
  <c r="O18" i="3"/>
  <c r="Y18" i="3" s="1"/>
  <c r="O70" i="3"/>
  <c r="Y70" i="3" s="1"/>
  <c r="O115" i="3"/>
  <c r="Y115" i="3" s="1"/>
  <c r="O110" i="3"/>
  <c r="Y110" i="3" s="1"/>
  <c r="O44" i="3"/>
  <c r="Y44" i="3" s="1"/>
  <c r="O31" i="3"/>
  <c r="Y31" i="3" s="1"/>
  <c r="O103" i="3"/>
  <c r="Y103" i="3" s="1"/>
  <c r="O81" i="3"/>
  <c r="Y81" i="3" s="1"/>
  <c r="O129" i="3"/>
  <c r="Y129" i="3" s="1"/>
  <c r="O100" i="3"/>
  <c r="Y100" i="3" s="1"/>
  <c r="O35" i="3"/>
  <c r="Y35" i="3" s="1"/>
  <c r="O25" i="3"/>
  <c r="Y25" i="3" s="1"/>
  <c r="O84" i="3"/>
  <c r="Y84" i="3" s="1"/>
  <c r="O24" i="3"/>
  <c r="Y24" i="3" s="1"/>
  <c r="O111" i="3"/>
  <c r="Y111" i="3" s="1"/>
  <c r="O57" i="3"/>
  <c r="Y57" i="3" s="1"/>
  <c r="S2" i="9"/>
  <c r="I9" i="8"/>
  <c r="O32" i="3"/>
  <c r="Y32" i="3" s="1"/>
  <c r="O63" i="3"/>
  <c r="Y63" i="3" s="1"/>
  <c r="O92" i="3"/>
  <c r="Y92" i="3" s="1"/>
  <c r="O123" i="3"/>
  <c r="Y123" i="3" s="1"/>
  <c r="O10" i="3"/>
  <c r="G3" i="15" s="1"/>
  <c r="O89" i="3"/>
  <c r="Y89" i="3" s="1"/>
  <c r="O43" i="3"/>
  <c r="Y43" i="3" s="1"/>
  <c r="O78" i="3"/>
  <c r="Y78" i="3" s="1"/>
  <c r="O109" i="3"/>
  <c r="Y109" i="3" s="1"/>
  <c r="O23" i="3"/>
  <c r="Y23" i="3" s="1"/>
  <c r="O113" i="3"/>
  <c r="Y113" i="3" s="1"/>
  <c r="O77" i="3"/>
  <c r="Y77" i="3" s="1"/>
  <c r="O47" i="3"/>
  <c r="Y47" i="3" s="1"/>
  <c r="O112" i="3"/>
  <c r="Y112" i="3" s="1"/>
  <c r="O93" i="3"/>
  <c r="Y93" i="3" s="1"/>
  <c r="O9" i="3"/>
  <c r="G2" i="15" s="1"/>
  <c r="O67" i="3"/>
  <c r="Y67" i="3" s="1"/>
  <c r="O96" i="3"/>
  <c r="Y96" i="3" s="1"/>
  <c r="O127" i="3"/>
  <c r="Y127" i="3" s="1"/>
  <c r="O11" i="3"/>
  <c r="O52" i="3"/>
  <c r="Y52" i="3" s="1"/>
  <c r="O108" i="3"/>
  <c r="Y108" i="3" s="1"/>
  <c r="O48" i="3"/>
  <c r="Y48" i="3" s="1"/>
  <c r="O49" i="3"/>
  <c r="Y49" i="3" s="1"/>
  <c r="O132" i="3"/>
  <c r="O36" i="3"/>
  <c r="Y36" i="3" s="1"/>
  <c r="O71" i="3"/>
  <c r="Y71" i="3" s="1"/>
  <c r="O101" i="3"/>
  <c r="Y101" i="3" s="1"/>
  <c r="O131" i="3"/>
  <c r="Y131" i="3" s="1"/>
  <c r="O41" i="3"/>
  <c r="Y41" i="3" s="1"/>
  <c r="O106" i="3"/>
  <c r="Y106" i="3" s="1"/>
  <c r="O54" i="3"/>
  <c r="Y54" i="3" s="1"/>
  <c r="O83" i="3"/>
  <c r="Y83" i="3" s="1"/>
  <c r="O114" i="3"/>
  <c r="Y114" i="3" s="1"/>
  <c r="O99" i="3"/>
  <c r="Y99" i="3" s="1"/>
  <c r="O37" i="3"/>
  <c r="Y37" i="3" s="1"/>
  <c r="O65" i="3"/>
  <c r="Y65" i="3" s="1"/>
  <c r="O125" i="3"/>
  <c r="Y125" i="3" s="1"/>
  <c r="O15" i="3"/>
  <c r="Y15" i="3" s="1"/>
  <c r="O19" i="3"/>
  <c r="Y19" i="3" s="1"/>
  <c r="O124" i="3"/>
  <c r="Y124" i="3" s="1"/>
  <c r="O73" i="3"/>
  <c r="Y73" i="3" s="1"/>
  <c r="O27" i="3"/>
  <c r="Y27" i="3" s="1"/>
  <c r="O126" i="3"/>
  <c r="Y126" i="3" s="1"/>
  <c r="O87" i="3"/>
  <c r="Y87" i="3" s="1"/>
  <c r="O39" i="3"/>
  <c r="Y39" i="3" s="1"/>
  <c r="O21" i="3"/>
  <c r="Y21" i="3" s="1"/>
  <c r="O88" i="3"/>
  <c r="Y88" i="3" s="1"/>
  <c r="O50" i="3"/>
  <c r="Y50" i="3" s="1"/>
  <c r="O64" i="3"/>
  <c r="Y64" i="3" s="1"/>
  <c r="O94" i="3"/>
  <c r="Y94" i="3" s="1"/>
  <c r="O118" i="3"/>
  <c r="Y118" i="3" s="1"/>
  <c r="O74" i="3"/>
  <c r="Y74" i="3" s="1"/>
  <c r="O128" i="3"/>
  <c r="Y128" i="3" s="1"/>
  <c r="O68" i="3"/>
  <c r="Y68" i="3" s="1"/>
  <c r="O119" i="3"/>
  <c r="Y119" i="3" s="1"/>
  <c r="O51" i="3"/>
  <c r="Y51" i="3" s="1"/>
  <c r="O40" i="3"/>
  <c r="Y40" i="3" s="1"/>
  <c r="O14" i="3"/>
  <c r="Y14" i="3" s="1"/>
  <c r="O45" i="3"/>
  <c r="Y45" i="3" s="1"/>
  <c r="O91" i="3"/>
  <c r="Y91" i="3" s="1"/>
  <c r="O120" i="3"/>
  <c r="Y120" i="3" s="1"/>
  <c r="O17" i="3"/>
  <c r="Y17" i="3" s="1"/>
  <c r="O79" i="3"/>
  <c r="Y79" i="3" s="1"/>
  <c r="O16" i="3"/>
  <c r="Y16" i="3" s="1"/>
  <c r="O80" i="3"/>
  <c r="Y80" i="3" s="1"/>
  <c r="O12" i="3"/>
  <c r="O102" i="3"/>
  <c r="Y102" i="3" s="1"/>
  <c r="O121" i="3"/>
  <c r="Y121" i="3" s="1"/>
  <c r="O90" i="3"/>
  <c r="Y90" i="3" s="1"/>
  <c r="O30" i="3"/>
  <c r="Y30" i="3" s="1"/>
  <c r="O82" i="3"/>
  <c r="Y82" i="3" s="1"/>
  <c r="O22" i="3"/>
  <c r="Y22" i="3" s="1"/>
  <c r="O72" i="3"/>
  <c r="Y72" i="3" s="1"/>
  <c r="O69" i="3"/>
  <c r="Y69" i="3" s="1"/>
  <c r="O34" i="3"/>
  <c r="Y34" i="3" s="1"/>
  <c r="O130" i="3"/>
  <c r="Y130" i="3" s="1"/>
  <c r="O46" i="3"/>
  <c r="Y46" i="3" s="1"/>
  <c r="O85" i="3"/>
  <c r="Y85" i="3" s="1"/>
  <c r="O86" i="3"/>
  <c r="Y86" i="3" s="1"/>
  <c r="O26" i="3"/>
  <c r="Y26" i="3" s="1"/>
  <c r="O61" i="3"/>
  <c r="Y61" i="3" s="1"/>
  <c r="O98" i="3"/>
  <c r="Y98" i="3" s="1"/>
  <c r="I4" i="15"/>
  <c r="Z15" i="3"/>
  <c r="X12" i="3"/>
  <c r="X109" i="3"/>
  <c r="X122" i="3"/>
  <c r="X127" i="3"/>
  <c r="X111" i="3"/>
  <c r="X22" i="3"/>
  <c r="X100" i="3"/>
  <c r="X43" i="3"/>
  <c r="X90" i="3"/>
  <c r="X83" i="3"/>
  <c r="X68" i="3"/>
  <c r="X71" i="3"/>
  <c r="X75" i="3"/>
  <c r="X65" i="3"/>
  <c r="X56" i="3"/>
  <c r="X85" i="3"/>
  <c r="X121" i="3"/>
  <c r="X49" i="3"/>
  <c r="X26" i="3"/>
  <c r="X132" i="3"/>
  <c r="X117" i="3"/>
  <c r="X72" i="3"/>
  <c r="X45" i="3"/>
  <c r="X73" i="3"/>
  <c r="X21" i="3"/>
  <c r="X113" i="3"/>
  <c r="X106" i="3"/>
  <c r="X97" i="3"/>
  <c r="X64" i="3"/>
  <c r="X107" i="3"/>
  <c r="X25" i="3"/>
  <c r="X63" i="3"/>
  <c r="X78" i="3"/>
  <c r="X59" i="3"/>
  <c r="X20" i="3"/>
  <c r="X101" i="3"/>
  <c r="X15" i="3"/>
  <c r="X37" i="3"/>
  <c r="X125" i="3"/>
  <c r="X87" i="3"/>
  <c r="X18" i="3"/>
  <c r="X39" i="3"/>
  <c r="X42" i="3"/>
  <c r="X50" i="3"/>
  <c r="X98" i="3"/>
  <c r="X24" i="3"/>
  <c r="X52" i="3"/>
  <c r="X57" i="3"/>
  <c r="X67" i="3"/>
  <c r="X16" i="3"/>
  <c r="X69" i="3"/>
  <c r="X130" i="3"/>
  <c r="X61" i="3"/>
  <c r="X123" i="3"/>
  <c r="X103" i="3"/>
  <c r="X70" i="3"/>
  <c r="X99" i="3"/>
  <c r="X55" i="3"/>
  <c r="X94" i="3"/>
  <c r="X53" i="3"/>
  <c r="X76" i="3"/>
  <c r="X128" i="3"/>
  <c r="X17" i="3"/>
  <c r="X81" i="3"/>
  <c r="X92" i="3"/>
  <c r="X40" i="3"/>
  <c r="X30" i="3"/>
  <c r="X13" i="3"/>
  <c r="X120" i="3"/>
  <c r="X96" i="3"/>
  <c r="X54" i="3"/>
  <c r="X77" i="3"/>
  <c r="X105" i="3"/>
  <c r="X46" i="3"/>
  <c r="X19" i="3"/>
  <c r="X116" i="3"/>
  <c r="X112" i="3"/>
  <c r="X28" i="3"/>
  <c r="X89" i="3"/>
  <c r="X82" i="3"/>
  <c r="X48" i="3"/>
  <c r="X27" i="3"/>
  <c r="X74" i="3"/>
  <c r="X60" i="3"/>
  <c r="X23" i="3"/>
  <c r="X51" i="3"/>
  <c r="X58" i="3"/>
  <c r="X29" i="3"/>
  <c r="X79" i="3"/>
  <c r="X36" i="3"/>
  <c r="X129" i="3"/>
  <c r="X33" i="3"/>
  <c r="X62" i="3"/>
  <c r="X102" i="3"/>
  <c r="X66" i="3"/>
  <c r="X124" i="3"/>
  <c r="X108" i="3"/>
  <c r="X32" i="3"/>
  <c r="X131" i="3"/>
  <c r="X35" i="3"/>
  <c r="X34" i="3"/>
  <c r="X88" i="3"/>
  <c r="X44" i="3"/>
  <c r="X115" i="3"/>
  <c r="X118" i="3"/>
  <c r="X133" i="3"/>
  <c r="X38" i="3"/>
  <c r="X84" i="3"/>
  <c r="X80" i="3"/>
  <c r="X41" i="3"/>
  <c r="X14" i="3"/>
  <c r="X119" i="3"/>
  <c r="X47" i="3"/>
  <c r="X91" i="3"/>
  <c r="X114" i="3"/>
  <c r="X31" i="3"/>
  <c r="X93" i="3"/>
  <c r="X110" i="3"/>
  <c r="X86" i="3"/>
  <c r="X126" i="3"/>
  <c r="X95" i="3"/>
  <c r="X104" i="3"/>
  <c r="G4" i="15" l="1"/>
  <c r="Z11" i="3"/>
  <c r="Z14" i="3"/>
  <c r="Z13" i="3"/>
  <c r="Z12" i="3"/>
  <c r="Y12" i="3"/>
  <c r="AB6" i="3" s="1"/>
  <c r="M2" i="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I8" i="15"/>
  <c r="G92" i="15"/>
  <c r="G99" i="15"/>
  <c r="G64" i="15"/>
  <c r="G120" i="15"/>
  <c r="G86" i="15"/>
  <c r="G36" i="15"/>
  <c r="G85" i="15"/>
  <c r="G37" i="15"/>
  <c r="G88" i="15"/>
  <c r="G68" i="15"/>
  <c r="G49" i="15"/>
  <c r="G13" i="15"/>
  <c r="I13" i="15"/>
  <c r="G10" i="15"/>
  <c r="G11" i="15"/>
  <c r="H48" i="15"/>
  <c r="I48" i="15"/>
  <c r="G48" i="15"/>
  <c r="I6" i="15"/>
  <c r="H21" i="15"/>
  <c r="H49" i="15"/>
  <c r="I21" i="15"/>
  <c r="I49" i="15"/>
  <c r="H59" i="15"/>
  <c r="I59" i="15"/>
  <c r="H69" i="15"/>
  <c r="H126" i="15"/>
  <c r="H100" i="15"/>
  <c r="H46" i="15"/>
  <c r="I69" i="15"/>
  <c r="G126" i="15"/>
  <c r="I100" i="15"/>
  <c r="G69" i="15"/>
  <c r="I46" i="15"/>
  <c r="H115" i="15"/>
  <c r="H53" i="15"/>
  <c r="H109" i="15"/>
  <c r="H35" i="15"/>
  <c r="H31" i="15"/>
  <c r="H51" i="15"/>
  <c r="H22" i="15"/>
  <c r="H68" i="15"/>
  <c r="I115" i="15"/>
  <c r="I53" i="15"/>
  <c r="G6" i="15"/>
  <c r="I109" i="15"/>
  <c r="I35" i="15"/>
  <c r="I31" i="15"/>
  <c r="I51" i="15"/>
  <c r="G31" i="15"/>
  <c r="I22" i="15"/>
  <c r="I68" i="15"/>
  <c r="H55" i="15"/>
  <c r="H97" i="15"/>
  <c r="H6" i="15"/>
  <c r="H52" i="15"/>
  <c r="H110" i="15"/>
  <c r="H26" i="15"/>
  <c r="I55" i="15"/>
  <c r="I97" i="15"/>
  <c r="G55" i="15"/>
  <c r="G97" i="15"/>
  <c r="I52" i="15"/>
  <c r="I110" i="15"/>
  <c r="I26" i="15"/>
  <c r="H11" i="15"/>
  <c r="H108" i="15"/>
  <c r="H98" i="15"/>
  <c r="H88" i="15"/>
  <c r="H13" i="15"/>
  <c r="H63" i="15"/>
  <c r="H90" i="15"/>
  <c r="I11" i="15"/>
  <c r="I108" i="15"/>
  <c r="I98" i="15"/>
  <c r="I88" i="15"/>
  <c r="I63" i="15"/>
  <c r="I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I38" i="15"/>
  <c r="I121" i="15"/>
  <c r="I57" i="15"/>
  <c r="I80" i="15"/>
  <c r="I66" i="15"/>
  <c r="I107" i="15"/>
  <c r="I34" i="15"/>
  <c r="I29" i="15"/>
  <c r="I41" i="15"/>
  <c r="I89" i="15"/>
  <c r="I40" i="15"/>
  <c r="I70" i="15"/>
  <c r="I82" i="15"/>
  <c r="I56" i="15"/>
  <c r="I77" i="15"/>
  <c r="I28" i="15"/>
  <c r="G82" i="15"/>
  <c r="G57" i="15"/>
  <c r="G41" i="15"/>
  <c r="G29" i="15"/>
  <c r="G34" i="15"/>
  <c r="G107" i="15"/>
  <c r="I9" i="15"/>
  <c r="I10" i="15"/>
  <c r="I33" i="15"/>
  <c r="I67" i="15"/>
  <c r="I119" i="15"/>
  <c r="I20" i="15"/>
  <c r="I76" i="15"/>
  <c r="I124" i="15"/>
  <c r="I101" i="15"/>
  <c r="I60" i="15"/>
  <c r="I102" i="15"/>
  <c r="I25" i="15"/>
  <c r="I50" i="15"/>
  <c r="I104" i="15"/>
  <c r="I93" i="15"/>
  <c r="I74" i="15"/>
  <c r="I72" i="15"/>
  <c r="I113" i="15"/>
  <c r="I44" i="15"/>
  <c r="I111" i="15"/>
  <c r="I43" i="15"/>
  <c r="I14" i="15"/>
  <c r="I117" i="15"/>
  <c r="I118" i="15"/>
  <c r="I30" i="15"/>
  <c r="I47" i="15"/>
  <c r="I94" i="15"/>
  <c r="G125" i="15"/>
  <c r="I45" i="15"/>
  <c r="I106" i="15"/>
  <c r="I71" i="15"/>
  <c r="I116" i="15"/>
  <c r="I122" i="15"/>
  <c r="I96" i="15"/>
  <c r="I37" i="15"/>
  <c r="G7" i="15"/>
  <c r="G8" i="15"/>
  <c r="G66" i="15"/>
  <c r="G56" i="15"/>
  <c r="G116" i="15"/>
  <c r="G113" i="15"/>
  <c r="G106" i="15"/>
  <c r="G118" i="15"/>
  <c r="G117" i="15"/>
  <c r="G77" i="15"/>
  <c r="G28" i="15"/>
  <c r="G122" i="15"/>
  <c r="I7" i="15"/>
  <c r="I73" i="15"/>
  <c r="I84" i="15"/>
  <c r="I112" i="15"/>
  <c r="I61" i="15"/>
  <c r="I87" i="15"/>
  <c r="I81" i="15"/>
  <c r="I32" i="15"/>
  <c r="I12" i="15"/>
  <c r="I58" i="15"/>
  <c r="I92" i="15"/>
  <c r="I99" i="15"/>
  <c r="I64" i="15"/>
  <c r="I42" i="15"/>
  <c r="I120" i="15"/>
  <c r="I86" i="15"/>
  <c r="I105" i="15"/>
  <c r="I16" i="15"/>
  <c r="I36" i="15"/>
  <c r="I85" i="15"/>
  <c r="I17" i="15"/>
  <c r="I18" i="15"/>
  <c r="I24" i="15"/>
  <c r="I103" i="15"/>
  <c r="H5" i="15"/>
  <c r="H95" i="15"/>
  <c r="I95" i="15"/>
  <c r="H114" i="15"/>
  <c r="I114" i="15"/>
  <c r="H83" i="15"/>
  <c r="I83" i="15"/>
  <c r="H23" i="15"/>
  <c r="I23" i="15"/>
  <c r="H15" i="15"/>
  <c r="H75" i="15"/>
  <c r="I15" i="15"/>
  <c r="I75" i="15"/>
  <c r="H65" i="15"/>
  <c r="I65" i="15"/>
  <c r="E9" i="8"/>
  <c r="H62" i="15"/>
  <c r="I62" i="15"/>
  <c r="H27" i="15"/>
  <c r="I27" i="15"/>
  <c r="H123" i="15"/>
  <c r="I123" i="15"/>
  <c r="H54" i="15"/>
  <c r="H19" i="15"/>
  <c r="H39" i="15"/>
  <c r="H91" i="15"/>
  <c r="H78" i="15"/>
  <c r="H79" i="15"/>
  <c r="I54" i="15"/>
  <c r="I19" i="15"/>
  <c r="I39" i="15"/>
  <c r="G39" i="15"/>
  <c r="I91" i="15"/>
  <c r="I78" i="15"/>
  <c r="I79" i="15"/>
  <c r="AC6" i="3" l="1"/>
  <c r="J4" i="3" s="1"/>
  <c r="R1" i="3" s="1"/>
  <c r="M8" i="8" s="1"/>
  <c r="I5" i="15"/>
  <c r="K9" i="8"/>
  <c r="U2" i="9" l="1"/>
</calcChain>
</file>

<file path=xl/comments1.xml><?xml version="1.0" encoding="utf-8"?>
<comments xmlns="http://schemas.openxmlformats.org/spreadsheetml/2006/main">
  <authors>
    <author xml:space="preserve"> </author>
    <author>James Swirhun</author>
    <author>ablum</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L5" authorId="0">
      <text>
        <r>
          <rPr>
            <b/>
            <sz val="10"/>
            <color indexed="81"/>
            <rFont val="Tahoma"/>
            <family val="2"/>
          </rPr>
          <t>The specified starting temperature of the temperture sweep</t>
        </r>
      </text>
    </comment>
    <comment ref="M5" authorId="2">
      <text>
        <r>
          <rPr>
            <b/>
            <sz val="10"/>
            <color indexed="81"/>
            <rFont val="Tahoma"/>
            <family val="2"/>
          </rPr>
          <t>Specified ending temperture of the temperture sweep</t>
        </r>
        <r>
          <rPr>
            <sz val="10"/>
            <color indexed="81"/>
            <rFont val="Tahoma"/>
            <family val="2"/>
          </rPr>
          <t xml:space="preserve">
</t>
        </r>
      </text>
    </comment>
    <comment ref="N5" authorId="0">
      <text>
        <r>
          <rPr>
            <b/>
            <sz val="10"/>
            <color indexed="81"/>
            <rFont val="Tahoma"/>
            <family val="2"/>
          </rPr>
          <t>Temperature sweep step size</t>
        </r>
      </text>
    </comment>
    <comment ref="O5" authorId="0">
      <text>
        <r>
          <rPr>
            <b/>
            <sz val="10"/>
            <color indexed="81"/>
            <rFont val="Tahoma"/>
            <family val="2"/>
          </rPr>
          <t>Temperature sweep tolerance</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The measured temperature at which the data is analyzed.</t>
        </r>
      </text>
    </comment>
    <comment ref="M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B17" authorId="2">
      <text>
        <r>
          <rPr>
            <b/>
            <sz val="8"/>
            <color indexed="81"/>
            <rFont val="Tahoma"/>
            <family val="2"/>
          </rPr>
          <t xml:space="preserve">Sinton Auger model implemented
</t>
        </r>
      </text>
    </comment>
    <comment ref="F17" authorId="1">
      <text>
        <r>
          <rPr>
            <b/>
            <sz val="8"/>
            <color indexed="81"/>
            <rFont val="Tahoma"/>
            <family val="2"/>
          </rPr>
          <t>Set to TRUE to enable the "Taking Data" Screen.  False to just take a measurement without making adjustments.</t>
        </r>
      </text>
    </comment>
    <comment ref="B18" authorId="0">
      <text>
        <r>
          <rPr>
            <b/>
            <sz val="9"/>
            <color indexed="81"/>
            <rFont val="Tahoma"/>
            <family val="2"/>
          </rPr>
          <t>For temperatures above 30C, use Dorkel/Leturcq mobility model.</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3" authorId="1">
      <text>
        <r>
          <rPr>
            <b/>
            <sz val="8"/>
            <color indexed="81"/>
            <rFont val="Tahoma"/>
            <family val="2"/>
          </rPr>
          <t>Time between consectutive flashes in Average mode for Transient measurements.  Must be set to 0.3 seconds for flash to recharge fully at 1/64.</t>
        </r>
      </text>
    </comment>
    <comment ref="F26"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<sst xmlns="http://schemas.openxmlformats.org/spreadsheetml/2006/main" count="4637" uniqueCount="391">
  <si>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</si>
  <si>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</si>
  <si>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</si>
  <si>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</si>
  <si>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</si>
  <si>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</si>
  <si>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</si>
  <si>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</si>
  <si>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</si>
  <si>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</si>
  <si>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</si>
  <si>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</si>
  <si>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</si>
  <si>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</si>
  <si>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</si>
  <si>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</si>
  <si>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</si>
  <si>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</si>
  <si>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</si>
  <si>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</si>
  <si>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</si>
  <si>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</si>
  <si>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</si>
  <si>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</si>
  <si>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</si>
  <si>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</si>
  <si>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</si>
  <si>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</si>
  <si>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</si>
  <si>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</si>
  <si>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</si>
  <si>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</si>
  <si>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</si>
  <si>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</si>
  <si>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</si>
  <si>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</si>
  <si>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</si>
  <si>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</si>
  <si>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</si>
  <si>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</si>
  <si>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</si>
  <si>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</si>
  <si>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</si>
  <si>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</si>
  <si>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</si>
  <si>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</si>
  <si>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</si>
  <si>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</si>
  <si>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</si>
  <si>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</si>
  <si>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</si>
  <si>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</si>
  <si>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</si>
  <si>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</si>
  <si>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</si>
  <si>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</si>
  <si>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</si>
  <si>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</si>
  <si>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</si>
  <si>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</si>
  <si>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</si>
  <si>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</si>
  <si>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</si>
  <si>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</si>
  <si>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</si>
  <si>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</si>
  <si>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</si>
  <si>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</si>
  <si>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</si>
  <si>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</si>
  <si>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</si>
  <si>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</si>
  <si>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</si>
  <si>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</si>
  <si>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</si>
  <si>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</si>
  <si>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</si>
  <si>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</si>
  <si>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</si>
  <si>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</si>
  <si>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</si>
  <si>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</si>
  <si>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</si>
  <si>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</si>
  <si>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</si>
  <si>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</si>
  <si>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</si>
  <si>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</si>
  <si>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</si>
  <si>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</si>
  <si>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</si>
  <si>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</si>
  <si>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</si>
  <si>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</si>
  <si>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</si>
  <si>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</si>
  <si>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</si>
  <si>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</si>
  <si>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</si>
  <si>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</si>
  <si>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</si>
  <si>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</si>
  <si>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</si>
  <si>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</si>
  <si>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</si>
  <si>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</si>
  <si>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</si>
  <si>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</si>
  <si>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</si>
  <si>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</si>
  <si>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</si>
  <si>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</si>
  <si>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</si>
  <si>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</si>
  <si>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</si>
  <si>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</si>
  <si>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</si>
  <si>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</si>
  <si>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</si>
  <si>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</si>
  <si>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</si>
  <si>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</si>
  <si>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</si>
  <si>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</si>
  <si>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</si>
  <si>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</si>
  <si>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</si>
  <si>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</si>
  <si>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</si>
  <si>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</si>
  <si>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The row above (row 2) is copied to summary.xlsm when the user presses the "log data to summary" button.</t>
  </si>
  <si>
    <t xml:space="preserve"> true</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</si>
  <si>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</si>
  <si>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</si>
  <si>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</si>
  <si>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</si>
  <si>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</si>
  <si>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</si>
  <si>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</si>
  <si>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</si>
  <si>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</si>
  <si>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</si>
  <si>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</si>
  <si>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</si>
  <si>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</si>
  <si>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</si>
  <si>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</si>
  <si>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</si>
  <si>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</si>
  <si>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</si>
  <si>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</si>
  <si>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</si>
  <si>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</si>
  <si>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</si>
  <si>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</si>
  <si>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</si>
  <si>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</si>
  <si>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</si>
  <si>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</si>
  <si>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</si>
  <si>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</si>
  <si>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</si>
  <si>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</si>
  <si>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</si>
  <si>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</si>
  <si>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</si>
  <si>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</si>
  <si>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</si>
  <si>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</si>
  <si>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</si>
  <si>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</si>
  <si>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</si>
  <si>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</si>
  <si>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</si>
  <si>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</si>
  <si>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</si>
  <si>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</si>
  <si>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</si>
  <si>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</si>
  <si>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</si>
  <si>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</si>
  <si>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</si>
  <si>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</si>
  <si>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</si>
  <si>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</si>
  <si>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</si>
  <si>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</si>
  <si>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</si>
  <si>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</si>
  <si>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</si>
  <si>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</si>
  <si>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</si>
  <si>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</si>
  <si>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</si>
  <si>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</si>
  <si>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</si>
  <si>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</si>
  <si>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</si>
  <si>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</si>
  <si>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</si>
  <si>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</si>
  <si>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</si>
  <si>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</si>
  <si>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</si>
  <si>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</si>
  <si>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</si>
  <si>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</si>
  <si>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</si>
  <si>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</si>
  <si>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</si>
  <si>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</si>
  <si>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</si>
  <si>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</si>
  <si>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</si>
  <si>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</si>
  <si>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</si>
  <si>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</si>
  <si>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</si>
  <si>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</si>
  <si>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</si>
  <si>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</si>
  <si>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</si>
  <si>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</si>
  <si>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</si>
  <si>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</si>
  <si>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</si>
  <si>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</si>
  <si>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</si>
  <si>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</si>
  <si>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</si>
  <si>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</si>
  <si>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</si>
  <si>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</si>
  <si>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</si>
  <si>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</si>
  <si>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</si>
  <si>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</si>
  <si>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</si>
  <si>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</si>
  <si>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</si>
  <si>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</si>
  <si>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</si>
  <si>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</si>
  <si>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</si>
  <si>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</si>
  <si>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</si>
  <si>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</si>
  <si>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</si>
  <si>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</si>
  <si>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</si>
  <si>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</si>
  <si>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</si>
  <si>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</si>
  <si>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</si>
  <si>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</si>
  <si>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</si>
  <si>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</si>
  <si>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</si>
  <si>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</si>
  <si>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</si>
  <si>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</si>
  <si>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</si>
  <si>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</si>
  <si>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</si>
  <si>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</si>
  <si>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</si>
  <si>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</si>
  <si>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</si>
  <si>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</si>
  <si>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</si>
  <si>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</si>
  <si>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</si>
  <si>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</si>
  <si>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</si>
  <si>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</si>
  <si>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Time (s)</t>
  </si>
  <si>
    <t>Time in s</t>
  </si>
  <si>
    <t>Implied Suns</t>
  </si>
  <si>
    <t>Implied Voc</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</si>
  <si>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</si>
  <si>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</si>
  <si>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</si>
  <si>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</si>
  <si>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</si>
  <si>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</si>
  <si>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</si>
  <si>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Generalized (1/64)</t>
  </si>
  <si>
    <t>Generalized (1/1)</t>
  </si>
  <si>
    <t>Auger Model</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</si>
  <si>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</si>
  <si>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</si>
  <si>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</si>
  <si>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</si>
  <si>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</si>
  <si>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</si>
  <si>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</si>
  <si>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</si>
  <si>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</si>
  <si>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</si>
  <si>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</si>
  <si>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</si>
  <si>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</si>
  <si>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</si>
  <si>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Resistivity Ohm-cm</t>
  </si>
  <si>
    <t>Temp</t>
  </si>
  <si>
    <t>Undoped ohm/sq</t>
  </si>
  <si>
    <t>Undoped Cond</t>
  </si>
  <si>
    <t>Polynomial Fit</t>
  </si>
  <si>
    <t>Mobility</t>
  </si>
  <si>
    <t>Temp Command</t>
  </si>
  <si>
    <t>C:\lifetime\lifetime.exe /temponly=true /switchedTCgain=2</t>
  </si>
  <si>
    <t>Corrected ShtRho</t>
  </si>
  <si>
    <t>Corrected Res</t>
  </si>
  <si>
    <t>Temperature</t>
  </si>
  <si>
    <t>Tau (corrected) @ specMCD (µs)</t>
  </si>
  <si>
    <t>Tau (corrected) @ specMCD (s)</t>
  </si>
  <si>
    <t>1/Tau (corrected) @ specMCD</t>
  </si>
  <si>
    <t>Mobility Model</t>
  </si>
  <si>
    <t>Dannhauser/ Krausse</t>
  </si>
  <si>
    <t>Dorkel/ Leturcq</t>
  </si>
  <si>
    <t>Temperature Scan Parameters</t>
  </si>
  <si>
    <t>Low Temp (⁰C)</t>
  </si>
  <si>
    <t>High Temp (⁰C)</t>
  </si>
  <si>
    <t>Step Size (⁰C)</t>
  </si>
  <si>
    <t>Tolerance (⁰C)</t>
  </si>
  <si>
    <t xml:space="preserve">Temp (C) </t>
  </si>
  <si>
    <t>Corrected Ohms/sq</t>
  </si>
  <si>
    <t>Corrected Ohm-cm</t>
  </si>
  <si>
    <t>CorrOhmSq</t>
  </si>
  <si>
    <t>CorrOhmcm</t>
  </si>
  <si>
    <t>Transient/Generalized (1/64) Mode Total Acquisition Time (µs)</t>
  </si>
  <si>
    <t xml:space="preserve">Transient/Generalized (1/64) Mode # of Taus Beyond 150mV </t>
  </si>
  <si>
    <t>ni2/tau</t>
  </si>
  <si>
    <t>Number of Flashes to average during temperature scan</t>
  </si>
  <si>
    <t>Cutoff</t>
  </si>
  <si>
    <t>4.6.0TS</t>
  </si>
  <si>
    <t>© Sinton Instruments 2014</t>
  </si>
  <si>
    <r>
      <t>Specified MCD (cm</t>
    </r>
    <r>
      <rPr>
        <b/>
        <vertAlign val="superscript"/>
        <sz val="12"/>
        <rFont val="Calibri"/>
        <family val="2"/>
        <scheme val="minor"/>
      </rPr>
      <t>-3</t>
    </r>
    <r>
      <rPr>
        <b/>
        <sz val="12"/>
        <rFont val="Calibri"/>
        <family val="2"/>
        <scheme val="minor"/>
      </rPr>
      <t>)</t>
    </r>
  </si>
  <si>
    <r>
      <t>Corected Sheet Resistance (</t>
    </r>
    <r>
      <rPr>
        <sz val="10"/>
        <rFont val="Calibri"/>
        <family val="2"/>
        <scheme val="minor"/>
      </rPr>
      <t>Ω</t>
    </r>
    <r>
      <rPr>
        <b/>
        <sz val="10"/>
        <rFont val="Calibri"/>
        <family val="2"/>
        <scheme val="minor"/>
      </rPr>
      <t>/sq)</t>
    </r>
  </si>
  <si>
    <r>
      <t>Corrected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</si>
  <si>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</si>
  <si>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</si>
  <si>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</si>
  <si>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</si>
  <si>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</si>
  <si>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</si>
  <si>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r>
      <t>Temp (</t>
    </r>
    <r>
      <rPr>
        <b/>
        <vertAlign val="superscript"/>
        <sz val="12"/>
        <rFont val="Calibri"/>
        <family val="2"/>
        <scheme val="minor"/>
      </rPr>
      <t>o</t>
    </r>
    <r>
      <rPr>
        <b/>
        <sz val="12"/>
        <rFont val="Calibri"/>
        <family val="2"/>
        <scheme val="minor"/>
      </rPr>
      <t xml:space="preserve">C) </t>
    </r>
  </si>
  <si>
    <t>QSS/Generalized (1/1) Mode Acquisition Time (µs)</t>
  </si>
  <si>
    <r>
      <t>Wafer Doping (cm</t>
    </r>
    <r>
      <rPr>
        <b/>
        <vertAlign val="superscript"/>
        <sz val="8"/>
        <rFont val="Calibri"/>
        <family val="2"/>
        <scheme val="minor"/>
      </rPr>
      <t>-3</t>
    </r>
    <r>
      <rPr>
        <b/>
        <sz val="8"/>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</si>
  <si>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</si>
  <si>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</si>
  <si>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</si>
  <si>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r>
      <t>ni</t>
    </r>
    <r>
      <rPr>
        <b/>
        <vertAlign val="superscript"/>
        <sz val="10"/>
        <rFont val="Calibri"/>
        <family val="2"/>
        <scheme val="minor"/>
      </rPr>
      <t>2</t>
    </r>
    <r>
      <rPr>
        <b/>
        <sz val="10"/>
        <rFont val="Calibri"/>
        <family val="2"/>
        <scheme val="minor"/>
      </rPr>
      <t>/tau fit slope</t>
    </r>
  </si>
  <si>
    <t>WCT-120TS</t>
  </si>
  <si>
    <t>14-127027</t>
  </si>
  <si>
    <t>Logged</t>
  </si>
  <si>
    <t>Fe_1103_01-1</t>
  </si>
  <si>
    <t>Fe_1103_01-2</t>
  </si>
  <si>
    <t>Fe_1103_01-3</t>
  </si>
  <si>
    <t>Fe_1103_01-4</t>
  </si>
  <si>
    <t>Fe_1103_01-5</t>
  </si>
  <si>
    <t>Fe_1103_01-6</t>
  </si>
  <si>
    <t>Fe_1103_01-7</t>
  </si>
  <si>
    <t>Fe_1103_01-8</t>
  </si>
  <si>
    <t>Fe_1103_01-9</t>
  </si>
  <si>
    <t>Fe_1103_01-10</t>
  </si>
  <si>
    <t>Fe_1103_01-11</t>
  </si>
  <si>
    <t>Fe_1103_01-12</t>
  </si>
  <si>
    <t>Fe_1103_01-13</t>
  </si>
  <si>
    <t>Fe_1103_01-14</t>
  </si>
  <si>
    <t>Fe_1103_01-15</t>
  </si>
  <si>
    <t>Fe_1103_01-16</t>
  </si>
  <si>
    <t>Fe_1103_01-17</t>
  </si>
  <si>
    <t>Fe_1103_01-18</t>
  </si>
  <si>
    <t>Fe_1103_01-19</t>
  </si>
  <si>
    <t>Fe_1103_01-20</t>
  </si>
  <si>
    <t>Fe_1103_01-21</t>
  </si>
  <si>
    <t>Fe_1103_01-22</t>
  </si>
  <si>
    <t>Fe_1103_01-23</t>
  </si>
  <si>
    <t>Fe_1103_01-24</t>
  </si>
  <si>
    <t>Fe_1103_01-25</t>
  </si>
  <si>
    <t>Fe_1103_01-26</t>
  </si>
  <si>
    <t>Fe_1103_01-27</t>
  </si>
  <si>
    <t>Fe_1103_01-28</t>
  </si>
  <si>
    <t>Fe_1103_01-29</t>
  </si>
  <si>
    <t>Fe_1103_01-30</t>
  </si>
  <si>
    <t>Fe_1103_01-31</t>
  </si>
  <si>
    <t>Fe_1103_01-32</t>
  </si>
  <si>
    <t>Fe_1103_01-33</t>
  </si>
  <si>
    <t>Fe_1103_01-34</t>
  </si>
  <si>
    <t>Fe_1103_01-35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</si>
</sst>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38" x14ac:knownFonts="1">
    <font>
      <sz val="10"/>
      <name val="Arial"/>
      <family val="2"/>
    </font>
    <font>
      <sz val="10"/>
      <name val="Arial"/>
      <family val="2"/>
    </font>
    <font>
      <b/>
      <sz val="10"/>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b/>
      <sz val="10"/>
      <color indexed="81"/>
      <name val="Tahoma"/>
      <family val="2"/>
    </font>
    <font>
      <b/>
      <sz val="10"/>
      <color indexed="10"/>
      <name val="Tahoma"/>
      <family val="2"/>
    </font>
    <font>
      <b/>
      <sz val="11"/>
      <color indexed="81"/>
      <name val="Tahoma"/>
      <family val="2"/>
    </font>
    <font>
      <b/>
      <sz val="10"/>
      <color rgb="FF000000"/>
      <name val="Arial"/>
      <family val="2"/>
    </font>
    <font>
      <sz val="10"/>
      <color indexed="81"/>
      <name val="Tahoma"/>
      <family val="2"/>
    </font>
    <font>
      <b/>
      <sz val="9"/>
      <color indexed="81"/>
      <name val="Tahoma"/>
      <family val="2"/>
    </font>
    <font>
      <b/>
      <sz val="10"/>
      <name val="Calibri"/>
      <family val="2"/>
      <scheme val="minor"/>
    </font>
    <font>
      <b/>
      <sz val="12"/>
      <name val="Calibri"/>
      <family val="2"/>
      <scheme val="minor"/>
    </font>
    <font>
      <b/>
      <vertAlign val="superscript"/>
      <sz val="12"/>
      <name val="Calibri"/>
      <family val="2"/>
      <scheme val="minor"/>
    </font>
    <font>
      <b/>
      <sz val="9"/>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b/>
      <sz val="12"/>
      <color rgb="FFFF000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vertAlign val="superscript"/>
      <sz val="8"/>
      <name val="Calibri"/>
      <family val="2"/>
      <scheme val="minor"/>
    </font>
    <font>
      <b/>
      <sz val="10"/>
      <color indexed="12"/>
      <name val="Calibri"/>
      <family val="2"/>
      <scheme val="minor"/>
    </font>
    <font>
      <sz val="10"/>
      <color rgb="FFC00000"/>
      <name val="Calibri"/>
      <family val="2"/>
      <scheme val="minor"/>
    </font>
    <font>
      <vertAlign val="superscript"/>
      <sz val="10"/>
      <name val="Calibri"/>
      <family val="2"/>
      <scheme val="minor"/>
    </font>
    <font>
      <b/>
      <vertAlign val="subscript"/>
      <sz val="10"/>
      <name val="Calibri"/>
      <family val="2"/>
      <scheme val="minor"/>
    </font>
    <font>
      <b/>
      <vertAlign val="superscript"/>
      <sz val="10"/>
      <name val="Calibri"/>
      <family val="2"/>
      <scheme val="minor"/>
    </font>
    <font>
      <sz val="10"/>
      <color theme="3" tint="0.3999755851924192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00000"/>
        <bgColor indexed="64"/>
      </patternFill>
    </fill>
    <fill>
      <patternFill patternType="solid">
        <fgColor theme="5"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7" tint="-0.499984740745262"/>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04">
    <xf numFmtId="0" fontId="0" fillId="0" borderId="0" xfId="0"/>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6"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7"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7"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7" fillId="3" borderId="0" xfId="0" applyFont="1" applyFill="1"/>
    <xf numFmtId="0" fontId="7" fillId="3" borderId="0" xfId="0" applyFont="1" applyFill="1" applyAlignment="1"/>
    <xf numFmtId="0" fontId="14" fillId="0" borderId="0" xfId="0" applyFont="1"/>
    <xf numFmtId="0" fontId="14" fillId="0" borderId="0" xfId="0" applyFont="1" applyFill="1" applyBorder="1" applyAlignment="1" applyProtection="1">
      <alignment horizontal="center" wrapText="1"/>
    </xf>
    <xf numFmtId="0" fontId="14" fillId="0" borderId="0" xfId="0" applyFont="1" applyProtection="1"/>
    <xf numFmtId="0" fontId="15" fillId="0" borderId="0" xfId="0" applyFont="1"/>
    <xf numFmtId="0" fontId="14" fillId="0" borderId="0" xfId="0" applyFont="1" applyBorder="1" applyProtection="1"/>
    <xf numFmtId="0" fontId="14" fillId="0" borderId="0" xfId="0" applyFont="1" applyFill="1" applyBorder="1" applyAlignment="1" applyProtection="1">
      <alignment horizontal="center" vertical="top" wrapText="1"/>
    </xf>
    <xf numFmtId="0" fontId="15" fillId="0" borderId="0" xfId="0" applyFont="1" applyBorder="1" applyProtection="1">
      <protection locked="0"/>
    </xf>
    <xf numFmtId="0" fontId="14" fillId="0" borderId="0" xfId="0" applyFont="1" applyBorder="1"/>
    <xf numFmtId="0" fontId="14" fillId="0" borderId="0" xfId="0" applyFont="1" applyBorder="1" applyAlignment="1">
      <alignment horizontal="center"/>
    </xf>
    <xf numFmtId="49" fontId="14" fillId="0" borderId="0" xfId="0" applyNumberFormat="1" applyFont="1" applyBorder="1" applyAlignment="1" applyProtection="1">
      <alignment horizontal="left"/>
    </xf>
    <xf numFmtId="0" fontId="14" fillId="2" borderId="0" xfId="0" applyFont="1" applyFill="1" applyBorder="1" applyAlignment="1" applyProtection="1">
      <alignment horizontal="left"/>
    </xf>
    <xf numFmtId="0" fontId="14" fillId="2" borderId="0" xfId="0" applyFont="1" applyFill="1" applyBorder="1" applyProtection="1"/>
    <xf numFmtId="0" fontId="14" fillId="0" borderId="0" xfId="0" applyFont="1" applyBorder="1" applyAlignment="1" applyProtection="1">
      <alignment horizontal="left"/>
    </xf>
    <xf numFmtId="14" fontId="14" fillId="0" borderId="0" xfId="0" applyNumberFormat="1" applyFont="1" applyBorder="1" applyAlignment="1" applyProtection="1">
      <alignment horizontal="centerContinuous"/>
    </xf>
    <xf numFmtId="0" fontId="14" fillId="0" borderId="0" xfId="0" applyFont="1" applyBorder="1" applyAlignment="1" applyProtection="1">
      <alignment horizontal="center"/>
    </xf>
    <xf numFmtId="0" fontId="14" fillId="0" borderId="0" xfId="0" applyFont="1" applyBorder="1" applyAlignment="1" applyProtection="1">
      <alignment horizontal="centerContinuous"/>
    </xf>
    <xf numFmtId="16" fontId="14" fillId="0" borderId="0" xfId="0" applyNumberFormat="1" applyFont="1" applyBorder="1" applyProtection="1"/>
    <xf numFmtId="0" fontId="15" fillId="2" borderId="0" xfId="0" applyFont="1" applyFill="1" applyBorder="1" applyProtection="1"/>
    <xf numFmtId="0" fontId="15" fillId="2" borderId="0" xfId="0" applyFont="1" applyFill="1" applyBorder="1" applyAlignment="1" applyProtection="1">
      <alignment horizontal="left"/>
    </xf>
    <xf numFmtId="0" fontId="15" fillId="0" borderId="0" xfId="0" applyFont="1" applyBorder="1"/>
    <xf numFmtId="0" fontId="14" fillId="0" borderId="0" xfId="0" applyFont="1" applyFill="1" applyBorder="1" applyProtection="1"/>
    <xf numFmtId="0" fontId="15" fillId="3" borderId="4" xfId="0" applyFont="1" applyFill="1" applyBorder="1" applyAlignment="1" applyProtection="1">
      <alignment horizontal="center" wrapText="1"/>
    </xf>
    <xf numFmtId="0" fontId="15" fillId="3" borderId="5" xfId="0" applyFont="1" applyFill="1" applyBorder="1" applyAlignment="1" applyProtection="1">
      <alignment horizontal="center" wrapText="1"/>
    </xf>
    <xf numFmtId="0" fontId="15" fillId="3" borderId="6" xfId="0" applyFont="1" applyFill="1" applyBorder="1" applyAlignment="1" applyProtection="1">
      <alignment horizontal="center" wrapText="1"/>
    </xf>
    <xf numFmtId="16" fontId="15" fillId="3" borderId="5" xfId="0" applyNumberFormat="1" applyFont="1" applyFill="1" applyBorder="1" applyAlignment="1" applyProtection="1">
      <alignment horizontal="center" wrapText="1"/>
    </xf>
    <xf numFmtId="16" fontId="15" fillId="3" borderId="10" xfId="0" applyNumberFormat="1" applyFont="1" applyFill="1" applyBorder="1" applyAlignment="1" applyProtection="1">
      <alignment horizontal="center" wrapText="1"/>
    </xf>
    <xf numFmtId="0" fontId="17" fillId="3" borderId="9" xfId="0" applyFont="1" applyFill="1" applyBorder="1" applyAlignment="1" applyProtection="1">
      <alignment horizontal="center" wrapText="1"/>
    </xf>
    <xf numFmtId="0" fontId="17" fillId="3" borderId="8" xfId="0" applyFont="1" applyFill="1" applyBorder="1" applyAlignment="1" applyProtection="1">
      <alignment horizontal="center" wrapText="1"/>
    </xf>
    <xf numFmtId="0" fontId="17" fillId="3" borderId="10" xfId="0" applyFont="1" applyFill="1" applyBorder="1" applyAlignment="1" applyProtection="1">
      <alignment horizontal="center" wrapText="1"/>
    </xf>
    <xf numFmtId="16" fontId="18" fillId="0" borderId="2" xfId="0" applyNumberFormat="1" applyFont="1" applyBorder="1" applyAlignment="1" applyProtection="1">
      <alignment horizontal="center"/>
      <protection locked="0"/>
    </xf>
    <xf numFmtId="0" fontId="18" fillId="0" borderId="1" xfId="0" applyFont="1" applyBorder="1" applyAlignment="1" applyProtection="1">
      <alignment horizontal="center"/>
      <protection locked="0"/>
    </xf>
    <xf numFmtId="166" fontId="18" fillId="0" borderId="1" xfId="0" applyNumberFormat="1" applyFont="1" applyBorder="1" applyAlignment="1" applyProtection="1">
      <alignment horizontal="center"/>
      <protection locked="0"/>
    </xf>
    <xf numFmtId="0" fontId="18" fillId="0" borderId="3" xfId="0" applyFont="1" applyBorder="1" applyAlignment="1" applyProtection="1">
      <alignment horizontal="center"/>
      <protection locked="0"/>
    </xf>
    <xf numFmtId="2" fontId="18" fillId="0" borderId="4" xfId="0" applyNumberFormat="1" applyFont="1" applyBorder="1" applyAlignment="1" applyProtection="1">
      <alignment horizontal="center"/>
      <protection locked="0"/>
    </xf>
    <xf numFmtId="167" fontId="18" fillId="0" borderId="5" xfId="0" applyNumberFormat="1" applyFont="1" applyBorder="1" applyAlignment="1" applyProtection="1">
      <alignment horizontal="center"/>
      <protection locked="0"/>
    </xf>
    <xf numFmtId="1" fontId="18" fillId="0" borderId="5" xfId="0" applyNumberFormat="1" applyFont="1" applyBorder="1" applyAlignment="1" applyProtection="1">
      <alignment horizontal="center"/>
      <protection locked="0"/>
    </xf>
    <xf numFmtId="0" fontId="19" fillId="2" borderId="6" xfId="0" applyFont="1" applyFill="1" applyBorder="1" applyAlignment="1" applyProtection="1">
      <alignment horizontal="center"/>
      <protection locked="0"/>
    </xf>
    <xf numFmtId="14" fontId="15" fillId="0" borderId="5" xfId="0" applyNumberFormat="1" applyFont="1" applyBorder="1" applyAlignment="1" applyProtection="1">
      <alignment horizontal="center"/>
    </xf>
    <xf numFmtId="21" fontId="15" fillId="0" borderId="5" xfId="0" applyNumberFormat="1" applyFont="1" applyBorder="1" applyAlignment="1" applyProtection="1">
      <alignment horizontal="center"/>
    </xf>
    <xf numFmtId="0" fontId="15" fillId="0" borderId="5" xfId="0" applyFont="1" applyBorder="1" applyAlignment="1" applyProtection="1">
      <alignment horizontal="center"/>
    </xf>
    <xf numFmtId="1" fontId="18" fillId="0" borderId="4" xfId="0" applyNumberFormat="1" applyFont="1" applyBorder="1" applyAlignment="1" applyProtection="1">
      <alignment horizontal="center"/>
      <protection locked="0"/>
    </xf>
    <xf numFmtId="2" fontId="18" fillId="0" borderId="6" xfId="0" applyNumberFormat="1" applyFont="1" applyBorder="1" applyAlignment="1" applyProtection="1">
      <alignment horizontal="center"/>
      <protection locked="0"/>
    </xf>
    <xf numFmtId="0" fontId="20" fillId="0" borderId="0" xfId="0" applyFont="1" applyBorder="1"/>
    <xf numFmtId="0" fontId="20" fillId="0" borderId="0" xfId="0" applyFont="1" applyBorder="1" applyProtection="1"/>
    <xf numFmtId="0" fontId="20" fillId="0" borderId="0" xfId="0" applyFont="1"/>
    <xf numFmtId="0" fontId="14" fillId="2" borderId="0" xfId="0" applyFont="1" applyFill="1" applyBorder="1" applyAlignment="1" applyProtection="1">
      <alignment horizontal="centerContinuous" wrapText="1"/>
    </xf>
    <xf numFmtId="0" fontId="14" fillId="2" borderId="0" xfId="0" applyFont="1" applyFill="1" applyBorder="1" applyAlignment="1" applyProtection="1">
      <alignment horizontal="centerContinuous"/>
    </xf>
    <xf numFmtId="0" fontId="21" fillId="0" borderId="0" xfId="0" applyFont="1"/>
    <xf numFmtId="0" fontId="14" fillId="3" borderId="5" xfId="0" applyFont="1" applyFill="1" applyBorder="1" applyAlignment="1" applyProtection="1">
      <alignment horizontal="center" wrapText="1"/>
    </xf>
    <xf numFmtId="0" fontId="15" fillId="3" borderId="5" xfId="0" applyFont="1" applyFill="1" applyBorder="1" applyAlignment="1">
      <alignment horizontal="center" wrapText="1"/>
    </xf>
    <xf numFmtId="2" fontId="15" fillId="0" borderId="4" xfId="0" applyNumberFormat="1" applyFont="1" applyBorder="1" applyAlignment="1" applyProtection="1">
      <alignment horizontal="center"/>
    </xf>
    <xf numFmtId="166" fontId="15" fillId="0" borderId="5" xfId="0" applyNumberFormat="1" applyFont="1" applyBorder="1" applyAlignment="1" applyProtection="1">
      <alignment horizontal="center"/>
    </xf>
    <xf numFmtId="2" fontId="15" fillId="0" borderId="5" xfId="0" applyNumberFormat="1" applyFont="1" applyBorder="1" applyAlignment="1" applyProtection="1">
      <alignment horizontal="center" wrapText="1"/>
    </xf>
    <xf numFmtId="11" fontId="15" fillId="0" borderId="5" xfId="0" applyNumberFormat="1" applyFont="1" applyBorder="1" applyAlignment="1" applyProtection="1">
      <alignment horizontal="center"/>
    </xf>
    <xf numFmtId="167" fontId="15" fillId="0" borderId="5" xfId="0" applyNumberFormat="1" applyFont="1" applyBorder="1" applyAlignment="1" applyProtection="1">
      <alignment horizontal="center"/>
    </xf>
    <xf numFmtId="168" fontId="15" fillId="0" borderId="5" xfId="0" applyNumberFormat="1" applyFont="1" applyBorder="1" applyAlignment="1">
      <alignment horizontal="center"/>
    </xf>
    <xf numFmtId="2" fontId="15" fillId="0" borderId="5" xfId="0" applyNumberFormat="1" applyFont="1" applyBorder="1" applyAlignment="1">
      <alignment horizontal="center"/>
    </xf>
    <xf numFmtId="0" fontId="20" fillId="0" borderId="0" xfId="0" applyFont="1" applyBorder="1" applyAlignment="1"/>
    <xf numFmtId="0" fontId="20" fillId="0" borderId="0" xfId="0" applyFont="1" applyProtection="1"/>
    <xf numFmtId="0" fontId="14" fillId="0" borderId="0" xfId="0" applyFont="1" applyBorder="1" applyAlignment="1" applyProtection="1">
      <alignment wrapText="1"/>
    </xf>
    <xf numFmtId="16" fontId="20" fillId="0" borderId="0" xfId="0" applyNumberFormat="1" applyFont="1" applyBorder="1" applyProtection="1"/>
    <xf numFmtId="167" fontId="20" fillId="0" borderId="0" xfId="0" applyNumberFormat="1" applyFont="1" applyBorder="1" applyProtection="1"/>
    <xf numFmtId="2" fontId="20" fillId="0" borderId="0" xfId="0" applyNumberFormat="1" applyFont="1" applyBorder="1" applyProtection="1"/>
    <xf numFmtId="167" fontId="14" fillId="0" borderId="0" xfId="0" applyNumberFormat="1" applyFont="1" applyBorder="1" applyProtection="1"/>
    <xf numFmtId="2" fontId="14" fillId="0" borderId="0" xfId="0" applyNumberFormat="1" applyFont="1" applyBorder="1" applyProtection="1"/>
    <xf numFmtId="0" fontId="14" fillId="0" borderId="0" xfId="0" applyFont="1" applyAlignment="1">
      <alignment horizontal="right"/>
    </xf>
    <xf numFmtId="11" fontId="14" fillId="0" borderId="0" xfId="0" applyNumberFormat="1" applyFont="1"/>
    <xf numFmtId="0" fontId="15" fillId="3" borderId="0" xfId="0" applyFont="1" applyFill="1" applyBorder="1"/>
    <xf numFmtId="0" fontId="14" fillId="3" borderId="0" xfId="0" applyFont="1" applyFill="1" applyBorder="1"/>
    <xf numFmtId="0" fontId="26" fillId="3" borderId="0" xfId="0" applyFont="1" applyFill="1" applyBorder="1"/>
    <xf numFmtId="0" fontId="14" fillId="3" borderId="7" xfId="0" applyFont="1" applyFill="1" applyBorder="1" applyAlignment="1">
      <alignment horizontal="center"/>
    </xf>
    <xf numFmtId="0" fontId="14" fillId="3" borderId="7" xfId="0" applyFont="1" applyFill="1" applyBorder="1" applyAlignment="1" applyProtection="1">
      <alignment horizontal="center"/>
      <protection locked="0"/>
    </xf>
    <xf numFmtId="0" fontId="27" fillId="3" borderId="7" xfId="0" applyFont="1" applyFill="1" applyBorder="1" applyProtection="1">
      <protection locked="0"/>
    </xf>
    <xf numFmtId="165" fontId="20" fillId="3" borderId="7" xfId="0" applyNumberFormat="1" applyFont="1" applyFill="1" applyBorder="1" applyAlignment="1">
      <alignment horizontal="center"/>
    </xf>
    <xf numFmtId="165" fontId="20" fillId="3" borderId="0" xfId="0" applyNumberFormat="1" applyFont="1" applyFill="1" applyBorder="1" applyAlignment="1"/>
    <xf numFmtId="0" fontId="14" fillId="3" borderId="7" xfId="0" applyFont="1" applyFill="1" applyBorder="1" applyAlignment="1" applyProtection="1">
      <alignment horizontal="center" wrapText="1"/>
    </xf>
    <xf numFmtId="11" fontId="14" fillId="3" borderId="7" xfId="0" applyNumberFormat="1" applyFont="1" applyFill="1" applyBorder="1" applyAlignment="1" applyProtection="1">
      <alignment horizontal="center"/>
      <protection locked="0"/>
    </xf>
    <xf numFmtId="164" fontId="14" fillId="3" borderId="7" xfId="0" applyNumberFormat="1" applyFont="1" applyFill="1" applyBorder="1" applyAlignment="1" applyProtection="1">
      <alignment horizontal="center"/>
      <protection locked="0"/>
    </xf>
    <xf numFmtId="0" fontId="14" fillId="3" borderId="7" xfId="0" applyFont="1" applyFill="1" applyBorder="1" applyAlignment="1" applyProtection="1">
      <alignment horizontal="center"/>
    </xf>
    <xf numFmtId="0" fontId="27" fillId="3" borderId="11" xfId="0" applyFont="1" applyFill="1" applyBorder="1" applyProtection="1">
      <protection locked="0"/>
    </xf>
    <xf numFmtId="0" fontId="27" fillId="3" borderId="8" xfId="0" applyFont="1" applyFill="1" applyBorder="1"/>
    <xf numFmtId="164" fontId="14" fillId="3" borderId="7" xfId="0" applyNumberFormat="1" applyFont="1" applyFill="1" applyBorder="1" applyAlignment="1" applyProtection="1">
      <alignment horizontal="center"/>
    </xf>
    <xf numFmtId="0" fontId="14" fillId="3" borderId="0" xfId="0" applyFont="1" applyFill="1" applyBorder="1" applyAlignment="1" applyProtection="1">
      <alignment horizontal="center"/>
    </xf>
    <xf numFmtId="0" fontId="28" fillId="3" borderId="0" xfId="0" applyFont="1" applyFill="1" applyBorder="1"/>
    <xf numFmtId="0" fontId="15" fillId="3" borderId="1" xfId="0" applyFont="1" applyFill="1" applyBorder="1"/>
    <xf numFmtId="0" fontId="14" fillId="3" borderId="1" xfId="0" applyFont="1" applyFill="1" applyBorder="1"/>
    <xf numFmtId="0" fontId="29" fillId="3" borderId="7" xfId="0" applyFont="1" applyFill="1" applyBorder="1" applyAlignment="1" applyProtection="1">
      <alignment horizontal="center"/>
    </xf>
    <xf numFmtId="0" fontId="27" fillId="3" borderId="15" xfId="0" applyFont="1" applyFill="1" applyBorder="1" applyProtection="1">
      <protection locked="0"/>
    </xf>
    <xf numFmtId="0" fontId="28" fillId="3" borderId="8" xfId="0" applyFont="1" applyFill="1" applyBorder="1"/>
    <xf numFmtId="0" fontId="14" fillId="3" borderId="8" xfId="0" applyFont="1" applyFill="1" applyBorder="1"/>
    <xf numFmtId="168" fontId="14" fillId="3" borderId="0" xfId="0" applyNumberFormat="1" applyFont="1" applyFill="1" applyBorder="1" applyAlignment="1">
      <alignment horizontal="center"/>
    </xf>
    <xf numFmtId="9" fontId="14" fillId="3" borderId="7" xfId="0" applyNumberFormat="1" applyFont="1" applyFill="1" applyBorder="1" applyAlignment="1" applyProtection="1">
      <alignment horizontal="center"/>
      <protection locked="0"/>
    </xf>
    <xf numFmtId="0" fontId="14" fillId="3" borderId="1" xfId="0" applyFont="1" applyFill="1" applyBorder="1" applyAlignment="1"/>
    <xf numFmtId="22" fontId="14" fillId="3" borderId="0" xfId="0" applyNumberFormat="1" applyFont="1" applyFill="1" applyBorder="1" applyAlignment="1">
      <alignment horizontal="center"/>
    </xf>
    <xf numFmtId="0" fontId="14" fillId="3" borderId="7" xfId="0" applyFont="1" applyFill="1" applyBorder="1" applyAlignment="1" applyProtection="1">
      <alignment horizontal="center" vertical="center" wrapText="1"/>
      <protection locked="0"/>
    </xf>
    <xf numFmtId="2" fontId="14" fillId="3" borderId="0" xfId="0" applyNumberFormat="1" applyFont="1" applyFill="1" applyBorder="1"/>
    <xf numFmtId="0" fontId="30" fillId="3" borderId="0" xfId="0" applyFont="1" applyFill="1" applyBorder="1"/>
    <xf numFmtId="0" fontId="14" fillId="3" borderId="11" xfId="0" applyFont="1" applyFill="1" applyBorder="1" applyAlignment="1">
      <alignment horizontal="center"/>
    </xf>
    <xf numFmtId="0" fontId="14" fillId="3" borderId="7" xfId="0" applyFont="1" applyFill="1" applyBorder="1"/>
    <xf numFmtId="0" fontId="28" fillId="3" borderId="0" xfId="0" applyFont="1" applyFill="1" applyBorder="1" applyAlignment="1">
      <alignment horizontal="center"/>
    </xf>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0" xfId="0" applyFont="1" applyFill="1" applyBorder="1" applyAlignment="1">
      <alignment horizontal="center"/>
    </xf>
    <xf numFmtId="0" fontId="30" fillId="3" borderId="9" xfId="0" applyFont="1" applyFill="1" applyBorder="1" applyAlignment="1">
      <alignment horizontal="center" wrapText="1"/>
    </xf>
    <xf numFmtId="14" fontId="30" fillId="3" borderId="8" xfId="0" applyNumberFormat="1" applyFont="1" applyFill="1" applyBorder="1" applyAlignment="1">
      <alignment horizontal="center" wrapText="1"/>
    </xf>
    <xf numFmtId="169" fontId="30" fillId="3" borderId="8" xfId="0" applyNumberFormat="1" applyFont="1" applyFill="1" applyBorder="1" applyAlignment="1">
      <alignment horizontal="center" wrapText="1"/>
    </xf>
    <xf numFmtId="0" fontId="30" fillId="3" borderId="8" xfId="0" applyFont="1" applyFill="1" applyBorder="1" applyAlignment="1">
      <alignment horizontal="center" wrapText="1"/>
    </xf>
    <xf numFmtId="11" fontId="30" fillId="3" borderId="8" xfId="0" applyNumberFormat="1" applyFont="1" applyFill="1" applyBorder="1" applyAlignment="1">
      <alignment horizontal="center" wrapText="1"/>
    </xf>
    <xf numFmtId="0" fontId="30" fillId="3" borderId="0" xfId="0" applyFont="1" applyFill="1" applyAlignment="1">
      <alignment horizontal="center" wrapText="1"/>
    </xf>
    <xf numFmtId="0" fontId="30" fillId="3" borderId="10" xfId="0" applyFont="1" applyFill="1" applyBorder="1" applyAlignment="1">
      <alignment horizontal="center" wrapText="1"/>
    </xf>
    <xf numFmtId="0" fontId="30" fillId="3" borderId="0" xfId="0" applyFont="1" applyFill="1" applyAlignment="1">
      <alignment wrapText="1"/>
    </xf>
    <xf numFmtId="16" fontId="20" fillId="3" borderId="4" xfId="0" applyNumberFormat="1" applyFont="1" applyFill="1" applyBorder="1" applyAlignment="1">
      <alignment horizontal="center"/>
    </xf>
    <xf numFmtId="169" fontId="20" fillId="3" borderId="5" xfId="0" applyNumberFormat="1" applyFont="1" applyFill="1" applyBorder="1" applyAlignment="1">
      <alignment horizontal="center"/>
    </xf>
    <xf numFmtId="19" fontId="20" fillId="3" borderId="5" xfId="0" applyNumberFormat="1" applyFont="1" applyFill="1" applyBorder="1" applyAlignment="1">
      <alignment horizontal="center"/>
    </xf>
    <xf numFmtId="2" fontId="20" fillId="3" borderId="5" xfId="0" applyNumberFormat="1" applyFont="1" applyFill="1" applyBorder="1" applyAlignment="1">
      <alignment horizontal="center"/>
    </xf>
    <xf numFmtId="0" fontId="20" fillId="3" borderId="5" xfId="0" applyFont="1" applyFill="1" applyBorder="1" applyAlignment="1">
      <alignment horizontal="center"/>
    </xf>
    <xf numFmtId="11" fontId="20" fillId="3" borderId="5" xfId="0" applyNumberFormat="1" applyFont="1" applyFill="1" applyBorder="1" applyAlignment="1">
      <alignment horizontal="center"/>
    </xf>
    <xf numFmtId="166" fontId="20" fillId="3" borderId="5" xfId="0" applyNumberFormat="1" applyFont="1" applyFill="1" applyBorder="1" applyAlignment="1">
      <alignment horizontal="center"/>
    </xf>
    <xf numFmtId="168" fontId="20" fillId="3" borderId="5" xfId="0" applyNumberFormat="1" applyFont="1" applyFill="1" applyBorder="1" applyAlignment="1">
      <alignment horizontal="center"/>
    </xf>
    <xf numFmtId="164" fontId="20" fillId="3" borderId="5" xfId="0" applyNumberFormat="1" applyFont="1" applyFill="1" applyBorder="1" applyAlignment="1">
      <alignment horizontal="center"/>
    </xf>
    <xf numFmtId="0" fontId="20" fillId="3" borderId="6" xfId="0" applyFont="1" applyFill="1" applyBorder="1" applyAlignment="1">
      <alignment horizontal="center"/>
    </xf>
    <xf numFmtId="0" fontId="20" fillId="3" borderId="0" xfId="0" applyFont="1" applyFill="1"/>
    <xf numFmtId="0" fontId="32" fillId="3" borderId="0" xfId="0" applyFont="1" applyFill="1"/>
    <xf numFmtId="2" fontId="20" fillId="3" borderId="0" xfId="0" applyNumberFormat="1" applyFont="1" applyFill="1"/>
    <xf numFmtId="11" fontId="20" fillId="3" borderId="0" xfId="0" applyNumberFormat="1" applyFont="1" applyFill="1"/>
    <xf numFmtId="0" fontId="14" fillId="3" borderId="0" xfId="0" applyFont="1" applyFill="1"/>
    <xf numFmtId="11" fontId="14" fillId="3" borderId="0" xfId="0" applyNumberFormat="1" applyFont="1" applyFill="1"/>
    <xf numFmtId="14" fontId="20" fillId="3" borderId="0" xfId="0" applyNumberFormat="1" applyFont="1" applyFill="1"/>
    <xf numFmtId="0" fontId="20" fillId="3" borderId="0" xfId="0" applyNumberFormat="1" applyFont="1" applyFill="1"/>
    <xf numFmtId="170" fontId="20" fillId="3" borderId="0" xfId="0" applyNumberFormat="1" applyFont="1" applyFill="1"/>
    <xf numFmtId="16" fontId="20" fillId="0" borderId="0" xfId="0" applyNumberFormat="1" applyFont="1"/>
    <xf numFmtId="0" fontId="14" fillId="0" borderId="1" xfId="0" applyNumberFormat="1" applyFont="1" applyBorder="1" applyAlignment="1">
      <alignment horizontal="center" vertical="center" wrapText="1"/>
    </xf>
    <xf numFmtId="14" fontId="20" fillId="0" borderId="0" xfId="0" applyNumberFormat="1" applyFont="1"/>
    <xf numFmtId="11" fontId="20" fillId="0" borderId="0" xfId="0" applyNumberFormat="1" applyFont="1" applyAlignment="1">
      <alignment horizontal="center"/>
    </xf>
    <xf numFmtId="166" fontId="20" fillId="0" borderId="0" xfId="0" applyNumberFormat="1" applyFont="1" applyAlignment="1">
      <alignment horizontal="center"/>
    </xf>
    <xf numFmtId="0" fontId="20" fillId="0" borderId="0" xfId="0" applyNumberFormat="1" applyFont="1"/>
    <xf numFmtId="11" fontId="20" fillId="0" borderId="0" xfId="0" applyNumberFormat="1" applyFont="1"/>
    <xf numFmtId="165" fontId="20" fillId="0" borderId="0" xfId="0" applyNumberFormat="1" applyFont="1" applyAlignment="1">
      <alignment horizontal="center"/>
    </xf>
    <xf numFmtId="2" fontId="20" fillId="0" borderId="0" xfId="0" applyNumberFormat="1" applyFont="1" applyAlignment="1">
      <alignment horizontal="center"/>
    </xf>
    <xf numFmtId="0" fontId="33" fillId="6" borderId="0" xfId="0" applyFont="1" applyFill="1"/>
    <xf numFmtId="0" fontId="20" fillId="5" borderId="0" xfId="0" applyFont="1" applyFill="1"/>
    <xf numFmtId="0" fontId="20" fillId="7" borderId="0" xfId="0" applyFont="1" applyFill="1"/>
    <xf numFmtId="0" fontId="20" fillId="8" borderId="0" xfId="0" applyFont="1" applyFill="1"/>
    <xf numFmtId="0" fontId="20" fillId="11" borderId="0" xfId="0" applyFont="1" applyFill="1"/>
    <xf numFmtId="0" fontId="20" fillId="10" borderId="0" xfId="0" applyFont="1" applyFill="1"/>
    <xf numFmtId="0" fontId="20" fillId="12" borderId="0" xfId="0" applyFont="1" applyFill="1"/>
    <xf numFmtId="0" fontId="20" fillId="9" borderId="0" xfId="0" applyFont="1" applyFill="1"/>
    <xf numFmtId="0" fontId="20" fillId="13" borderId="0" xfId="0" applyFont="1" applyFill="1"/>
    <xf numFmtId="0" fontId="20" fillId="14" borderId="0" xfId="0" applyFont="1" applyFill="1"/>
    <xf numFmtId="0" fontId="20" fillId="15" borderId="0" xfId="0" applyFont="1" applyFill="1"/>
    <xf numFmtId="0" fontId="20" fillId="16" borderId="0" xfId="0" applyFont="1" applyFill="1"/>
    <xf numFmtId="0" fontId="20" fillId="17" borderId="0" xfId="0" applyFont="1" applyFill="1"/>
    <xf numFmtId="0" fontId="20" fillId="18" borderId="0" xfId="0" applyFont="1" applyFill="1"/>
    <xf numFmtId="0" fontId="20" fillId="19" borderId="0" xfId="0" applyFont="1" applyFill="1"/>
    <xf numFmtId="0" fontId="20" fillId="0" borderId="0" xfId="0" applyFont="1" applyFill="1"/>
    <xf numFmtId="0" fontId="15"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protection locked="0"/>
    </xf>
    <xf numFmtId="0" fontId="20" fillId="4" borderId="7" xfId="0" applyFont="1" applyFill="1" applyBorder="1" applyAlignment="1">
      <alignment horizontal="center"/>
    </xf>
    <xf numFmtId="14" fontId="20" fillId="3" borderId="7" xfId="0" applyNumberFormat="1" applyFont="1" applyFill="1" applyBorder="1" applyAlignment="1">
      <alignment horizontal="center"/>
    </xf>
    <xf numFmtId="16" fontId="14" fillId="3" borderId="0" xfId="0" applyNumberFormat="1" applyFont="1" applyFill="1" applyBorder="1" applyAlignment="1" applyProtection="1">
      <alignment horizontal="center"/>
      <protection locked="0"/>
    </xf>
    <xf numFmtId="0" fontId="20" fillId="3" borderId="0" xfId="0" applyFont="1" applyFill="1" applyAlignment="1">
      <alignment horizontal="center"/>
    </xf>
    <xf numFmtId="0" fontId="20" fillId="3" borderId="0" xfId="0" applyFont="1" applyFill="1" applyBorder="1" applyAlignment="1">
      <alignment horizontal="center"/>
    </xf>
    <xf numFmtId="0" fontId="20" fillId="3" borderId="0" xfId="0" applyFont="1" applyFill="1" applyBorder="1" applyAlignment="1" applyProtection="1">
      <alignment horizontal="left"/>
    </xf>
    <xf numFmtId="0" fontId="20" fillId="3" borderId="7" xfId="0" applyFont="1" applyFill="1" applyBorder="1" applyAlignment="1">
      <alignment horizontal="left"/>
    </xf>
    <xf numFmtId="0" fontId="20" fillId="3" borderId="7" xfId="0" applyFont="1" applyFill="1" applyBorder="1" applyAlignment="1" applyProtection="1">
      <alignment horizontal="center"/>
      <protection locked="0"/>
    </xf>
    <xf numFmtId="0" fontId="14" fillId="3" borderId="0" xfId="0" applyFont="1" applyFill="1" applyBorder="1" applyAlignment="1" applyProtection="1">
      <alignment horizontal="center" wrapText="1"/>
    </xf>
    <xf numFmtId="16" fontId="20" fillId="4" borderId="7" xfId="0" applyNumberFormat="1" applyFont="1" applyFill="1" applyBorder="1" applyAlignment="1">
      <alignment horizontal="center"/>
    </xf>
    <xf numFmtId="19" fontId="20" fillId="3" borderId="7" xfId="0" applyNumberFormat="1" applyFont="1" applyFill="1" applyBorder="1" applyAlignment="1" applyProtection="1">
      <alignment horizontal="center"/>
    </xf>
    <xf numFmtId="0" fontId="20" fillId="3" borderId="0" xfId="0" applyFont="1" applyFill="1" applyBorder="1" applyAlignment="1" applyProtection="1">
      <alignment horizontal="center"/>
    </xf>
    <xf numFmtId="0" fontId="20" fillId="3" borderId="0" xfId="0" applyFont="1" applyFill="1" applyBorder="1" applyAlignment="1">
      <alignment horizontal="left"/>
    </xf>
    <xf numFmtId="0" fontId="20" fillId="3" borderId="0" xfId="0" quotePrefix="1" applyFont="1" applyFill="1" applyAlignment="1">
      <alignment horizontal="center"/>
    </xf>
    <xf numFmtId="14" fontId="20" fillId="3" borderId="0" xfId="0" applyNumberFormat="1" applyFont="1" applyFill="1" applyBorder="1" applyAlignment="1" applyProtection="1">
      <alignment horizontal="center"/>
      <protection locked="0"/>
    </xf>
    <xf numFmtId="2" fontId="20" fillId="3" borderId="7" xfId="0" applyNumberFormat="1" applyFont="1" applyFill="1" applyBorder="1" applyAlignment="1" applyProtection="1">
      <alignment horizontal="center"/>
    </xf>
    <xf numFmtId="19" fontId="20" fillId="3" borderId="0" xfId="0" applyNumberFormat="1" applyFont="1" applyFill="1" applyBorder="1" applyAlignment="1">
      <alignment horizontal="center"/>
    </xf>
    <xf numFmtId="0" fontId="20" fillId="3" borderId="0" xfId="0" applyFont="1" applyFill="1" applyAlignment="1">
      <alignment horizontal="left"/>
    </xf>
    <xf numFmtId="0" fontId="14" fillId="3" borderId="0" xfId="0" applyFont="1" applyFill="1" applyBorder="1" applyAlignment="1" applyProtection="1">
      <alignment horizontal="center"/>
      <protection locked="0"/>
    </xf>
    <xf numFmtId="0" fontId="20" fillId="3" borderId="7" xfId="0" applyFont="1" applyFill="1" applyBorder="1" applyAlignment="1" applyProtection="1">
      <alignment horizontal="left"/>
      <protection locked="0"/>
    </xf>
    <xf numFmtId="11" fontId="14" fillId="3" borderId="0" xfId="0" applyNumberFormat="1" applyFont="1" applyFill="1" applyBorder="1" applyAlignment="1">
      <alignment horizontal="center"/>
    </xf>
    <xf numFmtId="0" fontId="14" fillId="4" borderId="4" xfId="0" applyFont="1" applyFill="1" applyBorder="1" applyAlignment="1" applyProtection="1">
      <alignment horizontal="center" wrapText="1"/>
    </xf>
    <xf numFmtId="0" fontId="14" fillId="4" borderId="5" xfId="0" applyFont="1" applyFill="1" applyBorder="1" applyAlignment="1" applyProtection="1">
      <alignment horizontal="center" wrapText="1"/>
    </xf>
    <xf numFmtId="0" fontId="14" fillId="4" borderId="5" xfId="0" applyFont="1" applyFill="1" applyBorder="1" applyAlignment="1">
      <alignment horizontal="center" wrapText="1"/>
    </xf>
    <xf numFmtId="0" fontId="14" fillId="4" borderId="6" xfId="0" applyFont="1" applyFill="1" applyBorder="1" applyAlignment="1" applyProtection="1">
      <alignment horizontal="center" wrapText="1"/>
    </xf>
    <xf numFmtId="0" fontId="20" fillId="3" borderId="4" xfId="0" applyNumberFormat="1" applyFont="1" applyFill="1" applyBorder="1" applyAlignment="1" applyProtection="1">
      <alignment horizontal="center"/>
      <protection locked="0"/>
    </xf>
    <xf numFmtId="2" fontId="20" fillId="3" borderId="5" xfId="0" applyNumberFormat="1" applyFont="1" applyFill="1" applyBorder="1" applyAlignment="1" applyProtection="1">
      <alignment horizontal="center" wrapText="1"/>
      <protection locked="0"/>
    </xf>
    <xf numFmtId="11" fontId="20" fillId="3" borderId="5" xfId="0" applyNumberFormat="1" applyFont="1" applyFill="1" applyBorder="1" applyAlignment="1" applyProtection="1">
      <alignment horizontal="center"/>
      <protection locked="0"/>
    </xf>
    <xf numFmtId="165" fontId="20" fillId="3" borderId="5" xfId="0" applyNumberFormat="1" applyFont="1" applyFill="1" applyBorder="1" applyAlignment="1">
      <alignment horizontal="center"/>
    </xf>
    <xf numFmtId="167" fontId="20" fillId="3" borderId="5" xfId="0" applyNumberFormat="1" applyFont="1" applyFill="1" applyBorder="1" applyAlignment="1" applyProtection="1">
      <alignment horizontal="center"/>
    </xf>
    <xf numFmtId="11" fontId="20" fillId="3" borderId="5" xfId="0" applyNumberFormat="1" applyFont="1" applyFill="1" applyBorder="1" applyAlignment="1" applyProtection="1">
      <alignment horizontal="center"/>
    </xf>
    <xf numFmtId="171" fontId="20" fillId="3" borderId="5" xfId="0" applyNumberFormat="1" applyFont="1" applyFill="1" applyBorder="1" applyAlignment="1" applyProtection="1">
      <alignment horizontal="center"/>
    </xf>
    <xf numFmtId="2" fontId="20" fillId="3" borderId="5" xfId="0" applyNumberFormat="1" applyFont="1" applyFill="1" applyBorder="1" applyAlignment="1" applyProtection="1">
      <alignment horizontal="center"/>
    </xf>
    <xf numFmtId="166" fontId="20" fillId="3" borderId="5" xfId="0" applyNumberFormat="1" applyFont="1" applyFill="1" applyBorder="1" applyAlignment="1" applyProtection="1">
      <alignment horizontal="center"/>
    </xf>
    <xf numFmtId="168" fontId="20" fillId="3" borderId="5" xfId="0" applyNumberFormat="1" applyFont="1" applyFill="1" applyBorder="1" applyAlignment="1" applyProtection="1">
      <alignment horizontal="center"/>
    </xf>
    <xf numFmtId="167" fontId="20" fillId="3" borderId="1" xfId="0" applyNumberFormat="1" applyFont="1" applyFill="1" applyBorder="1" applyAlignment="1" applyProtection="1">
      <alignment horizontal="center"/>
    </xf>
    <xf numFmtId="2" fontId="20" fillId="3" borderId="1" xfId="0" applyNumberFormat="1" applyFont="1" applyFill="1" applyBorder="1" applyAlignment="1">
      <alignment horizontal="center"/>
    </xf>
    <xf numFmtId="2" fontId="20" fillId="3" borderId="3" xfId="0" applyNumberFormat="1" applyFont="1" applyFill="1" applyBorder="1" applyAlignment="1">
      <alignment horizontal="center"/>
    </xf>
    <xf numFmtId="11" fontId="20" fillId="3" borderId="0" xfId="0" applyNumberFormat="1" applyFont="1" applyFill="1" applyBorder="1" applyAlignment="1" applyProtection="1">
      <alignment horizontal="center"/>
    </xf>
    <xf numFmtId="167" fontId="20" fillId="3" borderId="0" xfId="0" applyNumberFormat="1" applyFont="1" applyFill="1" applyBorder="1" applyAlignment="1" applyProtection="1">
      <alignment horizontal="center"/>
    </xf>
    <xf numFmtId="2" fontId="20" fillId="3" borderId="0" xfId="0" applyNumberFormat="1" applyFont="1" applyFill="1" applyBorder="1" applyAlignment="1" applyProtection="1">
      <alignment horizontal="center"/>
    </xf>
    <xf numFmtId="1" fontId="20" fillId="3" borderId="0" xfId="0" applyNumberFormat="1" applyFont="1" applyFill="1" applyBorder="1" applyAlignment="1" applyProtection="1">
      <alignment horizontal="center"/>
    </xf>
    <xf numFmtId="0" fontId="20"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wrapText="1"/>
    </xf>
    <xf numFmtId="14" fontId="14" fillId="4" borderId="4" xfId="0" applyNumberFormat="1" applyFont="1" applyFill="1" applyBorder="1" applyAlignment="1" applyProtection="1">
      <alignment horizontal="center" wrapText="1"/>
    </xf>
    <xf numFmtId="21" fontId="14" fillId="4" borderId="5" xfId="0" applyNumberFormat="1" applyFont="1" applyFill="1" applyBorder="1" applyAlignment="1" applyProtection="1">
      <alignment horizontal="center" wrapText="1"/>
    </xf>
    <xf numFmtId="0" fontId="14" fillId="4" borderId="6" xfId="0" applyFont="1" applyFill="1" applyBorder="1" applyAlignment="1">
      <alignment horizontal="center" wrapText="1"/>
    </xf>
    <xf numFmtId="11" fontId="37" fillId="3" borderId="0" xfId="0" applyNumberFormat="1" applyFont="1" applyFill="1" applyBorder="1" applyAlignment="1" applyProtection="1">
      <alignment horizontal="center"/>
      <protection locked="0"/>
    </xf>
    <xf numFmtId="165" fontId="37" fillId="3" borderId="0" xfId="0" applyNumberFormat="1" applyFont="1" applyFill="1" applyBorder="1" applyAlignment="1" applyProtection="1">
      <alignment horizontal="center"/>
      <protection locked="0"/>
    </xf>
    <xf numFmtId="165"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pplyProtection="1">
      <alignment horizontal="center"/>
      <protection locked="0"/>
    </xf>
    <xf numFmtId="11" fontId="20" fillId="3" borderId="0" xfId="0" applyNumberFormat="1" applyFont="1" applyFill="1" applyBorder="1" applyAlignment="1" applyProtection="1">
      <alignment horizontal="center"/>
      <protection locked="0"/>
    </xf>
    <xf numFmtId="171" fontId="20" fillId="3" borderId="0" xfId="0" applyNumberFormat="1" applyFont="1" applyFill="1" applyBorder="1" applyAlignment="1">
      <alignment horizontal="center"/>
    </xf>
    <xf numFmtId="11" fontId="20" fillId="3" borderId="0" xfId="0" applyNumberFormat="1" applyFont="1" applyFill="1" applyBorder="1" applyAlignment="1">
      <alignment horizontal="center"/>
    </xf>
    <xf numFmtId="11" fontId="20" fillId="3" borderId="0" xfId="0" applyNumberFormat="1" applyFont="1" applyFill="1" applyAlignment="1">
      <alignment horizontal="center"/>
    </xf>
    <xf numFmtId="1"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lignment horizontal="center"/>
    </xf>
    <xf numFmtId="168" fontId="20" fillId="3" borderId="0" xfId="0" applyNumberFormat="1" applyFont="1" applyFill="1" applyAlignment="1">
      <alignment horizontal="center"/>
    </xf>
    <xf numFmtId="0" fontId="37" fillId="3" borderId="0" xfId="0" applyFont="1" applyFill="1" applyBorder="1" applyAlignment="1">
      <alignment horizontal="left"/>
    </xf>
    <xf numFmtId="0" fontId="37" fillId="3" borderId="0" xfId="0" applyNumberFormat="1" applyFont="1" applyFill="1" applyBorder="1" applyAlignment="1" applyProtection="1">
      <alignment horizontal="center"/>
      <protection locked="0"/>
    </xf>
    <xf numFmtId="11" fontId="37" fillId="3" borderId="0" xfId="0" applyNumberFormat="1" applyFont="1" applyFill="1" applyBorder="1" applyAlignment="1">
      <alignment horizontal="center"/>
    </xf>
    <xf numFmtId="0" fontId="20" fillId="3" borderId="0" xfId="0" applyNumberFormat="1" applyFont="1" applyFill="1" applyAlignment="1">
      <alignment horizontal="center"/>
    </xf>
    <xf numFmtId="0" fontId="37" fillId="3" borderId="0" xfId="0" applyNumberFormat="1" applyFont="1" applyFill="1" applyBorder="1" applyAlignment="1">
      <alignment horizontal="center"/>
    </xf>
    <xf numFmtId="0" fontId="37" fillId="3" borderId="0" xfId="0" applyFont="1" applyFill="1" applyBorder="1" applyAlignment="1">
      <alignment horizontal="center"/>
    </xf>
    <xf numFmtId="0" fontId="37" fillId="3" borderId="0" xfId="0" applyFont="1" applyFill="1" applyBorder="1" applyAlignment="1" applyProtection="1">
      <alignment horizontal="center"/>
      <protection locked="0"/>
    </xf>
    <xf numFmtId="0" fontId="37" fillId="3" borderId="0" xfId="0" applyNumberFormat="1" applyFont="1" applyFill="1" applyBorder="1" applyAlignment="1">
      <alignment horizontal="left"/>
    </xf>
    <xf numFmtId="0" fontId="20" fillId="3" borderId="0" xfId="0" applyNumberFormat="1" applyFont="1" applyFill="1" applyBorder="1" applyAlignment="1">
      <alignment horizontal="center"/>
    </xf>
    <xf numFmtId="0" fontId="37" fillId="3" borderId="0" xfId="0" applyNumberFormat="1" applyFont="1" applyFill="1" applyBorder="1" applyAlignment="1">
      <alignment horizontal="center" wrapText="1"/>
    </xf>
    <xf numFmtId="0" fontId="37" fillId="3" borderId="0" xfId="0" applyFont="1" applyFill="1" applyBorder="1" applyAlignment="1">
      <alignment horizontal="center" wrapText="1"/>
    </xf>
    <xf numFmtId="0" fontId="20" fillId="3" borderId="0" xfId="0" applyFont="1" applyFill="1" applyBorder="1" applyAlignment="1">
      <alignment horizontal="center" wrapText="1"/>
    </xf>
    <xf numFmtId="11" fontId="20" fillId="3" borderId="0" xfId="0" applyNumberFormat="1" applyFont="1" applyFill="1" applyBorder="1" applyAlignment="1">
      <alignment horizontal="center" wrapText="1"/>
    </xf>
    <xf numFmtId="16" fontId="37" fillId="3" borderId="0" xfId="0" applyNumberFormat="1" applyFont="1" applyFill="1" applyBorder="1" applyAlignment="1">
      <alignment horizontal="left"/>
    </xf>
    <xf numFmtId="167" fontId="20" fillId="3" borderId="0" xfId="0" applyNumberFormat="1" applyFont="1" applyFill="1" applyBorder="1" applyAlignment="1">
      <alignment horizontal="center"/>
    </xf>
    <xf numFmtId="166" fontId="20" fillId="3" borderId="0" xfId="0" applyNumberFormat="1" applyFont="1" applyFill="1" applyBorder="1" applyAlignment="1">
      <alignment horizontal="center"/>
    </xf>
    <xf numFmtId="0" fontId="37" fillId="3" borderId="0" xfId="0" applyFont="1" applyFill="1" applyAlignment="1">
      <alignment horizontal="left"/>
    </xf>
    <xf numFmtId="0" fontId="37" fillId="3" borderId="0" xfId="0" applyNumberFormat="1" applyFont="1" applyFill="1" applyAlignment="1">
      <alignment horizontal="center"/>
    </xf>
    <xf numFmtId="0" fontId="37" fillId="3" borderId="0" xfId="0" applyFont="1" applyFill="1" applyAlignment="1">
      <alignment horizontal="center"/>
    </xf>
    <xf numFmtId="11" fontId="37" fillId="3" borderId="0" xfId="0" applyNumberFormat="1" applyFont="1" applyFill="1" applyAlignment="1">
      <alignment horizontal="center"/>
    </xf>
    <xf numFmtId="0" fontId="24" fillId="0" borderId="9" xfId="0" applyFont="1" applyBorder="1" applyAlignment="1">
      <alignment horizontal="center" vertical="center"/>
    </xf>
    <xf numFmtId="0" fontId="24" fillId="0" borderId="8" xfId="0" applyFont="1" applyBorder="1" applyAlignment="1">
      <alignment horizontal="center" vertical="center"/>
    </xf>
    <xf numFmtId="0" fontId="24" fillId="0" borderId="10" xfId="0" applyFont="1" applyBorder="1" applyAlignment="1">
      <alignment horizontal="center" vertical="center"/>
    </xf>
    <xf numFmtId="0" fontId="24" fillId="0" borderId="2"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3" xfId="0" applyFont="1" applyBorder="1" applyAlignment="1">
      <alignment horizontal="center" vertical="center" wrapText="1"/>
    </xf>
    <xf numFmtId="0" fontId="20" fillId="3" borderId="0" xfId="0" applyFont="1" applyFill="1" applyAlignment="1">
      <alignment horizontal="left"/>
    </xf>
    <xf numFmtId="0" fontId="14" fillId="3" borderId="7" xfId="0" applyFont="1" applyFill="1" applyBorder="1" applyProtection="1">
      <protection locked="0"/>
    </xf>
    <xf numFmtId="0" fontId="14" fillId="3" borderId="11" xfId="0" applyFont="1" applyFill="1" applyBorder="1"/>
    <xf numFmtId="0" fontId="14" fillId="3" borderId="8" xfId="0" applyFont="1" applyFill="1" applyBorder="1"/>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7" xfId="0" applyFont="1" applyFill="1" applyBorder="1"/>
    <xf numFmtId="0" fontId="14" fillId="3" borderId="4" xfId="0" applyFont="1" applyFill="1" applyBorder="1"/>
    <xf numFmtId="0" fontId="14" fillId="3" borderId="5" xfId="0" applyFont="1" applyFill="1" applyBorder="1"/>
    <xf numFmtId="0" fontId="14" fillId="3" borderId="6" xfId="0" applyFont="1" applyFill="1" applyBorder="1"/>
    <xf numFmtId="0" fontId="14" fillId="3" borderId="15" xfId="0" applyFont="1" applyFill="1" applyBorder="1"/>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Calc!$E$9:$E$133</c:f>
              <c:numCache>
                <c:formatCode>0.00</c:formatCode>
                <c:ptCount val="125"/>
                <c:pt idx="0">
                  <c:v>14.594664631497526</c:v>
                </c:pt>
                <c:pt idx="1">
                  <c:v>48.812983474958003</c:v>
                </c:pt>
                <c:pt idx="2">
                  <c:v>55.126847823624715</c:v>
                </c:pt>
                <c:pt idx="3">
                  <c:v>59.001901656047217</c:v>
                </c:pt>
                <c:pt idx="4">
                  <c:v>58.591980804840261</c:v>
                </c:pt>
                <c:pt idx="5">
                  <c:v>56.558910213179644</c:v>
                </c:pt>
                <c:pt idx="6">
                  <c:v>53.463409153891561</c:v>
                </c:pt>
                <c:pt idx="7">
                  <c:v>50.272316908624283</c:v>
                </c:pt>
                <c:pt idx="8">
                  <c:v>47.328184397313166</c:v>
                </c:pt>
                <c:pt idx="9">
                  <c:v>44.610297028960737</c:v>
                </c:pt>
                <c:pt idx="10">
                  <c:v>42.01926277520294</c:v>
                </c:pt>
                <c:pt idx="11">
                  <c:v>39.589954364920864</c:v>
                </c:pt>
                <c:pt idx="12">
                  <c:v>37.291394932677903</c:v>
                </c:pt>
                <c:pt idx="13">
                  <c:v>35.14268371145797</c:v>
                </c:pt>
                <c:pt idx="14">
                  <c:v>33.135458848014395</c:v>
                </c:pt>
                <c:pt idx="15">
                  <c:v>31.251856383138321</c:v>
                </c:pt>
                <c:pt idx="16">
                  <c:v>29.483134379344584</c:v>
                </c:pt>
                <c:pt idx="17">
                  <c:v>27.814374530272616</c:v>
                </c:pt>
                <c:pt idx="18">
                  <c:v>26.241110846120211</c:v>
                </c:pt>
                <c:pt idx="19">
                  <c:v>24.764768642781693</c:v>
                </c:pt>
                <c:pt idx="20">
                  <c:v>23.38325745694538</c:v>
                </c:pt>
                <c:pt idx="21">
                  <c:v>22.086695098410647</c:v>
                </c:pt>
                <c:pt idx="22">
                  <c:v>20.870710598434908</c:v>
                </c:pt>
                <c:pt idx="23">
                  <c:v>19.72181096655191</c:v>
                </c:pt>
                <c:pt idx="24">
                  <c:v>18.643226918788791</c:v>
                </c:pt>
                <c:pt idx="25">
                  <c:v>17.634673391966686</c:v>
                </c:pt>
                <c:pt idx="26">
                  <c:v>16.685983132706095</c:v>
                </c:pt>
                <c:pt idx="27">
                  <c:v>15.795255719814589</c:v>
                </c:pt>
                <c:pt idx="28">
                  <c:v>14.934554961763464</c:v>
                </c:pt>
                <c:pt idx="29">
                  <c:v>14.129346502531266</c:v>
                </c:pt>
                <c:pt idx="30">
                  <c:v>13.383906289800965</c:v>
                </c:pt>
                <c:pt idx="31">
                  <c:v>12.678564964230915</c:v>
                </c:pt>
                <c:pt idx="32">
                  <c:v>12.017788515623328</c:v>
                </c:pt>
                <c:pt idx="33">
                  <c:v>11.396350785699022</c:v>
                </c:pt>
                <c:pt idx="34">
                  <c:v>10.80655506862866</c:v>
                </c:pt>
                <c:pt idx="35">
                  <c:v>10.254292670108773</c:v>
                </c:pt>
                <c:pt idx="36">
                  <c:v>9.7291112735809993</c:v>
                </c:pt>
                <c:pt idx="37">
                  <c:v>9.2367406489405148</c:v>
                </c:pt>
                <c:pt idx="38">
                  <c:v>8.770453305166118</c:v>
                </c:pt>
                <c:pt idx="39">
                  <c:v>8.3253176492634573</c:v>
                </c:pt>
                <c:pt idx="40">
                  <c:v>7.9066263542534463</c:v>
                </c:pt>
                <c:pt idx="41">
                  <c:v>7.5128115726523328</c:v>
                </c:pt>
                <c:pt idx="42">
                  <c:v>7.1378299650681907</c:v>
                </c:pt>
                <c:pt idx="43">
                  <c:v>6.7874398077140814</c:v>
                </c:pt>
                <c:pt idx="44">
                  <c:v>6.4531082094359968</c:v>
                </c:pt>
                <c:pt idx="45">
                  <c:v>6.1383509494399329</c:v>
                </c:pt>
                <c:pt idx="46">
                  <c:v>5.8407544928115023</c:v>
                </c:pt>
                <c:pt idx="47">
                  <c:v>5.5546745886091919</c:v>
                </c:pt>
                <c:pt idx="48">
                  <c:v>5.2861260699070405</c:v>
                </c:pt>
                <c:pt idx="49">
                  <c:v>5.0291796225846683</c:v>
                </c:pt>
                <c:pt idx="50">
                  <c:v>4.7884722743516024</c:v>
                </c:pt>
                <c:pt idx="51">
                  <c:v>4.5583407700544036</c:v>
                </c:pt>
                <c:pt idx="52">
                  <c:v>4.3422248720513705</c:v>
                </c:pt>
                <c:pt idx="53">
                  <c:v>4.1339007009372954</c:v>
                </c:pt>
                <c:pt idx="54">
                  <c:v>3.936161875865051</c:v>
                </c:pt>
                <c:pt idx="55">
                  <c:v>3.7511273664641944</c:v>
                </c:pt>
                <c:pt idx="56">
                  <c:v>3.5710149479517295</c:v>
                </c:pt>
                <c:pt idx="57">
                  <c:v>3.405193696806331</c:v>
                </c:pt>
                <c:pt idx="58">
                  <c:v>3.2389068424687872</c:v>
                </c:pt>
                <c:pt idx="59">
                  <c:v>3.0844976205839258</c:v>
                </c:pt>
                <c:pt idx="60">
                  <c:v>2.940388681562029</c:v>
                </c:pt>
                <c:pt idx="61">
                  <c:v>2.7985982563948961</c:v>
                </c:pt>
                <c:pt idx="62">
                  <c:v>2.6621955253083001</c:v>
                </c:pt>
                <c:pt idx="63">
                  <c:v>2.537660924568423</c:v>
                </c:pt>
                <c:pt idx="64">
                  <c:v>2.4176778325844137</c:v>
                </c:pt>
                <c:pt idx="65">
                  <c:v>2.3060470917411302</c:v>
                </c:pt>
                <c:pt idx="66">
                  <c:v>2.1967348647526102</c:v>
                </c:pt>
                <c:pt idx="67">
                  <c:v>2.0936465171692951</c:v>
                </c:pt>
                <c:pt idx="68">
                  <c:v>1.9946345730437407</c:v>
                </c:pt>
                <c:pt idx="69">
                  <c:v>1.8993284502434227</c:v>
                </c:pt>
                <c:pt idx="70">
                  <c:v>1.8101606878946508</c:v>
                </c:pt>
                <c:pt idx="71">
                  <c:v>1.7268272186066362</c:v>
                </c:pt>
                <c:pt idx="72">
                  <c:v>1.6450806010142998</c:v>
                </c:pt>
                <c:pt idx="73">
                  <c:v>1.5661085983629095</c:v>
                </c:pt>
                <c:pt idx="74">
                  <c:v>1.4938260783088699</c:v>
                </c:pt>
                <c:pt idx="75">
                  <c:v>1.4228358446656821</c:v>
                </c:pt>
                <c:pt idx="76">
                  <c:v>1.3550003102019266</c:v>
                </c:pt>
                <c:pt idx="77">
                  <c:v>1.2889321674471301</c:v>
                </c:pt>
                <c:pt idx="78">
                  <c:v>1.2293634651704406</c:v>
                </c:pt>
                <c:pt idx="79">
                  <c:v>1.1711820703642248</c:v>
                </c:pt>
                <c:pt idx="80">
                  <c:v>1.1144830040881035</c:v>
                </c:pt>
                <c:pt idx="81">
                  <c:v>1.0605680548588909</c:v>
                </c:pt>
                <c:pt idx="82">
                  <c:v>1.0111095933259242</c:v>
                </c:pt>
                <c:pt idx="83">
                  <c:v>0.96071992540866757</c:v>
                </c:pt>
                <c:pt idx="84">
                  <c:v>0.91515922774137304</c:v>
                </c:pt>
                <c:pt idx="85">
                  <c:v>0.87108180881476938</c:v>
                </c:pt>
                <c:pt idx="86">
                  <c:v>0.82746904286971468</c:v>
                </c:pt>
                <c:pt idx="87">
                  <c:v>0.78524738523751791</c:v>
                </c:pt>
                <c:pt idx="88">
                  <c:v>0.74729502381411328</c:v>
                </c:pt>
                <c:pt idx="89">
                  <c:v>0.71036318857104297</c:v>
                </c:pt>
                <c:pt idx="90">
                  <c:v>0.67547240568864142</c:v>
                </c:pt>
                <c:pt idx="91">
                  <c:v>0.64206680196812327</c:v>
                </c:pt>
                <c:pt idx="92">
                  <c:v>0.60903178038012873</c:v>
                </c:pt>
                <c:pt idx="93">
                  <c:v>0.57655358220151598</c:v>
                </c:pt>
                <c:pt idx="94">
                  <c:v>0.54871526236421875</c:v>
                </c:pt>
                <c:pt idx="95">
                  <c:v>0.52059948103282683</c:v>
                </c:pt>
                <c:pt idx="96">
                  <c:v>0.49563744867027099</c:v>
                </c:pt>
                <c:pt idx="97">
                  <c:v>0.46826283160392651</c:v>
                </c:pt>
                <c:pt idx="98">
                  <c:v>0.44469380797542124</c:v>
                </c:pt>
                <c:pt idx="99">
                  <c:v>0.42066013136536701</c:v>
                </c:pt>
                <c:pt idx="100">
                  <c:v>0.39829692498345787</c:v>
                </c:pt>
                <c:pt idx="101">
                  <c:v>0.37472695114435639</c:v>
                </c:pt>
                <c:pt idx="102">
                  <c:v>0.35774573757940636</c:v>
                </c:pt>
                <c:pt idx="103">
                  <c:v>0.33686676014878447</c:v>
                </c:pt>
                <c:pt idx="104">
                  <c:v>0.31802978528942749</c:v>
                </c:pt>
                <c:pt idx="105">
                  <c:v>0.30169756556169208</c:v>
                </c:pt>
                <c:pt idx="106">
                  <c:v>0.28323212304545503</c:v>
                </c:pt>
                <c:pt idx="107">
                  <c:v>0.26949872929836638</c:v>
                </c:pt>
                <c:pt idx="108">
                  <c:v>0.25511539150346696</c:v>
                </c:pt>
                <c:pt idx="109">
                  <c:v>0.24212411223202182</c:v>
                </c:pt>
                <c:pt idx="110">
                  <c:v>0.2277407744371224</c:v>
                </c:pt>
                <c:pt idx="111">
                  <c:v>0.21280156344343748</c:v>
                </c:pt>
                <c:pt idx="112">
                  <c:v>0.20064551928606494</c:v>
                </c:pt>
                <c:pt idx="113">
                  <c:v>0.18932471024276501</c:v>
                </c:pt>
                <c:pt idx="114">
                  <c:v>0.17837448333198869</c:v>
                </c:pt>
                <c:pt idx="115">
                  <c:v>0.16900255622152474</c:v>
                </c:pt>
                <c:pt idx="116">
                  <c:v>0.15564069481755594</c:v>
                </c:pt>
                <c:pt idx="117">
                  <c:v>0.14821669942933177</c:v>
                </c:pt>
                <c:pt idx="118">
                  <c:v>0.13773112550010438</c:v>
                </c:pt>
                <c:pt idx="119">
                  <c:v>0.12891602179902215</c:v>
                </c:pt>
                <c:pt idx="120">
                  <c:v>0.12056367065829639</c:v>
                </c:pt>
                <c:pt idx="121">
                  <c:v>0.11063492013845071</c:v>
                </c:pt>
                <c:pt idx="122">
                  <c:v>0.10349028666551362</c:v>
                </c:pt>
                <c:pt idx="123">
                  <c:v>9.6808405752933008E-2</c:v>
                </c:pt>
                <c:pt idx="124">
                  <c:v>9.0591652927199423E-2</c:v>
                </c:pt>
              </c:numCache>
            </c:numRef>
          </c:yVal>
          <c:smooth val="0"/>
        </c:ser>
        <c:dLbls>
          <c:showLegendKey val="0"/>
          <c:showVal val="0"/>
          <c:showCatName val="0"/>
          <c:showSerName val="0"/>
          <c:showPercent val="0"/>
          <c:showBubbleSize val="0"/>
        </c:dLbls>
        <c:axId val="142804096"/>
        <c:axId val="142806400"/>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Calc!$H$9:$H$133</c:f>
              <c:numCache>
                <c:formatCode>0.000E+00</c:formatCode>
                <c:ptCount val="125"/>
                <c:pt idx="0">
                  <c:v>8.221784989293485E-3</c:v>
                </c:pt>
                <c:pt idx="1">
                  <c:v>7.253884328570756E-2</c:v>
                </c:pt>
                <c:pt idx="2">
                  <c:v>0.11228552182853287</c:v>
                </c:pt>
                <c:pt idx="3">
                  <c:v>0.12965997759592904</c:v>
                </c:pt>
                <c:pt idx="4">
                  <c:v>0.13233882215968598</c:v>
                </c:pt>
                <c:pt idx="5">
                  <c:v>0.12999874991278274</c:v>
                </c:pt>
                <c:pt idx="6">
                  <c:v>0.12598152813802638</c:v>
                </c:pt>
                <c:pt idx="7">
                  <c:v>0.1215719953104596</c:v>
                </c:pt>
                <c:pt idx="8">
                  <c:v>0.11701530412898155</c:v>
                </c:pt>
                <c:pt idx="9">
                  <c:v>0.11251461412167531</c:v>
                </c:pt>
                <c:pt idx="10">
                  <c:v>0.10800995794268409</c:v>
                </c:pt>
                <c:pt idx="11">
                  <c:v>0.10351565250750838</c:v>
                </c:pt>
                <c:pt idx="12">
                  <c:v>9.9051683204324253E-2</c:v>
                </c:pt>
                <c:pt idx="13">
                  <c:v>9.4692716629536156E-2</c:v>
                </c:pt>
                <c:pt idx="14">
                  <c:v>9.0432922381775901E-2</c:v>
                </c:pt>
                <c:pt idx="15">
                  <c:v>8.6302735263581204E-2</c:v>
                </c:pt>
                <c:pt idx="16">
                  <c:v>8.2286788647668196E-2</c:v>
                </c:pt>
                <c:pt idx="17">
                  <c:v>7.8416780467057315E-2</c:v>
                </c:pt>
                <c:pt idx="18">
                  <c:v>7.4643100059720871E-2</c:v>
                </c:pt>
                <c:pt idx="19">
                  <c:v>7.1013065105879125E-2</c:v>
                </c:pt>
                <c:pt idx="20">
                  <c:v>6.7502864320639566E-2</c:v>
                </c:pt>
                <c:pt idx="21">
                  <c:v>6.4109912597479807E-2</c:v>
                </c:pt>
                <c:pt idx="22">
                  <c:v>6.0847155418358827E-2</c:v>
                </c:pt>
                <c:pt idx="23">
                  <c:v>5.7735604731575026E-2</c:v>
                </c:pt>
                <c:pt idx="24">
                  <c:v>5.4764023944134703E-2</c:v>
                </c:pt>
                <c:pt idx="25">
                  <c:v>5.1895631672541527E-2</c:v>
                </c:pt>
                <c:pt idx="26">
                  <c:v>4.9176585337200512E-2</c:v>
                </c:pt>
                <c:pt idx="27">
                  <c:v>4.6566222052338173E-2</c:v>
                </c:pt>
                <c:pt idx="28">
                  <c:v>4.4077195993626937E-2</c:v>
                </c:pt>
                <c:pt idx="29">
                  <c:v>4.1721452153443347E-2</c:v>
                </c:pt>
                <c:pt idx="30">
                  <c:v>3.9471511072675533E-2</c:v>
                </c:pt>
                <c:pt idx="31">
                  <c:v>3.7328601054242287E-2</c:v>
                </c:pt>
                <c:pt idx="32">
                  <c:v>3.5289025468856504E-2</c:v>
                </c:pt>
                <c:pt idx="33">
                  <c:v>3.335037162788515E-2</c:v>
                </c:pt>
                <c:pt idx="34">
                  <c:v>3.1515496169557393E-2</c:v>
                </c:pt>
                <c:pt idx="35">
                  <c:v>2.9758055143243561E-2</c:v>
                </c:pt>
                <c:pt idx="36">
                  <c:v>2.8086572091904002E-2</c:v>
                </c:pt>
                <c:pt idx="37">
                  <c:v>2.6514706723661692E-2</c:v>
                </c:pt>
                <c:pt idx="38">
                  <c:v>2.5007877224208094E-2</c:v>
                </c:pt>
                <c:pt idx="39">
                  <c:v>2.3595184966149582E-2</c:v>
                </c:pt>
                <c:pt idx="40">
                  <c:v>2.2253755988689429E-2</c:v>
                </c:pt>
                <c:pt idx="41">
                  <c:v>2.0975619068329523E-2</c:v>
                </c:pt>
                <c:pt idx="42">
                  <c:v>1.977149946126041E-2</c:v>
                </c:pt>
                <c:pt idx="43">
                  <c:v>1.8635980687186353E-2</c:v>
                </c:pt>
                <c:pt idx="44">
                  <c:v>1.7567234055597618E-2</c:v>
                </c:pt>
                <c:pt idx="45">
                  <c:v>1.6551107581299483E-2</c:v>
                </c:pt>
                <c:pt idx="46">
                  <c:v>1.5580935949185746E-2</c:v>
                </c:pt>
                <c:pt idx="47">
                  <c:v>1.4672726765462859E-2</c:v>
                </c:pt>
                <c:pt idx="48">
                  <c:v>1.3818908898332623E-2</c:v>
                </c:pt>
                <c:pt idx="49">
                  <c:v>1.2986015016729935E-2</c:v>
                </c:pt>
                <c:pt idx="50">
                  <c:v>1.2228714701469036E-2</c:v>
                </c:pt>
                <c:pt idx="51">
                  <c:v>1.1507007343230334E-2</c:v>
                </c:pt>
                <c:pt idx="52">
                  <c:v>1.0810867201734844E-2</c:v>
                </c:pt>
                <c:pt idx="53">
                  <c:v>1.0178186820200838E-2</c:v>
                </c:pt>
                <c:pt idx="54">
                  <c:v>9.5639691760008947E-3</c:v>
                </c:pt>
                <c:pt idx="55">
                  <c:v>8.9918728879600004E-3</c:v>
                </c:pt>
                <c:pt idx="56">
                  <c:v>8.4434743935839791E-3</c:v>
                </c:pt>
                <c:pt idx="57">
                  <c:v>7.925291696746899E-3</c:v>
                </c:pt>
                <c:pt idx="58">
                  <c:v>7.4515566604571818E-3</c:v>
                </c:pt>
                <c:pt idx="59">
                  <c:v>6.9966693805770513E-3</c:v>
                </c:pt>
                <c:pt idx="60">
                  <c:v>6.5663409627302084E-3</c:v>
                </c:pt>
                <c:pt idx="61">
                  <c:v>6.1565778627184729E-3</c:v>
                </c:pt>
                <c:pt idx="62">
                  <c:v>5.79223261937418E-3</c:v>
                </c:pt>
                <c:pt idx="63">
                  <c:v>5.4286180613378893E-3</c:v>
                </c:pt>
                <c:pt idx="64">
                  <c:v>5.0922129121453216E-3</c:v>
                </c:pt>
                <c:pt idx="65">
                  <c:v>4.7989692590336922E-3</c:v>
                </c:pt>
                <c:pt idx="66">
                  <c:v>4.499067003477528E-3</c:v>
                </c:pt>
                <c:pt idx="67">
                  <c:v>4.2166615750221254E-3</c:v>
                </c:pt>
                <c:pt idx="68">
                  <c:v>3.9542246365528427E-3</c:v>
                </c:pt>
                <c:pt idx="69">
                  <c:v>3.7101534926089648E-3</c:v>
                </c:pt>
                <c:pt idx="70">
                  <c:v>3.4788359870970859E-3</c:v>
                </c:pt>
                <c:pt idx="71">
                  <c:v>3.2638255685859836E-3</c:v>
                </c:pt>
                <c:pt idx="72">
                  <c:v>3.0675360557861631E-3</c:v>
                </c:pt>
                <c:pt idx="73">
                  <c:v>2.8676461157154404E-3</c:v>
                </c:pt>
                <c:pt idx="74">
                  <c:v>2.6951099331267384E-3</c:v>
                </c:pt>
                <c:pt idx="75">
                  <c:v>2.5237728193300297E-3</c:v>
                </c:pt>
                <c:pt idx="76">
                  <c:v>2.3635634276723168E-3</c:v>
                </c:pt>
                <c:pt idx="77">
                  <c:v>2.2124281076793661E-3</c:v>
                </c:pt>
                <c:pt idx="78">
                  <c:v>2.0832193669645845E-3</c:v>
                </c:pt>
                <c:pt idx="79">
                  <c:v>1.9404488031925012E-3</c:v>
                </c:pt>
                <c:pt idx="80">
                  <c:v>1.8267437159393534E-3</c:v>
                </c:pt>
                <c:pt idx="81">
                  <c:v>1.7123192022162181E-3</c:v>
                </c:pt>
                <c:pt idx="82">
                  <c:v>1.5995154929262234E-3</c:v>
                </c:pt>
                <c:pt idx="83">
                  <c:v>1.4924138760413225E-3</c:v>
                </c:pt>
                <c:pt idx="84">
                  <c:v>1.3926200088784924E-3</c:v>
                </c:pt>
                <c:pt idx="85">
                  <c:v>1.3107765835953088E-3</c:v>
                </c:pt>
                <c:pt idx="86">
                  <c:v>1.2286500386157456E-3</c:v>
                </c:pt>
                <c:pt idx="87">
                  <c:v>1.1469663200711043E-3</c:v>
                </c:pt>
                <c:pt idx="88">
                  <c:v>1.0781240217319511E-3</c:v>
                </c:pt>
                <c:pt idx="89">
                  <c:v>9.9937053143208873E-4</c:v>
                </c:pt>
                <c:pt idx="90">
                  <c:v>9.5401846416000129E-4</c:v>
                </c:pt>
                <c:pt idx="91">
                  <c:v>8.7556436749241205E-4</c:v>
                </c:pt>
                <c:pt idx="92">
                  <c:v>8.4815018066952338E-4</c:v>
                </c:pt>
                <c:pt idx="93">
                  <c:v>7.7816377872358053E-4</c:v>
                </c:pt>
                <c:pt idx="94">
                  <c:v>7.3355025212293833E-4</c:v>
                </c:pt>
                <c:pt idx="95">
                  <c:v>6.8587529904625202E-4</c:v>
                </c:pt>
                <c:pt idx="96">
                  <c:v>6.4315876628757464E-4</c:v>
                </c:pt>
                <c:pt idx="97">
                  <c:v>6.032146140628504E-4</c:v>
                </c:pt>
                <c:pt idx="98">
                  <c:v>5.6123301830393775E-4</c:v>
                </c:pt>
                <c:pt idx="99">
                  <c:v>5.106496453632179E-4</c:v>
                </c:pt>
                <c:pt idx="100">
                  <c:v>4.9024267415512246E-4</c:v>
                </c:pt>
                <c:pt idx="101">
                  <c:v>4.6386288992325206E-4</c:v>
                </c:pt>
                <c:pt idx="102">
                  <c:v>4.3762409505933297E-4</c:v>
                </c:pt>
                <c:pt idx="103">
                  <c:v>4.112456926672059E-4</c:v>
                </c:pt>
                <c:pt idx="104">
                  <c:v>3.672275114138257E-4</c:v>
                </c:pt>
                <c:pt idx="105">
                  <c:v>3.4507736816655893E-4</c:v>
                </c:pt>
                <c:pt idx="106">
                  <c:v>3.3298021146905242E-4</c:v>
                </c:pt>
                <c:pt idx="107">
                  <c:v>3.0951757511789475E-4</c:v>
                </c:pt>
                <c:pt idx="108">
                  <c:v>2.8168129031327926E-4</c:v>
                </c:pt>
                <c:pt idx="109">
                  <c:v>2.7016867251256418E-4</c:v>
                </c:pt>
                <c:pt idx="110">
                  <c:v>2.649224676357486E-4</c:v>
                </c:pt>
                <c:pt idx="111">
                  <c:v>2.322797988321551E-4</c:v>
                </c:pt>
                <c:pt idx="112">
                  <c:v>2.0692415372407236E-4</c:v>
                </c:pt>
                <c:pt idx="113">
                  <c:v>2.1115000036769915E-4</c:v>
                </c:pt>
                <c:pt idx="114">
                  <c:v>2.0211518575648582E-4</c:v>
                </c:pt>
                <c:pt idx="115">
                  <c:v>1.8331763622382417E-4</c:v>
                </c:pt>
                <c:pt idx="116">
                  <c:v>1.5942041510287608E-4</c:v>
                </c:pt>
                <c:pt idx="117">
                  <c:v>1.6029478827660378E-4</c:v>
                </c:pt>
                <c:pt idx="118">
                  <c:v>1.4616047514051482E-4</c:v>
                </c:pt>
                <c:pt idx="119">
                  <c:v>1.3217228478717459E-4</c:v>
                </c:pt>
                <c:pt idx="120">
                  <c:v>1.3377506040121098E-4</c:v>
                </c:pt>
                <c:pt idx="121">
                  <c:v>1.2634400427122446E-4</c:v>
                </c:pt>
                <c:pt idx="122">
                  <c:v>1.2051575759473507E-4</c:v>
                </c:pt>
                <c:pt idx="123">
                  <c:v>1.1672716175457551E-4</c:v>
                </c:pt>
                <c:pt idx="124">
                  <c:v>1.108989709146576E-4</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4.4989999999999999E-4</c:v>
                </c:pt>
              </c:numCache>
            </c:numRef>
          </c:xVal>
          <c:yVal>
            <c:numRef>
              <c:f>[0]!FirstPoint</c:f>
              <c:numCache>
                <c:formatCode>0.00E+00</c:formatCode>
                <c:ptCount val="1"/>
                <c:pt idx="0">
                  <c:v>0.13233882215968598</c:v>
                </c:pt>
              </c:numCache>
            </c:numRef>
          </c:yVal>
          <c:smooth val="0"/>
        </c:ser>
        <c:dLbls>
          <c:showLegendKey val="0"/>
          <c:showVal val="0"/>
          <c:showCatName val="0"/>
          <c:showSerName val="0"/>
          <c:showPercent val="0"/>
          <c:showBubbleSize val="0"/>
        </c:dLbls>
        <c:axId val="142818688"/>
        <c:axId val="142816768"/>
      </c:scatterChart>
      <c:valAx>
        <c:axId val="142804096"/>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142806400"/>
        <c:crosses val="autoZero"/>
        <c:crossBetween val="midCat"/>
      </c:valAx>
      <c:valAx>
        <c:axId val="142806400"/>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142804096"/>
        <c:crosses val="autoZero"/>
        <c:crossBetween val="midCat"/>
      </c:valAx>
      <c:valAx>
        <c:axId val="142816768"/>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142818688"/>
        <c:crosses val="max"/>
        <c:crossBetween val="midCat"/>
      </c:valAx>
      <c:valAx>
        <c:axId val="142818688"/>
        <c:scaling>
          <c:orientation val="minMax"/>
        </c:scaling>
        <c:delete val="1"/>
        <c:axPos val="b"/>
        <c:numFmt formatCode="0.00E+00" sourceLinked="1"/>
        <c:majorTickMark val="out"/>
        <c:minorTickMark val="none"/>
        <c:tickLblPos val="none"/>
        <c:crossAx val="142816768"/>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3.7697316715867712E+16</c:v>
                </c:pt>
                <c:pt idx="1">
                  <c:v>3.5996872236696196E+16</c:v>
                </c:pt>
                <c:pt idx="2">
                  <c:v>3.426866298130428E+16</c:v>
                </c:pt>
                <c:pt idx="3">
                  <c:v>3.2590539872723432E+16</c:v>
                </c:pt>
                <c:pt idx="4">
                  <c:v>3.093957724379714E+16</c:v>
                </c:pt>
                <c:pt idx="5">
                  <c:v>2.9320900716672528E+16</c:v>
                </c:pt>
                <c:pt idx="6">
                  <c:v>2.7741268711972164E+16</c:v>
                </c:pt>
                <c:pt idx="7">
                  <c:v>2.6225791083486872E+16</c:v>
                </c:pt>
                <c:pt idx="8">
                  <c:v>2.4770530547858192E+16</c:v>
                </c:pt>
                <c:pt idx="9">
                  <c:v>2.3383814181130064E+16</c:v>
                </c:pt>
                <c:pt idx="10">
                  <c:v>2.205834733702386E+16</c:v>
                </c:pt>
                <c:pt idx="11">
                  <c:v>2.0802395618712064E+16</c:v>
                </c:pt>
                <c:pt idx="12">
                  <c:v>1.9597881459823508E+16</c:v>
                </c:pt>
                <c:pt idx="13">
                  <c:v>1.845802107986882E+16</c:v>
                </c:pt>
                <c:pt idx="14">
                  <c:v>1.7373336699397444E+16</c:v>
                </c:pt>
                <c:pt idx="15">
                  <c:v>1.6341297374433938E+16</c:v>
                </c:pt>
                <c:pt idx="16">
                  <c:v>1.536409843234907E+16</c:v>
                </c:pt>
                <c:pt idx="17">
                  <c:v>1.4446127969723144E+16</c:v>
                </c:pt>
                <c:pt idx="18">
                  <c:v>1.358218417552598E+16</c:v>
                </c:pt>
                <c:pt idx="19">
                  <c:v>1.276006859184355E+16</c:v>
                </c:pt>
                <c:pt idx="20">
                  <c:v>1.1991513817641032E+16</c:v>
                </c:pt>
                <c:pt idx="21">
                  <c:v>1.126355906827118E+16</c:v>
                </c:pt>
                <c:pt idx="22">
                  <c:v>1.0578486855509874E+16</c:v>
                </c:pt>
                <c:pt idx="23">
                  <c:v>9938262623705524</c:v>
                </c:pt>
                <c:pt idx="24">
                  <c:v>9334234998559652</c:v>
                </c:pt>
                <c:pt idx="25">
                  <c:v>8765731654324367</c:v>
                </c:pt>
                <c:pt idx="26">
                  <c:v>8230824553149456</c:v>
                </c:pt>
                <c:pt idx="27">
                  <c:v>7728002620557928</c:v>
                </c:pt>
                <c:pt idx="28">
                  <c:v>7257166613616901</c:v>
                </c:pt>
                <c:pt idx="29">
                  <c:v>6810848389411657</c:v>
                </c:pt>
                <c:pt idx="30">
                  <c:v>6390604021371906</c:v>
                </c:pt>
                <c:pt idx="31">
                  <c:v>5999203719003531</c:v>
                </c:pt>
                <c:pt idx="32">
                  <c:v>5627475873567011</c:v>
                </c:pt>
                <c:pt idx="33">
                  <c:v>5282084170711536</c:v>
                </c:pt>
                <c:pt idx="34">
                  <c:v>4956923456176472</c:v>
                </c:pt>
                <c:pt idx="35">
                  <c:v>4649667415229892</c:v>
                </c:pt>
                <c:pt idx="36">
                  <c:v>4362509480299287</c:v>
                </c:pt>
                <c:pt idx="37">
                  <c:v>4093775836424965</c:v>
                </c:pt>
                <c:pt idx="38">
                  <c:v>3842689681810210.5</c:v>
                </c:pt>
                <c:pt idx="39">
                  <c:v>3605638661881885</c:v>
                </c:pt>
                <c:pt idx="40">
                  <c:v>3380842949417307.5</c:v>
                </c:pt>
                <c:pt idx="41">
                  <c:v>3171774813260527</c:v>
                </c:pt>
                <c:pt idx="42">
                  <c:v>2976446974179152.5</c:v>
                </c:pt>
                <c:pt idx="43">
                  <c:v>2787055424172911</c:v>
                </c:pt>
                <c:pt idx="44">
                  <c:v>2615848023236610.5</c:v>
                </c:pt>
                <c:pt idx="45">
                  <c:v>2453578093622838</c:v>
                </c:pt>
                <c:pt idx="46">
                  <c:v>2297888962955503</c:v>
                </c:pt>
                <c:pt idx="47">
                  <c:v>2157108834958282.5</c:v>
                </c:pt>
                <c:pt idx="48">
                  <c:v>2021096873283404.3</c:v>
                </c:pt>
                <c:pt idx="49">
                  <c:v>1895003766600397.7</c:v>
                </c:pt>
                <c:pt idx="50">
                  <c:v>1774675776898921.7</c:v>
                </c:pt>
                <c:pt idx="51">
                  <c:v>1661471221348017</c:v>
                </c:pt>
                <c:pt idx="52">
                  <c:v>1558401966109740.7</c:v>
                </c:pt>
                <c:pt idx="53">
                  <c:v>1459820569486549.7</c:v>
                </c:pt>
                <c:pt idx="54">
                  <c:v>1366915468226114.2</c:v>
                </c:pt>
                <c:pt idx="55">
                  <c:v>1278774814020171.7</c:v>
                </c:pt>
                <c:pt idx="56">
                  <c:v>1200673448140187.5</c:v>
                </c:pt>
                <c:pt idx="57">
                  <c:v>1122985868673903.4</c:v>
                </c:pt>
                <c:pt idx="58">
                  <c:v>1051344103546150.6</c:v>
                </c:pt>
                <c:pt idx="59">
                  <c:v>989079342770230.37</c:v>
                </c:pt>
                <c:pt idx="60">
                  <c:v>925582193009749.75</c:v>
                </c:pt>
                <c:pt idx="61">
                  <c:v>865960234856363.5</c:v>
                </c:pt>
                <c:pt idx="62">
                  <c:v>810705190046089.5</c:v>
                </c:pt>
                <c:pt idx="63">
                  <c:v>759450135423263.12</c:v>
                </c:pt>
                <c:pt idx="64">
                  <c:v>710994100376093.87</c:v>
                </c:pt>
                <c:pt idx="65">
                  <c:v>666061540667845.75</c:v>
                </c:pt>
                <c:pt idx="66">
                  <c:v>625133532296012.5</c:v>
                </c:pt>
                <c:pt idx="67">
                  <c:v>583547262545970.37</c:v>
                </c:pt>
                <c:pt idx="68">
                  <c:v>547728483550801.94</c:v>
                </c:pt>
                <c:pt idx="69">
                  <c:v>512230523122268.25</c:v>
                </c:pt>
                <c:pt idx="70">
                  <c:v>479104338677882.62</c:v>
                </c:pt>
                <c:pt idx="71">
                  <c:v>447914552547078.44</c:v>
                </c:pt>
                <c:pt idx="72">
                  <c:v>421297191306169.56</c:v>
                </c:pt>
                <c:pt idx="73">
                  <c:v>391938200551899.94</c:v>
                </c:pt>
                <c:pt idx="74">
                  <c:v>368596311538827.44</c:v>
                </c:pt>
                <c:pt idx="75">
                  <c:v>345143620044534.19</c:v>
                </c:pt>
                <c:pt idx="76">
                  <c:v>322060308056149.44</c:v>
                </c:pt>
                <c:pt idx="77">
                  <c:v>300178953382761.19</c:v>
                </c:pt>
                <c:pt idx="78">
                  <c:v>279822303017929.69</c:v>
                </c:pt>
                <c:pt idx="79">
                  <c:v>263150791129994.62</c:v>
                </c:pt>
                <c:pt idx="80">
                  <c:v>246443488890189.59</c:v>
                </c:pt>
                <c:pt idx="81">
                  <c:v>229848644493801.19</c:v>
                </c:pt>
                <c:pt idx="82">
                  <c:v>215880499904520.72</c:v>
                </c:pt>
                <c:pt idx="83">
                  <c:v>199922015405089.12</c:v>
                </c:pt>
                <c:pt idx="84">
                  <c:v>190742228732375.16</c:v>
                </c:pt>
                <c:pt idx="85">
                  <c:v>174880538270880.53</c:v>
                </c:pt>
                <c:pt idx="86">
                  <c:v>169343614768823.66</c:v>
                </c:pt>
                <c:pt idx="87">
                  <c:v>155221893486867.34</c:v>
                </c:pt>
                <c:pt idx="88">
                  <c:v>146230382972537.91</c:v>
                </c:pt>
                <c:pt idx="89">
                  <c:v>136631237503737.08</c:v>
                </c:pt>
                <c:pt idx="90">
                  <c:v>128038932779270.53</c:v>
                </c:pt>
                <c:pt idx="91">
                  <c:v>120011777063942.03</c:v>
                </c:pt>
                <c:pt idx="92">
                  <c:v>111583246629406.37</c:v>
                </c:pt>
                <c:pt idx="93">
                  <c:v>101439175300212.94</c:v>
                </c:pt>
                <c:pt idx="94">
                  <c:v>97350386454125.906</c:v>
                </c:pt>
                <c:pt idx="95">
                  <c:v>92068090527304.703</c:v>
                </c:pt>
                <c:pt idx="96">
                  <c:v>86817723900723.391</c:v>
                </c:pt>
                <c:pt idx="97">
                  <c:v>81543252505206.406</c:v>
                </c:pt>
                <c:pt idx="98">
                  <c:v>72750533376528.969</c:v>
                </c:pt>
                <c:pt idx="99">
                  <c:v>68330384461342.867</c:v>
                </c:pt>
                <c:pt idx="100">
                  <c:v>65917635903148.453</c:v>
                </c:pt>
                <c:pt idx="101">
                  <c:v>61240740357200.008</c:v>
                </c:pt>
                <c:pt idx="102">
                  <c:v>55696763141405.68</c:v>
                </c:pt>
                <c:pt idx="103">
                  <c:v>53405426216695.492</c:v>
                </c:pt>
                <c:pt idx="104">
                  <c:v>52361593934624.164</c:v>
                </c:pt>
                <c:pt idx="105">
                  <c:v>45871238490847.719</c:v>
                </c:pt>
                <c:pt idx="106">
                  <c:v>40835400696294.141</c:v>
                </c:pt>
                <c:pt idx="107">
                  <c:v>41674331537726.102</c:v>
                </c:pt>
                <c:pt idx="108">
                  <c:v>39880884453594.289</c:v>
                </c:pt>
                <c:pt idx="109">
                  <c:v>36151684595876.445</c:v>
                </c:pt>
                <c:pt idx="110">
                  <c:v>31415259158203.598</c:v>
                </c:pt>
                <c:pt idx="111">
                  <c:v>31588467435731.73</c:v>
                </c:pt>
                <c:pt idx="112">
                  <c:v>28789437483475.242</c:v>
                </c:pt>
                <c:pt idx="113">
                  <c:v>26021287880620.437</c:v>
                </c:pt>
                <c:pt idx="114">
                  <c:v>26338362800261.676</c:v>
                </c:pt>
                <c:pt idx="115">
                  <c:v>24868514243065.34</c:v>
                </c:pt>
              </c:numCache>
            </c:numRef>
          </c:xVal>
          <c:yVal>
            <c:numRef>
              <c:f>Calc!$S$15:$S$130</c:f>
              <c:numCache>
                <c:formatCode>0</c:formatCode>
                <c:ptCount val="116"/>
                <c:pt idx="0">
                  <c:v>10056.987906167664</c:v>
                </c:pt>
                <c:pt idx="1">
                  <c:v>10146.562634525049</c:v>
                </c:pt>
                <c:pt idx="2">
                  <c:v>10244.388567368926</c:v>
                </c:pt>
                <c:pt idx="3">
                  <c:v>10344.636133993676</c:v>
                </c:pt>
                <c:pt idx="4">
                  <c:v>10443.853223340971</c:v>
                </c:pt>
                <c:pt idx="5">
                  <c:v>10554.640371350524</c:v>
                </c:pt>
                <c:pt idx="6">
                  <c:v>10666.772104812711</c:v>
                </c:pt>
                <c:pt idx="7">
                  <c:v>10776.229063295112</c:v>
                </c:pt>
                <c:pt idx="8">
                  <c:v>10887.405771631224</c:v>
                </c:pt>
                <c:pt idx="9">
                  <c:v>10994.161514756128</c:v>
                </c:pt>
                <c:pt idx="10">
                  <c:v>11101.374535174866</c:v>
                </c:pt>
                <c:pt idx="11">
                  <c:v>11200.616501614368</c:v>
                </c:pt>
                <c:pt idx="12">
                  <c:v>11303.384567184356</c:v>
                </c:pt>
                <c:pt idx="13">
                  <c:v>11404.456093356854</c:v>
                </c:pt>
                <c:pt idx="14">
                  <c:v>11510.283132883862</c:v>
                </c:pt>
                <c:pt idx="15">
                  <c:v>11620.731010722675</c:v>
                </c:pt>
                <c:pt idx="16">
                  <c:v>11732.830251967465</c:v>
                </c:pt>
                <c:pt idx="17">
                  <c:v>11838.066702953161</c:v>
                </c:pt>
                <c:pt idx="18">
                  <c:v>11942.781139684885</c:v>
                </c:pt>
                <c:pt idx="19">
                  <c:v>12061.070970181298</c:v>
                </c:pt>
                <c:pt idx="20">
                  <c:v>12175.085238532663</c:v>
                </c:pt>
                <c:pt idx="21">
                  <c:v>12295.836474120799</c:v>
                </c:pt>
                <c:pt idx="22">
                  <c:v>12401.93070462375</c:v>
                </c:pt>
                <c:pt idx="23">
                  <c:v>12508.018836208166</c:v>
                </c:pt>
                <c:pt idx="24">
                  <c:v>12630.954755159981</c:v>
                </c:pt>
                <c:pt idx="25">
                  <c:v>12755.694093529219</c:v>
                </c:pt>
                <c:pt idx="26">
                  <c:v>12887.599653287585</c:v>
                </c:pt>
                <c:pt idx="27">
                  <c:v>13025.626513927884</c:v>
                </c:pt>
                <c:pt idx="28">
                  <c:v>13160.981605595074</c:v>
                </c:pt>
                <c:pt idx="29">
                  <c:v>13312.510289537495</c:v>
                </c:pt>
                <c:pt idx="30">
                  <c:v>13466.405749405521</c:v>
                </c:pt>
                <c:pt idx="31">
                  <c:v>13620.437801792485</c:v>
                </c:pt>
                <c:pt idx="32">
                  <c:v>13787.355368866056</c:v>
                </c:pt>
                <c:pt idx="33">
                  <c:v>13943.995919227415</c:v>
                </c:pt>
                <c:pt idx="34">
                  <c:v>14109.875735233263</c:v>
                </c:pt>
                <c:pt idx="35">
                  <c:v>14291.204290621214</c:v>
                </c:pt>
                <c:pt idx="36">
                  <c:v>14467.600734569791</c:v>
                </c:pt>
                <c:pt idx="37">
                  <c:v>14654.966462464554</c:v>
                </c:pt>
                <c:pt idx="38">
                  <c:v>14839.89961380615</c:v>
                </c:pt>
                <c:pt idx="39">
                  <c:v>15040.165795995066</c:v>
                </c:pt>
                <c:pt idx="40">
                  <c:v>15257.27923885838</c:v>
                </c:pt>
                <c:pt idx="41">
                  <c:v>15463.051329749624</c:v>
                </c:pt>
                <c:pt idx="42">
                  <c:v>15673.934858640505</c:v>
                </c:pt>
                <c:pt idx="43">
                  <c:v>15918.599450313064</c:v>
                </c:pt>
                <c:pt idx="44">
                  <c:v>16142.634697790107</c:v>
                </c:pt>
                <c:pt idx="45">
                  <c:v>16371.828710217251</c:v>
                </c:pt>
                <c:pt idx="46">
                  <c:v>16646.243775449158</c:v>
                </c:pt>
                <c:pt idx="47">
                  <c:v>16873.436734287548</c:v>
                </c:pt>
                <c:pt idx="48">
                  <c:v>17139.323098780271</c:v>
                </c:pt>
                <c:pt idx="49">
                  <c:v>17416.469773558001</c:v>
                </c:pt>
                <c:pt idx="50">
                  <c:v>17694.323896586484</c:v>
                </c:pt>
                <c:pt idx="51">
                  <c:v>18011.93218036028</c:v>
                </c:pt>
                <c:pt idx="52">
                  <c:v>18255.534520611338</c:v>
                </c:pt>
                <c:pt idx="53">
                  <c:v>18551.732993570015</c:v>
                </c:pt>
                <c:pt idx="54">
                  <c:v>18876.019394864019</c:v>
                </c:pt>
                <c:pt idx="55">
                  <c:v>19194.086780971076</c:v>
                </c:pt>
                <c:pt idx="56">
                  <c:v>19436.583688537816</c:v>
                </c:pt>
                <c:pt idx="57">
                  <c:v>19790.364328641172</c:v>
                </c:pt>
                <c:pt idx="58">
                  <c:v>20130.085685552174</c:v>
                </c:pt>
                <c:pt idx="59">
                  <c:v>20396.754046885901</c:v>
                </c:pt>
                <c:pt idx="60">
                  <c:v>20757.570242490656</c:v>
                </c:pt>
                <c:pt idx="61">
                  <c:v>21143.575681122551</c:v>
                </c:pt>
                <c:pt idx="62">
                  <c:v>21502.82905578956</c:v>
                </c:pt>
                <c:pt idx="63">
                  <c:v>21843.493080332755</c:v>
                </c:pt>
                <c:pt idx="64">
                  <c:v>22220.730423000987</c:v>
                </c:pt>
                <c:pt idx="65">
                  <c:v>22619.658847970397</c:v>
                </c:pt>
                <c:pt idx="66">
                  <c:v>22947.142364797004</c:v>
                </c:pt>
                <c:pt idx="67">
                  <c:v>23395.037112524464</c:v>
                </c:pt>
                <c:pt idx="68">
                  <c:v>23767.487283573053</c:v>
                </c:pt>
                <c:pt idx="69">
                  <c:v>24194.763416703678</c:v>
                </c:pt>
                <c:pt idx="70">
                  <c:v>24620.844671074781</c:v>
                </c:pt>
                <c:pt idx="71">
                  <c:v>25043.839857141804</c:v>
                </c:pt>
                <c:pt idx="72">
                  <c:v>25377.540510243431</c:v>
                </c:pt>
                <c:pt idx="73">
                  <c:v>25973.161722186182</c:v>
                </c:pt>
                <c:pt idx="74">
                  <c:v>26279.664806198081</c:v>
                </c:pt>
                <c:pt idx="75">
                  <c:v>26698.00233660718</c:v>
                </c:pt>
                <c:pt idx="76">
                  <c:v>27287.206588994937</c:v>
                </c:pt>
                <c:pt idx="77">
                  <c:v>27799.980091492598</c:v>
                </c:pt>
                <c:pt idx="78">
                  <c:v>28378.887691713266</c:v>
                </c:pt>
                <c:pt idx="79">
                  <c:v>28703.790789423718</c:v>
                </c:pt>
                <c:pt idx="80">
                  <c:v>29098.391421037883</c:v>
                </c:pt>
                <c:pt idx="81">
                  <c:v>29624.997643039827</c:v>
                </c:pt>
                <c:pt idx="82">
                  <c:v>29979.836818636828</c:v>
                </c:pt>
                <c:pt idx="83">
                  <c:v>30776.705121613955</c:v>
                </c:pt>
                <c:pt idx="84">
                  <c:v>30619.356456739431</c:v>
                </c:pt>
                <c:pt idx="85">
                  <c:v>31736.482763786767</c:v>
                </c:pt>
                <c:pt idx="86">
                  <c:v>31109.053277088282</c:v>
                </c:pt>
                <c:pt idx="87">
                  <c:v>32108.293370216757</c:v>
                </c:pt>
                <c:pt idx="88">
                  <c:v>32480.701942516927</c:v>
                </c:pt>
                <c:pt idx="89">
                  <c:v>32927.270825830514</c:v>
                </c:pt>
                <c:pt idx="90">
                  <c:v>33464.269630647555</c:v>
                </c:pt>
                <c:pt idx="91">
                  <c:v>33777.93938872531</c:v>
                </c:pt>
                <c:pt idx="92">
                  <c:v>34478.246978223426</c:v>
                </c:pt>
                <c:pt idx="93">
                  <c:v>35822.090059060029</c:v>
                </c:pt>
                <c:pt idx="94">
                  <c:v>35265.337909160931</c:v>
                </c:pt>
                <c:pt idx="95">
                  <c:v>35026.713131323988</c:v>
                </c:pt>
                <c:pt idx="96">
                  <c:v>35596.252056534344</c:v>
                </c:pt>
                <c:pt idx="97">
                  <c:v>35751.903014572315</c:v>
                </c:pt>
                <c:pt idx="98">
                  <c:v>37789.670962258562</c:v>
                </c:pt>
                <c:pt idx="99">
                  <c:v>38098.48948799869</c:v>
                </c:pt>
                <c:pt idx="100">
                  <c:v>37025.186583310009</c:v>
                </c:pt>
                <c:pt idx="101">
                  <c:v>37934.604889818125</c:v>
                </c:pt>
                <c:pt idx="102">
                  <c:v>39430.851159069389</c:v>
                </c:pt>
                <c:pt idx="103">
                  <c:v>39045.494395106027</c:v>
                </c:pt>
                <c:pt idx="104">
                  <c:v>37557.581082456316</c:v>
                </c:pt>
                <c:pt idx="105">
                  <c:v>40063.187618628042</c:v>
                </c:pt>
                <c:pt idx="106">
                  <c:v>42339.1816312679</c:v>
                </c:pt>
                <c:pt idx="107">
                  <c:v>38975.259821184627</c:v>
                </c:pt>
                <c:pt idx="108">
                  <c:v>38501.447729867286</c:v>
                </c:pt>
                <c:pt idx="109">
                  <c:v>40395.115020427264</c:v>
                </c:pt>
                <c:pt idx="110">
                  <c:v>42822.009285724489</c:v>
                </c:pt>
                <c:pt idx="111">
                  <c:v>40474.019565819857</c:v>
                </c:pt>
                <c:pt idx="112">
                  <c:v>41074.700399170892</c:v>
                </c:pt>
                <c:pt idx="113">
                  <c:v>42580.902285537923</c:v>
                </c:pt>
                <c:pt idx="114">
                  <c:v>39207.485343668923</c:v>
                </c:pt>
                <c:pt idx="115">
                  <c:v>38039.266363052731</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3.7697316715867712E+16</c:v>
                </c:pt>
                <c:pt idx="1">
                  <c:v>3.5996872236696196E+16</c:v>
                </c:pt>
                <c:pt idx="2">
                  <c:v>3.426866298130428E+16</c:v>
                </c:pt>
                <c:pt idx="3">
                  <c:v>3.2590539872723432E+16</c:v>
                </c:pt>
                <c:pt idx="4">
                  <c:v>3.093957724379714E+16</c:v>
                </c:pt>
                <c:pt idx="5">
                  <c:v>2.9320900716672528E+16</c:v>
                </c:pt>
                <c:pt idx="6">
                  <c:v>2.7741268711972164E+16</c:v>
                </c:pt>
                <c:pt idx="7">
                  <c:v>2.6225791083486872E+16</c:v>
                </c:pt>
                <c:pt idx="8">
                  <c:v>2.4770530547858192E+16</c:v>
                </c:pt>
                <c:pt idx="9">
                  <c:v>2.3383814181130064E+16</c:v>
                </c:pt>
                <c:pt idx="10">
                  <c:v>2.205834733702386E+16</c:v>
                </c:pt>
                <c:pt idx="11">
                  <c:v>2.0802395618712064E+16</c:v>
                </c:pt>
                <c:pt idx="12">
                  <c:v>1.9597881459823508E+16</c:v>
                </c:pt>
                <c:pt idx="13">
                  <c:v>1.845802107986882E+16</c:v>
                </c:pt>
                <c:pt idx="14">
                  <c:v>1.7373336699397444E+16</c:v>
                </c:pt>
                <c:pt idx="15">
                  <c:v>1.6341297374433938E+16</c:v>
                </c:pt>
                <c:pt idx="16">
                  <c:v>1.536409843234907E+16</c:v>
                </c:pt>
                <c:pt idx="17">
                  <c:v>1.4446127969723144E+16</c:v>
                </c:pt>
                <c:pt idx="18">
                  <c:v>1.358218417552598E+16</c:v>
                </c:pt>
                <c:pt idx="19">
                  <c:v>1.276006859184355E+16</c:v>
                </c:pt>
                <c:pt idx="20">
                  <c:v>1.1991513817641032E+16</c:v>
                </c:pt>
                <c:pt idx="21">
                  <c:v>1.126355906827118E+16</c:v>
                </c:pt>
                <c:pt idx="22">
                  <c:v>1.0578486855509874E+16</c:v>
                </c:pt>
                <c:pt idx="23">
                  <c:v>9938262623705524</c:v>
                </c:pt>
                <c:pt idx="24">
                  <c:v>9334234998559652</c:v>
                </c:pt>
                <c:pt idx="25">
                  <c:v>8765731654324367</c:v>
                </c:pt>
                <c:pt idx="26">
                  <c:v>8230824553149456</c:v>
                </c:pt>
                <c:pt idx="27">
                  <c:v>7728002620557928</c:v>
                </c:pt>
                <c:pt idx="28">
                  <c:v>7257166613616901</c:v>
                </c:pt>
                <c:pt idx="29">
                  <c:v>6810848389411657</c:v>
                </c:pt>
                <c:pt idx="30">
                  <c:v>6390604021371906</c:v>
                </c:pt>
                <c:pt idx="31">
                  <c:v>5999203719003531</c:v>
                </c:pt>
                <c:pt idx="32">
                  <c:v>5627475873567011</c:v>
                </c:pt>
                <c:pt idx="33">
                  <c:v>5282084170711536</c:v>
                </c:pt>
                <c:pt idx="34">
                  <c:v>4956923456176472</c:v>
                </c:pt>
                <c:pt idx="35">
                  <c:v>4649667415229892</c:v>
                </c:pt>
                <c:pt idx="36">
                  <c:v>4362509480299287</c:v>
                </c:pt>
                <c:pt idx="37">
                  <c:v>4093775836424965</c:v>
                </c:pt>
                <c:pt idx="38">
                  <c:v>3842689681810210.5</c:v>
                </c:pt>
                <c:pt idx="39">
                  <c:v>3605638661881885</c:v>
                </c:pt>
                <c:pt idx="40">
                  <c:v>3380842949417307.5</c:v>
                </c:pt>
                <c:pt idx="41">
                  <c:v>3171774813260527</c:v>
                </c:pt>
                <c:pt idx="42">
                  <c:v>2976446974179152.5</c:v>
                </c:pt>
                <c:pt idx="43">
                  <c:v>2787055424172911</c:v>
                </c:pt>
                <c:pt idx="44">
                  <c:v>2615848023236610.5</c:v>
                </c:pt>
                <c:pt idx="45">
                  <c:v>2453578093622838</c:v>
                </c:pt>
                <c:pt idx="46">
                  <c:v>2297888962955503</c:v>
                </c:pt>
                <c:pt idx="47">
                  <c:v>2157108834958282.5</c:v>
                </c:pt>
                <c:pt idx="48">
                  <c:v>2021096873283404.3</c:v>
                </c:pt>
                <c:pt idx="49">
                  <c:v>1895003766600397.7</c:v>
                </c:pt>
                <c:pt idx="50">
                  <c:v>1774675776898921.7</c:v>
                </c:pt>
                <c:pt idx="51">
                  <c:v>1661471221348017</c:v>
                </c:pt>
                <c:pt idx="52">
                  <c:v>1558401966109740.7</c:v>
                </c:pt>
                <c:pt idx="53">
                  <c:v>1459820569486549.7</c:v>
                </c:pt>
                <c:pt idx="54">
                  <c:v>1366915468226114.2</c:v>
                </c:pt>
                <c:pt idx="55">
                  <c:v>1278774814020171.7</c:v>
                </c:pt>
                <c:pt idx="56">
                  <c:v>1200673448140187.5</c:v>
                </c:pt>
                <c:pt idx="57">
                  <c:v>1122985868673903.4</c:v>
                </c:pt>
                <c:pt idx="58">
                  <c:v>1051344103546150.6</c:v>
                </c:pt>
                <c:pt idx="59">
                  <c:v>989079342770230.37</c:v>
                </c:pt>
                <c:pt idx="60">
                  <c:v>925582193009749.75</c:v>
                </c:pt>
                <c:pt idx="61">
                  <c:v>865960234856363.5</c:v>
                </c:pt>
                <c:pt idx="62">
                  <c:v>810705190046089.5</c:v>
                </c:pt>
                <c:pt idx="63">
                  <c:v>759450135423263.12</c:v>
                </c:pt>
                <c:pt idx="64">
                  <c:v>710994100376093.87</c:v>
                </c:pt>
                <c:pt idx="65">
                  <c:v>666061540667845.75</c:v>
                </c:pt>
                <c:pt idx="66">
                  <c:v>625133532296012.5</c:v>
                </c:pt>
                <c:pt idx="67">
                  <c:v>583547262545970.37</c:v>
                </c:pt>
                <c:pt idx="68">
                  <c:v>547728483550801.94</c:v>
                </c:pt>
                <c:pt idx="69">
                  <c:v>512230523122268.25</c:v>
                </c:pt>
                <c:pt idx="70">
                  <c:v>479104338677882.62</c:v>
                </c:pt>
                <c:pt idx="71">
                  <c:v>447914552547078.44</c:v>
                </c:pt>
                <c:pt idx="72">
                  <c:v>421297191306169.56</c:v>
                </c:pt>
                <c:pt idx="73">
                  <c:v>391938200551899.94</c:v>
                </c:pt>
                <c:pt idx="74">
                  <c:v>368596311538827.44</c:v>
                </c:pt>
                <c:pt idx="75">
                  <c:v>345143620044534.19</c:v>
                </c:pt>
                <c:pt idx="76">
                  <c:v>322060308056149.44</c:v>
                </c:pt>
                <c:pt idx="77">
                  <c:v>300178953382761.19</c:v>
                </c:pt>
                <c:pt idx="78">
                  <c:v>279822303017929.69</c:v>
                </c:pt>
                <c:pt idx="79">
                  <c:v>263150791129994.62</c:v>
                </c:pt>
                <c:pt idx="80">
                  <c:v>246443488890189.59</c:v>
                </c:pt>
                <c:pt idx="81">
                  <c:v>229848644493801.19</c:v>
                </c:pt>
                <c:pt idx="82">
                  <c:v>215880499904520.72</c:v>
                </c:pt>
                <c:pt idx="83">
                  <c:v>199922015405089.12</c:v>
                </c:pt>
                <c:pt idx="84">
                  <c:v>190742228732375.16</c:v>
                </c:pt>
                <c:pt idx="85">
                  <c:v>174880538270880.53</c:v>
                </c:pt>
                <c:pt idx="86">
                  <c:v>169343614768823.66</c:v>
                </c:pt>
                <c:pt idx="87">
                  <c:v>155221893486867.34</c:v>
                </c:pt>
                <c:pt idx="88">
                  <c:v>146230382972537.91</c:v>
                </c:pt>
                <c:pt idx="89">
                  <c:v>136631237503737.08</c:v>
                </c:pt>
                <c:pt idx="90">
                  <c:v>128038932779270.53</c:v>
                </c:pt>
                <c:pt idx="91">
                  <c:v>120011777063942.03</c:v>
                </c:pt>
                <c:pt idx="92">
                  <c:v>111583246629406.37</c:v>
                </c:pt>
                <c:pt idx="93">
                  <c:v>101439175300212.94</c:v>
                </c:pt>
                <c:pt idx="94">
                  <c:v>97350386454125.906</c:v>
                </c:pt>
                <c:pt idx="95">
                  <c:v>92068090527304.703</c:v>
                </c:pt>
                <c:pt idx="96">
                  <c:v>86817723900723.391</c:v>
                </c:pt>
                <c:pt idx="97">
                  <c:v>81543252505206.406</c:v>
                </c:pt>
                <c:pt idx="98">
                  <c:v>72750533376528.969</c:v>
                </c:pt>
                <c:pt idx="99">
                  <c:v>68330384461342.867</c:v>
                </c:pt>
                <c:pt idx="100">
                  <c:v>65917635903148.453</c:v>
                </c:pt>
                <c:pt idx="101">
                  <c:v>61240740357200.008</c:v>
                </c:pt>
                <c:pt idx="102">
                  <c:v>55696763141405.68</c:v>
                </c:pt>
                <c:pt idx="103">
                  <c:v>53405426216695.492</c:v>
                </c:pt>
                <c:pt idx="104">
                  <c:v>52361593934624.164</c:v>
                </c:pt>
                <c:pt idx="105">
                  <c:v>45871238490847.719</c:v>
                </c:pt>
                <c:pt idx="106">
                  <c:v>40835400696294.141</c:v>
                </c:pt>
                <c:pt idx="107">
                  <c:v>41674331537726.102</c:v>
                </c:pt>
                <c:pt idx="108">
                  <c:v>39880884453594.289</c:v>
                </c:pt>
                <c:pt idx="109">
                  <c:v>36151684595876.445</c:v>
                </c:pt>
                <c:pt idx="110">
                  <c:v>31415259158203.598</c:v>
                </c:pt>
                <c:pt idx="111">
                  <c:v>31588467435731.73</c:v>
                </c:pt>
                <c:pt idx="112">
                  <c:v>28789437483475.242</c:v>
                </c:pt>
                <c:pt idx="113">
                  <c:v>26021287880620.437</c:v>
                </c:pt>
                <c:pt idx="114">
                  <c:v>26338362800261.676</c:v>
                </c:pt>
                <c:pt idx="115">
                  <c:v>24868514243065.34</c:v>
                </c:pt>
              </c:numCache>
            </c:numRef>
          </c:xVal>
          <c:yVal>
            <c:numRef>
              <c:f>Calc!$S$15:$S$130</c:f>
              <c:numCache>
                <c:formatCode>0</c:formatCode>
                <c:ptCount val="116"/>
                <c:pt idx="0">
                  <c:v>10056.987906167664</c:v>
                </c:pt>
                <c:pt idx="1">
                  <c:v>10146.562634525049</c:v>
                </c:pt>
                <c:pt idx="2">
                  <c:v>10244.388567368926</c:v>
                </c:pt>
                <c:pt idx="3">
                  <c:v>10344.636133993676</c:v>
                </c:pt>
                <c:pt idx="4">
                  <c:v>10443.853223340971</c:v>
                </c:pt>
                <c:pt idx="5">
                  <c:v>10554.640371350524</c:v>
                </c:pt>
                <c:pt idx="6">
                  <c:v>10666.772104812711</c:v>
                </c:pt>
                <c:pt idx="7">
                  <c:v>10776.229063295112</c:v>
                </c:pt>
                <c:pt idx="8">
                  <c:v>10887.405771631224</c:v>
                </c:pt>
                <c:pt idx="9">
                  <c:v>10994.161514756128</c:v>
                </c:pt>
                <c:pt idx="10">
                  <c:v>11101.374535174866</c:v>
                </c:pt>
                <c:pt idx="11">
                  <c:v>11200.616501614368</c:v>
                </c:pt>
                <c:pt idx="12">
                  <c:v>11303.384567184356</c:v>
                </c:pt>
                <c:pt idx="13">
                  <c:v>11404.456093356854</c:v>
                </c:pt>
                <c:pt idx="14">
                  <c:v>11510.283132883862</c:v>
                </c:pt>
                <c:pt idx="15">
                  <c:v>11620.731010722675</c:v>
                </c:pt>
                <c:pt idx="16">
                  <c:v>11732.830251967465</c:v>
                </c:pt>
                <c:pt idx="17">
                  <c:v>11838.066702953161</c:v>
                </c:pt>
                <c:pt idx="18">
                  <c:v>11942.781139684885</c:v>
                </c:pt>
                <c:pt idx="19">
                  <c:v>12061.070970181298</c:v>
                </c:pt>
                <c:pt idx="20">
                  <c:v>12175.085238532663</c:v>
                </c:pt>
                <c:pt idx="21">
                  <c:v>12295.836474120799</c:v>
                </c:pt>
                <c:pt idx="22">
                  <c:v>12401.93070462375</c:v>
                </c:pt>
                <c:pt idx="23">
                  <c:v>12508.018836208166</c:v>
                </c:pt>
                <c:pt idx="24">
                  <c:v>12630.954755159981</c:v>
                </c:pt>
                <c:pt idx="25">
                  <c:v>12755.694093529219</c:v>
                </c:pt>
                <c:pt idx="26">
                  <c:v>12887.599653287585</c:v>
                </c:pt>
                <c:pt idx="27">
                  <c:v>13025.626513927884</c:v>
                </c:pt>
                <c:pt idx="28">
                  <c:v>13160.981605595074</c:v>
                </c:pt>
                <c:pt idx="29">
                  <c:v>13312.510289537495</c:v>
                </c:pt>
                <c:pt idx="30">
                  <c:v>13466.405749405521</c:v>
                </c:pt>
                <c:pt idx="31">
                  <c:v>13620.437801792485</c:v>
                </c:pt>
                <c:pt idx="32">
                  <c:v>13787.355368866056</c:v>
                </c:pt>
                <c:pt idx="33">
                  <c:v>13943.995919227415</c:v>
                </c:pt>
                <c:pt idx="34">
                  <c:v>14109.875735233263</c:v>
                </c:pt>
                <c:pt idx="35">
                  <c:v>14291.204290621214</c:v>
                </c:pt>
                <c:pt idx="36">
                  <c:v>14467.600734569791</c:v>
                </c:pt>
                <c:pt idx="37">
                  <c:v>14654.966462464554</c:v>
                </c:pt>
                <c:pt idx="38">
                  <c:v>14839.89961380615</c:v>
                </c:pt>
                <c:pt idx="39">
                  <c:v>15040.165795995066</c:v>
                </c:pt>
                <c:pt idx="40">
                  <c:v>15257.27923885838</c:v>
                </c:pt>
                <c:pt idx="41">
                  <c:v>15463.051329749624</c:v>
                </c:pt>
                <c:pt idx="42">
                  <c:v>15673.934858640505</c:v>
                </c:pt>
                <c:pt idx="43">
                  <c:v>15918.599450313064</c:v>
                </c:pt>
                <c:pt idx="44">
                  <c:v>16142.634697790107</c:v>
                </c:pt>
                <c:pt idx="45">
                  <c:v>16371.828710217251</c:v>
                </c:pt>
                <c:pt idx="46">
                  <c:v>16646.243775449158</c:v>
                </c:pt>
                <c:pt idx="47">
                  <c:v>16873.436734287548</c:v>
                </c:pt>
                <c:pt idx="48">
                  <c:v>17139.323098780271</c:v>
                </c:pt>
                <c:pt idx="49">
                  <c:v>17416.469773558001</c:v>
                </c:pt>
                <c:pt idx="50">
                  <c:v>17694.323896586484</c:v>
                </c:pt>
                <c:pt idx="51">
                  <c:v>18011.93218036028</c:v>
                </c:pt>
                <c:pt idx="52">
                  <c:v>18255.534520611338</c:v>
                </c:pt>
                <c:pt idx="53">
                  <c:v>18551.732993570015</c:v>
                </c:pt>
                <c:pt idx="54">
                  <c:v>18876.019394864019</c:v>
                </c:pt>
                <c:pt idx="55">
                  <c:v>19194.086780971076</c:v>
                </c:pt>
                <c:pt idx="56">
                  <c:v>19436.583688537816</c:v>
                </c:pt>
                <c:pt idx="57">
                  <c:v>19790.364328641172</c:v>
                </c:pt>
                <c:pt idx="58">
                  <c:v>20130.085685552174</c:v>
                </c:pt>
                <c:pt idx="59">
                  <c:v>20396.754046885901</c:v>
                </c:pt>
                <c:pt idx="60">
                  <c:v>20757.570242490656</c:v>
                </c:pt>
                <c:pt idx="61">
                  <c:v>21143.575681122551</c:v>
                </c:pt>
                <c:pt idx="62">
                  <c:v>21502.82905578956</c:v>
                </c:pt>
                <c:pt idx="63">
                  <c:v>21843.493080332755</c:v>
                </c:pt>
                <c:pt idx="64">
                  <c:v>22220.730423000987</c:v>
                </c:pt>
                <c:pt idx="65">
                  <c:v>22619.658847970397</c:v>
                </c:pt>
                <c:pt idx="66">
                  <c:v>22947.142364797004</c:v>
                </c:pt>
                <c:pt idx="67">
                  <c:v>23395.037112524464</c:v>
                </c:pt>
                <c:pt idx="68">
                  <c:v>23767.487283573053</c:v>
                </c:pt>
                <c:pt idx="69">
                  <c:v>24194.763416703678</c:v>
                </c:pt>
                <c:pt idx="70">
                  <c:v>24620.844671074781</c:v>
                </c:pt>
                <c:pt idx="71">
                  <c:v>25043.839857141804</c:v>
                </c:pt>
                <c:pt idx="72">
                  <c:v>25377.540510243431</c:v>
                </c:pt>
                <c:pt idx="73">
                  <c:v>25973.161722186182</c:v>
                </c:pt>
                <c:pt idx="74">
                  <c:v>26279.664806198081</c:v>
                </c:pt>
                <c:pt idx="75">
                  <c:v>26698.00233660718</c:v>
                </c:pt>
                <c:pt idx="76">
                  <c:v>27287.206588994937</c:v>
                </c:pt>
                <c:pt idx="77">
                  <c:v>27799.980091492598</c:v>
                </c:pt>
                <c:pt idx="78">
                  <c:v>28378.887691713266</c:v>
                </c:pt>
                <c:pt idx="79">
                  <c:v>28703.790789423718</c:v>
                </c:pt>
                <c:pt idx="80">
                  <c:v>29098.391421037883</c:v>
                </c:pt>
                <c:pt idx="81">
                  <c:v>29624.997643039827</c:v>
                </c:pt>
                <c:pt idx="82">
                  <c:v>29979.836818636828</c:v>
                </c:pt>
                <c:pt idx="83">
                  <c:v>30776.705121613955</c:v>
                </c:pt>
                <c:pt idx="84">
                  <c:v>30619.356456739431</c:v>
                </c:pt>
                <c:pt idx="85">
                  <c:v>31736.482763786767</c:v>
                </c:pt>
                <c:pt idx="86">
                  <c:v>31109.053277088282</c:v>
                </c:pt>
                <c:pt idx="87">
                  <c:v>32108.293370216757</c:v>
                </c:pt>
                <c:pt idx="88">
                  <c:v>32480.701942516927</c:v>
                </c:pt>
                <c:pt idx="89">
                  <c:v>32927.270825830514</c:v>
                </c:pt>
                <c:pt idx="90">
                  <c:v>33464.269630647555</c:v>
                </c:pt>
                <c:pt idx="91">
                  <c:v>33777.93938872531</c:v>
                </c:pt>
                <c:pt idx="92">
                  <c:v>34478.246978223426</c:v>
                </c:pt>
                <c:pt idx="93">
                  <c:v>35822.090059060029</c:v>
                </c:pt>
                <c:pt idx="94">
                  <c:v>35265.337909160931</c:v>
                </c:pt>
                <c:pt idx="95">
                  <c:v>35026.713131323988</c:v>
                </c:pt>
                <c:pt idx="96">
                  <c:v>35596.252056534344</c:v>
                </c:pt>
                <c:pt idx="97">
                  <c:v>35751.903014572315</c:v>
                </c:pt>
                <c:pt idx="98">
                  <c:v>37789.670962258562</c:v>
                </c:pt>
                <c:pt idx="99">
                  <c:v>38098.48948799869</c:v>
                </c:pt>
                <c:pt idx="100">
                  <c:v>37025.186583310009</c:v>
                </c:pt>
                <c:pt idx="101">
                  <c:v>37934.604889818125</c:v>
                </c:pt>
                <c:pt idx="102">
                  <c:v>39430.851159069389</c:v>
                </c:pt>
                <c:pt idx="103">
                  <c:v>39045.494395106027</c:v>
                </c:pt>
                <c:pt idx="104">
                  <c:v>37557.581082456316</c:v>
                </c:pt>
                <c:pt idx="105">
                  <c:v>40063.187618628042</c:v>
                </c:pt>
                <c:pt idx="106">
                  <c:v>42339.1816312679</c:v>
                </c:pt>
                <c:pt idx="107">
                  <c:v>38975.259821184627</c:v>
                </c:pt>
                <c:pt idx="108">
                  <c:v>38501.447729867286</c:v>
                </c:pt>
                <c:pt idx="109">
                  <c:v>40395.115020427264</c:v>
                </c:pt>
                <c:pt idx="110">
                  <c:v>42822.009285724489</c:v>
                </c:pt>
                <c:pt idx="111">
                  <c:v>40474.019565819857</c:v>
                </c:pt>
                <c:pt idx="112">
                  <c:v>41074.700399170892</c:v>
                </c:pt>
                <c:pt idx="113">
                  <c:v>42580.902285537923</c:v>
                </c:pt>
                <c:pt idx="114">
                  <c:v>39207.485343668923</c:v>
                </c:pt>
                <c:pt idx="115">
                  <c:v>38039.266363052731</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3.9136992271831848E+16</c:v>
                </c:pt>
                <c:pt idx="1">
                  <c:v>4.019757950596416E+16</c:v>
                </c:pt>
                <c:pt idx="2">
                  <c:v>3.9270550860379744E+16</c:v>
                </c:pt>
                <c:pt idx="3">
                  <c:v>3.7697316715867712E+16</c:v>
                </c:pt>
                <c:pt idx="4">
                  <c:v>3.5996872236696196E+16</c:v>
                </c:pt>
                <c:pt idx="5">
                  <c:v>3.426866298130428E+16</c:v>
                </c:pt>
                <c:pt idx="6">
                  <c:v>3.2590539872723432E+16</c:v>
                </c:pt>
                <c:pt idx="7">
                  <c:v>3.093957724379714E+16</c:v>
                </c:pt>
                <c:pt idx="8">
                  <c:v>2.9320900716672528E+16</c:v>
                </c:pt>
                <c:pt idx="9">
                  <c:v>2.7741268711972164E+16</c:v>
                </c:pt>
                <c:pt idx="10">
                  <c:v>2.6225791083486872E+16</c:v>
                </c:pt>
                <c:pt idx="11">
                  <c:v>2.4770530547858192E+16</c:v>
                </c:pt>
                <c:pt idx="12">
                  <c:v>2.3383814181130064E+16</c:v>
                </c:pt>
                <c:pt idx="13">
                  <c:v>2.205834733702386E+16</c:v>
                </c:pt>
                <c:pt idx="14">
                  <c:v>2.0802395618712064E+16</c:v>
                </c:pt>
                <c:pt idx="15">
                  <c:v>1.9597881459823508E+16</c:v>
                </c:pt>
                <c:pt idx="16">
                  <c:v>1.845802107986882E+16</c:v>
                </c:pt>
                <c:pt idx="17">
                  <c:v>1.7373336699397444E+16</c:v>
                </c:pt>
                <c:pt idx="18">
                  <c:v>1.6341297374433938E+16</c:v>
                </c:pt>
                <c:pt idx="19">
                  <c:v>1.536409843234907E+16</c:v>
                </c:pt>
                <c:pt idx="20">
                  <c:v>1.4446127969723144E+16</c:v>
                </c:pt>
                <c:pt idx="21">
                  <c:v>1.358218417552598E+16</c:v>
                </c:pt>
                <c:pt idx="22">
                  <c:v>1.276006859184355E+16</c:v>
                </c:pt>
                <c:pt idx="23">
                  <c:v>1.1991513817641032E+16</c:v>
                </c:pt>
                <c:pt idx="24">
                  <c:v>1.126355906827118E+16</c:v>
                </c:pt>
                <c:pt idx="25">
                  <c:v>1.0578486855509874E+16</c:v>
                </c:pt>
                <c:pt idx="26">
                  <c:v>9938262623705524</c:v>
                </c:pt>
                <c:pt idx="27">
                  <c:v>9334234998559652</c:v>
                </c:pt>
                <c:pt idx="28">
                  <c:v>8765731654324367</c:v>
                </c:pt>
                <c:pt idx="29">
                  <c:v>8230824553149456</c:v>
                </c:pt>
                <c:pt idx="30">
                  <c:v>7728002620557928</c:v>
                </c:pt>
                <c:pt idx="31">
                  <c:v>7257166613616901</c:v>
                </c:pt>
                <c:pt idx="32">
                  <c:v>6810848389411657</c:v>
                </c:pt>
                <c:pt idx="33">
                  <c:v>6390604021371906</c:v>
                </c:pt>
                <c:pt idx="34">
                  <c:v>5999203719003531</c:v>
                </c:pt>
                <c:pt idx="35">
                  <c:v>5627475873567011</c:v>
                </c:pt>
                <c:pt idx="36">
                  <c:v>5282084170711536</c:v>
                </c:pt>
                <c:pt idx="37">
                  <c:v>4956923456176472</c:v>
                </c:pt>
                <c:pt idx="38">
                  <c:v>4649667415229892</c:v>
                </c:pt>
                <c:pt idx="39">
                  <c:v>4362509480299287</c:v>
                </c:pt>
                <c:pt idx="40">
                  <c:v>4093775836424965</c:v>
                </c:pt>
                <c:pt idx="41">
                  <c:v>3842689681810210.5</c:v>
                </c:pt>
                <c:pt idx="42">
                  <c:v>3605638661881885</c:v>
                </c:pt>
                <c:pt idx="43">
                  <c:v>3380842949417307.5</c:v>
                </c:pt>
                <c:pt idx="44">
                  <c:v>3171774813260527</c:v>
                </c:pt>
                <c:pt idx="45">
                  <c:v>2976446974179152.5</c:v>
                </c:pt>
                <c:pt idx="46">
                  <c:v>2787055424172911</c:v>
                </c:pt>
                <c:pt idx="47">
                  <c:v>2615848023236610.5</c:v>
                </c:pt>
                <c:pt idx="48">
                  <c:v>2453578093622838</c:v>
                </c:pt>
                <c:pt idx="49">
                  <c:v>2297888962955503</c:v>
                </c:pt>
                <c:pt idx="50">
                  <c:v>2157108834958282.5</c:v>
                </c:pt>
                <c:pt idx="51">
                  <c:v>2021096873283404.3</c:v>
                </c:pt>
                <c:pt idx="52">
                  <c:v>1895003766600397.7</c:v>
                </c:pt>
                <c:pt idx="53">
                  <c:v>1774675776898921.7</c:v>
                </c:pt>
                <c:pt idx="54">
                  <c:v>1661471221348017</c:v>
                </c:pt>
                <c:pt idx="55">
                  <c:v>1558401966109740.7</c:v>
                </c:pt>
                <c:pt idx="56">
                  <c:v>1459820569486549.7</c:v>
                </c:pt>
                <c:pt idx="57">
                  <c:v>1366915468226114.2</c:v>
                </c:pt>
                <c:pt idx="58">
                  <c:v>1278774814020171.7</c:v>
                </c:pt>
                <c:pt idx="59">
                  <c:v>1200673448140187.5</c:v>
                </c:pt>
                <c:pt idx="60">
                  <c:v>1122985868673903.4</c:v>
                </c:pt>
                <c:pt idx="61">
                  <c:v>1051344103546150.6</c:v>
                </c:pt>
                <c:pt idx="62">
                  <c:v>989079342770230.37</c:v>
                </c:pt>
                <c:pt idx="63">
                  <c:v>925582193009749.75</c:v>
                </c:pt>
                <c:pt idx="64">
                  <c:v>865960234856363.5</c:v>
                </c:pt>
                <c:pt idx="65">
                  <c:v>810705190046089.5</c:v>
                </c:pt>
                <c:pt idx="66">
                  <c:v>759450135423263.12</c:v>
                </c:pt>
                <c:pt idx="67">
                  <c:v>710994100376093.87</c:v>
                </c:pt>
                <c:pt idx="68">
                  <c:v>666061540667845.75</c:v>
                </c:pt>
                <c:pt idx="69">
                  <c:v>625133532296012.5</c:v>
                </c:pt>
                <c:pt idx="70">
                  <c:v>583547262545970.37</c:v>
                </c:pt>
                <c:pt idx="71">
                  <c:v>547728483550801.94</c:v>
                </c:pt>
                <c:pt idx="72">
                  <c:v>512230523122268.25</c:v>
                </c:pt>
                <c:pt idx="73">
                  <c:v>479104338677882.62</c:v>
                </c:pt>
                <c:pt idx="74">
                  <c:v>447914552547078.44</c:v>
                </c:pt>
                <c:pt idx="75">
                  <c:v>421297191306169.56</c:v>
                </c:pt>
                <c:pt idx="76">
                  <c:v>391938200551899.94</c:v>
                </c:pt>
                <c:pt idx="77">
                  <c:v>368596311538827.44</c:v>
                </c:pt>
                <c:pt idx="78">
                  <c:v>345143620044534.19</c:v>
                </c:pt>
                <c:pt idx="79">
                  <c:v>322060308056149.44</c:v>
                </c:pt>
                <c:pt idx="80">
                  <c:v>300178953382761.19</c:v>
                </c:pt>
                <c:pt idx="81">
                  <c:v>279822303017929.69</c:v>
                </c:pt>
                <c:pt idx="82">
                  <c:v>263150791129994.62</c:v>
                </c:pt>
                <c:pt idx="83">
                  <c:v>246443488890189.59</c:v>
                </c:pt>
                <c:pt idx="84">
                  <c:v>229848644493801.19</c:v>
                </c:pt>
                <c:pt idx="85">
                  <c:v>215880499904520.72</c:v>
                </c:pt>
                <c:pt idx="86">
                  <c:v>199922015405089.12</c:v>
                </c:pt>
                <c:pt idx="87">
                  <c:v>190742228732375.16</c:v>
                </c:pt>
                <c:pt idx="88">
                  <c:v>174880538270880.53</c:v>
                </c:pt>
                <c:pt idx="89">
                  <c:v>169343614768823.66</c:v>
                </c:pt>
                <c:pt idx="90">
                  <c:v>155221893486867.34</c:v>
                </c:pt>
                <c:pt idx="91">
                  <c:v>146230382972537.91</c:v>
                </c:pt>
                <c:pt idx="92">
                  <c:v>136631237503737.08</c:v>
                </c:pt>
                <c:pt idx="93">
                  <c:v>128038932779270.53</c:v>
                </c:pt>
                <c:pt idx="94">
                  <c:v>120011777063942.03</c:v>
                </c:pt>
                <c:pt idx="95">
                  <c:v>111583246629406.37</c:v>
                </c:pt>
                <c:pt idx="96">
                  <c:v>101439175300212.94</c:v>
                </c:pt>
                <c:pt idx="97">
                  <c:v>97350386454125.906</c:v>
                </c:pt>
                <c:pt idx="98">
                  <c:v>92068090527304.703</c:v>
                </c:pt>
                <c:pt idx="99">
                  <c:v>86817723900723.391</c:v>
                </c:pt>
                <c:pt idx="100">
                  <c:v>81543252505206.406</c:v>
                </c:pt>
                <c:pt idx="101">
                  <c:v>72750533376528.969</c:v>
                </c:pt>
                <c:pt idx="102">
                  <c:v>68330384461342.867</c:v>
                </c:pt>
                <c:pt idx="103">
                  <c:v>65917635903148.453</c:v>
                </c:pt>
                <c:pt idx="104">
                  <c:v>61240740357200.008</c:v>
                </c:pt>
                <c:pt idx="105">
                  <c:v>55696763141405.68</c:v>
                </c:pt>
                <c:pt idx="106">
                  <c:v>53405426216695.492</c:v>
                </c:pt>
                <c:pt idx="107">
                  <c:v>52361593934624.164</c:v>
                </c:pt>
                <c:pt idx="108">
                  <c:v>45871238490847.719</c:v>
                </c:pt>
                <c:pt idx="109">
                  <c:v>40835400696294.141</c:v>
                </c:pt>
                <c:pt idx="110">
                  <c:v>41674331537726.102</c:v>
                </c:pt>
                <c:pt idx="111">
                  <c:v>39880884453594.289</c:v>
                </c:pt>
                <c:pt idx="112">
                  <c:v>36151684595876.445</c:v>
                </c:pt>
                <c:pt idx="113">
                  <c:v>31415259158203.598</c:v>
                </c:pt>
                <c:pt idx="114">
                  <c:v>31588467435731.73</c:v>
                </c:pt>
                <c:pt idx="115">
                  <c:v>28789437483475.242</c:v>
                </c:pt>
                <c:pt idx="116">
                  <c:v>26021287880620.437</c:v>
                </c:pt>
                <c:pt idx="117">
                  <c:v>26338362800261.676</c:v>
                </c:pt>
                <c:pt idx="118">
                  <c:v>24868514243065.34</c:v>
                </c:pt>
              </c:numCache>
            </c:numRef>
          </c:xVal>
          <c:yVal>
            <c:numRef>
              <c:f>Calc!$U$12:$U$130</c:f>
              <c:numCache>
                <c:formatCode>0</c:formatCode>
                <c:ptCount val="119"/>
                <c:pt idx="0">
                  <c:v>-183610.52140563692</c:v>
                </c:pt>
                <c:pt idx="1">
                  <c:v>-189286.52606883517</c:v>
                </c:pt>
                <c:pt idx="2">
                  <c:v>-184325.29445495448</c:v>
                </c:pt>
                <c:pt idx="3">
                  <c:v>-175905.72833802059</c:v>
                </c:pt>
                <c:pt idx="4">
                  <c:v>-166805.36348101421</c:v>
                </c:pt>
                <c:pt idx="5">
                  <c:v>-157556.40830137531</c:v>
                </c:pt>
                <c:pt idx="6">
                  <c:v>-148575.50198533965</c:v>
                </c:pt>
                <c:pt idx="7">
                  <c:v>-139739.95194384005</c:v>
                </c:pt>
                <c:pt idx="8">
                  <c:v>-131077.18925870792</c:v>
                </c:pt>
                <c:pt idx="9">
                  <c:v>-122623.38335168909</c:v>
                </c:pt>
                <c:pt idx="10">
                  <c:v>-114512.91604694867</c:v>
                </c:pt>
                <c:pt idx="11">
                  <c:v>-106724.7159625355</c:v>
                </c:pt>
                <c:pt idx="12">
                  <c:v>-99303.347582100818</c:v>
                </c:pt>
                <c:pt idx="13">
                  <c:v>-92209.771734738737</c:v>
                </c:pt>
                <c:pt idx="14">
                  <c:v>-85488.223916258867</c:v>
                </c:pt>
                <c:pt idx="15">
                  <c:v>-79041.957392663433</c:v>
                </c:pt>
                <c:pt idx="16">
                  <c:v>-72941.702153111284</c:v>
                </c:pt>
                <c:pt idx="17">
                  <c:v>-67136.735429472785</c:v>
                </c:pt>
                <c:pt idx="18">
                  <c:v>-61613.512225782906</c:v>
                </c:pt>
                <c:pt idx="19">
                  <c:v>-56383.781399648738</c:v>
                </c:pt>
                <c:pt idx="20">
                  <c:v>-51471.026975628381</c:v>
                </c:pt>
                <c:pt idx="21">
                  <c:v>-46847.410127537456</c:v>
                </c:pt>
                <c:pt idx="22">
                  <c:v>-42447.647678494715</c:v>
                </c:pt>
                <c:pt idx="23">
                  <c:v>-38334.529641706642</c:v>
                </c:pt>
                <c:pt idx="24">
                  <c:v>-34438.693053214251</c:v>
                </c:pt>
                <c:pt idx="25">
                  <c:v>-30772.3533603346</c:v>
                </c:pt>
                <c:pt idx="26">
                  <c:v>-27346.029142707186</c:v>
                </c:pt>
                <c:pt idx="27">
                  <c:v>-24113.420351377121</c:v>
                </c:pt>
                <c:pt idx="28">
                  <c:v>-21070.928862628221</c:v>
                </c:pt>
                <c:pt idx="29">
                  <c:v>-18208.236287292268</c:v>
                </c:pt>
                <c:pt idx="30">
                  <c:v>-15517.255722659305</c:v>
                </c:pt>
                <c:pt idx="31">
                  <c:v>-12997.456044714549</c:v>
                </c:pt>
                <c:pt idx="32">
                  <c:v>-10608.869570795796</c:v>
                </c:pt>
                <c:pt idx="33">
                  <c:v>-8359.8240270523747</c:v>
                </c:pt>
                <c:pt idx="34">
                  <c:v>-6265.1449003159141</c:v>
                </c:pt>
                <c:pt idx="35">
                  <c:v>-4275.7479735609813</c:v>
                </c:pt>
                <c:pt idx="36">
                  <c:v>-2427.2956700203395</c:v>
                </c:pt>
                <c:pt idx="37">
                  <c:v>-687.11469047098944</c:v>
                </c:pt>
                <c:pt idx="38">
                  <c:v>957.24483516050532</c:v>
                </c:pt>
                <c:pt idx="39">
                  <c:v>2494.0441905421176</c:v>
                </c:pt>
                <c:pt idx="40">
                  <c:v>3932.2412258258955</c:v>
                </c:pt>
                <c:pt idx="41">
                  <c:v>5275.9931951052786</c:v>
                </c:pt>
                <c:pt idx="42">
                  <c:v>6544.6325405805874</c:v>
                </c:pt>
                <c:pt idx="43">
                  <c:v>7747.6844642253163</c:v>
                </c:pt>
                <c:pt idx="44">
                  <c:v>8866.5662285555263</c:v>
                </c:pt>
                <c:pt idx="45">
                  <c:v>9911.9132681937663</c:v>
                </c:pt>
                <c:pt idx="46">
                  <c:v>10925.490733969362</c:v>
                </c:pt>
                <c:pt idx="47">
                  <c:v>11841.751061092313</c:v>
                </c:pt>
                <c:pt idx="48">
                  <c:v>12710.180217641753</c:v>
                </c:pt>
                <c:pt idx="49">
                  <c:v>13543.39054041171</c:v>
                </c:pt>
                <c:pt idx="50">
                  <c:v>14296.81151068353</c:v>
                </c:pt>
                <c:pt idx="51">
                  <c:v>15024.714415670829</c:v>
                </c:pt>
                <c:pt idx="52">
                  <c:v>15699.534023617021</c:v>
                </c:pt>
                <c:pt idx="53">
                  <c:v>16343.500129071434</c:v>
                </c:pt>
                <c:pt idx="54">
                  <c:v>16949.343349245497</c:v>
                </c:pt>
                <c:pt idx="55">
                  <c:v>17500.944909718215</c:v>
                </c:pt>
                <c:pt idx="56">
                  <c:v>18028.528543511064</c:v>
                </c:pt>
                <c:pt idx="57">
                  <c:v>18525.734026491027</c:v>
                </c:pt>
                <c:pt idx="58">
                  <c:v>18997.441348802491</c:v>
                </c:pt>
                <c:pt idx="59">
                  <c:v>19415.420844189895</c:v>
                </c:pt>
                <c:pt idx="60">
                  <c:v>19831.185855432908</c:v>
                </c:pt>
                <c:pt idx="61">
                  <c:v>20214.595140268924</c:v>
                </c:pt>
                <c:pt idx="62">
                  <c:v>20547.82098076868</c:v>
                </c:pt>
                <c:pt idx="63">
                  <c:v>20887.64226707253</c:v>
                </c:pt>
                <c:pt idx="64">
                  <c:v>21206.724471361456</c:v>
                </c:pt>
                <c:pt idx="65">
                  <c:v>21502.436018620396</c:v>
                </c:pt>
                <c:pt idx="66">
                  <c:v>21776.740592246209</c:v>
                </c:pt>
                <c:pt idx="67">
                  <c:v>22036.065494561146</c:v>
                </c:pt>
                <c:pt idx="68">
                  <c:v>22276.533614698481</c:v>
                </c:pt>
                <c:pt idx="69">
                  <c:v>22495.570351043887</c:v>
                </c:pt>
                <c:pt idx="70">
                  <c:v>22718.129942023097</c:v>
                </c:pt>
                <c:pt idx="71">
                  <c:v>22909.823326653524</c:v>
                </c:pt>
                <c:pt idx="72">
                  <c:v>23099.79976842281</c:v>
                </c:pt>
                <c:pt idx="73">
                  <c:v>23277.083042564918</c:v>
                </c:pt>
                <c:pt idx="74">
                  <c:v>23444.003184374313</c:v>
                </c:pt>
                <c:pt idx="75">
                  <c:v>23586.452821389823</c:v>
                </c:pt>
                <c:pt idx="76">
                  <c:v>23743.574992075162</c:v>
                </c:pt>
                <c:pt idx="77">
                  <c:v>23868.495099183983</c:v>
                </c:pt>
                <c:pt idx="78">
                  <c:v>23994.00819419598</c:v>
                </c:pt>
                <c:pt idx="79">
                  <c:v>24117.54446002264</c:v>
                </c:pt>
                <c:pt idx="80">
                  <c:v>24234.648142931721</c:v>
                </c:pt>
                <c:pt idx="81">
                  <c:v>24343.591979590674</c:v>
                </c:pt>
                <c:pt idx="82">
                  <c:v>24432.813852316587</c:v>
                </c:pt>
                <c:pt idx="83">
                  <c:v>24522.22726629208</c:v>
                </c:pt>
                <c:pt idx="84">
                  <c:v>24611.038833268947</c:v>
                </c:pt>
                <c:pt idx="85">
                  <c:v>24685.792942382704</c:v>
                </c:pt>
                <c:pt idx="86">
                  <c:v>24771.198866121224</c:v>
                </c:pt>
                <c:pt idx="87">
                  <c:v>24820.326849454075</c:v>
                </c:pt>
                <c:pt idx="88">
                  <c:v>24905.214755067336</c:v>
                </c:pt>
                <c:pt idx="89">
                  <c:v>24934.84702161367</c:v>
                </c:pt>
                <c:pt idx="90">
                  <c:v>25010.423035796364</c:v>
                </c:pt>
                <c:pt idx="91">
                  <c:v>25058.543410967846</c:v>
                </c:pt>
                <c:pt idx="92">
                  <c:v>25109.915700478956</c:v>
                </c:pt>
                <c:pt idx="93">
                  <c:v>25155.899623454978</c:v>
                </c:pt>
                <c:pt idx="94">
                  <c:v>25198.859006527036</c:v>
                </c:pt>
                <c:pt idx="95">
                  <c:v>25243.966449376348</c:v>
                </c:pt>
                <c:pt idx="96">
                  <c:v>25298.255049422929</c:v>
                </c:pt>
                <c:pt idx="97">
                  <c:v>25320.137251857894</c:v>
                </c:pt>
                <c:pt idx="98">
                  <c:v>25348.406813613987</c:v>
                </c:pt>
                <c:pt idx="99">
                  <c:v>25376.505497528808</c:v>
                </c:pt>
                <c:pt idx="100">
                  <c:v>25404.733184298348</c:v>
                </c:pt>
                <c:pt idx="101">
                  <c:v>25451.789676372191</c:v>
                </c:pt>
                <c:pt idx="102">
                  <c:v>25475.445237223019</c:v>
                </c:pt>
                <c:pt idx="103">
                  <c:v>25488.35768009118</c:v>
                </c:pt>
                <c:pt idx="104">
                  <c:v>25513.38728640151</c:v>
                </c:pt>
                <c:pt idx="105">
                  <c:v>25543.057302706449</c:v>
                </c:pt>
                <c:pt idx="106">
                  <c:v>25555.319980071457</c:v>
                </c:pt>
                <c:pt idx="107">
                  <c:v>25560.90631631044</c:v>
                </c:pt>
                <c:pt idx="108">
                  <c:v>25595.641118483341</c:v>
                </c:pt>
                <c:pt idx="109">
                  <c:v>25622.591696319007</c:v>
                </c:pt>
                <c:pt idx="110">
                  <c:v>25618.101942704383</c:v>
                </c:pt>
                <c:pt idx="111">
                  <c:v>25627.700034860431</c:v>
                </c:pt>
                <c:pt idx="112">
                  <c:v>25647.657804576302</c:v>
                </c:pt>
                <c:pt idx="113">
                  <c:v>25673.006000373811</c:v>
                </c:pt>
                <c:pt idx="114">
                  <c:v>25672.079031842306</c:v>
                </c:pt>
                <c:pt idx="115">
                  <c:v>25687.058758686217</c:v>
                </c:pt>
                <c:pt idx="116">
                  <c:v>25701.873221418355</c:v>
                </c:pt>
                <c:pt idx="117">
                  <c:v>25700.176313644482</c:v>
                </c:pt>
                <c:pt idx="118">
                  <c:v>25708.042585268682</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20489.376282052239</c:v>
                </c:pt>
              </c:numCache>
            </c:numRef>
          </c:yVal>
          <c:smooth val="0"/>
        </c:ser>
        <c:dLbls>
          <c:showLegendKey val="0"/>
          <c:showVal val="0"/>
          <c:showCatName val="0"/>
          <c:showSerName val="0"/>
          <c:showPercent val="0"/>
          <c:showBubbleSize val="0"/>
        </c:dLbls>
        <c:axId val="142857728"/>
        <c:axId val="142876672"/>
      </c:scatterChart>
      <c:valAx>
        <c:axId val="142857728"/>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876672"/>
        <c:crosses val="autoZero"/>
        <c:crossBetween val="midCat"/>
      </c:valAx>
      <c:valAx>
        <c:axId val="142876672"/>
        <c:scaling>
          <c:orientation val="minMax"/>
          <c:max val="90892.946671362894"/>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142857728"/>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0.78798637592098109</c:v>
                </c:pt>
                <c:pt idx="1">
                  <c:v>0.78571547768574801</c:v>
                </c:pt>
                <c:pt idx="2">
                  <c:v>0.78329959782281078</c:v>
                </c:pt>
                <c:pt idx="3">
                  <c:v>0.78083948374738898</c:v>
                </c:pt>
                <c:pt idx="4">
                  <c:v>0.77829818429224795</c:v>
                </c:pt>
                <c:pt idx="5">
                  <c:v>0.77567788982990094</c:v>
                </c:pt>
                <c:pt idx="6">
                  <c:v>0.77298469466672792</c:v>
                </c:pt>
                <c:pt idx="7">
                  <c:v>0.77026053391730476</c:v>
                </c:pt>
                <c:pt idx="8">
                  <c:v>0.76750067780225684</c:v>
                </c:pt>
                <c:pt idx="9">
                  <c:v>0.76472463272044655</c:v>
                </c:pt>
                <c:pt idx="10">
                  <c:v>0.76192248394235773</c:v>
                </c:pt>
                <c:pt idx="11">
                  <c:v>0.75911760178903087</c:v>
                </c:pt>
                <c:pt idx="12">
                  <c:v>0.75627471995762918</c:v>
                </c:pt>
                <c:pt idx="13">
                  <c:v>0.7534303297213838</c:v>
                </c:pt>
                <c:pt idx="14">
                  <c:v>0.75056791862161221</c:v>
                </c:pt>
                <c:pt idx="15">
                  <c:v>0.74768658490406137</c:v>
                </c:pt>
                <c:pt idx="16">
                  <c:v>0.74479937658834339</c:v>
                </c:pt>
                <c:pt idx="17">
                  <c:v>0.74192925447982261</c:v>
                </c:pt>
                <c:pt idx="18">
                  <c:v>0.73907142415654592</c:v>
                </c:pt>
                <c:pt idx="19">
                  <c:v>0.73619385836240236</c:v>
                </c:pt>
                <c:pt idx="20">
                  <c:v>0.73334745204991758</c:v>
                </c:pt>
                <c:pt idx="21">
                  <c:v>0.73049521911306503</c:v>
                </c:pt>
                <c:pt idx="22">
                  <c:v>0.72765539758509901</c:v>
                </c:pt>
                <c:pt idx="23">
                  <c:v>0.72484858279543563</c:v>
                </c:pt>
                <c:pt idx="24">
                  <c:v>0.72204867117769844</c:v>
                </c:pt>
                <c:pt idx="25">
                  <c:v>0.71926258696917378</c:v>
                </c:pt>
                <c:pt idx="26">
                  <c:v>0.71649149285567548</c:v>
                </c:pt>
                <c:pt idx="27">
                  <c:v>0.71373837679115015</c:v>
                </c:pt>
                <c:pt idx="28">
                  <c:v>0.71101450250779985</c:v>
                </c:pt>
                <c:pt idx="29">
                  <c:v>0.70828653160505584</c:v>
                </c:pt>
                <c:pt idx="30">
                  <c:v>0.70557245472300256</c:v>
                </c:pt>
                <c:pt idx="31">
                  <c:v>0.70290246321981453</c:v>
                </c:pt>
                <c:pt idx="32">
                  <c:v>0.70022436331728932</c:v>
                </c:pt>
                <c:pt idx="33">
                  <c:v>0.69759679258118956</c:v>
                </c:pt>
                <c:pt idx="34">
                  <c:v>0.69498581563563</c:v>
                </c:pt>
                <c:pt idx="35">
                  <c:v>0.69238149140549843</c:v>
                </c:pt>
                <c:pt idx="36">
                  <c:v>0.68981252357195122</c:v>
                </c:pt>
                <c:pt idx="37">
                  <c:v>0.6872759538225327</c:v>
                </c:pt>
                <c:pt idx="38">
                  <c:v>0.68477631060633137</c:v>
                </c:pt>
                <c:pt idx="39">
                  <c:v>0.68228758869511352</c:v>
                </c:pt>
                <c:pt idx="40">
                  <c:v>0.67979794554008532</c:v>
                </c:pt>
                <c:pt idx="41">
                  <c:v>0.67735546548252312</c:v>
                </c:pt>
                <c:pt idx="42">
                  <c:v>0.6749493842591221</c:v>
                </c:pt>
                <c:pt idx="43">
                  <c:v>0.67248780566214195</c:v>
                </c:pt>
                <c:pt idx="44">
                  <c:v>0.67014013444060072</c:v>
                </c:pt>
                <c:pt idx="45">
                  <c:v>0.66779437032918099</c:v>
                </c:pt>
                <c:pt idx="46">
                  <c:v>0.6654196328971973</c:v>
                </c:pt>
                <c:pt idx="47">
                  <c:v>0.66315460467386111</c:v>
                </c:pt>
                <c:pt idx="48">
                  <c:v>0.66084674233459162</c:v>
                </c:pt>
                <c:pt idx="49">
                  <c:v>0.65858903336514385</c:v>
                </c:pt>
                <c:pt idx="50">
                  <c:v>0.65631498333155125</c:v>
                </c:pt>
                <c:pt idx="51">
                  <c:v>0.65405519663544764</c:v>
                </c:pt>
                <c:pt idx="52">
                  <c:v>0.65188311526922404</c:v>
                </c:pt>
                <c:pt idx="53">
                  <c:v>0.64969013844436141</c:v>
                </c:pt>
                <c:pt idx="54">
                  <c:v>0.64750664569253336</c:v>
                </c:pt>
                <c:pt idx="55">
                  <c:v>0.64531648637931205</c:v>
                </c:pt>
                <c:pt idx="56">
                  <c:v>0.64326656261757531</c:v>
                </c:pt>
                <c:pt idx="57">
                  <c:v>0.64111216490355161</c:v>
                </c:pt>
                <c:pt idx="58">
                  <c:v>0.63900994574463044</c:v>
                </c:pt>
                <c:pt idx="59">
                  <c:v>0.63708100868382811</c:v>
                </c:pt>
                <c:pt idx="60">
                  <c:v>0.63500345410314762</c:v>
                </c:pt>
                <c:pt idx="61">
                  <c:v>0.63293769453435711</c:v>
                </c:pt>
                <c:pt idx="62">
                  <c:v>0.6309101925570656</c:v>
                </c:pt>
                <c:pt idx="63">
                  <c:v>0.62891896976978323</c:v>
                </c:pt>
                <c:pt idx="64">
                  <c:v>0.62692535801825888</c:v>
                </c:pt>
                <c:pt idx="65">
                  <c:v>0.62496704688909066</c:v>
                </c:pt>
                <c:pt idx="66">
                  <c:v>0.623079010562959</c:v>
                </c:pt>
                <c:pt idx="67">
                  <c:v>0.6210447938857141</c:v>
                </c:pt>
                <c:pt idx="68">
                  <c:v>0.61918634834130359</c:v>
                </c:pt>
                <c:pt idx="69">
                  <c:v>0.61723389880152024</c:v>
                </c:pt>
                <c:pt idx="70">
                  <c:v>0.61529881494889704</c:v>
                </c:pt>
                <c:pt idx="71">
                  <c:v>0.61336294416435289</c:v>
                </c:pt>
                <c:pt idx="72">
                  <c:v>0.61161150154125921</c:v>
                </c:pt>
                <c:pt idx="73">
                  <c:v>0.60955850653354982</c:v>
                </c:pt>
                <c:pt idx="74">
                  <c:v>0.60782313752408668</c:v>
                </c:pt>
                <c:pt idx="75">
                  <c:v>0.60597455851802351</c:v>
                </c:pt>
                <c:pt idx="76">
                  <c:v>0.6040381082678884</c:v>
                </c:pt>
                <c:pt idx="77">
                  <c:v>0.60207974773640849</c:v>
                </c:pt>
                <c:pt idx="78">
                  <c:v>0.60013458958908394</c:v>
                </c:pt>
                <c:pt idx="79">
                  <c:v>0.59844037675587169</c:v>
                </c:pt>
                <c:pt idx="80">
                  <c:v>0.59663833643131381</c:v>
                </c:pt>
                <c:pt idx="81">
                  <c:v>0.59473078350527631</c:v>
                </c:pt>
                <c:pt idx="82">
                  <c:v>0.59302151639338396</c:v>
                </c:pt>
                <c:pt idx="83">
                  <c:v>0.59093546253024365</c:v>
                </c:pt>
                <c:pt idx="84">
                  <c:v>0.58966262082965948</c:v>
                </c:pt>
                <c:pt idx="85">
                  <c:v>0.58731899946221355</c:v>
                </c:pt>
                <c:pt idx="86">
                  <c:v>0.58645282913599683</c:v>
                </c:pt>
                <c:pt idx="87">
                  <c:v>0.58411451425514871</c:v>
                </c:pt>
                <c:pt idx="88">
                  <c:v>0.58251677410671687</c:v>
                </c:pt>
                <c:pt idx="89">
                  <c:v>0.58070316591383231</c:v>
                </c:pt>
                <c:pt idx="90">
                  <c:v>0.57897236527333062</c:v>
                </c:pt>
                <c:pt idx="91">
                  <c:v>0.57725083025120516</c:v>
                </c:pt>
                <c:pt idx="92">
                  <c:v>0.57531880727382079</c:v>
                </c:pt>
                <c:pt idx="93">
                  <c:v>0.57279627720148618</c:v>
                </c:pt>
                <c:pt idx="94">
                  <c:v>0.57170944425157855</c:v>
                </c:pt>
                <c:pt idx="95">
                  <c:v>0.57023759236645599</c:v>
                </c:pt>
                <c:pt idx="96">
                  <c:v>0.56869066163698057</c:v>
                </c:pt>
                <c:pt idx="97">
                  <c:v>0.56704177445483328</c:v>
                </c:pt>
                <c:pt idx="98">
                  <c:v>0.56404595328991725</c:v>
                </c:pt>
                <c:pt idx="99">
                  <c:v>0.5624030936838269</c:v>
                </c:pt>
                <c:pt idx="100">
                  <c:v>0.5614617823452569</c:v>
                </c:pt>
                <c:pt idx="101">
                  <c:v>0.55953664162588346</c:v>
                </c:pt>
                <c:pt idx="102">
                  <c:v>0.5570579127111559</c:v>
                </c:pt>
                <c:pt idx="103">
                  <c:v>0.55596172426447954</c:v>
                </c:pt>
                <c:pt idx="104">
                  <c:v>0.5554469001834984</c:v>
                </c:pt>
                <c:pt idx="105">
                  <c:v>0.55199909699270966</c:v>
                </c:pt>
                <c:pt idx="106">
                  <c:v>0.54897423964810077</c:v>
                </c:pt>
                <c:pt idx="107">
                  <c:v>0.54950290539271263</c:v>
                </c:pt>
                <c:pt idx="108">
                  <c:v>0.548359519363116</c:v>
                </c:pt>
                <c:pt idx="109">
                  <c:v>0.54580970560473552</c:v>
                </c:pt>
                <c:pt idx="110">
                  <c:v>0.54216679500306764</c:v>
                </c:pt>
                <c:pt idx="111">
                  <c:v>0.54230933858615127</c:v>
                </c:pt>
                <c:pt idx="112">
                  <c:v>0.5399048655282318</c:v>
                </c:pt>
                <c:pt idx="113">
                  <c:v>0.53728712041583393</c:v>
                </c:pt>
                <c:pt idx="114">
                  <c:v>0.53760063289881366</c:v>
                </c:pt>
                <c:pt idx="115">
                  <c:v>0.53611443884544396</c:v>
                </c:pt>
              </c:numCache>
            </c:numRef>
          </c:xVal>
          <c:yVal>
            <c:numRef>
              <c:f>Calc!$Y$15:$Y$130</c:f>
              <c:numCache>
                <c:formatCode>0.00</c:formatCode>
                <c:ptCount val="116"/>
                <c:pt idx="0">
                  <c:v>55.249564647586915</c:v>
                </c:pt>
                <c:pt idx="1">
                  <c:v>52.254087533998494</c:v>
                </c:pt>
                <c:pt idx="2">
                  <c:v>49.325670628988831</c:v>
                </c:pt>
                <c:pt idx="3">
                  <c:v>46.579360783818586</c:v>
                </c:pt>
                <c:pt idx="4">
                  <c:v>43.946232587503303</c:v>
                </c:pt>
                <c:pt idx="5">
                  <c:v>41.470106130403842</c:v>
                </c:pt>
                <c:pt idx="6">
                  <c:v>39.113162708710142</c:v>
                </c:pt>
                <c:pt idx="7">
                  <c:v>36.895008286105551</c:v>
                </c:pt>
                <c:pt idx="8">
                  <c:v>34.81257979096565</c:v>
                </c:pt>
                <c:pt idx="9">
                  <c:v>32.852386235877965</c:v>
                </c:pt>
                <c:pt idx="10">
                  <c:v>31.009031237296131</c:v>
                </c:pt>
                <c:pt idx="11">
                  <c:v>29.267715077872733</c:v>
                </c:pt>
                <c:pt idx="12">
                  <c:v>27.623902789902033</c:v>
                </c:pt>
                <c:pt idx="13">
                  <c:v>26.080553446635243</c:v>
                </c:pt>
                <c:pt idx="14">
                  <c:v>24.632649302976368</c:v>
                </c:pt>
                <c:pt idx="15">
                  <c:v>23.271014431053043</c:v>
                </c:pt>
                <c:pt idx="16">
                  <c:v>21.989451635380341</c:v>
                </c:pt>
                <c:pt idx="17">
                  <c:v>20.777623446677712</c:v>
                </c:pt>
                <c:pt idx="18">
                  <c:v>19.638466893548937</c:v>
                </c:pt>
                <c:pt idx="19">
                  <c:v>18.573793736336015</c:v>
                </c:pt>
                <c:pt idx="20">
                  <c:v>17.571759777870955</c:v>
                </c:pt>
                <c:pt idx="21">
                  <c:v>16.62823623146447</c:v>
                </c:pt>
                <c:pt idx="22">
                  <c:v>15.718337316328896</c:v>
                </c:pt>
                <c:pt idx="23">
                  <c:v>14.865918224255887</c:v>
                </c:pt>
                <c:pt idx="24">
                  <c:v>14.076560315148118</c:v>
                </c:pt>
                <c:pt idx="25">
                  <c:v>13.330621344077485</c:v>
                </c:pt>
                <c:pt idx="26">
                  <c:v>12.6306472853302</c:v>
                </c:pt>
                <c:pt idx="27">
                  <c:v>11.972800490955656</c:v>
                </c:pt>
                <c:pt idx="28">
                  <c:v>11.349264896363199</c:v>
                </c:pt>
                <c:pt idx="29">
                  <c:v>10.764725666671904</c:v>
                </c:pt>
                <c:pt idx="30">
                  <c:v>10.209663770968323</c:v>
                </c:pt>
                <c:pt idx="31">
                  <c:v>9.6877389957456757</c:v>
                </c:pt>
                <c:pt idx="32">
                  <c:v>9.1935729507529551</c:v>
                </c:pt>
                <c:pt idx="33">
                  <c:v>8.7230752811545393</c:v>
                </c:pt>
                <c:pt idx="34">
                  <c:v>8.279916751771129</c:v>
                </c:pt>
                <c:pt idx="35">
                  <c:v>7.8635182847246048</c:v>
                </c:pt>
                <c:pt idx="36">
                  <c:v>7.4665015782914015</c:v>
                </c:pt>
                <c:pt idx="37">
                  <c:v>7.0952791350861428</c:v>
                </c:pt>
                <c:pt idx="38">
                  <c:v>6.7424849171196515</c:v>
                </c:pt>
                <c:pt idx="39">
                  <c:v>6.4105381936987333</c:v>
                </c:pt>
                <c:pt idx="40">
                  <c:v>6.0964749206556004</c:v>
                </c:pt>
                <c:pt idx="41">
                  <c:v>5.7956649183108508</c:v>
                </c:pt>
                <c:pt idx="42">
                  <c:v>5.512142379734505</c:v>
                </c:pt>
                <c:pt idx="43">
                  <c:v>5.2413003874678656</c:v>
                </c:pt>
                <c:pt idx="44">
                  <c:v>4.9880334728833144</c:v>
                </c:pt>
                <c:pt idx="45">
                  <c:v>4.7445937701059613</c:v>
                </c:pt>
                <c:pt idx="46">
                  <c:v>4.517632083186264</c:v>
                </c:pt>
                <c:pt idx="47">
                  <c:v>4.2984444009377389</c:v>
                </c:pt>
                <c:pt idx="48">
                  <c:v>4.0906236819012856</c:v>
                </c:pt>
                <c:pt idx="49">
                  <c:v>3.897227646179001</c:v>
                </c:pt>
                <c:pt idx="50">
                  <c:v>3.7078165831154255</c:v>
                </c:pt>
                <c:pt idx="51">
                  <c:v>3.5334629942701121</c:v>
                </c:pt>
                <c:pt idx="52">
                  <c:v>3.3589758804991892</c:v>
                </c:pt>
                <c:pt idx="53">
                  <c:v>3.1974496691188299</c:v>
                </c:pt>
                <c:pt idx="54">
                  <c:v>3.0462137584338298</c:v>
                </c:pt>
                <c:pt idx="55">
                  <c:v>2.8977431688482596</c:v>
                </c:pt>
                <c:pt idx="56">
                  <c:v>2.7550865968888818</c:v>
                </c:pt>
                <c:pt idx="57">
                  <c:v>2.6236806014049621</c:v>
                </c:pt>
                <c:pt idx="58">
                  <c:v>2.4984291426007221</c:v>
                </c:pt>
                <c:pt idx="59">
                  <c:v>2.3815719862676037</c:v>
                </c:pt>
                <c:pt idx="60">
                  <c:v>2.2680791513644567</c:v>
                </c:pt>
                <c:pt idx="61">
                  <c:v>2.1614186705757401</c:v>
                </c:pt>
                <c:pt idx="62">
                  <c:v>2.0578681098503768</c:v>
                </c:pt>
                <c:pt idx="63">
                  <c:v>1.9582914825888904</c:v>
                </c:pt>
                <c:pt idx="64">
                  <c:v>1.8649950125431347</c:v>
                </c:pt>
                <c:pt idx="65">
                  <c:v>1.7784902716944462</c:v>
                </c:pt>
                <c:pt idx="66">
                  <c:v>1.6933651943723667</c:v>
                </c:pt>
                <c:pt idx="67">
                  <c:v>1.611562727606499</c:v>
                </c:pt>
                <c:pt idx="68">
                  <c:v>1.5367196432600785</c:v>
                </c:pt>
                <c:pt idx="69">
                  <c:v>1.4629571244599986</c:v>
                </c:pt>
                <c:pt idx="70">
                  <c:v>1.3924407345860612</c:v>
                </c:pt>
                <c:pt idx="71">
                  <c:v>1.3241549628285469</c:v>
                </c:pt>
                <c:pt idx="72">
                  <c:v>1.2620602319488474</c:v>
                </c:pt>
                <c:pt idx="73">
                  <c:v>1.2016655876260987</c:v>
                </c:pt>
                <c:pt idx="74">
                  <c:v>1.1434349961232726</c:v>
                </c:pt>
                <c:pt idx="75">
                  <c:v>1.0877241721069351</c:v>
                </c:pt>
                <c:pt idx="76">
                  <c:v>1.0373754589580488</c:v>
                </c:pt>
                <c:pt idx="77">
                  <c:v>0.98506300072860309</c:v>
                </c:pt>
                <c:pt idx="78">
                  <c:v>0.93738204702302208</c:v>
                </c:pt>
                <c:pt idx="79">
                  <c:v>0.8916257897557176</c:v>
                </c:pt>
                <c:pt idx="80">
                  <c:v>0.84649574847609144</c:v>
                </c:pt>
                <c:pt idx="81">
                  <c:v>0.80378242040008074</c:v>
                </c:pt>
                <c:pt idx="82">
                  <c:v>0.76397781414485311</c:v>
                </c:pt>
                <c:pt idx="83">
                  <c:v>0.72630766498464405</c:v>
                </c:pt>
                <c:pt idx="84">
                  <c:v>0.68941497815607744</c:v>
                </c:pt>
                <c:pt idx="85">
                  <c:v>0.65514573240358787</c:v>
                </c:pt>
                <c:pt idx="86">
                  <c:v>0.62186087216233432</c:v>
                </c:pt>
                <c:pt idx="87">
                  <c:v>0.58831197271697977</c:v>
                </c:pt>
                <c:pt idx="88">
                  <c:v>0.56066112577323479</c:v>
                </c:pt>
                <c:pt idx="89">
                  <c:v>0.53105939064967589</c:v>
                </c:pt>
                <c:pt idx="90">
                  <c:v>0.505778886599488</c:v>
                </c:pt>
                <c:pt idx="91">
                  <c:v>0.47851358566271834</c:v>
                </c:pt>
                <c:pt idx="92">
                  <c:v>0.45413123821919804</c:v>
                </c:pt>
                <c:pt idx="93">
                  <c:v>0.42893727131957016</c:v>
                </c:pt>
                <c:pt idx="94">
                  <c:v>0.40524985644032413</c:v>
                </c:pt>
                <c:pt idx="95">
                  <c:v>0.38066736203193813</c:v>
                </c:pt>
                <c:pt idx="96">
                  <c:v>0.36479574850997648</c:v>
                </c:pt>
                <c:pt idx="97">
                  <c:v>0.34413137852968662</c:v>
                </c:pt>
                <c:pt idx="98">
                  <c:v>0.32452364082472746</c:v>
                </c:pt>
                <c:pt idx="99">
                  <c:v>0.30729723771666029</c:v>
                </c:pt>
                <c:pt idx="100">
                  <c:v>0.28809512544353083</c:v>
                </c:pt>
                <c:pt idx="101">
                  <c:v>0.27422876962111514</c:v>
                </c:pt>
                <c:pt idx="102">
                  <c:v>0.25924065594601092</c:v>
                </c:pt>
                <c:pt idx="103">
                  <c:v>0.24614629934089965</c:v>
                </c:pt>
                <c:pt idx="104">
                  <c:v>0.23213865883792889</c:v>
                </c:pt>
                <c:pt idx="105">
                  <c:v>0.21693166578485382</c:v>
                </c:pt>
                <c:pt idx="106">
                  <c:v>0.20408742946304223</c:v>
                </c:pt>
                <c:pt idx="107">
                  <c:v>0.19173201655752348</c:v>
                </c:pt>
                <c:pt idx="108">
                  <c:v>0.18125033488169603</c:v>
                </c:pt>
                <c:pt idx="109">
                  <c:v>0.17238296971775677</c:v>
                </c:pt>
                <c:pt idx="110">
                  <c:v>0.15879786207944743</c:v>
                </c:pt>
                <c:pt idx="111">
                  <c:v>0.15091828365870197</c:v>
                </c:pt>
                <c:pt idx="112">
                  <c:v>0.13958686216375638</c:v>
                </c:pt>
                <c:pt idx="113">
                  <c:v>0.13079182665905034</c:v>
                </c:pt>
                <c:pt idx="114">
                  <c:v>0.12189747891143866</c:v>
                </c:pt>
                <c:pt idx="115">
                  <c:v>0.11166547815882592</c:v>
                </c:pt>
              </c:numCache>
            </c:numRef>
          </c:yVal>
          <c:smooth val="0"/>
        </c:ser>
        <c:dLbls>
          <c:showLegendKey val="0"/>
          <c:showVal val="0"/>
          <c:showCatName val="0"/>
          <c:showSerName val="0"/>
          <c:showPercent val="0"/>
          <c:showBubbleSize val="0"/>
        </c:dLbls>
        <c:axId val="142902784"/>
        <c:axId val="142913536"/>
      </c:scatterChart>
      <c:valAx>
        <c:axId val="142902784"/>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142913536"/>
        <c:crosses val="autoZero"/>
        <c:crossBetween val="midCat"/>
      </c:valAx>
      <c:valAx>
        <c:axId val="142913536"/>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142902784"/>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3.9136992271831848E+16</c:v>
                </c:pt>
                <c:pt idx="1">
                  <c:v>4.019757950596416E+16</c:v>
                </c:pt>
                <c:pt idx="2">
                  <c:v>3.9270550860379744E+16</c:v>
                </c:pt>
                <c:pt idx="3">
                  <c:v>3.7697316715867712E+16</c:v>
                </c:pt>
                <c:pt idx="4">
                  <c:v>3.5996872236696196E+16</c:v>
                </c:pt>
                <c:pt idx="5">
                  <c:v>3.426866298130428E+16</c:v>
                </c:pt>
                <c:pt idx="6">
                  <c:v>3.2590539872723432E+16</c:v>
                </c:pt>
                <c:pt idx="7">
                  <c:v>3.093957724379714E+16</c:v>
                </c:pt>
                <c:pt idx="8">
                  <c:v>2.9320900716672528E+16</c:v>
                </c:pt>
                <c:pt idx="9">
                  <c:v>2.7741268711972164E+16</c:v>
                </c:pt>
                <c:pt idx="10">
                  <c:v>2.6225791083486872E+16</c:v>
                </c:pt>
                <c:pt idx="11">
                  <c:v>2.4770530547858192E+16</c:v>
                </c:pt>
                <c:pt idx="12">
                  <c:v>2.3383814181130064E+16</c:v>
                </c:pt>
                <c:pt idx="13">
                  <c:v>2.205834733702386E+16</c:v>
                </c:pt>
                <c:pt idx="14">
                  <c:v>2.0802395618712064E+16</c:v>
                </c:pt>
                <c:pt idx="15">
                  <c:v>1.9597881459823508E+16</c:v>
                </c:pt>
                <c:pt idx="16">
                  <c:v>1.845802107986882E+16</c:v>
                </c:pt>
                <c:pt idx="17">
                  <c:v>1.7373336699397444E+16</c:v>
                </c:pt>
                <c:pt idx="18">
                  <c:v>1.6341297374433938E+16</c:v>
                </c:pt>
                <c:pt idx="19">
                  <c:v>1.536409843234907E+16</c:v>
                </c:pt>
                <c:pt idx="20">
                  <c:v>1.4446127969723144E+16</c:v>
                </c:pt>
                <c:pt idx="21">
                  <c:v>1.358218417552598E+16</c:v>
                </c:pt>
                <c:pt idx="22">
                  <c:v>1.276006859184355E+16</c:v>
                </c:pt>
                <c:pt idx="23">
                  <c:v>1.1991513817641032E+16</c:v>
                </c:pt>
                <c:pt idx="24">
                  <c:v>1.126355906827118E+16</c:v>
                </c:pt>
                <c:pt idx="25">
                  <c:v>1.0578486855509874E+16</c:v>
                </c:pt>
                <c:pt idx="26">
                  <c:v>9938262623705524</c:v>
                </c:pt>
                <c:pt idx="27">
                  <c:v>9334234998559652</c:v>
                </c:pt>
                <c:pt idx="28">
                  <c:v>8765731654324367</c:v>
                </c:pt>
                <c:pt idx="29">
                  <c:v>8230824553149456</c:v>
                </c:pt>
                <c:pt idx="30">
                  <c:v>7728002620557928</c:v>
                </c:pt>
                <c:pt idx="31">
                  <c:v>7257166613616901</c:v>
                </c:pt>
                <c:pt idx="32">
                  <c:v>6810848389411657</c:v>
                </c:pt>
                <c:pt idx="33">
                  <c:v>6390604021371906</c:v>
                </c:pt>
                <c:pt idx="34">
                  <c:v>5999203719003531</c:v>
                </c:pt>
                <c:pt idx="35">
                  <c:v>5627475873567011</c:v>
                </c:pt>
                <c:pt idx="36">
                  <c:v>5282084170711536</c:v>
                </c:pt>
                <c:pt idx="37">
                  <c:v>4956923456176472</c:v>
                </c:pt>
                <c:pt idx="38">
                  <c:v>4649667415229892</c:v>
                </c:pt>
                <c:pt idx="39">
                  <c:v>4362509480299287</c:v>
                </c:pt>
                <c:pt idx="40">
                  <c:v>4093775836424965</c:v>
                </c:pt>
                <c:pt idx="41">
                  <c:v>3842689681810210.5</c:v>
                </c:pt>
                <c:pt idx="42">
                  <c:v>3605638661881885</c:v>
                </c:pt>
                <c:pt idx="43">
                  <c:v>3380842949417307.5</c:v>
                </c:pt>
                <c:pt idx="44">
                  <c:v>3171774813260527</c:v>
                </c:pt>
                <c:pt idx="45">
                  <c:v>2976446974179152.5</c:v>
                </c:pt>
                <c:pt idx="46">
                  <c:v>2787055424172911</c:v>
                </c:pt>
                <c:pt idx="47">
                  <c:v>2615848023236610.5</c:v>
                </c:pt>
                <c:pt idx="48">
                  <c:v>2453578093622838</c:v>
                </c:pt>
                <c:pt idx="49">
                  <c:v>2297888962955503</c:v>
                </c:pt>
                <c:pt idx="50">
                  <c:v>2157108834958282.5</c:v>
                </c:pt>
                <c:pt idx="51">
                  <c:v>2021096873283404.3</c:v>
                </c:pt>
                <c:pt idx="52">
                  <c:v>1895003766600397.7</c:v>
                </c:pt>
                <c:pt idx="53">
                  <c:v>1774675776898921.7</c:v>
                </c:pt>
                <c:pt idx="54">
                  <c:v>1661471221348017</c:v>
                </c:pt>
                <c:pt idx="55">
                  <c:v>1558401966109740.7</c:v>
                </c:pt>
                <c:pt idx="56">
                  <c:v>1459820569486549.7</c:v>
                </c:pt>
                <c:pt idx="57">
                  <c:v>1366915468226114.2</c:v>
                </c:pt>
                <c:pt idx="58">
                  <c:v>1278774814020171.7</c:v>
                </c:pt>
                <c:pt idx="59">
                  <c:v>1200673448140187.5</c:v>
                </c:pt>
                <c:pt idx="60">
                  <c:v>1122985868673903.4</c:v>
                </c:pt>
                <c:pt idx="61">
                  <c:v>1051344103546150.6</c:v>
                </c:pt>
                <c:pt idx="62">
                  <c:v>989079342770230.37</c:v>
                </c:pt>
                <c:pt idx="63">
                  <c:v>925582193009749.75</c:v>
                </c:pt>
                <c:pt idx="64">
                  <c:v>865960234856363.5</c:v>
                </c:pt>
                <c:pt idx="65">
                  <c:v>810705190046089.5</c:v>
                </c:pt>
                <c:pt idx="66">
                  <c:v>759450135423263.12</c:v>
                </c:pt>
                <c:pt idx="67">
                  <c:v>710994100376093.87</c:v>
                </c:pt>
                <c:pt idx="68">
                  <c:v>666061540667845.75</c:v>
                </c:pt>
                <c:pt idx="69">
                  <c:v>625133532296012.5</c:v>
                </c:pt>
                <c:pt idx="70">
                  <c:v>583547262545970.37</c:v>
                </c:pt>
                <c:pt idx="71">
                  <c:v>547728483550801.94</c:v>
                </c:pt>
                <c:pt idx="72">
                  <c:v>512230523122268.25</c:v>
                </c:pt>
                <c:pt idx="73">
                  <c:v>479104338677882.62</c:v>
                </c:pt>
                <c:pt idx="74">
                  <c:v>447914552547078.44</c:v>
                </c:pt>
                <c:pt idx="75">
                  <c:v>421297191306169.56</c:v>
                </c:pt>
                <c:pt idx="76">
                  <c:v>391938200551899.94</c:v>
                </c:pt>
                <c:pt idx="77">
                  <c:v>368596311538827.44</c:v>
                </c:pt>
                <c:pt idx="78">
                  <c:v>345143620044534.19</c:v>
                </c:pt>
                <c:pt idx="79">
                  <c:v>322060308056149.44</c:v>
                </c:pt>
                <c:pt idx="80">
                  <c:v>300178953382761.19</c:v>
                </c:pt>
                <c:pt idx="81">
                  <c:v>279822303017929.69</c:v>
                </c:pt>
                <c:pt idx="82">
                  <c:v>263150791129994.62</c:v>
                </c:pt>
                <c:pt idx="83">
                  <c:v>246443488890189.59</c:v>
                </c:pt>
                <c:pt idx="84">
                  <c:v>229848644493801.19</c:v>
                </c:pt>
                <c:pt idx="85">
                  <c:v>215880499904520.72</c:v>
                </c:pt>
                <c:pt idx="86">
                  <c:v>199922015405089.12</c:v>
                </c:pt>
                <c:pt idx="87">
                  <c:v>190742228732375.16</c:v>
                </c:pt>
                <c:pt idx="88">
                  <c:v>174880538270880.53</c:v>
                </c:pt>
                <c:pt idx="89">
                  <c:v>169343614768823.66</c:v>
                </c:pt>
                <c:pt idx="90">
                  <c:v>155221893486867.34</c:v>
                </c:pt>
                <c:pt idx="91">
                  <c:v>146230382972537.91</c:v>
                </c:pt>
                <c:pt idx="92">
                  <c:v>136631237503737.08</c:v>
                </c:pt>
                <c:pt idx="93">
                  <c:v>128038932779270.53</c:v>
                </c:pt>
                <c:pt idx="94">
                  <c:v>120011777063942.03</c:v>
                </c:pt>
                <c:pt idx="95">
                  <c:v>111583246629406.37</c:v>
                </c:pt>
                <c:pt idx="96">
                  <c:v>101439175300212.94</c:v>
                </c:pt>
                <c:pt idx="97">
                  <c:v>97350386454125.906</c:v>
                </c:pt>
                <c:pt idx="98">
                  <c:v>92068090527304.703</c:v>
                </c:pt>
                <c:pt idx="99">
                  <c:v>86817723900723.391</c:v>
                </c:pt>
                <c:pt idx="100">
                  <c:v>81543252505206.406</c:v>
                </c:pt>
                <c:pt idx="101">
                  <c:v>72750533376528.969</c:v>
                </c:pt>
                <c:pt idx="102">
                  <c:v>68330384461342.867</c:v>
                </c:pt>
                <c:pt idx="103">
                  <c:v>65917635903148.453</c:v>
                </c:pt>
                <c:pt idx="104">
                  <c:v>61240740357200.008</c:v>
                </c:pt>
                <c:pt idx="105">
                  <c:v>55696763141405.68</c:v>
                </c:pt>
                <c:pt idx="106">
                  <c:v>53405426216695.492</c:v>
                </c:pt>
                <c:pt idx="107">
                  <c:v>52361593934624.164</c:v>
                </c:pt>
                <c:pt idx="108">
                  <c:v>45871238490847.719</c:v>
                </c:pt>
                <c:pt idx="109">
                  <c:v>40835400696294.141</c:v>
                </c:pt>
                <c:pt idx="110">
                  <c:v>41674331537726.102</c:v>
                </c:pt>
                <c:pt idx="111">
                  <c:v>39880884453594.289</c:v>
                </c:pt>
                <c:pt idx="112">
                  <c:v>36151684595876.445</c:v>
                </c:pt>
                <c:pt idx="113">
                  <c:v>31415259158203.598</c:v>
                </c:pt>
                <c:pt idx="114">
                  <c:v>31588467435731.73</c:v>
                </c:pt>
                <c:pt idx="115">
                  <c:v>28789437483475.242</c:v>
                </c:pt>
                <c:pt idx="116">
                  <c:v>26021287880620.437</c:v>
                </c:pt>
                <c:pt idx="117">
                  <c:v>26338362800261.676</c:v>
                </c:pt>
                <c:pt idx="118">
                  <c:v>24868514243065.34</c:v>
                </c:pt>
                <c:pt idx="119">
                  <c:v>23716110371072.23</c:v>
                </c:pt>
              </c:numCache>
            </c:numRef>
          </c:xVal>
          <c:yVal>
            <c:numRef>
              <c:f>Calc!$P$12:$P$131</c:f>
              <c:numCache>
                <c:formatCode>0.00E+00</c:formatCode>
                <c:ptCount val="120"/>
                <c:pt idx="0">
                  <c:v>8.6687005558315708E-5</c:v>
                </c:pt>
                <c:pt idx="1">
                  <c:v>8.2736830468972509E-5</c:v>
                </c:pt>
                <c:pt idx="2">
                  <c:v>8.0485250002295246E-5</c:v>
                </c:pt>
                <c:pt idx="3">
                  <c:v>8.0541279488749988E-5</c:v>
                </c:pt>
                <c:pt idx="4">
                  <c:v>8.1317018098227867E-5</c:v>
                </c:pt>
                <c:pt idx="5">
                  <c:v>8.2008922966157486E-5</c:v>
                </c:pt>
                <c:pt idx="6">
                  <c:v>8.25914283386991E-5</c:v>
                </c:pt>
                <c:pt idx="7">
                  <c:v>8.3105481830277525E-5</c:v>
                </c:pt>
                <c:pt idx="8">
                  <c:v>8.346013964672618E-5</c:v>
                </c:pt>
                <c:pt idx="9">
                  <c:v>8.3722141976080478E-5</c:v>
                </c:pt>
                <c:pt idx="10">
                  <c:v>8.3906949354240585E-5</c:v>
                </c:pt>
                <c:pt idx="11">
                  <c:v>8.3991637273413296E-5</c:v>
                </c:pt>
                <c:pt idx="12">
                  <c:v>8.4020522442555308E-5</c:v>
                </c:pt>
                <c:pt idx="13">
                  <c:v>8.3969529340101735E-5</c:v>
                </c:pt>
                <c:pt idx="14">
                  <c:v>8.3899907007306464E-5</c:v>
                </c:pt>
                <c:pt idx="15">
                  <c:v>8.3745414390215547E-5</c:v>
                </c:pt>
                <c:pt idx="16">
                  <c:v>8.3542079416284835E-5</c:v>
                </c:pt>
                <c:pt idx="17">
                  <c:v>8.3254757302729938E-5</c:v>
                </c:pt>
                <c:pt idx="18">
                  <c:v>8.2891149869060904E-5</c:v>
                </c:pt>
                <c:pt idx="19">
                  <c:v>8.2476387064915494E-5</c:v>
                </c:pt>
                <c:pt idx="20">
                  <c:v>8.2071530597488724E-5</c:v>
                </c:pt>
                <c:pt idx="21">
                  <c:v>8.1639245203895988E-5</c:v>
                </c:pt>
                <c:pt idx="22">
                  <c:v>8.1094114711572048E-5</c:v>
                </c:pt>
                <c:pt idx="23">
                  <c:v>8.0555593419232458E-5</c:v>
                </c:pt>
                <c:pt idx="24">
                  <c:v>7.9958824656267585E-5</c:v>
                </c:pt>
                <c:pt idx="25">
                  <c:v>7.9442681105069388E-5</c:v>
                </c:pt>
                <c:pt idx="26">
                  <c:v>7.8914294096291954E-5</c:v>
                </c:pt>
                <c:pt idx="27">
                  <c:v>7.8274289001221612E-5</c:v>
                </c:pt>
                <c:pt idx="28">
                  <c:v>7.7620194283596459E-5</c:v>
                </c:pt>
                <c:pt idx="29">
                  <c:v>7.6922729006445603E-5</c:v>
                </c:pt>
                <c:pt idx="30">
                  <c:v>7.6191839954149748E-5</c:v>
                </c:pt>
                <c:pt idx="31">
                  <c:v>7.5480767533353622E-5</c:v>
                </c:pt>
                <c:pt idx="32">
                  <c:v>7.4685310839221801E-5</c:v>
                </c:pt>
                <c:pt idx="33">
                  <c:v>7.3886894760531025E-5</c:v>
                </c:pt>
                <c:pt idx="34">
                  <c:v>7.3098443011803644E-5</c:v>
                </c:pt>
                <c:pt idx="35">
                  <c:v>7.2254726534700962E-5</c:v>
                </c:pt>
                <c:pt idx="36">
                  <c:v>7.1478041354868039E-5</c:v>
                </c:pt>
                <c:pt idx="37">
                  <c:v>7.0668063210929907E-5</c:v>
                </c:pt>
                <c:pt idx="38">
                  <c:v>6.979783229263059E-5</c:v>
                </c:pt>
                <c:pt idx="39">
                  <c:v>6.8969355713021033E-5</c:v>
                </c:pt>
                <c:pt idx="40">
                  <c:v>6.8106963659461596E-5</c:v>
                </c:pt>
                <c:pt idx="41">
                  <c:v>6.7274778585291433E-5</c:v>
                </c:pt>
                <c:pt idx="42">
                  <c:v>6.6393361307032767E-5</c:v>
                </c:pt>
                <c:pt idx="43">
                  <c:v>6.546107783715884E-5</c:v>
                </c:pt>
                <c:pt idx="44">
                  <c:v>6.4600521537234079E-5</c:v>
                </c:pt>
                <c:pt idx="45">
                  <c:v>6.3740383109114483E-5</c:v>
                </c:pt>
                <c:pt idx="46">
                  <c:v>6.276875306385805E-5</c:v>
                </c:pt>
                <c:pt idx="47">
                  <c:v>6.1904197193133549E-5</c:v>
                </c:pt>
                <c:pt idx="48">
                  <c:v>6.104327106435017E-5</c:v>
                </c:pt>
                <c:pt idx="49">
                  <c:v>6.0041996748201896E-5</c:v>
                </c:pt>
                <c:pt idx="50">
                  <c:v>5.923763213144831E-5</c:v>
                </c:pt>
                <c:pt idx="51">
                  <c:v>5.8322287361391201E-5</c:v>
                </c:pt>
                <c:pt idx="52">
                  <c:v>5.739727170170308E-5</c:v>
                </c:pt>
                <c:pt idx="53">
                  <c:v>5.6498605087056883E-5</c:v>
                </c:pt>
                <c:pt idx="54">
                  <c:v>5.5504631326295315E-5</c:v>
                </c:pt>
                <c:pt idx="55">
                  <c:v>5.4765814185751081E-5</c:v>
                </c:pt>
                <c:pt idx="56">
                  <c:v>5.3893043256609998E-5</c:v>
                </c:pt>
                <c:pt idx="57">
                  <c:v>5.2968567665173811E-5</c:v>
                </c:pt>
                <c:pt idx="58">
                  <c:v>5.2092011751490293E-5</c:v>
                </c:pt>
                <c:pt idx="59">
                  <c:v>5.144303693106712E-5</c:v>
                </c:pt>
                <c:pt idx="60">
                  <c:v>5.0524296306516493E-5</c:v>
                </c:pt>
                <c:pt idx="61">
                  <c:v>4.9672359813018784E-5</c:v>
                </c:pt>
                <c:pt idx="62">
                  <c:v>4.9023505720636952E-5</c:v>
                </c:pt>
                <c:pt idx="63">
                  <c:v>4.8171894967260264E-5</c:v>
                </c:pt>
                <c:pt idx="64">
                  <c:v>4.72929056217486E-5</c:v>
                </c:pt>
                <c:pt idx="65">
                  <c:v>4.6503149022396228E-5</c:v>
                </c:pt>
                <c:pt idx="66">
                  <c:v>4.5778217198410917E-5</c:v>
                </c:pt>
                <c:pt idx="67">
                  <c:v>4.5001321651597716E-5</c:v>
                </c:pt>
                <c:pt idx="68">
                  <c:v>4.4207892360494653E-5</c:v>
                </c:pt>
                <c:pt idx="69">
                  <c:v>4.3577179020834967E-5</c:v>
                </c:pt>
                <c:pt idx="70">
                  <c:v>4.2743075532520336E-5</c:v>
                </c:pt>
                <c:pt idx="71">
                  <c:v>4.2073401999190306E-5</c:v>
                </c:pt>
                <c:pt idx="72">
                  <c:v>4.1330513600471891E-5</c:v>
                </c:pt>
                <c:pt idx="73">
                  <c:v>4.0615362200720557E-5</c:v>
                </c:pt>
                <c:pt idx="74">
                  <c:v>3.9929448021491519E-5</c:v>
                </c:pt>
                <c:pt idx="75">
                  <c:v>3.940446433879178E-5</c:v>
                </c:pt>
                <c:pt idx="76">
                  <c:v>3.8500903082027508E-5</c:v>
                </c:pt>
                <c:pt idx="77">
                  <c:v>3.805190916299999E-5</c:v>
                </c:pt>
                <c:pt idx="78">
                  <c:v>3.7455708508607963E-5</c:v>
                </c:pt>
                <c:pt idx="79">
                  <c:v>3.6646979120590935E-5</c:v>
                </c:pt>
                <c:pt idx="80">
                  <c:v>3.5971055238887092E-5</c:v>
                </c:pt>
                <c:pt idx="81">
                  <c:v>3.523730143192137E-5</c:v>
                </c:pt>
                <c:pt idx="82">
                  <c:v>3.4838464458459114E-5</c:v>
                </c:pt>
                <c:pt idx="83">
                  <c:v>3.4366041777960902E-5</c:v>
                </c:pt>
                <c:pt idx="84">
                  <c:v>3.3755177022192943E-5</c:v>
                </c:pt>
                <c:pt idx="85">
                  <c:v>3.335566586120904E-5</c:v>
                </c:pt>
                <c:pt idx="86">
                  <c:v>3.2492037086472368E-5</c:v>
                </c:pt>
                <c:pt idx="87">
                  <c:v>3.265901518759726E-5</c:v>
                </c:pt>
                <c:pt idx="88">
                  <c:v>3.1509427423595228E-5</c:v>
                </c:pt>
                <c:pt idx="89">
                  <c:v>3.2144934172618136E-5</c:v>
                </c:pt>
                <c:pt idx="90">
                  <c:v>3.114456264676092E-5</c:v>
                </c:pt>
                <c:pt idx="91">
                  <c:v>3.0787478328750295E-5</c:v>
                </c:pt>
                <c:pt idx="92">
                  <c:v>3.0369934518851165E-5</c:v>
                </c:pt>
                <c:pt idx="93">
                  <c:v>2.9882594116431334E-5</c:v>
                </c:pt>
                <c:pt idx="94">
                  <c:v>2.9605100556091088E-5</c:v>
                </c:pt>
                <c:pt idx="95">
                  <c:v>2.9003777401183148E-5</c:v>
                </c:pt>
                <c:pt idx="96">
                  <c:v>2.791572243596111E-5</c:v>
                </c:pt>
                <c:pt idx="97">
                  <c:v>2.8356443272224147E-5</c:v>
                </c:pt>
                <c:pt idx="98">
                  <c:v>2.8549627095401554E-5</c:v>
                </c:pt>
                <c:pt idx="99">
                  <c:v>2.8092835361310969E-5</c:v>
                </c:pt>
                <c:pt idx="100">
                  <c:v>2.7970530431852167E-5</c:v>
                </c:pt>
                <c:pt idx="101">
                  <c:v>2.6462251246038563E-5</c:v>
                </c:pt>
                <c:pt idx="102">
                  <c:v>2.624775443863545E-5</c:v>
                </c:pt>
                <c:pt idx="103">
                  <c:v>2.7008636484212648E-5</c:v>
                </c:pt>
                <c:pt idx="104">
                  <c:v>2.6361150690447856E-5</c:v>
                </c:pt>
                <c:pt idx="105">
                  <c:v>2.5360849183023939E-5</c:v>
                </c:pt>
                <c:pt idx="106">
                  <c:v>2.5611146541610809E-5</c:v>
                </c:pt>
                <c:pt idx="107">
                  <c:v>2.662577966943845E-5</c:v>
                </c:pt>
                <c:pt idx="108">
                  <c:v>2.4960567849316368E-5</c:v>
                </c:pt>
                <c:pt idx="109">
                  <c:v>2.361878279391079E-5</c:v>
                </c:pt>
                <c:pt idx="110">
                  <c:v>2.5657299800381062E-5</c:v>
                </c:pt>
                <c:pt idx="111">
                  <c:v>2.5973047518680329E-5</c:v>
                </c:pt>
                <c:pt idx="112">
                  <c:v>2.4755467233764421E-5</c:v>
                </c:pt>
                <c:pt idx="113">
                  <c:v>2.3352476411595266E-5</c:v>
                </c:pt>
                <c:pt idx="114">
                  <c:v>2.4707206494496065E-5</c:v>
                </c:pt>
                <c:pt idx="115">
                  <c:v>2.4345885832039796E-5</c:v>
                </c:pt>
                <c:pt idx="116">
                  <c:v>2.3484706051963288E-5</c:v>
                </c:pt>
                <c:pt idx="117">
                  <c:v>2.5505333021583794E-5</c:v>
                </c:pt>
                <c:pt idx="118">
                  <c:v>2.6288624061976838E-5</c:v>
                </c:pt>
                <c:pt idx="119">
                  <c:v>2.6717239875483004E-5</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3.9136992271831848E+16</c:v>
                </c:pt>
                <c:pt idx="1">
                  <c:v>4.019757950596416E+16</c:v>
                </c:pt>
                <c:pt idx="2">
                  <c:v>3.9270550860379744E+16</c:v>
                </c:pt>
                <c:pt idx="3">
                  <c:v>3.7697316715867712E+16</c:v>
                </c:pt>
                <c:pt idx="4">
                  <c:v>3.5996872236696196E+16</c:v>
                </c:pt>
                <c:pt idx="5">
                  <c:v>3.426866298130428E+16</c:v>
                </c:pt>
                <c:pt idx="6">
                  <c:v>3.2590539872723432E+16</c:v>
                </c:pt>
                <c:pt idx="7">
                  <c:v>3.093957724379714E+16</c:v>
                </c:pt>
                <c:pt idx="8">
                  <c:v>2.9320900716672528E+16</c:v>
                </c:pt>
                <c:pt idx="9">
                  <c:v>2.7741268711972164E+16</c:v>
                </c:pt>
                <c:pt idx="10">
                  <c:v>2.6225791083486872E+16</c:v>
                </c:pt>
                <c:pt idx="11">
                  <c:v>2.4770530547858192E+16</c:v>
                </c:pt>
                <c:pt idx="12">
                  <c:v>2.3383814181130064E+16</c:v>
                </c:pt>
                <c:pt idx="13">
                  <c:v>2.205834733702386E+16</c:v>
                </c:pt>
                <c:pt idx="14">
                  <c:v>2.0802395618712064E+16</c:v>
                </c:pt>
                <c:pt idx="15">
                  <c:v>1.9597881459823508E+16</c:v>
                </c:pt>
                <c:pt idx="16">
                  <c:v>1.845802107986882E+16</c:v>
                </c:pt>
                <c:pt idx="17">
                  <c:v>1.7373336699397444E+16</c:v>
                </c:pt>
                <c:pt idx="18">
                  <c:v>1.6341297374433938E+16</c:v>
                </c:pt>
                <c:pt idx="19">
                  <c:v>1.536409843234907E+16</c:v>
                </c:pt>
                <c:pt idx="20">
                  <c:v>1.4446127969723144E+16</c:v>
                </c:pt>
                <c:pt idx="21">
                  <c:v>1.358218417552598E+16</c:v>
                </c:pt>
                <c:pt idx="22">
                  <c:v>1.276006859184355E+16</c:v>
                </c:pt>
                <c:pt idx="23">
                  <c:v>1.1991513817641032E+16</c:v>
                </c:pt>
                <c:pt idx="24">
                  <c:v>1.126355906827118E+16</c:v>
                </c:pt>
                <c:pt idx="25">
                  <c:v>1.0578486855509874E+16</c:v>
                </c:pt>
                <c:pt idx="26">
                  <c:v>9938262623705524</c:v>
                </c:pt>
                <c:pt idx="27">
                  <c:v>9334234998559652</c:v>
                </c:pt>
                <c:pt idx="28">
                  <c:v>8765731654324367</c:v>
                </c:pt>
                <c:pt idx="29">
                  <c:v>8230824553149456</c:v>
                </c:pt>
                <c:pt idx="30">
                  <c:v>7728002620557928</c:v>
                </c:pt>
                <c:pt idx="31">
                  <c:v>7257166613616901</c:v>
                </c:pt>
                <c:pt idx="32">
                  <c:v>6810848389411657</c:v>
                </c:pt>
                <c:pt idx="33">
                  <c:v>6390604021371906</c:v>
                </c:pt>
                <c:pt idx="34">
                  <c:v>5999203719003531</c:v>
                </c:pt>
                <c:pt idx="35">
                  <c:v>5627475873567011</c:v>
                </c:pt>
                <c:pt idx="36">
                  <c:v>5282084170711536</c:v>
                </c:pt>
                <c:pt idx="37">
                  <c:v>4956923456176472</c:v>
                </c:pt>
                <c:pt idx="38">
                  <c:v>4649667415229892</c:v>
                </c:pt>
                <c:pt idx="39">
                  <c:v>4362509480299287</c:v>
                </c:pt>
                <c:pt idx="40">
                  <c:v>4093775836424965</c:v>
                </c:pt>
                <c:pt idx="41">
                  <c:v>3842689681810210.5</c:v>
                </c:pt>
                <c:pt idx="42">
                  <c:v>3605638661881885</c:v>
                </c:pt>
                <c:pt idx="43">
                  <c:v>3380842949417307.5</c:v>
                </c:pt>
                <c:pt idx="44">
                  <c:v>3171774813260527</c:v>
                </c:pt>
                <c:pt idx="45">
                  <c:v>2976446974179152.5</c:v>
                </c:pt>
                <c:pt idx="46">
                  <c:v>2787055424172911</c:v>
                </c:pt>
                <c:pt idx="47">
                  <c:v>2615848023236610.5</c:v>
                </c:pt>
                <c:pt idx="48">
                  <c:v>2453578093622838</c:v>
                </c:pt>
                <c:pt idx="49">
                  <c:v>2297888962955503</c:v>
                </c:pt>
                <c:pt idx="50">
                  <c:v>2157108834958282.5</c:v>
                </c:pt>
                <c:pt idx="51">
                  <c:v>2021096873283404.3</c:v>
                </c:pt>
                <c:pt idx="52">
                  <c:v>1895003766600397.7</c:v>
                </c:pt>
                <c:pt idx="53">
                  <c:v>1774675776898921.7</c:v>
                </c:pt>
                <c:pt idx="54">
                  <c:v>1661471221348017</c:v>
                </c:pt>
                <c:pt idx="55">
                  <c:v>1558401966109740.7</c:v>
                </c:pt>
                <c:pt idx="56">
                  <c:v>1459820569486549.7</c:v>
                </c:pt>
                <c:pt idx="57">
                  <c:v>1366915468226114.2</c:v>
                </c:pt>
                <c:pt idx="58">
                  <c:v>1278774814020171.7</c:v>
                </c:pt>
                <c:pt idx="59">
                  <c:v>1200673448140187.5</c:v>
                </c:pt>
                <c:pt idx="60">
                  <c:v>1122985868673903.4</c:v>
                </c:pt>
                <c:pt idx="61">
                  <c:v>1051344103546150.6</c:v>
                </c:pt>
                <c:pt idx="62">
                  <c:v>989079342770230.37</c:v>
                </c:pt>
                <c:pt idx="63">
                  <c:v>925582193009749.75</c:v>
                </c:pt>
                <c:pt idx="64">
                  <c:v>865960234856363.5</c:v>
                </c:pt>
                <c:pt idx="65">
                  <c:v>810705190046089.5</c:v>
                </c:pt>
                <c:pt idx="66">
                  <c:v>759450135423263.12</c:v>
                </c:pt>
                <c:pt idx="67">
                  <c:v>710994100376093.87</c:v>
                </c:pt>
                <c:pt idx="68">
                  <c:v>666061540667845.75</c:v>
                </c:pt>
                <c:pt idx="69">
                  <c:v>625133532296012.5</c:v>
                </c:pt>
                <c:pt idx="70">
                  <c:v>583547262545970.37</c:v>
                </c:pt>
                <c:pt idx="71">
                  <c:v>547728483550801.94</c:v>
                </c:pt>
                <c:pt idx="72">
                  <c:v>512230523122268.25</c:v>
                </c:pt>
                <c:pt idx="73">
                  <c:v>479104338677882.62</c:v>
                </c:pt>
                <c:pt idx="74">
                  <c:v>447914552547078.44</c:v>
                </c:pt>
                <c:pt idx="75">
                  <c:v>421297191306169.56</c:v>
                </c:pt>
                <c:pt idx="76">
                  <c:v>391938200551899.94</c:v>
                </c:pt>
                <c:pt idx="77">
                  <c:v>368596311538827.44</c:v>
                </c:pt>
                <c:pt idx="78">
                  <c:v>345143620044534.19</c:v>
                </c:pt>
                <c:pt idx="79">
                  <c:v>322060308056149.44</c:v>
                </c:pt>
                <c:pt idx="80">
                  <c:v>300178953382761.19</c:v>
                </c:pt>
                <c:pt idx="81">
                  <c:v>279822303017929.69</c:v>
                </c:pt>
                <c:pt idx="82">
                  <c:v>263150791129994.62</c:v>
                </c:pt>
                <c:pt idx="83">
                  <c:v>246443488890189.59</c:v>
                </c:pt>
                <c:pt idx="84">
                  <c:v>229848644493801.19</c:v>
                </c:pt>
                <c:pt idx="85">
                  <c:v>215880499904520.72</c:v>
                </c:pt>
                <c:pt idx="86">
                  <c:v>199922015405089.12</c:v>
                </c:pt>
                <c:pt idx="87">
                  <c:v>190742228732375.16</c:v>
                </c:pt>
                <c:pt idx="88">
                  <c:v>174880538270880.53</c:v>
                </c:pt>
                <c:pt idx="89">
                  <c:v>169343614768823.66</c:v>
                </c:pt>
                <c:pt idx="90">
                  <c:v>155221893486867.34</c:v>
                </c:pt>
                <c:pt idx="91">
                  <c:v>146230382972537.91</c:v>
                </c:pt>
                <c:pt idx="92">
                  <c:v>136631237503737.08</c:v>
                </c:pt>
                <c:pt idx="93">
                  <c:v>128038932779270.53</c:v>
                </c:pt>
                <c:pt idx="94">
                  <c:v>120011777063942.03</c:v>
                </c:pt>
                <c:pt idx="95">
                  <c:v>111583246629406.37</c:v>
                </c:pt>
                <c:pt idx="96">
                  <c:v>101439175300212.94</c:v>
                </c:pt>
                <c:pt idx="97">
                  <c:v>97350386454125.906</c:v>
                </c:pt>
                <c:pt idx="98">
                  <c:v>92068090527304.703</c:v>
                </c:pt>
                <c:pt idx="99">
                  <c:v>86817723900723.391</c:v>
                </c:pt>
                <c:pt idx="100">
                  <c:v>81543252505206.406</c:v>
                </c:pt>
                <c:pt idx="101">
                  <c:v>72750533376528.969</c:v>
                </c:pt>
                <c:pt idx="102">
                  <c:v>68330384461342.867</c:v>
                </c:pt>
                <c:pt idx="103">
                  <c:v>65917635903148.453</c:v>
                </c:pt>
                <c:pt idx="104">
                  <c:v>61240740357200.008</c:v>
                </c:pt>
                <c:pt idx="105">
                  <c:v>55696763141405.68</c:v>
                </c:pt>
                <c:pt idx="106">
                  <c:v>53405426216695.492</c:v>
                </c:pt>
                <c:pt idx="107">
                  <c:v>52361593934624.164</c:v>
                </c:pt>
                <c:pt idx="108">
                  <c:v>45871238490847.719</c:v>
                </c:pt>
                <c:pt idx="109">
                  <c:v>40835400696294.141</c:v>
                </c:pt>
                <c:pt idx="110">
                  <c:v>41674331537726.102</c:v>
                </c:pt>
                <c:pt idx="111">
                  <c:v>39880884453594.289</c:v>
                </c:pt>
                <c:pt idx="112">
                  <c:v>36151684595876.445</c:v>
                </c:pt>
                <c:pt idx="113">
                  <c:v>31415259158203.598</c:v>
                </c:pt>
                <c:pt idx="114">
                  <c:v>31588467435731.73</c:v>
                </c:pt>
                <c:pt idx="115">
                  <c:v>28789437483475.242</c:v>
                </c:pt>
                <c:pt idx="116">
                  <c:v>26021287880620.437</c:v>
                </c:pt>
                <c:pt idx="117">
                  <c:v>26338362800261.676</c:v>
                </c:pt>
                <c:pt idx="118">
                  <c:v>24868514243065.34</c:v>
                </c:pt>
                <c:pt idx="119">
                  <c:v>23716110371072.23</c:v>
                </c:pt>
              </c:numCache>
            </c:numRef>
          </c:xVal>
          <c:yVal>
            <c:numRef>
              <c:f>Calc!$P$12:$P$131</c:f>
              <c:numCache>
                <c:formatCode>0.00E+00</c:formatCode>
                <c:ptCount val="120"/>
                <c:pt idx="0">
                  <c:v>8.6687005558315708E-5</c:v>
                </c:pt>
                <c:pt idx="1">
                  <c:v>8.2736830468972509E-5</c:v>
                </c:pt>
                <c:pt idx="2">
                  <c:v>8.0485250002295246E-5</c:v>
                </c:pt>
                <c:pt idx="3">
                  <c:v>8.0541279488749988E-5</c:v>
                </c:pt>
                <c:pt idx="4">
                  <c:v>8.1317018098227867E-5</c:v>
                </c:pt>
                <c:pt idx="5">
                  <c:v>8.2008922966157486E-5</c:v>
                </c:pt>
                <c:pt idx="6">
                  <c:v>8.25914283386991E-5</c:v>
                </c:pt>
                <c:pt idx="7">
                  <c:v>8.3105481830277525E-5</c:v>
                </c:pt>
                <c:pt idx="8">
                  <c:v>8.346013964672618E-5</c:v>
                </c:pt>
                <c:pt idx="9">
                  <c:v>8.3722141976080478E-5</c:v>
                </c:pt>
                <c:pt idx="10">
                  <c:v>8.3906949354240585E-5</c:v>
                </c:pt>
                <c:pt idx="11">
                  <c:v>8.3991637273413296E-5</c:v>
                </c:pt>
                <c:pt idx="12">
                  <c:v>8.4020522442555308E-5</c:v>
                </c:pt>
                <c:pt idx="13">
                  <c:v>8.3969529340101735E-5</c:v>
                </c:pt>
                <c:pt idx="14">
                  <c:v>8.3899907007306464E-5</c:v>
                </c:pt>
                <c:pt idx="15">
                  <c:v>8.3745414390215547E-5</c:v>
                </c:pt>
                <c:pt idx="16">
                  <c:v>8.3542079416284835E-5</c:v>
                </c:pt>
                <c:pt idx="17">
                  <c:v>8.3254757302729938E-5</c:v>
                </c:pt>
                <c:pt idx="18">
                  <c:v>8.2891149869060904E-5</c:v>
                </c:pt>
                <c:pt idx="19">
                  <c:v>8.2476387064915494E-5</c:v>
                </c:pt>
                <c:pt idx="20">
                  <c:v>8.2071530597488724E-5</c:v>
                </c:pt>
                <c:pt idx="21">
                  <c:v>8.1639245203895988E-5</c:v>
                </c:pt>
                <c:pt idx="22">
                  <c:v>8.1094114711572048E-5</c:v>
                </c:pt>
                <c:pt idx="23">
                  <c:v>8.0555593419232458E-5</c:v>
                </c:pt>
                <c:pt idx="24">
                  <c:v>7.9958824656267585E-5</c:v>
                </c:pt>
                <c:pt idx="25">
                  <c:v>7.9442681105069388E-5</c:v>
                </c:pt>
                <c:pt idx="26">
                  <c:v>7.8914294096291954E-5</c:v>
                </c:pt>
                <c:pt idx="27">
                  <c:v>7.8274289001221612E-5</c:v>
                </c:pt>
                <c:pt idx="28">
                  <c:v>7.7620194283596459E-5</c:v>
                </c:pt>
                <c:pt idx="29">
                  <c:v>7.6922729006445603E-5</c:v>
                </c:pt>
                <c:pt idx="30">
                  <c:v>7.6191839954149748E-5</c:v>
                </c:pt>
                <c:pt idx="31">
                  <c:v>7.5480767533353622E-5</c:v>
                </c:pt>
                <c:pt idx="32">
                  <c:v>7.4685310839221801E-5</c:v>
                </c:pt>
                <c:pt idx="33">
                  <c:v>7.3886894760531025E-5</c:v>
                </c:pt>
                <c:pt idx="34">
                  <c:v>7.3098443011803644E-5</c:v>
                </c:pt>
                <c:pt idx="35">
                  <c:v>7.2254726534700962E-5</c:v>
                </c:pt>
                <c:pt idx="36">
                  <c:v>7.1478041354868039E-5</c:v>
                </c:pt>
                <c:pt idx="37">
                  <c:v>7.0668063210929907E-5</c:v>
                </c:pt>
                <c:pt idx="38">
                  <c:v>6.979783229263059E-5</c:v>
                </c:pt>
                <c:pt idx="39">
                  <c:v>6.8969355713021033E-5</c:v>
                </c:pt>
                <c:pt idx="40">
                  <c:v>6.8106963659461596E-5</c:v>
                </c:pt>
                <c:pt idx="41">
                  <c:v>6.7274778585291433E-5</c:v>
                </c:pt>
                <c:pt idx="42">
                  <c:v>6.6393361307032767E-5</c:v>
                </c:pt>
                <c:pt idx="43">
                  <c:v>6.546107783715884E-5</c:v>
                </c:pt>
                <c:pt idx="44">
                  <c:v>6.4600521537234079E-5</c:v>
                </c:pt>
                <c:pt idx="45">
                  <c:v>6.3740383109114483E-5</c:v>
                </c:pt>
                <c:pt idx="46">
                  <c:v>6.276875306385805E-5</c:v>
                </c:pt>
                <c:pt idx="47">
                  <c:v>6.1904197193133549E-5</c:v>
                </c:pt>
                <c:pt idx="48">
                  <c:v>6.104327106435017E-5</c:v>
                </c:pt>
                <c:pt idx="49">
                  <c:v>6.0041996748201896E-5</c:v>
                </c:pt>
                <c:pt idx="50">
                  <c:v>5.923763213144831E-5</c:v>
                </c:pt>
                <c:pt idx="51">
                  <c:v>5.8322287361391201E-5</c:v>
                </c:pt>
                <c:pt idx="52">
                  <c:v>5.739727170170308E-5</c:v>
                </c:pt>
                <c:pt idx="53">
                  <c:v>5.6498605087056883E-5</c:v>
                </c:pt>
                <c:pt idx="54">
                  <c:v>5.5504631326295315E-5</c:v>
                </c:pt>
                <c:pt idx="55">
                  <c:v>5.4765814185751081E-5</c:v>
                </c:pt>
                <c:pt idx="56">
                  <c:v>5.3893043256609998E-5</c:v>
                </c:pt>
                <c:pt idx="57">
                  <c:v>5.2968567665173811E-5</c:v>
                </c:pt>
                <c:pt idx="58">
                  <c:v>5.2092011751490293E-5</c:v>
                </c:pt>
                <c:pt idx="59">
                  <c:v>5.144303693106712E-5</c:v>
                </c:pt>
                <c:pt idx="60">
                  <c:v>5.0524296306516493E-5</c:v>
                </c:pt>
                <c:pt idx="61">
                  <c:v>4.9672359813018784E-5</c:v>
                </c:pt>
                <c:pt idx="62">
                  <c:v>4.9023505720636952E-5</c:v>
                </c:pt>
                <c:pt idx="63">
                  <c:v>4.8171894967260264E-5</c:v>
                </c:pt>
                <c:pt idx="64">
                  <c:v>4.72929056217486E-5</c:v>
                </c:pt>
                <c:pt idx="65">
                  <c:v>4.6503149022396228E-5</c:v>
                </c:pt>
                <c:pt idx="66">
                  <c:v>4.5778217198410917E-5</c:v>
                </c:pt>
                <c:pt idx="67">
                  <c:v>4.5001321651597716E-5</c:v>
                </c:pt>
                <c:pt idx="68">
                  <c:v>4.4207892360494653E-5</c:v>
                </c:pt>
                <c:pt idx="69">
                  <c:v>4.3577179020834967E-5</c:v>
                </c:pt>
                <c:pt idx="70">
                  <c:v>4.2743075532520336E-5</c:v>
                </c:pt>
                <c:pt idx="71">
                  <c:v>4.2073401999190306E-5</c:v>
                </c:pt>
                <c:pt idx="72">
                  <c:v>4.1330513600471891E-5</c:v>
                </c:pt>
                <c:pt idx="73">
                  <c:v>4.0615362200720557E-5</c:v>
                </c:pt>
                <c:pt idx="74">
                  <c:v>3.9929448021491519E-5</c:v>
                </c:pt>
                <c:pt idx="75">
                  <c:v>3.940446433879178E-5</c:v>
                </c:pt>
                <c:pt idx="76">
                  <c:v>3.8500903082027508E-5</c:v>
                </c:pt>
                <c:pt idx="77">
                  <c:v>3.805190916299999E-5</c:v>
                </c:pt>
                <c:pt idx="78">
                  <c:v>3.7455708508607963E-5</c:v>
                </c:pt>
                <c:pt idx="79">
                  <c:v>3.6646979120590935E-5</c:v>
                </c:pt>
                <c:pt idx="80">
                  <c:v>3.5971055238887092E-5</c:v>
                </c:pt>
                <c:pt idx="81">
                  <c:v>3.523730143192137E-5</c:v>
                </c:pt>
                <c:pt idx="82">
                  <c:v>3.4838464458459114E-5</c:v>
                </c:pt>
                <c:pt idx="83">
                  <c:v>3.4366041777960902E-5</c:v>
                </c:pt>
                <c:pt idx="84">
                  <c:v>3.3755177022192943E-5</c:v>
                </c:pt>
                <c:pt idx="85">
                  <c:v>3.335566586120904E-5</c:v>
                </c:pt>
                <c:pt idx="86">
                  <c:v>3.2492037086472368E-5</c:v>
                </c:pt>
                <c:pt idx="87">
                  <c:v>3.265901518759726E-5</c:v>
                </c:pt>
                <c:pt idx="88">
                  <c:v>3.1509427423595228E-5</c:v>
                </c:pt>
                <c:pt idx="89">
                  <c:v>3.2144934172618136E-5</c:v>
                </c:pt>
                <c:pt idx="90">
                  <c:v>3.114456264676092E-5</c:v>
                </c:pt>
                <c:pt idx="91">
                  <c:v>3.0787478328750295E-5</c:v>
                </c:pt>
                <c:pt idx="92">
                  <c:v>3.0369934518851165E-5</c:v>
                </c:pt>
                <c:pt idx="93">
                  <c:v>2.9882594116431334E-5</c:v>
                </c:pt>
                <c:pt idx="94">
                  <c:v>2.9605100556091088E-5</c:v>
                </c:pt>
                <c:pt idx="95">
                  <c:v>2.9003777401183148E-5</c:v>
                </c:pt>
                <c:pt idx="96">
                  <c:v>2.791572243596111E-5</c:v>
                </c:pt>
                <c:pt idx="97">
                  <c:v>2.8356443272224147E-5</c:v>
                </c:pt>
                <c:pt idx="98">
                  <c:v>2.8549627095401554E-5</c:v>
                </c:pt>
                <c:pt idx="99">
                  <c:v>2.8092835361310969E-5</c:v>
                </c:pt>
                <c:pt idx="100">
                  <c:v>2.7970530431852167E-5</c:v>
                </c:pt>
                <c:pt idx="101">
                  <c:v>2.6462251246038563E-5</c:v>
                </c:pt>
                <c:pt idx="102">
                  <c:v>2.624775443863545E-5</c:v>
                </c:pt>
                <c:pt idx="103">
                  <c:v>2.7008636484212648E-5</c:v>
                </c:pt>
                <c:pt idx="104">
                  <c:v>2.6361150690447856E-5</c:v>
                </c:pt>
                <c:pt idx="105">
                  <c:v>2.5360849183023939E-5</c:v>
                </c:pt>
                <c:pt idx="106">
                  <c:v>2.5611146541610809E-5</c:v>
                </c:pt>
                <c:pt idx="107">
                  <c:v>2.662577966943845E-5</c:v>
                </c:pt>
                <c:pt idx="108">
                  <c:v>2.4960567849316368E-5</c:v>
                </c:pt>
                <c:pt idx="109">
                  <c:v>2.361878279391079E-5</c:v>
                </c:pt>
                <c:pt idx="110">
                  <c:v>2.5657299800381062E-5</c:v>
                </c:pt>
                <c:pt idx="111">
                  <c:v>2.5973047518680329E-5</c:v>
                </c:pt>
                <c:pt idx="112">
                  <c:v>2.4755467233764421E-5</c:v>
                </c:pt>
                <c:pt idx="113">
                  <c:v>2.3352476411595266E-5</c:v>
                </c:pt>
                <c:pt idx="114">
                  <c:v>2.4707206494496065E-5</c:v>
                </c:pt>
                <c:pt idx="115">
                  <c:v>2.4345885832039796E-5</c:v>
                </c:pt>
                <c:pt idx="116">
                  <c:v>2.3484706051963288E-5</c:v>
                </c:pt>
                <c:pt idx="117">
                  <c:v>2.5505333021583794E-5</c:v>
                </c:pt>
                <c:pt idx="118">
                  <c:v>2.6288624061976838E-5</c:v>
                </c:pt>
                <c:pt idx="119">
                  <c:v>2.6717239875483004E-5</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1000000000000000</c:v>
                </c:pt>
              </c:numCache>
            </c:numRef>
          </c:xVal>
          <c:yVal>
            <c:numRef>
              <c:f>Calc!$S$6</c:f>
              <c:numCache>
                <c:formatCode>0.00E+00</c:formatCode>
                <c:ptCount val="1"/>
                <c:pt idx="0">
                  <c:v>4.8801695726676583E-5</c:v>
                </c:pt>
              </c:numCache>
            </c:numRef>
          </c:yVal>
          <c:smooth val="0"/>
        </c:ser>
        <c:dLbls>
          <c:showLegendKey val="0"/>
          <c:showVal val="0"/>
          <c:showCatName val="0"/>
          <c:showSerName val="0"/>
          <c:showPercent val="0"/>
          <c:showBubbleSize val="0"/>
        </c:dLbls>
        <c:axId val="142939264"/>
        <c:axId val="142941568"/>
      </c:scatterChart>
      <c:valAx>
        <c:axId val="142939264"/>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941568"/>
        <c:crosses val="autoZero"/>
        <c:crossBetween val="midCat"/>
      </c:valAx>
      <c:valAx>
        <c:axId val="142941568"/>
        <c:scaling>
          <c:orientation val="minMax"/>
          <c:max val="1.7603126079574033E-4"/>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142939264"/>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Calc!$C$9:$C$133</c:f>
              <c:numCache>
                <c:formatCode>0.0000</c:formatCode>
                <c:ptCount val="125"/>
                <c:pt idx="0">
                  <c:v>0.15359400000000001</c:v>
                </c:pt>
                <c:pt idx="1">
                  <c:v>0.51370700000000002</c:v>
                </c:pt>
                <c:pt idx="2">
                  <c:v>0.58015399999999995</c:v>
                </c:pt>
                <c:pt idx="3">
                  <c:v>0.62093500000000001</c:v>
                </c:pt>
                <c:pt idx="4">
                  <c:v>0.61662099999999997</c:v>
                </c:pt>
                <c:pt idx="5">
                  <c:v>0.595225</c:v>
                </c:pt>
                <c:pt idx="6">
                  <c:v>0.56264800000000004</c:v>
                </c:pt>
                <c:pt idx="7">
                  <c:v>0.52906500000000001</c:v>
                </c:pt>
                <c:pt idx="8">
                  <c:v>0.498081</c:v>
                </c:pt>
                <c:pt idx="9">
                  <c:v>0.46947800000000001</c:v>
                </c:pt>
                <c:pt idx="10">
                  <c:v>0.44220999999999999</c:v>
                </c:pt>
                <c:pt idx="11">
                  <c:v>0.41664400000000001</c:v>
                </c:pt>
                <c:pt idx="12">
                  <c:v>0.39245400000000003</c:v>
                </c:pt>
                <c:pt idx="13">
                  <c:v>0.36984099999999998</c:v>
                </c:pt>
                <c:pt idx="14">
                  <c:v>0.348717</c:v>
                </c:pt>
                <c:pt idx="15">
                  <c:v>0.32889400000000002</c:v>
                </c:pt>
                <c:pt idx="16">
                  <c:v>0.31028</c:v>
                </c:pt>
                <c:pt idx="17">
                  <c:v>0.29271799999999998</c:v>
                </c:pt>
                <c:pt idx="18">
                  <c:v>0.27616099999999999</c:v>
                </c:pt>
                <c:pt idx="19">
                  <c:v>0.26062400000000002</c:v>
                </c:pt>
                <c:pt idx="20">
                  <c:v>0.246085</c:v>
                </c:pt>
                <c:pt idx="21">
                  <c:v>0.23244000000000001</c:v>
                </c:pt>
                <c:pt idx="22">
                  <c:v>0.219643</c:v>
                </c:pt>
                <c:pt idx="23">
                  <c:v>0.20755199999999999</c:v>
                </c:pt>
                <c:pt idx="24">
                  <c:v>0.19620099999999999</c:v>
                </c:pt>
                <c:pt idx="25">
                  <c:v>0.185587</c:v>
                </c:pt>
                <c:pt idx="26">
                  <c:v>0.17560300000000001</c:v>
                </c:pt>
                <c:pt idx="27">
                  <c:v>0.16622899999999999</c:v>
                </c:pt>
                <c:pt idx="28">
                  <c:v>0.15717100000000001</c:v>
                </c:pt>
                <c:pt idx="29">
                  <c:v>0.148697</c:v>
                </c:pt>
                <c:pt idx="30">
                  <c:v>0.140852</c:v>
                </c:pt>
                <c:pt idx="31">
                  <c:v>0.13342899999999999</c:v>
                </c:pt>
                <c:pt idx="32">
                  <c:v>0.126475</c:v>
                </c:pt>
                <c:pt idx="33">
                  <c:v>0.119935</c:v>
                </c:pt>
                <c:pt idx="34">
                  <c:v>0.113728</c:v>
                </c:pt>
                <c:pt idx="35">
                  <c:v>0.107916</c:v>
                </c:pt>
                <c:pt idx="36">
                  <c:v>0.10238899999999999</c:v>
                </c:pt>
                <c:pt idx="37">
                  <c:v>9.7207299999999996E-2</c:v>
                </c:pt>
                <c:pt idx="38">
                  <c:v>9.2300099999999996E-2</c:v>
                </c:pt>
                <c:pt idx="39">
                  <c:v>8.7615499999999999E-2</c:v>
                </c:pt>
                <c:pt idx="40">
                  <c:v>8.3209199999999997E-2</c:v>
                </c:pt>
                <c:pt idx="41">
                  <c:v>7.9064700000000002E-2</c:v>
                </c:pt>
                <c:pt idx="42">
                  <c:v>7.5118400000000002E-2</c:v>
                </c:pt>
                <c:pt idx="43">
                  <c:v>7.1430900000000006E-2</c:v>
                </c:pt>
                <c:pt idx="44">
                  <c:v>6.7912399999999998E-2</c:v>
                </c:pt>
                <c:pt idx="45">
                  <c:v>6.4599900000000002E-2</c:v>
                </c:pt>
                <c:pt idx="46">
                  <c:v>6.1468000000000002E-2</c:v>
                </c:pt>
                <c:pt idx="47">
                  <c:v>5.8457299999999997E-2</c:v>
                </c:pt>
                <c:pt idx="48">
                  <c:v>5.5631100000000003E-2</c:v>
                </c:pt>
                <c:pt idx="49">
                  <c:v>5.2927000000000002E-2</c:v>
                </c:pt>
                <c:pt idx="50">
                  <c:v>5.0393800000000002E-2</c:v>
                </c:pt>
                <c:pt idx="51">
                  <c:v>4.7971899999999998E-2</c:v>
                </c:pt>
                <c:pt idx="52">
                  <c:v>4.5697500000000002E-2</c:v>
                </c:pt>
                <c:pt idx="53">
                  <c:v>4.3505099999999998E-2</c:v>
                </c:pt>
                <c:pt idx="54">
                  <c:v>4.1424099999999998E-2</c:v>
                </c:pt>
                <c:pt idx="55">
                  <c:v>3.9476799999999999E-2</c:v>
                </c:pt>
                <c:pt idx="56">
                  <c:v>3.7581299999999998E-2</c:v>
                </c:pt>
                <c:pt idx="57">
                  <c:v>3.5836199999999999E-2</c:v>
                </c:pt>
                <c:pt idx="58">
                  <c:v>3.4086199999999997E-2</c:v>
                </c:pt>
                <c:pt idx="59">
                  <c:v>3.2461200000000003E-2</c:v>
                </c:pt>
                <c:pt idx="60">
                  <c:v>3.0944599999999999E-2</c:v>
                </c:pt>
                <c:pt idx="61">
                  <c:v>2.94524E-2</c:v>
                </c:pt>
                <c:pt idx="62">
                  <c:v>2.8016900000000001E-2</c:v>
                </c:pt>
                <c:pt idx="63">
                  <c:v>2.6706299999999999E-2</c:v>
                </c:pt>
                <c:pt idx="64">
                  <c:v>2.54436E-2</c:v>
                </c:pt>
                <c:pt idx="65">
                  <c:v>2.42688E-2</c:v>
                </c:pt>
                <c:pt idx="66">
                  <c:v>2.3118400000000001E-2</c:v>
                </c:pt>
                <c:pt idx="67">
                  <c:v>2.2033500000000001E-2</c:v>
                </c:pt>
                <c:pt idx="68">
                  <c:v>2.09915E-2</c:v>
                </c:pt>
                <c:pt idx="69">
                  <c:v>1.9988499999999999E-2</c:v>
                </c:pt>
                <c:pt idx="70">
                  <c:v>1.90501E-2</c:v>
                </c:pt>
                <c:pt idx="71">
                  <c:v>1.8173100000000001E-2</c:v>
                </c:pt>
                <c:pt idx="72">
                  <c:v>1.73128E-2</c:v>
                </c:pt>
                <c:pt idx="73">
                  <c:v>1.6481699999999998E-2</c:v>
                </c:pt>
                <c:pt idx="74">
                  <c:v>1.5720999999999999E-2</c:v>
                </c:pt>
                <c:pt idx="75">
                  <c:v>1.49739E-2</c:v>
                </c:pt>
                <c:pt idx="76">
                  <c:v>1.426E-2</c:v>
                </c:pt>
                <c:pt idx="77">
                  <c:v>1.3564700000000001E-2</c:v>
                </c:pt>
                <c:pt idx="78">
                  <c:v>1.2937799999999999E-2</c:v>
                </c:pt>
                <c:pt idx="79">
                  <c:v>1.23255E-2</c:v>
                </c:pt>
                <c:pt idx="80">
                  <c:v>1.1728799999999999E-2</c:v>
                </c:pt>
                <c:pt idx="81">
                  <c:v>1.11614E-2</c:v>
                </c:pt>
                <c:pt idx="82">
                  <c:v>1.06409E-2</c:v>
                </c:pt>
                <c:pt idx="83">
                  <c:v>1.0110600000000001E-2</c:v>
                </c:pt>
                <c:pt idx="84">
                  <c:v>9.63112E-3</c:v>
                </c:pt>
                <c:pt idx="85">
                  <c:v>9.1672500000000001E-3</c:v>
                </c:pt>
                <c:pt idx="86">
                  <c:v>8.7082700000000006E-3</c:v>
                </c:pt>
                <c:pt idx="87">
                  <c:v>8.2639299999999992E-3</c:v>
                </c:pt>
                <c:pt idx="88">
                  <c:v>7.8645199999999998E-3</c:v>
                </c:pt>
                <c:pt idx="89">
                  <c:v>7.47585E-3</c:v>
                </c:pt>
                <c:pt idx="90">
                  <c:v>7.1086600000000002E-3</c:v>
                </c:pt>
                <c:pt idx="91">
                  <c:v>6.7571000000000003E-3</c:v>
                </c:pt>
                <c:pt idx="92">
                  <c:v>6.4094399999999998E-3</c:v>
                </c:pt>
                <c:pt idx="93">
                  <c:v>6.06764E-3</c:v>
                </c:pt>
                <c:pt idx="94">
                  <c:v>5.77467E-3</c:v>
                </c:pt>
                <c:pt idx="95">
                  <c:v>5.4787799999999999E-3</c:v>
                </c:pt>
                <c:pt idx="96">
                  <c:v>5.2160799999999997E-3</c:v>
                </c:pt>
                <c:pt idx="97">
                  <c:v>4.9279900000000001E-3</c:v>
                </c:pt>
                <c:pt idx="98">
                  <c:v>4.6799500000000004E-3</c:v>
                </c:pt>
                <c:pt idx="99">
                  <c:v>4.4270200000000003E-3</c:v>
                </c:pt>
                <c:pt idx="100">
                  <c:v>4.1916699999999998E-3</c:v>
                </c:pt>
                <c:pt idx="101">
                  <c:v>3.9436200000000001E-3</c:v>
                </c:pt>
                <c:pt idx="102">
                  <c:v>3.7649099999999998E-3</c:v>
                </c:pt>
                <c:pt idx="103">
                  <c:v>3.5451800000000002E-3</c:v>
                </c:pt>
                <c:pt idx="104">
                  <c:v>3.3469400000000001E-3</c:v>
                </c:pt>
                <c:pt idx="105">
                  <c:v>3.1750599999999999E-3</c:v>
                </c:pt>
                <c:pt idx="106">
                  <c:v>2.98073E-3</c:v>
                </c:pt>
                <c:pt idx="107">
                  <c:v>2.8362000000000001E-3</c:v>
                </c:pt>
                <c:pt idx="108">
                  <c:v>2.68483E-3</c:v>
                </c:pt>
                <c:pt idx="109">
                  <c:v>2.5481100000000001E-3</c:v>
                </c:pt>
                <c:pt idx="110">
                  <c:v>2.3967400000000001E-3</c:v>
                </c:pt>
                <c:pt idx="111">
                  <c:v>2.2395200000000001E-3</c:v>
                </c:pt>
                <c:pt idx="112">
                  <c:v>2.11159E-3</c:v>
                </c:pt>
                <c:pt idx="113">
                  <c:v>1.9924500000000002E-3</c:v>
                </c:pt>
                <c:pt idx="114">
                  <c:v>1.87721E-3</c:v>
                </c:pt>
                <c:pt idx="115">
                  <c:v>1.7785800000000001E-3</c:v>
                </c:pt>
                <c:pt idx="116">
                  <c:v>1.6379599999999999E-3</c:v>
                </c:pt>
                <c:pt idx="117">
                  <c:v>1.5598299999999999E-3</c:v>
                </c:pt>
                <c:pt idx="118">
                  <c:v>1.44948E-3</c:v>
                </c:pt>
                <c:pt idx="119">
                  <c:v>1.3567099999999999E-3</c:v>
                </c:pt>
                <c:pt idx="120">
                  <c:v>1.26881E-3</c:v>
                </c:pt>
                <c:pt idx="121">
                  <c:v>1.1643199999999999E-3</c:v>
                </c:pt>
                <c:pt idx="122">
                  <c:v>1.08913E-3</c:v>
                </c:pt>
                <c:pt idx="123">
                  <c:v>1.01881E-3</c:v>
                </c:pt>
                <c:pt idx="124">
                  <c:v>9.5338499999999995E-4</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143011200"/>
        <c:axId val="143025664"/>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Calc!$B$9:$B$133</c:f>
              <c:numCache>
                <c:formatCode>0.00E+00</c:formatCode>
                <c:ptCount val="125"/>
                <c:pt idx="0">
                  <c:v>0.27443400000000001</c:v>
                </c:pt>
                <c:pt idx="1">
                  <c:v>2.34911</c:v>
                </c:pt>
                <c:pt idx="2">
                  <c:v>3.5734300000000001</c:v>
                </c:pt>
                <c:pt idx="3">
                  <c:v>4.0961400000000001</c:v>
                </c:pt>
                <c:pt idx="4">
                  <c:v>4.1760900000000003</c:v>
                </c:pt>
                <c:pt idx="5">
                  <c:v>4.1062599999999998</c:v>
                </c:pt>
                <c:pt idx="6">
                  <c:v>3.9860799999999998</c:v>
                </c:pt>
                <c:pt idx="7">
                  <c:v>3.85372</c:v>
                </c:pt>
                <c:pt idx="8">
                  <c:v>3.71645</c:v>
                </c:pt>
                <c:pt idx="9">
                  <c:v>3.5803699999999998</c:v>
                </c:pt>
                <c:pt idx="10">
                  <c:v>3.44367</c:v>
                </c:pt>
                <c:pt idx="11">
                  <c:v>3.3067799999999998</c:v>
                </c:pt>
                <c:pt idx="12">
                  <c:v>3.1703100000000002</c:v>
                </c:pt>
                <c:pt idx="13">
                  <c:v>3.0365600000000001</c:v>
                </c:pt>
                <c:pt idx="14">
                  <c:v>2.9053800000000001</c:v>
                </c:pt>
                <c:pt idx="15">
                  <c:v>2.7777400000000001</c:v>
                </c:pt>
                <c:pt idx="16">
                  <c:v>2.6532</c:v>
                </c:pt>
                <c:pt idx="17">
                  <c:v>2.5327799999999998</c:v>
                </c:pt>
                <c:pt idx="18">
                  <c:v>2.4149699999999998</c:v>
                </c:pt>
                <c:pt idx="19">
                  <c:v>2.3012800000000002</c:v>
                </c:pt>
                <c:pt idx="20">
                  <c:v>2.1909999999999998</c:v>
                </c:pt>
                <c:pt idx="21">
                  <c:v>2.0840800000000002</c:v>
                </c:pt>
                <c:pt idx="22">
                  <c:v>1.9809600000000001</c:v>
                </c:pt>
                <c:pt idx="23">
                  <c:v>1.8823399999999999</c:v>
                </c:pt>
                <c:pt idx="24">
                  <c:v>1.7879</c:v>
                </c:pt>
                <c:pt idx="25">
                  <c:v>1.6964999999999999</c:v>
                </c:pt>
                <c:pt idx="26">
                  <c:v>1.60964</c:v>
                </c:pt>
                <c:pt idx="27">
                  <c:v>1.5260499999999999</c:v>
                </c:pt>
                <c:pt idx="28">
                  <c:v>1.4461599999999999</c:v>
                </c:pt>
                <c:pt idx="29">
                  <c:v>1.3703799999999999</c:v>
                </c:pt>
                <c:pt idx="30">
                  <c:v>1.2978499999999999</c:v>
                </c:pt>
                <c:pt idx="31">
                  <c:v>1.2286300000000001</c:v>
                </c:pt>
                <c:pt idx="32">
                  <c:v>1.16262</c:v>
                </c:pt>
                <c:pt idx="33">
                  <c:v>1.0997600000000001</c:v>
                </c:pt>
                <c:pt idx="34">
                  <c:v>1.04016</c:v>
                </c:pt>
                <c:pt idx="35">
                  <c:v>0.98297900000000005</c:v>
                </c:pt>
                <c:pt idx="36">
                  <c:v>0.92850699999999997</c:v>
                </c:pt>
                <c:pt idx="37">
                  <c:v>0.87720299999999995</c:v>
                </c:pt>
                <c:pt idx="38">
                  <c:v>0.82794999999999996</c:v>
                </c:pt>
                <c:pt idx="39">
                  <c:v>0.78171000000000002</c:v>
                </c:pt>
                <c:pt idx="40">
                  <c:v>0.73774499999999998</c:v>
                </c:pt>
                <c:pt idx="41">
                  <c:v>0.69580200000000003</c:v>
                </c:pt>
                <c:pt idx="42">
                  <c:v>0.65624099999999996</c:v>
                </c:pt>
                <c:pt idx="43">
                  <c:v>0.618892</c:v>
                </c:pt>
                <c:pt idx="44">
                  <c:v>0.58370200000000005</c:v>
                </c:pt>
                <c:pt idx="45">
                  <c:v>0.55021100000000001</c:v>
                </c:pt>
                <c:pt idx="46">
                  <c:v>0.518204</c:v>
                </c:pt>
                <c:pt idx="47">
                  <c:v>0.48821399999999998</c:v>
                </c:pt>
                <c:pt idx="48">
                  <c:v>0.45999600000000002</c:v>
                </c:pt>
                <c:pt idx="49">
                  <c:v>0.43244700000000003</c:v>
                </c:pt>
                <c:pt idx="50">
                  <c:v>0.40737899999999999</c:v>
                </c:pt>
                <c:pt idx="51">
                  <c:v>0.38347199999999998</c:v>
                </c:pt>
                <c:pt idx="52">
                  <c:v>0.36039599999999999</c:v>
                </c:pt>
                <c:pt idx="53">
                  <c:v>0.33940999999999999</c:v>
                </c:pt>
                <c:pt idx="54">
                  <c:v>0.31902399999999997</c:v>
                </c:pt>
                <c:pt idx="55">
                  <c:v>0.30002499999999999</c:v>
                </c:pt>
                <c:pt idx="56">
                  <c:v>0.28180300000000003</c:v>
                </c:pt>
                <c:pt idx="57">
                  <c:v>0.26457599999999998</c:v>
                </c:pt>
                <c:pt idx="58">
                  <c:v>0.24881900000000001</c:v>
                </c:pt>
                <c:pt idx="59">
                  <c:v>0.233682</c:v>
                </c:pt>
                <c:pt idx="60">
                  <c:v>0.219356</c:v>
                </c:pt>
                <c:pt idx="61">
                  <c:v>0.205709</c:v>
                </c:pt>
                <c:pt idx="62">
                  <c:v>0.19356999999999999</c:v>
                </c:pt>
                <c:pt idx="63">
                  <c:v>0.181451</c:v>
                </c:pt>
                <c:pt idx="64">
                  <c:v>0.170235</c:v>
                </c:pt>
                <c:pt idx="65">
                  <c:v>0.16045499999999999</c:v>
                </c:pt>
                <c:pt idx="66">
                  <c:v>0.15045</c:v>
                </c:pt>
                <c:pt idx="67">
                  <c:v>0.14102600000000001</c:v>
                </c:pt>
                <c:pt idx="68">
                  <c:v>0.13226599999999999</c:v>
                </c:pt>
                <c:pt idx="69">
                  <c:v>0.12411700000000001</c:v>
                </c:pt>
                <c:pt idx="70">
                  <c:v>0.116392</c:v>
                </c:pt>
                <c:pt idx="71">
                  <c:v>0.10921</c:v>
                </c:pt>
                <c:pt idx="72">
                  <c:v>0.10265199999999999</c:v>
                </c:pt>
                <c:pt idx="73">
                  <c:v>9.5972399999999999E-2</c:v>
                </c:pt>
                <c:pt idx="74">
                  <c:v>9.0205800000000003E-2</c:v>
                </c:pt>
                <c:pt idx="75">
                  <c:v>8.4478300000000006E-2</c:v>
                </c:pt>
                <c:pt idx="76">
                  <c:v>7.9121899999999995E-2</c:v>
                </c:pt>
                <c:pt idx="77">
                  <c:v>7.4068099999999998E-2</c:v>
                </c:pt>
                <c:pt idx="78">
                  <c:v>6.9746900000000001E-2</c:v>
                </c:pt>
                <c:pt idx="79">
                  <c:v>6.4971500000000001E-2</c:v>
                </c:pt>
                <c:pt idx="80">
                  <c:v>6.1167800000000001E-2</c:v>
                </c:pt>
                <c:pt idx="81">
                  <c:v>5.7339599999999998E-2</c:v>
                </c:pt>
                <c:pt idx="82">
                  <c:v>5.35652E-2</c:v>
                </c:pt>
                <c:pt idx="83">
                  <c:v>4.9981200000000003E-2</c:v>
                </c:pt>
                <c:pt idx="84">
                  <c:v>4.66414E-2</c:v>
                </c:pt>
                <c:pt idx="85">
                  <c:v>4.3902099999999999E-2</c:v>
                </c:pt>
                <c:pt idx="86">
                  <c:v>4.1153099999999998E-2</c:v>
                </c:pt>
                <c:pt idx="87">
                  <c:v>3.84187E-2</c:v>
                </c:pt>
                <c:pt idx="88">
                  <c:v>3.6114E-2</c:v>
                </c:pt>
                <c:pt idx="89">
                  <c:v>3.3477300000000002E-2</c:v>
                </c:pt>
                <c:pt idx="90">
                  <c:v>3.1958800000000002E-2</c:v>
                </c:pt>
                <c:pt idx="91">
                  <c:v>2.9331800000000002E-2</c:v>
                </c:pt>
                <c:pt idx="92">
                  <c:v>2.8413799999999999E-2</c:v>
                </c:pt>
                <c:pt idx="93">
                  <c:v>2.6070099999999999E-2</c:v>
                </c:pt>
                <c:pt idx="94">
                  <c:v>2.4576000000000001E-2</c:v>
                </c:pt>
                <c:pt idx="95">
                  <c:v>2.2979300000000001E-2</c:v>
                </c:pt>
                <c:pt idx="96">
                  <c:v>2.1548600000000001E-2</c:v>
                </c:pt>
                <c:pt idx="97">
                  <c:v>2.0210700000000002E-2</c:v>
                </c:pt>
                <c:pt idx="98">
                  <c:v>1.8804499999999998E-2</c:v>
                </c:pt>
                <c:pt idx="99">
                  <c:v>1.71101E-2</c:v>
                </c:pt>
                <c:pt idx="100">
                  <c:v>1.64265E-2</c:v>
                </c:pt>
                <c:pt idx="101">
                  <c:v>1.5542800000000001E-2</c:v>
                </c:pt>
                <c:pt idx="102">
                  <c:v>1.4663799999999999E-2</c:v>
                </c:pt>
                <c:pt idx="103">
                  <c:v>1.37801E-2</c:v>
                </c:pt>
                <c:pt idx="104">
                  <c:v>1.2305399999999999E-2</c:v>
                </c:pt>
                <c:pt idx="105">
                  <c:v>1.15633E-2</c:v>
                </c:pt>
                <c:pt idx="106">
                  <c:v>1.1158E-2</c:v>
                </c:pt>
                <c:pt idx="107">
                  <c:v>1.03719E-2</c:v>
                </c:pt>
                <c:pt idx="108">
                  <c:v>9.4392399999999998E-3</c:v>
                </c:pt>
                <c:pt idx="109">
                  <c:v>9.0535000000000008E-3</c:v>
                </c:pt>
                <c:pt idx="110">
                  <c:v>8.8777200000000004E-3</c:v>
                </c:pt>
                <c:pt idx="111">
                  <c:v>7.7839700000000003E-3</c:v>
                </c:pt>
                <c:pt idx="112">
                  <c:v>6.9343599999999997E-3</c:v>
                </c:pt>
                <c:pt idx="113">
                  <c:v>7.0759600000000001E-3</c:v>
                </c:pt>
                <c:pt idx="114">
                  <c:v>6.7732199999999999E-3</c:v>
                </c:pt>
                <c:pt idx="115">
                  <c:v>6.1433399999999997E-3</c:v>
                </c:pt>
                <c:pt idx="116">
                  <c:v>5.3425599999999997E-3</c:v>
                </c:pt>
                <c:pt idx="117">
                  <c:v>5.37186E-3</c:v>
                </c:pt>
                <c:pt idx="118">
                  <c:v>4.89822E-3</c:v>
                </c:pt>
                <c:pt idx="119">
                  <c:v>4.4294699999999996E-3</c:v>
                </c:pt>
                <c:pt idx="120">
                  <c:v>4.4831799999999998E-3</c:v>
                </c:pt>
                <c:pt idx="121">
                  <c:v>4.2341599999999998E-3</c:v>
                </c:pt>
                <c:pt idx="122">
                  <c:v>4.0388500000000001E-3</c:v>
                </c:pt>
                <c:pt idx="123">
                  <c:v>3.9118900000000003E-3</c:v>
                </c:pt>
                <c:pt idx="124">
                  <c:v>3.7165800000000001E-3</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Command!$C$17:$C$18</c:f>
              <c:numCache>
                <c:formatCode>General</c:formatCode>
                <c:ptCount val="2"/>
                <c:pt idx="0">
                  <c:v>5</c:v>
                </c:pt>
                <c:pt idx="1">
                  <c:v>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Command!$D$17:$D$18</c:f>
              <c:numCache>
                <c:formatCode>General</c:formatCode>
                <c:ptCount val="2"/>
                <c:pt idx="0">
                  <c:v>2</c:v>
                </c:pt>
                <c:pt idx="1">
                  <c:v>2</c:v>
                </c:pt>
              </c:numCache>
            </c:numRef>
          </c:yVal>
          <c:smooth val="0"/>
        </c:ser>
        <c:dLbls>
          <c:showLegendKey val="0"/>
          <c:showVal val="0"/>
          <c:showCatName val="0"/>
          <c:showSerName val="0"/>
          <c:showPercent val="0"/>
          <c:showBubbleSize val="0"/>
        </c:dLbls>
        <c:axId val="143027584"/>
        <c:axId val="143029376"/>
      </c:scatterChart>
      <c:valAx>
        <c:axId val="143011200"/>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43025664"/>
        <c:crosses val="autoZero"/>
        <c:crossBetween val="midCat"/>
      </c:valAx>
      <c:valAx>
        <c:axId val="143025664"/>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143011200"/>
        <c:crosses val="autoZero"/>
        <c:crossBetween val="midCat"/>
      </c:valAx>
      <c:valAx>
        <c:axId val="143027584"/>
        <c:scaling>
          <c:orientation val="minMax"/>
        </c:scaling>
        <c:delete val="1"/>
        <c:axPos val="b"/>
        <c:numFmt formatCode="0.00E+00" sourceLinked="1"/>
        <c:majorTickMark val="out"/>
        <c:minorTickMark val="none"/>
        <c:tickLblPos val="none"/>
        <c:crossAx val="143029376"/>
        <c:crosses val="autoZero"/>
        <c:crossBetween val="midCat"/>
      </c:valAx>
      <c:valAx>
        <c:axId val="143029376"/>
        <c:scaling>
          <c:orientation val="minMax"/>
          <c:max val="5.25"/>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143027584"/>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Calc!$AC$8</c:f>
              <c:strCache>
                <c:ptCount val="1"/>
                <c:pt idx="0">
                  <c:v>Undoped Cond</c:v>
                </c:pt>
              </c:strCache>
            </c:strRef>
          </c:tx>
          <c:spPr>
            <a:ln w="28575">
              <a:noFill/>
            </a:ln>
          </c:spPr>
          <c:trendline>
            <c:trendlineType val="poly"/>
            <c:order val="3"/>
            <c:dispRSqr val="1"/>
            <c:dispEq val="1"/>
            <c:trendlineLbl>
              <c:layout>
                <c:manualLayout>
                  <c:x val="2.6631125477858408E-2"/>
                  <c:y val="-4.5300014581510645E-2"/>
                </c:manualLayout>
              </c:layout>
              <c:numFmt formatCode="General" sourceLinked="0"/>
            </c:trendlineLbl>
          </c:trendline>
          <c:xVal>
            <c:numRef>
              <c:f>Calc!$AA$9:$AA$44</c:f>
              <c:numCache>
                <c:formatCode>0.000</c:formatCode>
                <c:ptCount val="36"/>
                <c:pt idx="0">
                  <c:v>25.574943999999999</c:v>
                </c:pt>
                <c:pt idx="1">
                  <c:v>30.514984999999999</c:v>
                </c:pt>
                <c:pt idx="2">
                  <c:v>35.505572999999998</c:v>
                </c:pt>
                <c:pt idx="3">
                  <c:v>40.471617000000002</c:v>
                </c:pt>
                <c:pt idx="4">
                  <c:v>45.471893999999999</c:v>
                </c:pt>
                <c:pt idx="5">
                  <c:v>50.503872000000001</c:v>
                </c:pt>
                <c:pt idx="6">
                  <c:v>55.478293000000001</c:v>
                </c:pt>
                <c:pt idx="7">
                  <c:v>60.477620000000002</c:v>
                </c:pt>
                <c:pt idx="8">
                  <c:v>65.476241999999999</c:v>
                </c:pt>
                <c:pt idx="9">
                  <c:v>70.471900000000005</c:v>
                </c:pt>
                <c:pt idx="10">
                  <c:v>75.441408999999993</c:v>
                </c:pt>
                <c:pt idx="11">
                  <c:v>80.439930000000004</c:v>
                </c:pt>
                <c:pt idx="12">
                  <c:v>85.464177000000007</c:v>
                </c:pt>
                <c:pt idx="13">
                  <c:v>90.457423000000006</c:v>
                </c:pt>
                <c:pt idx="14">
                  <c:v>95.445974000000007</c:v>
                </c:pt>
                <c:pt idx="15">
                  <c:v>100.439252</c:v>
                </c:pt>
                <c:pt idx="16">
                  <c:v>105.532697</c:v>
                </c:pt>
                <c:pt idx="17">
                  <c:v>110.37857200000001</c:v>
                </c:pt>
                <c:pt idx="18">
                  <c:v>115.414168</c:v>
                </c:pt>
                <c:pt idx="19">
                  <c:v>120.43200899999999</c:v>
                </c:pt>
                <c:pt idx="20">
                  <c:v>125.43118</c:v>
                </c:pt>
                <c:pt idx="21">
                  <c:v>130.38081299999999</c:v>
                </c:pt>
                <c:pt idx="22">
                  <c:v>135.37871899999999</c:v>
                </c:pt>
                <c:pt idx="23">
                  <c:v>140.399551</c:v>
                </c:pt>
                <c:pt idx="24">
                  <c:v>145.42892699999999</c:v>
                </c:pt>
                <c:pt idx="25">
                  <c:v>150.45680400000001</c:v>
                </c:pt>
                <c:pt idx="26">
                  <c:v>155.38770099999999</c:v>
                </c:pt>
                <c:pt idx="27">
                  <c:v>160.34243699999999</c:v>
                </c:pt>
                <c:pt idx="28">
                  <c:v>165.35217</c:v>
                </c:pt>
                <c:pt idx="29">
                  <c:v>170.34768399999999</c:v>
                </c:pt>
                <c:pt idx="30">
                  <c:v>175.25808599999999</c:v>
                </c:pt>
                <c:pt idx="31">
                  <c:v>180.42495400000001</c:v>
                </c:pt>
                <c:pt idx="32">
                  <c:v>185.40361999999999</c:v>
                </c:pt>
                <c:pt idx="33">
                  <c:v>190.424297</c:v>
                </c:pt>
                <c:pt idx="34">
                  <c:v>195.404594</c:v>
                </c:pt>
                <c:pt idx="35" formatCode="General">
                  <c:v>200.29631699999999</c:v>
                </c:pt>
              </c:numCache>
            </c:numRef>
          </c:xVal>
          <c:yVal>
            <c:numRef>
              <c:f>Calc!$AC$9:$AC$44</c:f>
              <c:numCache>
                <c:formatCode>0.00E+00</c:formatCode>
                <c:ptCount val="36"/>
                <c:pt idx="0">
                  <c:v>2.328985414709906E-4</c:v>
                </c:pt>
                <c:pt idx="1">
                  <c:v>1.0520413135535576E-3</c:v>
                </c:pt>
                <c:pt idx="2">
                  <c:v>1.7270613285715775E-3</c:v>
                </c:pt>
                <c:pt idx="3">
                  <c:v>2.083223628346299E-3</c:v>
                </c:pt>
                <c:pt idx="4">
                  <c:v>2.7014999585837076E-3</c:v>
                </c:pt>
                <c:pt idx="5">
                  <c:v>3.6056824267328411E-3</c:v>
                </c:pt>
                <c:pt idx="6">
                  <c:v>4.2538985031319873E-3</c:v>
                </c:pt>
                <c:pt idx="7">
                  <c:v>4.7181834470028886E-3</c:v>
                </c:pt>
                <c:pt idx="8">
                  <c:v>5.6458564917853272E-3</c:v>
                </c:pt>
                <c:pt idx="9">
                  <c:v>6.1142128955096612E-3</c:v>
                </c:pt>
                <c:pt idx="10">
                  <c:v>6.7523606046867891E-3</c:v>
                </c:pt>
                <c:pt idx="11">
                  <c:v>7.4348079842817558E-3</c:v>
                </c:pt>
                <c:pt idx="12">
                  <c:v>8.1062408529846402E-3</c:v>
                </c:pt>
                <c:pt idx="13">
                  <c:v>8.7480770846300963E-3</c:v>
                </c:pt>
                <c:pt idx="14">
                  <c:v>9.3841736448925794E-3</c:v>
                </c:pt>
                <c:pt idx="15">
                  <c:v>1.0044454094643277E-2</c:v>
                </c:pt>
                <c:pt idx="16">
                  <c:v>1.0646903385833786E-2</c:v>
                </c:pt>
                <c:pt idx="17">
                  <c:v>1.1217528702478064E-2</c:v>
                </c:pt>
                <c:pt idx="18">
                  <c:v>1.179461226035519E-2</c:v>
                </c:pt>
                <c:pt idx="19">
                  <c:v>1.2344806232735032E-2</c:v>
                </c:pt>
                <c:pt idx="20">
                  <c:v>1.2851918029343556E-2</c:v>
                </c:pt>
                <c:pt idx="21">
                  <c:v>1.3406734397765747E-2</c:v>
                </c:pt>
                <c:pt idx="22">
                  <c:v>1.3860396870222712E-2</c:v>
                </c:pt>
                <c:pt idx="23">
                  <c:v>1.4331033952615263E-2</c:v>
                </c:pt>
                <c:pt idx="24">
                  <c:v>1.4825392898287097E-2</c:v>
                </c:pt>
                <c:pt idx="25">
                  <c:v>1.5301282694824113E-2</c:v>
                </c:pt>
                <c:pt idx="26">
                  <c:v>1.5651271388278185E-2</c:v>
                </c:pt>
                <c:pt idx="27">
                  <c:v>1.6059623538971474E-2</c:v>
                </c:pt>
                <c:pt idx="28">
                  <c:v>1.6444477803898426E-2</c:v>
                </c:pt>
                <c:pt idx="29">
                  <c:v>1.6765927328661435E-2</c:v>
                </c:pt>
                <c:pt idx="30">
                  <c:v>1.7086906625896261E-2</c:v>
                </c:pt>
                <c:pt idx="31">
                  <c:v>1.7471125658901181E-2</c:v>
                </c:pt>
                <c:pt idx="32">
                  <c:v>1.7817886409151093E-2</c:v>
                </c:pt>
                <c:pt idx="33">
                  <c:v>1.8139377339711844E-2</c:v>
                </c:pt>
                <c:pt idx="34">
                  <c:v>1.850624799379659E-2</c:v>
                </c:pt>
                <c:pt idx="35">
                  <c:v>1.8893864133679439E-2</c:v>
                </c:pt>
              </c:numCache>
            </c:numRef>
          </c:yVal>
          <c:smooth val="0"/>
        </c:ser>
        <c:dLbls>
          <c:showLegendKey val="0"/>
          <c:showVal val="0"/>
          <c:showCatName val="0"/>
          <c:showSerName val="0"/>
          <c:showPercent val="0"/>
          <c:showBubbleSize val="0"/>
        </c:dLbls>
        <c:axId val="142046720"/>
        <c:axId val="142048256"/>
      </c:scatterChart>
      <c:valAx>
        <c:axId val="142046720"/>
        <c:scaling>
          <c:orientation val="minMax"/>
        </c:scaling>
        <c:delete val="0"/>
        <c:axPos val="b"/>
        <c:numFmt formatCode="0.000" sourceLinked="1"/>
        <c:majorTickMark val="out"/>
        <c:minorTickMark val="none"/>
        <c:tickLblPos val="nextTo"/>
        <c:crossAx val="142048256"/>
        <c:crosses val="autoZero"/>
        <c:crossBetween val="midCat"/>
      </c:valAx>
      <c:valAx>
        <c:axId val="142048256"/>
        <c:scaling>
          <c:orientation val="minMax"/>
        </c:scaling>
        <c:delete val="0"/>
        <c:axPos val="l"/>
        <c:majorGridlines/>
        <c:numFmt formatCode="0.00E+00" sourceLinked="1"/>
        <c:majorTickMark val="out"/>
        <c:minorTickMark val="none"/>
        <c:tickLblPos val="nextTo"/>
        <c:crossAx val="142046720"/>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 Dependent Lifetime</a:t>
            </a:r>
          </a:p>
        </c:rich>
      </c:tx>
      <c:layout/>
      <c:overlay val="0"/>
    </c:title>
    <c:autoTitleDeleted val="0"/>
    <c:plotArea>
      <c:layout/>
      <c:scatterChart>
        <c:scatterStyle val="lineMarker"/>
        <c:varyColors val="0"/>
        <c:ser>
          <c:idx val="1"/>
          <c:order val="1"/>
          <c:tx>
            <c:strRef>
              <c:f>Plots!$B$1</c:f>
              <c:strCache>
                <c:ptCount val="1"/>
                <c:pt idx="0">
                  <c:v>190</c:v>
                </c:pt>
              </c:strCache>
            </c:strRef>
          </c:tx>
          <c:spPr>
            <a:ln w="28575">
              <a:noFill/>
            </a:ln>
          </c:spPr>
          <c:marker>
            <c:symbol val="diamond"/>
            <c:size val="7"/>
            <c:spPr>
              <a:solidFill>
                <a:schemeClr val="accent2">
                  <a:lumMod val="50000"/>
                </a:schemeClr>
              </a:solidFill>
              <a:ln>
                <a:noFill/>
              </a:ln>
            </c:spPr>
          </c:marker>
          <c:xVal>
            <c:numRef>
              <c:f>Plots!$B$3:$B$127</c:f>
              <c:numCache>
                <c:formatCode>General</c:formatCode>
                <c:ptCount val="125"/>
                <c:pt idx="0">
                  <c:v>9584393114647332</c:v>
                </c:pt>
                <c:pt idx="1">
                  <c:v>3.4870847733536636E+16</c:v>
                </c:pt>
                <c:pt idx="2">
                  <c:v>4.8046880889529632E+16</c:v>
                </c:pt>
                <c:pt idx="3">
                  <c:v>5.315727805765704E+16</c:v>
                </c:pt>
                <c:pt idx="4">
                  <c:v>5.3339163348305856E+16</c:v>
                </c:pt>
                <c:pt idx="5">
                  <c:v>5.2123938656316592E+16</c:v>
                </c:pt>
                <c:pt idx="6">
                  <c:v>5.0529050461542784E+16</c:v>
                </c:pt>
                <c:pt idx="7">
                  <c:v>4.8883046810207096E+16</c:v>
                </c:pt>
                <c:pt idx="8">
                  <c:v>4.71960814102236E+16</c:v>
                </c:pt>
                <c:pt idx="9">
                  <c:v>4.55132275151272E+16</c:v>
                </c:pt>
                <c:pt idx="10">
                  <c:v>4.3849092638193232E+16</c:v>
                </c:pt>
                <c:pt idx="11">
                  <c:v>4.2204194011119856E+16</c:v>
                </c:pt>
                <c:pt idx="12">
                  <c:v>4.0597994023291056E+16</c:v>
                </c:pt>
                <c:pt idx="13">
                  <c:v>3.902465852060868E+16</c:v>
                </c:pt>
                <c:pt idx="14">
                  <c:v>3.75045985621474E+16</c:v>
                </c:pt>
                <c:pt idx="15">
                  <c:v>3.6005868365620608E+16</c:v>
                </c:pt>
                <c:pt idx="16">
                  <c:v>3.4543230613797756E+16</c:v>
                </c:pt>
                <c:pt idx="17">
                  <c:v>3.3119083207107228E+16</c:v>
                </c:pt>
                <c:pt idx="18">
                  <c:v>3.1733837797219968E+16</c:v>
                </c:pt>
                <c:pt idx="19">
                  <c:v>3.0388437132131348E+16</c:v>
                </c:pt>
                <c:pt idx="20">
                  <c:v>2.9083038622039444E+16</c:v>
                </c:pt>
                <c:pt idx="21">
                  <c:v>2.782436171580964E+16</c:v>
                </c:pt>
                <c:pt idx="22">
                  <c:v>2.6600761345111188E+16</c:v>
                </c:pt>
                <c:pt idx="23">
                  <c:v>2.542791985998842E+16</c:v>
                </c:pt>
                <c:pt idx="24">
                  <c:v>2.4289478991641324E+16</c:v>
                </c:pt>
                <c:pt idx="25">
                  <c:v>2.3194853353246456E+16</c:v>
                </c:pt>
                <c:pt idx="26">
                  <c:v>2.213670319117E+16</c:v>
                </c:pt>
                <c:pt idx="27">
                  <c:v>2.1132699342244524E+16</c:v>
                </c:pt>
                <c:pt idx="28">
                  <c:v>2.0158875062572008E+16</c:v>
                </c:pt>
                <c:pt idx="29">
                  <c:v>1.9219986891494684E+16</c:v>
                </c:pt>
                <c:pt idx="30">
                  <c:v>1.8320294238189564E+16</c:v>
                </c:pt>
                <c:pt idx="31">
                  <c:v>1.7455203967248858E+16</c:v>
                </c:pt>
                <c:pt idx="32">
                  <c:v>1.6626087035436658E+16</c:v>
                </c:pt>
                <c:pt idx="33">
                  <c:v>1.5832622049943152E+16</c:v>
                </c:pt>
                <c:pt idx="34">
                  <c:v>1.5074662787649844E+16</c:v>
                </c:pt>
                <c:pt idx="35">
                  <c:v>1.4344652550669576E+16</c:v>
                </c:pt>
                <c:pt idx="36">
                  <c:v>1.3645087674848168E+16</c:v>
                </c:pt>
                <c:pt idx="37">
                  <c:v>1.2977817982974666E+16</c:v>
                </c:pt>
                <c:pt idx="38">
                  <c:v>1.2333365516573978E+16</c:v>
                </c:pt>
                <c:pt idx="39">
                  <c:v>1.1723034725538968E+16</c:v>
                </c:pt>
                <c:pt idx="40">
                  <c:v>1.1131151153929052E+16</c:v>
                </c:pt>
                <c:pt idx="41">
                  <c:v>1.0575556068436218E+16</c:v>
                </c:pt>
                <c:pt idx="42">
                  <c:v>1.0049733439354178E+16</c:v>
                </c:pt>
                <c:pt idx="43">
                  <c:v>9534528851535616</c:v>
                </c:pt>
                <c:pt idx="44">
                  <c:v>9055410572435196</c:v>
                </c:pt>
                <c:pt idx="45">
                  <c:v>8591540887358669</c:v>
                </c:pt>
                <c:pt idx="46">
                  <c:v>8156444303372834</c:v>
                </c:pt>
                <c:pt idx="47">
                  <c:v>7733295029306668</c:v>
                </c:pt>
                <c:pt idx="48">
                  <c:v>7333307000040704</c:v>
                </c:pt>
                <c:pt idx="49">
                  <c:v>6959183523751825</c:v>
                </c:pt>
                <c:pt idx="50">
                  <c:v>6593784713574096</c:v>
                </c:pt>
                <c:pt idx="51">
                  <c:v>6248419488192493</c:v>
                </c:pt>
                <c:pt idx="52">
                  <c:v>5921077053906984</c:v>
                </c:pt>
                <c:pt idx="53">
                  <c:v>5605616925904675</c:v>
                </c:pt>
                <c:pt idx="54">
                  <c:v>5308289410019474</c:v>
                </c:pt>
                <c:pt idx="55">
                  <c:v>5025937457191051</c:v>
                </c:pt>
                <c:pt idx="56">
                  <c:v>4754821415555648</c:v>
                </c:pt>
                <c:pt idx="57">
                  <c:v>4506027030652509</c:v>
                </c:pt>
                <c:pt idx="58">
                  <c:v>4257631083077652</c:v>
                </c:pt>
                <c:pt idx="59">
                  <c:v>4029853486466949</c:v>
                </c:pt>
                <c:pt idx="60">
                  <c:v>3802213320159601</c:v>
                </c:pt>
                <c:pt idx="61">
                  <c:v>3594802821779259</c:v>
                </c:pt>
                <c:pt idx="62">
                  <c:v>3394956226405939</c:v>
                </c:pt>
                <c:pt idx="63">
                  <c:v>3215472878859611</c:v>
                </c:pt>
                <c:pt idx="64">
                  <c:v>3038191426350669</c:v>
                </c:pt>
                <c:pt idx="65">
                  <c:v>2866548725254625.5</c:v>
                </c:pt>
                <c:pt idx="66">
                  <c:v>2705763178161279</c:v>
                </c:pt>
                <c:pt idx="67">
                  <c:v>2545236411429360</c:v>
                </c:pt>
                <c:pt idx="68">
                  <c:v>2401385481106118.5</c:v>
                </c:pt>
                <c:pt idx="69">
                  <c:v>2267839648494988.5</c:v>
                </c:pt>
                <c:pt idx="70">
                  <c:v>2141960877428649</c:v>
                </c:pt>
                <c:pt idx="71">
                  <c:v>2024087052776152.7</c:v>
                </c:pt>
                <c:pt idx="72">
                  <c:v>1904128404004175.7</c:v>
                </c:pt>
                <c:pt idx="73">
                  <c:v>1788910861358749.5</c:v>
                </c:pt>
                <c:pt idx="74">
                  <c:v>1684152057125418.7</c:v>
                </c:pt>
                <c:pt idx="75">
                  <c:v>1578637023301755.7</c:v>
                </c:pt>
                <c:pt idx="76">
                  <c:v>1482707789895163.7</c:v>
                </c:pt>
                <c:pt idx="77">
                  <c:v>1394314528427664.2</c:v>
                </c:pt>
                <c:pt idx="78">
                  <c:v>1317613473615995.7</c:v>
                </c:pt>
                <c:pt idx="79">
                  <c:v>1237658200046905.5</c:v>
                </c:pt>
                <c:pt idx="80">
                  <c:v>1163953689977987.7</c:v>
                </c:pt>
                <c:pt idx="81">
                  <c:v>1086203906948821.2</c:v>
                </c:pt>
                <c:pt idx="82">
                  <c:v>1020433274664312.9</c:v>
                </c:pt>
                <c:pt idx="83">
                  <c:v>957078865695646.37</c:v>
                </c:pt>
                <c:pt idx="84">
                  <c:v>894153856669827</c:v>
                </c:pt>
                <c:pt idx="85">
                  <c:v>843109220810686.25</c:v>
                </c:pt>
                <c:pt idx="86">
                  <c:v>783062232449328.75</c:v>
                </c:pt>
                <c:pt idx="87">
                  <c:v>732691065375374.87</c:v>
                </c:pt>
                <c:pt idx="88">
                  <c:v>683108849368247.5</c:v>
                </c:pt>
                <c:pt idx="89">
                  <c:v>643085487168567.5</c:v>
                </c:pt>
                <c:pt idx="90">
                  <c:v>602583049064910.12</c:v>
                </c:pt>
                <c:pt idx="91">
                  <c:v>555857744791461</c:v>
                </c:pt>
                <c:pt idx="92">
                  <c:v>523937673486327.31</c:v>
                </c:pt>
                <c:pt idx="93">
                  <c:v>484292263556978.25</c:v>
                </c:pt>
                <c:pt idx="94">
                  <c:v>449639968435403.56</c:v>
                </c:pt>
                <c:pt idx="95">
                  <c:v>421464409544552.69</c:v>
                </c:pt>
                <c:pt idx="96">
                  <c:v>392272724125394.75</c:v>
                </c:pt>
                <c:pt idx="97">
                  <c:v>368497484042482.31</c:v>
                </c:pt>
                <c:pt idx="98">
                  <c:v>345713118764989.56</c:v>
                </c:pt>
                <c:pt idx="99">
                  <c:v>320093474982784.31</c:v>
                </c:pt>
                <c:pt idx="100">
                  <c:v>304343552907177.56</c:v>
                </c:pt>
                <c:pt idx="101">
                  <c:v>279729894328082.34</c:v>
                </c:pt>
                <c:pt idx="102">
                  <c:v>266524927972729.41</c:v>
                </c:pt>
                <c:pt idx="103">
                  <c:v>245112399890754.22</c:v>
                </c:pt>
                <c:pt idx="104">
                  <c:v>232634302016214.06</c:v>
                </c:pt>
                <c:pt idx="105">
                  <c:v>211699981235306.81</c:v>
                </c:pt>
                <c:pt idx="106">
                  <c:v>196912697909569.75</c:v>
                </c:pt>
                <c:pt idx="107">
                  <c:v>184908478521158.87</c:v>
                </c:pt>
                <c:pt idx="108">
                  <c:v>171813415544739.81</c:v>
                </c:pt>
                <c:pt idx="109">
                  <c:v>162206366336380.03</c:v>
                </c:pt>
                <c:pt idx="110">
                  <c:v>147382273817268.91</c:v>
                </c:pt>
                <c:pt idx="111">
                  <c:v>145707834286136.5</c:v>
                </c:pt>
                <c:pt idx="112">
                  <c:v>141004434142800.47</c:v>
                </c:pt>
                <c:pt idx="113">
                  <c:v>123232899393867.53</c:v>
                </c:pt>
                <c:pt idx="114">
                  <c:v>112936346413816.11</c:v>
                </c:pt>
                <c:pt idx="115">
                  <c:v>112035602696506.33</c:v>
                </c:pt>
                <c:pt idx="116">
                  <c:v>103351717388328.14</c:v>
                </c:pt>
                <c:pt idx="117">
                  <c:v>90299930704516.984</c:v>
                </c:pt>
                <c:pt idx="118">
                  <c:v>91778264924658.312</c:v>
                </c:pt>
                <c:pt idx="119">
                  <c:v>84130299160746.469</c:v>
                </c:pt>
                <c:pt idx="120">
                  <c:v>81174623936580.828</c:v>
                </c:pt>
                <c:pt idx="121">
                  <c:v>77512730723960.922</c:v>
                </c:pt>
                <c:pt idx="122">
                  <c:v>71924658835383.172</c:v>
                </c:pt>
                <c:pt idx="123">
                  <c:v>69420169092495.656</c:v>
                </c:pt>
                <c:pt idx="124">
                  <c:v>65182570827455.805</c:v>
                </c:pt>
              </c:numCache>
            </c:numRef>
          </c:xVal>
          <c:yVal>
            <c:numRef>
              <c:f>Plots!$C$3:$C$127</c:f>
              <c:numCache>
                <c:formatCode>General</c:formatCode>
                <c:ptCount val="125"/>
                <c:pt idx="0">
                  <c:v>0</c:v>
                </c:pt>
                <c:pt idx="1">
                  <c:v>0</c:v>
                </c:pt>
                <c:pt idx="2">
                  <c:v>1.2683041717555623E-4</c:v>
                </c:pt>
                <c:pt idx="3">
                  <c:v>1.1496003922906513E-4</c:v>
                </c:pt>
                <c:pt idx="4">
                  <c:v>1.089899354298059E-4</c:v>
                </c:pt>
                <c:pt idx="5">
                  <c:v>1.0767845779884424E-4</c:v>
                </c:pt>
                <c:pt idx="6">
                  <c:v>1.0949774578446208E-4</c:v>
                </c:pt>
                <c:pt idx="7">
                  <c:v>1.1208831270357297E-4</c:v>
                </c:pt>
                <c:pt idx="8">
                  <c:v>1.1473935469404577E-4</c:v>
                </c:pt>
                <c:pt idx="9">
                  <c:v>1.1728343715746878E-4</c:v>
                </c:pt>
                <c:pt idx="10">
                  <c:v>1.1975779286240687E-4</c:v>
                </c:pt>
                <c:pt idx="11">
                  <c:v>1.220824121554872E-4</c:v>
                </c:pt>
                <c:pt idx="12">
                  <c:v>1.2443478208291187E-4</c:v>
                </c:pt>
                <c:pt idx="13">
                  <c:v>1.2663633004689147E-4</c:v>
                </c:pt>
                <c:pt idx="14">
                  <c:v>1.2879127856754436E-4</c:v>
                </c:pt>
                <c:pt idx="15">
                  <c:v>1.3085749774518319E-4</c:v>
                </c:pt>
                <c:pt idx="16">
                  <c:v>1.3282161274091658E-4</c:v>
                </c:pt>
                <c:pt idx="17">
                  <c:v>1.3472272403937461E-4</c:v>
                </c:pt>
                <c:pt idx="18">
                  <c:v>1.3657435411875896E-4</c:v>
                </c:pt>
                <c:pt idx="19">
                  <c:v>1.3833531145525537E-4</c:v>
                </c:pt>
                <c:pt idx="20">
                  <c:v>1.3996755674792035E-4</c:v>
                </c:pt>
                <c:pt idx="21">
                  <c:v>1.4156000099419078E-4</c:v>
                </c:pt>
                <c:pt idx="22">
                  <c:v>1.4300861907115591E-4</c:v>
                </c:pt>
                <c:pt idx="23">
                  <c:v>1.444679582860536E-4</c:v>
                </c:pt>
                <c:pt idx="24">
                  <c:v>1.4576523052541255E-4</c:v>
                </c:pt>
                <c:pt idx="25">
                  <c:v>1.4697369959200897E-4</c:v>
                </c:pt>
                <c:pt idx="26">
                  <c:v>1.4804719412210809E-4</c:v>
                </c:pt>
                <c:pt idx="27">
                  <c:v>1.4914228844231008E-4</c:v>
                </c:pt>
                <c:pt idx="28">
                  <c:v>1.5037201265745577E-4</c:v>
                </c:pt>
                <c:pt idx="29">
                  <c:v>1.5126441972964234E-4</c:v>
                </c:pt>
                <c:pt idx="30">
                  <c:v>1.5207646641002466E-4</c:v>
                </c:pt>
                <c:pt idx="31">
                  <c:v>1.5279904620395094E-4</c:v>
                </c:pt>
                <c:pt idx="32">
                  <c:v>1.5339973235143728E-4</c:v>
                </c:pt>
                <c:pt idx="33">
                  <c:v>1.5398377611350236E-4</c:v>
                </c:pt>
                <c:pt idx="34">
                  <c:v>1.5446365101124857E-4</c:v>
                </c:pt>
                <c:pt idx="35">
                  <c:v>1.5483000368815921E-4</c:v>
                </c:pt>
                <c:pt idx="36">
                  <c:v>1.5505805615151678E-4</c:v>
                </c:pt>
                <c:pt idx="37">
                  <c:v>1.5519503970948031E-4</c:v>
                </c:pt>
                <c:pt idx="38">
                  <c:v>1.5528563015260435E-4</c:v>
                </c:pt>
                <c:pt idx="39">
                  <c:v>1.553829958298905E-4</c:v>
                </c:pt>
                <c:pt idx="40">
                  <c:v>1.5534351438803508E-4</c:v>
                </c:pt>
                <c:pt idx="41">
                  <c:v>1.5526888262681521E-4</c:v>
                </c:pt>
                <c:pt idx="42">
                  <c:v>1.5529776192297319E-4</c:v>
                </c:pt>
                <c:pt idx="43">
                  <c:v>1.5488640874795421E-4</c:v>
                </c:pt>
                <c:pt idx="44">
                  <c:v>1.5466833410899652E-4</c:v>
                </c:pt>
                <c:pt idx="45">
                  <c:v>1.542689914013306E-4</c:v>
                </c:pt>
                <c:pt idx="46">
                  <c:v>1.5390581641564844E-4</c:v>
                </c:pt>
                <c:pt idx="47">
                  <c:v>1.5346764816254771E-4</c:v>
                </c:pt>
                <c:pt idx="48">
                  <c:v>1.5286708567843865E-4</c:v>
                </c:pt>
                <c:pt idx="49">
                  <c:v>1.5245037791466922E-4</c:v>
                </c:pt>
                <c:pt idx="50">
                  <c:v>1.5168782834270195E-4</c:v>
                </c:pt>
                <c:pt idx="51">
                  <c:v>1.5093687165277156E-4</c:v>
                </c:pt>
                <c:pt idx="52">
                  <c:v>1.5025766170386525E-4</c:v>
                </c:pt>
                <c:pt idx="53">
                  <c:v>1.4935993137008859E-4</c:v>
                </c:pt>
                <c:pt idx="54">
                  <c:v>1.4862660905384998E-4</c:v>
                </c:pt>
                <c:pt idx="55">
                  <c:v>1.4773125733215018E-4</c:v>
                </c:pt>
                <c:pt idx="56">
                  <c:v>1.4673722599989247E-4</c:v>
                </c:pt>
                <c:pt idx="57">
                  <c:v>1.4608633443623719E-4</c:v>
                </c:pt>
                <c:pt idx="58">
                  <c:v>1.4487606132312708E-4</c:v>
                </c:pt>
                <c:pt idx="59">
                  <c:v>1.4395154106546743E-4</c:v>
                </c:pt>
                <c:pt idx="60">
                  <c:v>1.4259666685444147E-4</c:v>
                </c:pt>
                <c:pt idx="61">
                  <c:v>1.4183578689125779E-4</c:v>
                </c:pt>
                <c:pt idx="62">
                  <c:v>1.4087474018035633E-4</c:v>
                </c:pt>
                <c:pt idx="63">
                  <c:v>1.3995894225050278E-4</c:v>
                </c:pt>
                <c:pt idx="64">
                  <c:v>1.3885264009411217E-4</c:v>
                </c:pt>
                <c:pt idx="65">
                  <c:v>1.3721572910817929E-4</c:v>
                </c:pt>
                <c:pt idx="66">
                  <c:v>1.3597241588490181E-4</c:v>
                </c:pt>
                <c:pt idx="67">
                  <c:v>1.3437910909420257E-4</c:v>
                </c:pt>
                <c:pt idx="68">
                  <c:v>1.333603275524031E-4</c:v>
                </c:pt>
                <c:pt idx="69">
                  <c:v>1.3244497116617448E-4</c:v>
                </c:pt>
                <c:pt idx="70">
                  <c:v>1.3138973405165931E-4</c:v>
                </c:pt>
                <c:pt idx="71">
                  <c:v>1.3014058729989578E-4</c:v>
                </c:pt>
                <c:pt idx="72">
                  <c:v>1.2837900994051304E-4</c:v>
                </c:pt>
                <c:pt idx="73">
                  <c:v>1.2649569514661485E-4</c:v>
                </c:pt>
                <c:pt idx="74">
                  <c:v>1.248952159868521E-4</c:v>
                </c:pt>
                <c:pt idx="75">
                  <c:v>1.2304126314126719E-4</c:v>
                </c:pt>
                <c:pt idx="76">
                  <c:v>1.2159336289901447E-4</c:v>
                </c:pt>
                <c:pt idx="77">
                  <c:v>1.2037744158694133E-4</c:v>
                </c:pt>
                <c:pt idx="78">
                  <c:v>1.195515056544859E-4</c:v>
                </c:pt>
                <c:pt idx="79">
                  <c:v>1.1796685306218537E-4</c:v>
                </c:pt>
                <c:pt idx="80">
                  <c:v>1.1632444139488063E-4</c:v>
                </c:pt>
                <c:pt idx="81">
                  <c:v>1.1418235867018852E-4</c:v>
                </c:pt>
                <c:pt idx="82">
                  <c:v>1.1248025220594571E-4</c:v>
                </c:pt>
                <c:pt idx="83">
                  <c:v>1.1150214330413913E-4</c:v>
                </c:pt>
                <c:pt idx="84">
                  <c:v>1.0944582534934541E-4</c:v>
                </c:pt>
                <c:pt idx="85">
                  <c:v>1.080825834990061E-4</c:v>
                </c:pt>
                <c:pt idx="86">
                  <c:v>1.0582141108621769E-4</c:v>
                </c:pt>
                <c:pt idx="87">
                  <c:v>1.0405919338556577E-4</c:v>
                </c:pt>
                <c:pt idx="88">
                  <c:v>1.0270340018885129E-4</c:v>
                </c:pt>
                <c:pt idx="89">
                  <c:v>1.0156968643274351E-4</c:v>
                </c:pt>
                <c:pt idx="90">
                  <c:v>1.0058542481111841E-4</c:v>
                </c:pt>
                <c:pt idx="91">
                  <c:v>9.7357877882225393E-5</c:v>
                </c:pt>
                <c:pt idx="92">
                  <c:v>9.6565383951812206E-5</c:v>
                </c:pt>
                <c:pt idx="93">
                  <c:v>9.4411601175918116E-5</c:v>
                </c:pt>
                <c:pt idx="94">
                  <c:v>9.2437674687445231E-5</c:v>
                </c:pt>
                <c:pt idx="95">
                  <c:v>9.1798005213446243E-5</c:v>
                </c:pt>
                <c:pt idx="96">
                  <c:v>9.0470912442306505E-5</c:v>
                </c:pt>
                <c:pt idx="97">
                  <c:v>8.9749667545527736E-5</c:v>
                </c:pt>
                <c:pt idx="98">
                  <c:v>8.9346827438970173E-5</c:v>
                </c:pt>
                <c:pt idx="99">
                  <c:v>8.6851319582942736E-5</c:v>
                </c:pt>
                <c:pt idx="100">
                  <c:v>8.7538085415495533E-5</c:v>
                </c:pt>
                <c:pt idx="101">
                  <c:v>8.4931882276169661E-5</c:v>
                </c:pt>
                <c:pt idx="102">
                  <c:v>8.4838534307400573E-5</c:v>
                </c:pt>
                <c:pt idx="103">
                  <c:v>8.2421667707343371E-5</c:v>
                </c:pt>
                <c:pt idx="104">
                  <c:v>8.2559429672111564E-5</c:v>
                </c:pt>
                <c:pt idx="105">
                  <c:v>7.9876552798518907E-5</c:v>
                </c:pt>
                <c:pt idx="106">
                  <c:v>7.8704462397159215E-5</c:v>
                </c:pt>
                <c:pt idx="107">
                  <c:v>7.8887733200076654E-5</c:v>
                </c:pt>
                <c:pt idx="108">
                  <c:v>7.7155444055959662E-5</c:v>
                </c:pt>
                <c:pt idx="109">
                  <c:v>7.7698228840337617E-5</c:v>
                </c:pt>
                <c:pt idx="110">
                  <c:v>7.5530469813184996E-5</c:v>
                </c:pt>
                <c:pt idx="111">
                  <c:v>7.9105224010386503E-5</c:v>
                </c:pt>
                <c:pt idx="112">
                  <c:v>8.1123450659448062E-5</c:v>
                </c:pt>
                <c:pt idx="113">
                  <c:v>7.4569904240782156E-5</c:v>
                </c:pt>
                <c:pt idx="114">
                  <c:v>7.2782527206524946E-5</c:v>
                </c:pt>
                <c:pt idx="115">
                  <c:v>7.650675765296664E-5</c:v>
                </c:pt>
                <c:pt idx="116">
                  <c:v>7.637824560674125E-5</c:v>
                </c:pt>
                <c:pt idx="117">
                  <c:v>7.0017985921647671E-5</c:v>
                </c:pt>
                <c:pt idx="118">
                  <c:v>7.8718912347735311E-5</c:v>
                </c:pt>
                <c:pt idx="119">
                  <c:v>7.778432350677188E-5</c:v>
                </c:pt>
                <c:pt idx="120">
                  <c:v>7.8838857833412939E-5</c:v>
                </c:pt>
                <c:pt idx="121">
                  <c:v>8.1825342358748227E-5</c:v>
                </c:pt>
                <c:pt idx="122">
                  <c:v>8.0199601112861685E-5</c:v>
                </c:pt>
                <c:pt idx="123">
                  <c:v>0</c:v>
                </c:pt>
                <c:pt idx="124">
                  <c:v>0</c:v>
                </c:pt>
              </c:numCache>
            </c:numRef>
          </c:yVal>
          <c:smooth val="0"/>
        </c:ser>
        <c:ser>
          <c:idx val="2"/>
          <c:order val="2"/>
          <c:tx>
            <c:strRef>
              <c:f>Plots!$D$1</c:f>
              <c:strCache>
                <c:ptCount val="1"/>
                <c:pt idx="0">
                  <c:v>180</c:v>
                </c:pt>
              </c:strCache>
            </c:strRef>
          </c:tx>
          <c:spPr>
            <a:ln w="28575">
              <a:noFill/>
            </a:ln>
          </c:spPr>
          <c:marker>
            <c:symbol val="diamond"/>
            <c:size val="7"/>
            <c:spPr>
              <a:solidFill>
                <a:srgbClr val="C00000"/>
              </a:solidFill>
              <a:ln>
                <a:noFill/>
              </a:ln>
            </c:spPr>
          </c:marker>
          <c:xVal>
            <c:numRef>
              <c:f>Plots!$D$3:$D$127</c:f>
              <c:numCache>
                <c:formatCode>General</c:formatCode>
                <c:ptCount val="125"/>
                <c:pt idx="0">
                  <c:v>2443636702083847</c:v>
                </c:pt>
                <c:pt idx="1">
                  <c:v>2.52481255900811E+16</c:v>
                </c:pt>
                <c:pt idx="2">
                  <c:v>4.4345532077643224E+16</c:v>
                </c:pt>
                <c:pt idx="3">
                  <c:v>5.2980705958190504E+16</c:v>
                </c:pt>
                <c:pt idx="4">
                  <c:v>5.4413692389629064E+16</c:v>
                </c:pt>
                <c:pt idx="5">
                  <c:v>5.3481785119491568E+16</c:v>
                </c:pt>
                <c:pt idx="6">
                  <c:v>5.1949551811203728E+16</c:v>
                </c:pt>
                <c:pt idx="7">
                  <c:v>5.030541929134796E+16</c:v>
                </c:pt>
                <c:pt idx="8">
                  <c:v>4.8563612560328232E+16</c:v>
                </c:pt>
                <c:pt idx="9">
                  <c:v>4.6845176635096712E+16</c:v>
                </c:pt>
                <c:pt idx="10">
                  <c:v>4.5135906310120688E+16</c:v>
                </c:pt>
                <c:pt idx="11">
                  <c:v>4.3463527517242008E+16</c:v>
                </c:pt>
                <c:pt idx="12">
                  <c:v>4.1808614369310576E+16</c:v>
                </c:pt>
                <c:pt idx="13">
                  <c:v>4.0163780352809568E+16</c:v>
                </c:pt>
                <c:pt idx="14">
                  <c:v>3.8559493750938808E+16</c:v>
                </c:pt>
                <c:pt idx="15">
                  <c:v>3.7018862856367704E+16</c:v>
                </c:pt>
                <c:pt idx="16">
                  <c:v>3.550832152347232E+16</c:v>
                </c:pt>
                <c:pt idx="17">
                  <c:v>3.4031493498071036E+16</c:v>
                </c:pt>
                <c:pt idx="18">
                  <c:v>3.2602675596619028E+16</c:v>
                </c:pt>
                <c:pt idx="19">
                  <c:v>3.1210118467550516E+16</c:v>
                </c:pt>
                <c:pt idx="20">
                  <c:v>2.9860347322021836E+16</c:v>
                </c:pt>
                <c:pt idx="21">
                  <c:v>2.8553734466551392E+16</c:v>
                </c:pt>
                <c:pt idx="22">
                  <c:v>2.7293094039642584E+16</c:v>
                </c:pt>
                <c:pt idx="23">
                  <c:v>2.6075356406607508E+16</c:v>
                </c:pt>
                <c:pt idx="24">
                  <c:v>2.4897214674807316E+16</c:v>
                </c:pt>
                <c:pt idx="25">
                  <c:v>2.3767127863821064E+16</c:v>
                </c:pt>
                <c:pt idx="26">
                  <c:v>2.26813508942833E+16</c:v>
                </c:pt>
                <c:pt idx="27">
                  <c:v>2.1630720917211772E+16</c:v>
                </c:pt>
                <c:pt idx="28">
                  <c:v>2.0642571986069804E+16</c:v>
                </c:pt>
                <c:pt idx="29">
                  <c:v>1.9671062623875184E+16</c:v>
                </c:pt>
                <c:pt idx="30">
                  <c:v>1.8744182839601232E+16</c:v>
                </c:pt>
                <c:pt idx="31">
                  <c:v>1.7846240370675852E+16</c:v>
                </c:pt>
                <c:pt idx="32">
                  <c:v>1.6990902515869792E+16</c:v>
                </c:pt>
                <c:pt idx="33">
                  <c:v>1.6173650095626558E+16</c:v>
                </c:pt>
                <c:pt idx="34">
                  <c:v>1.5398515029993202E+16</c:v>
                </c:pt>
                <c:pt idx="35">
                  <c:v>1.4647221408083262E+16</c:v>
                </c:pt>
                <c:pt idx="36">
                  <c:v>1.3928598113494678E+16</c:v>
                </c:pt>
                <c:pt idx="37">
                  <c:v>1.3236668829843304E+16</c:v>
                </c:pt>
                <c:pt idx="38">
                  <c:v>1.2577913793897122E+16</c:v>
                </c:pt>
                <c:pt idx="39">
                  <c:v>1.1955024482365894E+16</c:v>
                </c:pt>
                <c:pt idx="40">
                  <c:v>1.1350312867283896E+16</c:v>
                </c:pt>
                <c:pt idx="41">
                  <c:v>1.0779457951932636E+16</c:v>
                </c:pt>
                <c:pt idx="42">
                  <c:v>1.0233817338118026E+16</c:v>
                </c:pt>
                <c:pt idx="43">
                  <c:v>9717660223472996</c:v>
                </c:pt>
                <c:pt idx="44">
                  <c:v>9218905506852774</c:v>
                </c:pt>
                <c:pt idx="45">
                  <c:v>8741889760511566</c:v>
                </c:pt>
                <c:pt idx="46">
                  <c:v>8295294489694514</c:v>
                </c:pt>
                <c:pt idx="47">
                  <c:v>7863640249741326</c:v>
                </c:pt>
                <c:pt idx="48">
                  <c:v>7449529544362228</c:v>
                </c:pt>
                <c:pt idx="49">
                  <c:v>7062933101919524</c:v>
                </c:pt>
                <c:pt idx="50">
                  <c:v>6690815202831423</c:v>
                </c:pt>
                <c:pt idx="51">
                  <c:v>6338570021386664</c:v>
                </c:pt>
                <c:pt idx="52">
                  <c:v>6002416043653105</c:v>
                </c:pt>
                <c:pt idx="53">
                  <c:v>5684770716177135</c:v>
                </c:pt>
                <c:pt idx="54">
                  <c:v>5388783261552408</c:v>
                </c:pt>
                <c:pt idx="55">
                  <c:v>5100519386023774</c:v>
                </c:pt>
                <c:pt idx="56">
                  <c:v>4816398988861571</c:v>
                </c:pt>
                <c:pt idx="57">
                  <c:v>4562033044614523</c:v>
                </c:pt>
                <c:pt idx="58">
                  <c:v>4315646953156478</c:v>
                </c:pt>
                <c:pt idx="59">
                  <c:v>4076109143452678.5</c:v>
                </c:pt>
                <c:pt idx="60">
                  <c:v>3851350883955722.5</c:v>
                </c:pt>
                <c:pt idx="61">
                  <c:v>3641266040507502</c:v>
                </c:pt>
                <c:pt idx="62">
                  <c:v>3439970959945887</c:v>
                </c:pt>
                <c:pt idx="63">
                  <c:v>3247077432250458.5</c:v>
                </c:pt>
                <c:pt idx="64">
                  <c:v>3067447944429862.5</c:v>
                </c:pt>
                <c:pt idx="65">
                  <c:v>2894929450373566.5</c:v>
                </c:pt>
                <c:pt idx="66">
                  <c:v>2732018609735918</c:v>
                </c:pt>
                <c:pt idx="67">
                  <c:v>2574700757762326.5</c:v>
                </c:pt>
                <c:pt idx="68">
                  <c:v>2431896344349004.5</c:v>
                </c:pt>
                <c:pt idx="69">
                  <c:v>2292597347826269</c:v>
                </c:pt>
                <c:pt idx="70">
                  <c:v>2160833937870119.7</c:v>
                </c:pt>
                <c:pt idx="71">
                  <c:v>2049935642487044.2</c:v>
                </c:pt>
                <c:pt idx="72">
                  <c:v>1927026583576701</c:v>
                </c:pt>
                <c:pt idx="73">
                  <c:v>1814287108445943</c:v>
                </c:pt>
                <c:pt idx="74">
                  <c:v>1709005113497024.7</c:v>
                </c:pt>
                <c:pt idx="75">
                  <c:v>1612446855121171.7</c:v>
                </c:pt>
                <c:pt idx="76">
                  <c:v>1514618250744906.5</c:v>
                </c:pt>
                <c:pt idx="77">
                  <c:v>1424667430456568.2</c:v>
                </c:pt>
                <c:pt idx="78">
                  <c:v>1334579567180723.5</c:v>
                </c:pt>
                <c:pt idx="79">
                  <c:v>1258807716165925.2</c:v>
                </c:pt>
                <c:pt idx="80">
                  <c:v>1181519671231065.5</c:v>
                </c:pt>
                <c:pt idx="81">
                  <c:v>1109445198447757.9</c:v>
                </c:pt>
                <c:pt idx="82">
                  <c:v>1040790136415433.9</c:v>
                </c:pt>
                <c:pt idx="83">
                  <c:v>977998928458695.87</c:v>
                </c:pt>
                <c:pt idx="84">
                  <c:v>920036968759969.37</c:v>
                </c:pt>
                <c:pt idx="85">
                  <c:v>864177335087692.75</c:v>
                </c:pt>
                <c:pt idx="86">
                  <c:v>807146271726563.62</c:v>
                </c:pt>
                <c:pt idx="87">
                  <c:v>752588171119599.75</c:v>
                </c:pt>
                <c:pt idx="88">
                  <c:v>711333071706797.25</c:v>
                </c:pt>
                <c:pt idx="89">
                  <c:v>661304072444398.75</c:v>
                </c:pt>
                <c:pt idx="90">
                  <c:v>625406844368771.75</c:v>
                </c:pt>
                <c:pt idx="91">
                  <c:v>586053220094508.25</c:v>
                </c:pt>
                <c:pt idx="92">
                  <c:v>542317726219346.5</c:v>
                </c:pt>
                <c:pt idx="93">
                  <c:v>508667795430651.25</c:v>
                </c:pt>
                <c:pt idx="94">
                  <c:v>475612641317895.5</c:v>
                </c:pt>
                <c:pt idx="95">
                  <c:v>441287586871170.69</c:v>
                </c:pt>
                <c:pt idx="96">
                  <c:v>416873344793265.5</c:v>
                </c:pt>
                <c:pt idx="97">
                  <c:v>390802619638275.31</c:v>
                </c:pt>
                <c:pt idx="98">
                  <c:v>364939979319865.12</c:v>
                </c:pt>
                <c:pt idx="99">
                  <c:v>340712345085607.5</c:v>
                </c:pt>
                <c:pt idx="100">
                  <c:v>315946069680651.75</c:v>
                </c:pt>
                <c:pt idx="101">
                  <c:v>298624285214752.81</c:v>
                </c:pt>
                <c:pt idx="102">
                  <c:v>276799508721816.37</c:v>
                </c:pt>
                <c:pt idx="103">
                  <c:v>261107309623766.81</c:v>
                </c:pt>
                <c:pt idx="104">
                  <c:v>241288074262897.5</c:v>
                </c:pt>
                <c:pt idx="105">
                  <c:v>229810936099186.66</c:v>
                </c:pt>
                <c:pt idx="106">
                  <c:v>211186764424177.25</c:v>
                </c:pt>
                <c:pt idx="107">
                  <c:v>194670433328543.53</c:v>
                </c:pt>
                <c:pt idx="108">
                  <c:v>184568546432876.25</c:v>
                </c:pt>
                <c:pt idx="109">
                  <c:v>173979078842119.16</c:v>
                </c:pt>
                <c:pt idx="110">
                  <c:v>156749134673319.16</c:v>
                </c:pt>
                <c:pt idx="111">
                  <c:v>147584683130244.37</c:v>
                </c:pt>
                <c:pt idx="112">
                  <c:v>140821941518923.78</c:v>
                </c:pt>
                <c:pt idx="113">
                  <c:v>133630728632303.33</c:v>
                </c:pt>
                <c:pt idx="114">
                  <c:v>117229282420828</c:v>
                </c:pt>
                <c:pt idx="115">
                  <c:v>113729290705159.66</c:v>
                </c:pt>
                <c:pt idx="116">
                  <c:v>108940711956607.53</c:v>
                </c:pt>
                <c:pt idx="117">
                  <c:v>99796220447000.156</c:v>
                </c:pt>
                <c:pt idx="118">
                  <c:v>87650638410877.281</c:v>
                </c:pt>
                <c:pt idx="119">
                  <c:v>85320419664662.531</c:v>
                </c:pt>
                <c:pt idx="120">
                  <c:v>81948318893477.266</c:v>
                </c:pt>
                <c:pt idx="121">
                  <c:v>74715298081934.312</c:v>
                </c:pt>
                <c:pt idx="122">
                  <c:v>67913887894165.219</c:v>
                </c:pt>
                <c:pt idx="123">
                  <c:v>63013497633945.625</c:v>
                </c:pt>
                <c:pt idx="124">
                  <c:v>57808150067705.414</c:v>
                </c:pt>
              </c:numCache>
            </c:numRef>
          </c:xVal>
          <c:yVal>
            <c:numRef>
              <c:f>Plots!$E$3:$E$127</c:f>
              <c:numCache>
                <c:formatCode>General</c:formatCode>
                <c:ptCount val="125"/>
                <c:pt idx="0">
                  <c:v>0</c:v>
                </c:pt>
                <c:pt idx="1">
                  <c:v>0</c:v>
                </c:pt>
                <c:pt idx="2">
                  <c:v>1.2971898595688536E-4</c:v>
                </c:pt>
                <c:pt idx="3">
                  <c:v>1.2073725456800858E-4</c:v>
                </c:pt>
                <c:pt idx="4">
                  <c:v>1.1161785749763105E-4</c:v>
                </c:pt>
                <c:pt idx="5">
                  <c:v>1.0790681519124639E-4</c:v>
                </c:pt>
                <c:pt idx="6">
                  <c:v>1.0855928189004585E-4</c:v>
                </c:pt>
                <c:pt idx="7">
                  <c:v>1.1101782529083759E-4</c:v>
                </c:pt>
                <c:pt idx="8">
                  <c:v>1.1369336774918791E-4</c:v>
                </c:pt>
                <c:pt idx="9">
                  <c:v>1.1620884755655056E-4</c:v>
                </c:pt>
                <c:pt idx="10">
                  <c:v>1.1868008325067129E-4</c:v>
                </c:pt>
                <c:pt idx="11">
                  <c:v>1.2104725845917368E-4</c:v>
                </c:pt>
                <c:pt idx="12">
                  <c:v>1.2338813433107376E-4</c:v>
                </c:pt>
                <c:pt idx="13">
                  <c:v>1.2561135617499366E-4</c:v>
                </c:pt>
                <c:pt idx="14">
                  <c:v>1.2772615128518272E-4</c:v>
                </c:pt>
                <c:pt idx="15">
                  <c:v>1.2983408647813781E-4</c:v>
                </c:pt>
                <c:pt idx="16">
                  <c:v>1.3183130006964608E-4</c:v>
                </c:pt>
                <c:pt idx="17">
                  <c:v>1.3371894758002897E-4</c:v>
                </c:pt>
                <c:pt idx="18">
                  <c:v>1.3555031301878915E-4</c:v>
                </c:pt>
                <c:pt idx="19">
                  <c:v>1.3732322119475822E-4</c:v>
                </c:pt>
                <c:pt idx="20">
                  <c:v>1.3896851248697251E-4</c:v>
                </c:pt>
                <c:pt idx="21">
                  <c:v>1.4051873723378786E-4</c:v>
                </c:pt>
                <c:pt idx="22">
                  <c:v>1.4196789567983618E-4</c:v>
                </c:pt>
                <c:pt idx="23">
                  <c:v>1.4336047994827967E-4</c:v>
                </c:pt>
                <c:pt idx="24">
                  <c:v>1.4464931796327643E-4</c:v>
                </c:pt>
                <c:pt idx="25">
                  <c:v>1.458357382183123E-4</c:v>
                </c:pt>
                <c:pt idx="26">
                  <c:v>1.4698585172159007E-4</c:v>
                </c:pt>
                <c:pt idx="27">
                  <c:v>1.4792341674818753E-4</c:v>
                </c:pt>
                <c:pt idx="28">
                  <c:v>1.4906057577134489E-4</c:v>
                </c:pt>
                <c:pt idx="29">
                  <c:v>1.5008860654967037E-4</c:v>
                </c:pt>
                <c:pt idx="30">
                  <c:v>1.5082808996986222E-4</c:v>
                </c:pt>
                <c:pt idx="31">
                  <c:v>1.5146632449530061E-4</c:v>
                </c:pt>
                <c:pt idx="32">
                  <c:v>1.5204905936574745E-4</c:v>
                </c:pt>
                <c:pt idx="33">
                  <c:v>1.526020669539808E-4</c:v>
                </c:pt>
                <c:pt idx="34">
                  <c:v>1.5311207449098243E-4</c:v>
                </c:pt>
                <c:pt idx="35">
                  <c:v>1.5339728931422294E-4</c:v>
                </c:pt>
                <c:pt idx="36">
                  <c:v>1.536168169897449E-4</c:v>
                </c:pt>
                <c:pt idx="37">
                  <c:v>1.5371774867116114E-4</c:v>
                </c:pt>
                <c:pt idx="38">
                  <c:v>1.5373278671162394E-4</c:v>
                </c:pt>
                <c:pt idx="39">
                  <c:v>1.538953578674766E-4</c:v>
                </c:pt>
                <c:pt idx="40">
                  <c:v>1.5377657850560155E-4</c:v>
                </c:pt>
                <c:pt idx="41">
                  <c:v>1.5372900711663616E-4</c:v>
                </c:pt>
                <c:pt idx="42">
                  <c:v>1.5355135593121834E-4</c:v>
                </c:pt>
                <c:pt idx="43">
                  <c:v>1.5333864104506313E-4</c:v>
                </c:pt>
                <c:pt idx="44">
                  <c:v>1.5296884116081672E-4</c:v>
                </c:pt>
                <c:pt idx="45">
                  <c:v>1.5250004783005325E-4</c:v>
                </c:pt>
                <c:pt idx="46">
                  <c:v>1.5208405358883427E-4</c:v>
                </c:pt>
                <c:pt idx="47">
                  <c:v>1.5162965761324253E-4</c:v>
                </c:pt>
                <c:pt idx="48">
                  <c:v>1.5094996861866715E-4</c:v>
                </c:pt>
                <c:pt idx="49">
                  <c:v>1.5045322488554388E-4</c:v>
                </c:pt>
                <c:pt idx="50">
                  <c:v>1.4979874607491726E-4</c:v>
                </c:pt>
                <c:pt idx="51">
                  <c:v>1.4906466860251579E-4</c:v>
                </c:pt>
                <c:pt idx="52">
                  <c:v>1.4821400271426859E-4</c:v>
                </c:pt>
                <c:pt idx="53">
                  <c:v>1.4755648554157626E-4</c:v>
                </c:pt>
                <c:pt idx="54">
                  <c:v>1.467918243738721E-4</c:v>
                </c:pt>
                <c:pt idx="55">
                  <c:v>1.4588449639273238E-4</c:v>
                </c:pt>
                <c:pt idx="56">
                  <c:v>1.4457925386975422E-4</c:v>
                </c:pt>
                <c:pt idx="57">
                  <c:v>1.4378014906152829E-4</c:v>
                </c:pt>
                <c:pt idx="58">
                  <c:v>1.4285229998181218E-4</c:v>
                </c:pt>
                <c:pt idx="59">
                  <c:v>1.4174350175708713E-4</c:v>
                </c:pt>
                <c:pt idx="60">
                  <c:v>1.4064508596513329E-4</c:v>
                </c:pt>
                <c:pt idx="61">
                  <c:v>1.3962499385584656E-4</c:v>
                </c:pt>
                <c:pt idx="62">
                  <c:v>1.3878706947055547E-4</c:v>
                </c:pt>
                <c:pt idx="63">
                  <c:v>1.3749826989369979E-4</c:v>
                </c:pt>
                <c:pt idx="64">
                  <c:v>1.3638684207429824E-4</c:v>
                </c:pt>
                <c:pt idx="65">
                  <c:v>1.3507941380474944E-4</c:v>
                </c:pt>
                <c:pt idx="66">
                  <c:v>1.3379420160904916E-4</c:v>
                </c:pt>
                <c:pt idx="67">
                  <c:v>1.3235813693740693E-4</c:v>
                </c:pt>
                <c:pt idx="68">
                  <c:v>1.3123895888219293E-4</c:v>
                </c:pt>
                <c:pt idx="69">
                  <c:v>1.3027712024544103E-4</c:v>
                </c:pt>
                <c:pt idx="70">
                  <c:v>1.2884865646281522E-4</c:v>
                </c:pt>
                <c:pt idx="71">
                  <c:v>1.2827220234839948E-4</c:v>
                </c:pt>
                <c:pt idx="72">
                  <c:v>1.265904943573822E-4</c:v>
                </c:pt>
                <c:pt idx="73">
                  <c:v>1.2491836710427277E-4</c:v>
                </c:pt>
                <c:pt idx="74">
                  <c:v>1.2340960804905286E-4</c:v>
                </c:pt>
                <c:pt idx="75">
                  <c:v>1.2241706264256585E-4</c:v>
                </c:pt>
                <c:pt idx="76">
                  <c:v>1.2046091559653699E-4</c:v>
                </c:pt>
                <c:pt idx="77">
                  <c:v>1.1911370768753482E-4</c:v>
                </c:pt>
                <c:pt idx="78">
                  <c:v>1.1723204997382325E-4</c:v>
                </c:pt>
                <c:pt idx="79">
                  <c:v>1.1651999345295625E-4</c:v>
                </c:pt>
                <c:pt idx="80">
                  <c:v>1.1477101712775721E-4</c:v>
                </c:pt>
                <c:pt idx="81">
                  <c:v>1.1318051877506037E-4</c:v>
                </c:pt>
                <c:pt idx="82">
                  <c:v>1.1161903591273062E-4</c:v>
                </c:pt>
                <c:pt idx="83">
                  <c:v>1.1037311519289676E-4</c:v>
                </c:pt>
                <c:pt idx="84">
                  <c:v>1.0891862117984364E-4</c:v>
                </c:pt>
                <c:pt idx="85">
                  <c:v>1.0747819115400829E-4</c:v>
                </c:pt>
                <c:pt idx="86">
                  <c:v>1.0564416433776001E-4</c:v>
                </c:pt>
                <c:pt idx="87">
                  <c:v>1.036308962062726E-4</c:v>
                </c:pt>
                <c:pt idx="88">
                  <c:v>1.0318329057690968E-4</c:v>
                </c:pt>
                <c:pt idx="89">
                  <c:v>1.0116948440996141E-4</c:v>
                </c:pt>
                <c:pt idx="90">
                  <c:v>1.0028827405895102E-4</c:v>
                </c:pt>
                <c:pt idx="91">
                  <c:v>9.913506716550858E-5</c:v>
                </c:pt>
                <c:pt idx="92">
                  <c:v>9.6355803560942323E-5</c:v>
                </c:pt>
                <c:pt idx="93">
                  <c:v>9.5490421257362281E-5</c:v>
                </c:pt>
                <c:pt idx="94">
                  <c:v>9.4181503535407013E-5</c:v>
                </c:pt>
                <c:pt idx="95">
                  <c:v>9.2606904218017438E-5</c:v>
                </c:pt>
                <c:pt idx="96">
                  <c:v>9.1844019777714402E-5</c:v>
                </c:pt>
                <c:pt idx="97">
                  <c:v>9.0866214450905446E-5</c:v>
                </c:pt>
                <c:pt idx="98">
                  <c:v>8.9231113533336961E-5</c:v>
                </c:pt>
                <c:pt idx="99">
                  <c:v>8.8308680318320202E-5</c:v>
                </c:pt>
                <c:pt idx="100">
                  <c:v>8.5953639122964576E-5</c:v>
                </c:pt>
                <c:pt idx="101">
                  <c:v>8.6523424747020973E-5</c:v>
                </c:pt>
                <c:pt idx="102">
                  <c:v>8.4241819421687183E-5</c:v>
                </c:pt>
                <c:pt idx="103">
                  <c:v>8.4123786043063424E-5</c:v>
                </c:pt>
                <c:pt idx="104">
                  <c:v>8.2182299401460215E-5</c:v>
                </c:pt>
                <c:pt idx="105">
                  <c:v>8.3229735477420677E-5</c:v>
                </c:pt>
                <c:pt idx="106">
                  <c:v>8.0720440675904607E-5</c:v>
                </c:pt>
                <c:pt idx="107">
                  <c:v>7.8664493314102449E-5</c:v>
                </c:pt>
                <c:pt idx="108">
                  <c:v>7.9617466238206619E-5</c:v>
                </c:pt>
                <c:pt idx="109">
                  <c:v>7.8695689026857276E-5</c:v>
                </c:pt>
                <c:pt idx="110">
                  <c:v>7.4990090681192127E-5</c:v>
                </c:pt>
                <c:pt idx="111">
                  <c:v>7.6378396700954007E-5</c:v>
                </c:pt>
                <c:pt idx="112">
                  <c:v>7.6704771514154608E-5</c:v>
                </c:pt>
                <c:pt idx="113">
                  <c:v>7.7682318963400159E-5</c:v>
                </c:pt>
                <c:pt idx="114">
                  <c:v>7.2512528041581095E-5</c:v>
                </c:pt>
                <c:pt idx="115">
                  <c:v>7.3785027292904481E-5</c:v>
                </c:pt>
                <c:pt idx="116">
                  <c:v>7.6223607624981775E-5</c:v>
                </c:pt>
                <c:pt idx="117">
                  <c:v>7.3959175263649189E-5</c:v>
                </c:pt>
                <c:pt idx="118">
                  <c:v>6.9245362230806296E-5</c:v>
                </c:pt>
                <c:pt idx="119">
                  <c:v>7.2011852939324799E-5</c:v>
                </c:pt>
                <c:pt idx="120">
                  <c:v>7.4577009381152499E-5</c:v>
                </c:pt>
                <c:pt idx="121">
                  <c:v>7.1963441463232319E-5</c:v>
                </c:pt>
                <c:pt idx="122">
                  <c:v>7.0385266733234442E-5</c:v>
                </c:pt>
                <c:pt idx="123">
                  <c:v>0</c:v>
                </c:pt>
                <c:pt idx="124">
                  <c:v>0</c:v>
                </c:pt>
              </c:numCache>
            </c:numRef>
          </c:yVal>
          <c:smooth val="0"/>
        </c:ser>
        <c:ser>
          <c:idx val="3"/>
          <c:order val="3"/>
          <c:tx>
            <c:strRef>
              <c:f>Plots!$F$1</c:f>
              <c:strCache>
                <c:ptCount val="1"/>
                <c:pt idx="0">
                  <c:v>170</c:v>
                </c:pt>
              </c:strCache>
            </c:strRef>
          </c:tx>
          <c:spPr>
            <a:ln w="28575">
              <a:noFill/>
            </a:ln>
          </c:spPr>
          <c:marker>
            <c:symbol val="diamond"/>
            <c:size val="7"/>
            <c:spPr>
              <a:solidFill>
                <a:srgbClr val="FF0000"/>
              </a:solidFill>
              <a:ln>
                <a:noFill/>
              </a:ln>
            </c:spPr>
          </c:marker>
          <c:xVal>
            <c:numRef>
              <c:f>Plots!$F$3:$F$127</c:f>
              <c:numCache>
                <c:formatCode>General</c:formatCode>
                <c:ptCount val="125"/>
                <c:pt idx="0">
                  <c:v>9376163840951218</c:v>
                </c:pt>
                <c:pt idx="1">
                  <c:v>3.3956584085366968E+16</c:v>
                </c:pt>
                <c:pt idx="2">
                  <c:v>4.7201404729821832E+16</c:v>
                </c:pt>
                <c:pt idx="3">
                  <c:v>5.2681470969418936E+16</c:v>
                </c:pt>
                <c:pt idx="4">
                  <c:v>5.2976329294790288E+16</c:v>
                </c:pt>
                <c:pt idx="5">
                  <c:v>5.17669596705776E+16</c:v>
                </c:pt>
                <c:pt idx="6">
                  <c:v>5.0166303636921616E+16</c:v>
                </c:pt>
                <c:pt idx="7">
                  <c:v>4.8485228932500776E+16</c:v>
                </c:pt>
                <c:pt idx="8">
                  <c:v>4.6775440534374616E+16</c:v>
                </c:pt>
                <c:pt idx="9">
                  <c:v>4.5073381149958688E+16</c:v>
                </c:pt>
                <c:pt idx="10">
                  <c:v>4.3382042800012672E+16</c:v>
                </c:pt>
                <c:pt idx="11">
                  <c:v>4.1724267292174024E+16</c:v>
                </c:pt>
                <c:pt idx="12">
                  <c:v>4.009048553532136E+16</c:v>
                </c:pt>
                <c:pt idx="13">
                  <c:v>3.8488835106597344E+16</c:v>
                </c:pt>
                <c:pt idx="14">
                  <c:v>3.6925063626327776E+16</c:v>
                </c:pt>
                <c:pt idx="15">
                  <c:v>3.542120765288912E+16</c:v>
                </c:pt>
                <c:pt idx="16">
                  <c:v>3.3945066378472808E+16</c:v>
                </c:pt>
                <c:pt idx="17">
                  <c:v>3.2506214171712256E+16</c:v>
                </c:pt>
                <c:pt idx="18">
                  <c:v>3.1118205926816332E+16</c:v>
                </c:pt>
                <c:pt idx="19">
                  <c:v>2.9759680473692304E+16</c:v>
                </c:pt>
                <c:pt idx="20">
                  <c:v>2.8449986468173044E+16</c:v>
                </c:pt>
                <c:pt idx="21">
                  <c:v>2.7191104766695904E+16</c:v>
                </c:pt>
                <c:pt idx="22">
                  <c:v>2.5972086958036192E+16</c:v>
                </c:pt>
                <c:pt idx="23">
                  <c:v>2.4792279458919784E+16</c:v>
                </c:pt>
                <c:pt idx="24">
                  <c:v>2.366495089984034E+16</c:v>
                </c:pt>
                <c:pt idx="25">
                  <c:v>2.2570543527748264E+16</c:v>
                </c:pt>
                <c:pt idx="26">
                  <c:v>2.1525320804722336E+16</c:v>
                </c:pt>
                <c:pt idx="27">
                  <c:v>2.051049689770982E+16</c:v>
                </c:pt>
                <c:pt idx="28">
                  <c:v>1.954846494465698E+16</c:v>
                </c:pt>
                <c:pt idx="29">
                  <c:v>1.8617042171187552E+16</c:v>
                </c:pt>
                <c:pt idx="30">
                  <c:v>1.7722391846440926E+16</c:v>
                </c:pt>
                <c:pt idx="31">
                  <c:v>1.6871233618149232E+16</c:v>
                </c:pt>
                <c:pt idx="32">
                  <c:v>1.6053895548665418E+16</c:v>
                </c:pt>
                <c:pt idx="33">
                  <c:v>1.527141003173298E+16</c:v>
                </c:pt>
                <c:pt idx="34">
                  <c:v>1.4525532639288532E+16</c:v>
                </c:pt>
                <c:pt idx="35">
                  <c:v>1.3799182584959818E+16</c:v>
                </c:pt>
                <c:pt idx="36">
                  <c:v>1.3108506105211314E+16</c:v>
                </c:pt>
                <c:pt idx="37">
                  <c:v>1.2453529380578084E+16</c:v>
                </c:pt>
                <c:pt idx="38">
                  <c:v>1.1828525877757818E+16</c:v>
                </c:pt>
                <c:pt idx="39">
                  <c:v>1.1226889066499662E+16</c:v>
                </c:pt>
                <c:pt idx="40">
                  <c:v>1.065264211395791E+16</c:v>
                </c:pt>
                <c:pt idx="41">
                  <c:v>1.0108000987996852E+16</c:v>
                </c:pt>
                <c:pt idx="42">
                  <c:v>9590854331546536</c:v>
                </c:pt>
                <c:pt idx="43">
                  <c:v>9095828744361268</c:v>
                </c:pt>
                <c:pt idx="44">
                  <c:v>8624110551372062</c:v>
                </c:pt>
                <c:pt idx="45">
                  <c:v>8175190562754049</c:v>
                </c:pt>
                <c:pt idx="46">
                  <c:v>7748826514745783</c:v>
                </c:pt>
                <c:pt idx="47">
                  <c:v>7343649189481557</c:v>
                </c:pt>
                <c:pt idx="48">
                  <c:v>6960461694185864</c:v>
                </c:pt>
                <c:pt idx="49">
                  <c:v>6586340201531078</c:v>
                </c:pt>
                <c:pt idx="50">
                  <c:v>6239113141743910</c:v>
                </c:pt>
                <c:pt idx="51">
                  <c:v>5911392002154566</c:v>
                </c:pt>
                <c:pt idx="52">
                  <c:v>5596591260928141</c:v>
                </c:pt>
                <c:pt idx="53">
                  <c:v>5292651490189102</c:v>
                </c:pt>
                <c:pt idx="54">
                  <c:v>5010117956565924</c:v>
                </c:pt>
                <c:pt idx="55">
                  <c:v>4733102414087828</c:v>
                </c:pt>
                <c:pt idx="56">
                  <c:v>4476454714230612.5</c:v>
                </c:pt>
                <c:pt idx="57">
                  <c:v>4231366404448356.5</c:v>
                </c:pt>
                <c:pt idx="58">
                  <c:v>4002032203403671</c:v>
                </c:pt>
                <c:pt idx="59">
                  <c:v>3784039115549133.5</c:v>
                </c:pt>
                <c:pt idx="60">
                  <c:v>3571752990998044.5</c:v>
                </c:pt>
                <c:pt idx="61">
                  <c:v>3373112947602557.5</c:v>
                </c:pt>
                <c:pt idx="62">
                  <c:v>3180767142097242</c:v>
                </c:pt>
                <c:pt idx="63">
                  <c:v>3003445400550836.5</c:v>
                </c:pt>
                <c:pt idx="64">
                  <c:v>2836283702270439</c:v>
                </c:pt>
                <c:pt idx="65">
                  <c:v>2672932805158377.5</c:v>
                </c:pt>
                <c:pt idx="66">
                  <c:v>2516936076391848</c:v>
                </c:pt>
                <c:pt idx="67">
                  <c:v>2376549238101755</c:v>
                </c:pt>
                <c:pt idx="68">
                  <c:v>2240745847433164.7</c:v>
                </c:pt>
                <c:pt idx="69">
                  <c:v>2113451492214901.5</c:v>
                </c:pt>
                <c:pt idx="70">
                  <c:v>1993478120297301.5</c:v>
                </c:pt>
                <c:pt idx="71">
                  <c:v>1876296224055337.7</c:v>
                </c:pt>
                <c:pt idx="72">
                  <c:v>1766848114778559.7</c:v>
                </c:pt>
                <c:pt idx="73">
                  <c:v>1663085859442600</c:v>
                </c:pt>
                <c:pt idx="74">
                  <c:v>1561642549937782</c:v>
                </c:pt>
                <c:pt idx="75">
                  <c:v>1475701143717612.2</c:v>
                </c:pt>
                <c:pt idx="76">
                  <c:v>1382807388651190.5</c:v>
                </c:pt>
                <c:pt idx="77">
                  <c:v>1294693490394784.2</c:v>
                </c:pt>
                <c:pt idx="78">
                  <c:v>1219861337498587.5</c:v>
                </c:pt>
                <c:pt idx="79">
                  <c:v>1147424325679504</c:v>
                </c:pt>
                <c:pt idx="80">
                  <c:v>1078382305387445</c:v>
                </c:pt>
                <c:pt idx="81">
                  <c:v>1012541367588035.9</c:v>
                </c:pt>
                <c:pt idx="82">
                  <c:v>953079643835801.5</c:v>
                </c:pt>
                <c:pt idx="83">
                  <c:v>893655835662305.37</c:v>
                </c:pt>
                <c:pt idx="84">
                  <c:v>839250663150483.12</c:v>
                </c:pt>
                <c:pt idx="85">
                  <c:v>784572523287237.75</c:v>
                </c:pt>
                <c:pt idx="86">
                  <c:v>728905508619605.5</c:v>
                </c:pt>
                <c:pt idx="87">
                  <c:v>682228422599585.75</c:v>
                </c:pt>
                <c:pt idx="88">
                  <c:v>633054303879571.5</c:v>
                </c:pt>
                <c:pt idx="89">
                  <c:v>596579893887313.37</c:v>
                </c:pt>
                <c:pt idx="90">
                  <c:v>563598466329973.25</c:v>
                </c:pt>
                <c:pt idx="91">
                  <c:v>523520774379726.19</c:v>
                </c:pt>
                <c:pt idx="92">
                  <c:v>492517705471092.37</c:v>
                </c:pt>
                <c:pt idx="93">
                  <c:v>463443753684945.62</c:v>
                </c:pt>
                <c:pt idx="94">
                  <c:v>433331888626612.25</c:v>
                </c:pt>
                <c:pt idx="95">
                  <c:v>398399829835109.56</c:v>
                </c:pt>
                <c:pt idx="96">
                  <c:v>371962547255723.62</c:v>
                </c:pt>
                <c:pt idx="97">
                  <c:v>347794085015905.75</c:v>
                </c:pt>
                <c:pt idx="98">
                  <c:v>327010556332019.81</c:v>
                </c:pt>
                <c:pt idx="99">
                  <c:v>310962246733934.87</c:v>
                </c:pt>
                <c:pt idx="100">
                  <c:v>290030943430534.87</c:v>
                </c:pt>
                <c:pt idx="101">
                  <c:v>270058277876341.69</c:v>
                </c:pt>
                <c:pt idx="102">
                  <c:v>256752133681486.19</c:v>
                </c:pt>
                <c:pt idx="103">
                  <c:v>232571726795397.41</c:v>
                </c:pt>
                <c:pt idx="104">
                  <c:v>214348292725204.87</c:v>
                </c:pt>
                <c:pt idx="105">
                  <c:v>202657143747905</c:v>
                </c:pt>
                <c:pt idx="106">
                  <c:v>195082638591215.12</c:v>
                </c:pt>
                <c:pt idx="107">
                  <c:v>176946353513966.53</c:v>
                </c:pt>
                <c:pt idx="108">
                  <c:v>170493616253915.34</c:v>
                </c:pt>
                <c:pt idx="109">
                  <c:v>157299427420251.97</c:v>
                </c:pt>
                <c:pt idx="110">
                  <c:v>145402782400492.56</c:v>
                </c:pt>
                <c:pt idx="111">
                  <c:v>134507911799017.36</c:v>
                </c:pt>
                <c:pt idx="112">
                  <c:v>122741049603754.33</c:v>
                </c:pt>
                <c:pt idx="113">
                  <c:v>116361908325426.7</c:v>
                </c:pt>
                <c:pt idx="114">
                  <c:v>109341904239309.03</c:v>
                </c:pt>
                <c:pt idx="115">
                  <c:v>105306356109385.41</c:v>
                </c:pt>
                <c:pt idx="116">
                  <c:v>93380110162650.328</c:v>
                </c:pt>
                <c:pt idx="117">
                  <c:v>89756916539203.969</c:v>
                </c:pt>
                <c:pt idx="118">
                  <c:v>86543243460184.547</c:v>
                </c:pt>
                <c:pt idx="119">
                  <c:v>82862820445745.484</c:v>
                </c:pt>
                <c:pt idx="120">
                  <c:v>79241592064108.937</c:v>
                </c:pt>
                <c:pt idx="121">
                  <c:v>71534102530296.328</c:v>
                </c:pt>
                <c:pt idx="122">
                  <c:v>63771407160162.562</c:v>
                </c:pt>
                <c:pt idx="123">
                  <c:v>62312646235557.914</c:v>
                </c:pt>
                <c:pt idx="124">
                  <c:v>55078959983869.031</c:v>
                </c:pt>
              </c:numCache>
            </c:numRef>
          </c:xVal>
          <c:yVal>
            <c:numRef>
              <c:f>Plots!$G$3:$G$127</c:f>
              <c:numCache>
                <c:formatCode>General</c:formatCode>
                <c:ptCount val="125"/>
                <c:pt idx="0">
                  <c:v>0</c:v>
                </c:pt>
                <c:pt idx="1">
                  <c:v>0</c:v>
                </c:pt>
                <c:pt idx="2">
                  <c:v>1.2560764658197876E-4</c:v>
                </c:pt>
                <c:pt idx="3">
                  <c:v>1.1452420637949973E-4</c:v>
                </c:pt>
                <c:pt idx="4">
                  <c:v>1.0859416865739362E-4</c:v>
                </c:pt>
                <c:pt idx="5">
                  <c:v>1.0704173268859408E-4</c:v>
                </c:pt>
                <c:pt idx="6">
                  <c:v>1.0875485086071501E-4</c:v>
                </c:pt>
                <c:pt idx="7">
                  <c:v>1.1125090624519287E-4</c:v>
                </c:pt>
                <c:pt idx="8">
                  <c:v>1.1377097308643831E-4</c:v>
                </c:pt>
                <c:pt idx="9">
                  <c:v>1.1617224645654836E-4</c:v>
                </c:pt>
                <c:pt idx="10">
                  <c:v>1.184997713229265E-4</c:v>
                </c:pt>
                <c:pt idx="11">
                  <c:v>1.2075608602779606E-4</c:v>
                </c:pt>
                <c:pt idx="12">
                  <c:v>1.2295905850065117E-4</c:v>
                </c:pt>
                <c:pt idx="13">
                  <c:v>1.2503549663714857E-4</c:v>
                </c:pt>
                <c:pt idx="14">
                  <c:v>1.2700058681147623E-4</c:v>
                </c:pt>
                <c:pt idx="15">
                  <c:v>1.2898298773488789E-4</c:v>
                </c:pt>
                <c:pt idx="16">
                  <c:v>1.308120374676323E-4</c:v>
                </c:pt>
                <c:pt idx="17">
                  <c:v>1.3250812919937268E-4</c:v>
                </c:pt>
                <c:pt idx="18">
                  <c:v>1.3421012218068742E-4</c:v>
                </c:pt>
                <c:pt idx="19">
                  <c:v>1.357534840342899E-4</c:v>
                </c:pt>
                <c:pt idx="20">
                  <c:v>1.3721857241067405E-4</c:v>
                </c:pt>
                <c:pt idx="21">
                  <c:v>1.3864332556728307E-4</c:v>
                </c:pt>
                <c:pt idx="22">
                  <c:v>1.399104772967222E-4</c:v>
                </c:pt>
                <c:pt idx="23">
                  <c:v>1.4113826499577005E-4</c:v>
                </c:pt>
                <c:pt idx="24">
                  <c:v>1.4228267196359856E-4</c:v>
                </c:pt>
                <c:pt idx="25">
                  <c:v>1.4325211816626577E-4</c:v>
                </c:pt>
                <c:pt idx="26">
                  <c:v>1.4419021778035748E-4</c:v>
                </c:pt>
                <c:pt idx="27">
                  <c:v>1.4501336252758463E-4</c:v>
                </c:pt>
                <c:pt idx="28">
                  <c:v>1.4608753886931295E-4</c:v>
                </c:pt>
                <c:pt idx="29">
                  <c:v>1.4683592190212384E-4</c:v>
                </c:pt>
                <c:pt idx="30">
                  <c:v>1.4741325655502792E-4</c:v>
                </c:pt>
                <c:pt idx="31">
                  <c:v>1.4797345259037504E-4</c:v>
                </c:pt>
                <c:pt idx="32">
                  <c:v>1.4843844136386595E-4</c:v>
                </c:pt>
                <c:pt idx="33">
                  <c:v>1.4880319984696467E-4</c:v>
                </c:pt>
                <c:pt idx="34">
                  <c:v>1.4907306712601094E-4</c:v>
                </c:pt>
                <c:pt idx="35">
                  <c:v>1.4915150098525074E-4</c:v>
                </c:pt>
                <c:pt idx="36">
                  <c:v>1.4919711934932594E-4</c:v>
                </c:pt>
                <c:pt idx="37">
                  <c:v>1.4925289410019322E-4</c:v>
                </c:pt>
                <c:pt idx="38">
                  <c:v>1.4926936019930021E-4</c:v>
                </c:pt>
                <c:pt idx="39">
                  <c:v>1.4911989638107965E-4</c:v>
                </c:pt>
                <c:pt idx="40">
                  <c:v>1.4893830609270014E-4</c:v>
                </c:pt>
                <c:pt idx="41">
                  <c:v>1.4871453770511208E-4</c:v>
                </c:pt>
                <c:pt idx="42">
                  <c:v>1.4843650637884763E-4</c:v>
                </c:pt>
                <c:pt idx="43">
                  <c:v>1.4805658400691193E-4</c:v>
                </c:pt>
                <c:pt idx="44">
                  <c:v>1.4756605716336949E-4</c:v>
                </c:pt>
                <c:pt idx="45">
                  <c:v>1.4708684809699158E-4</c:v>
                </c:pt>
                <c:pt idx="46">
                  <c:v>1.4663692058042635E-4</c:v>
                </c:pt>
                <c:pt idx="47">
                  <c:v>1.4599373054006523E-4</c:v>
                </c:pt>
                <c:pt idx="48">
                  <c:v>1.454158309115836E-4</c:v>
                </c:pt>
                <c:pt idx="49">
                  <c:v>1.4466030321191295E-4</c:v>
                </c:pt>
                <c:pt idx="50">
                  <c:v>1.438647903525611E-4</c:v>
                </c:pt>
                <c:pt idx="51">
                  <c:v>1.4320460471875545E-4</c:v>
                </c:pt>
                <c:pt idx="52">
                  <c:v>1.4232700203151656E-4</c:v>
                </c:pt>
                <c:pt idx="53">
                  <c:v>1.4130986802733992E-4</c:v>
                </c:pt>
                <c:pt idx="54">
                  <c:v>1.4048992736509093E-4</c:v>
                </c:pt>
                <c:pt idx="55">
                  <c:v>1.3931120031765212E-4</c:v>
                </c:pt>
                <c:pt idx="56">
                  <c:v>1.3832101885710195E-4</c:v>
                </c:pt>
                <c:pt idx="57">
                  <c:v>1.3735387197263369E-4</c:v>
                </c:pt>
                <c:pt idx="58">
                  <c:v>1.3643491818467069E-4</c:v>
                </c:pt>
                <c:pt idx="59">
                  <c:v>1.3558296936074977E-4</c:v>
                </c:pt>
                <c:pt idx="60">
                  <c:v>1.3417374347739474E-4</c:v>
                </c:pt>
                <c:pt idx="61">
                  <c:v>1.3319738505068439E-4</c:v>
                </c:pt>
                <c:pt idx="62">
                  <c:v>1.3205811008746223E-4</c:v>
                </c:pt>
                <c:pt idx="63">
                  <c:v>1.3083555733035582E-4</c:v>
                </c:pt>
                <c:pt idx="64">
                  <c:v>1.2960868999995867E-4</c:v>
                </c:pt>
                <c:pt idx="65">
                  <c:v>1.2820576189454021E-4</c:v>
                </c:pt>
                <c:pt idx="66">
                  <c:v>1.2683013977089706E-4</c:v>
                </c:pt>
                <c:pt idx="67">
                  <c:v>1.2578245666704804E-4</c:v>
                </c:pt>
                <c:pt idx="68">
                  <c:v>1.2472472679349162E-4</c:v>
                </c:pt>
                <c:pt idx="69">
                  <c:v>1.2335611612215885E-4</c:v>
                </c:pt>
                <c:pt idx="70">
                  <c:v>1.2218353197489823E-4</c:v>
                </c:pt>
                <c:pt idx="71">
                  <c:v>1.2065374192872048E-4</c:v>
                </c:pt>
                <c:pt idx="72">
                  <c:v>1.1906986828635699E-4</c:v>
                </c:pt>
                <c:pt idx="73">
                  <c:v>1.1790985264729612E-4</c:v>
                </c:pt>
                <c:pt idx="74">
                  <c:v>1.1623541581328117E-4</c:v>
                </c:pt>
                <c:pt idx="75">
                  <c:v>1.1517359202051416E-4</c:v>
                </c:pt>
                <c:pt idx="76">
                  <c:v>1.1363352697016427E-4</c:v>
                </c:pt>
                <c:pt idx="77">
                  <c:v>1.1171325981358592E-4</c:v>
                </c:pt>
                <c:pt idx="78">
                  <c:v>1.1072872928610583E-4</c:v>
                </c:pt>
                <c:pt idx="79">
                  <c:v>1.0930190179504507E-4</c:v>
                </c:pt>
                <c:pt idx="80">
                  <c:v>1.0785766135153425E-4</c:v>
                </c:pt>
                <c:pt idx="81">
                  <c:v>1.0653486834299838E-4</c:v>
                </c:pt>
                <c:pt idx="82">
                  <c:v>1.0550927515903329E-4</c:v>
                </c:pt>
                <c:pt idx="83">
                  <c:v>1.0388393601879151E-4</c:v>
                </c:pt>
                <c:pt idx="84">
                  <c:v>1.0226669576136627E-4</c:v>
                </c:pt>
                <c:pt idx="85">
                  <c:v>1.005025194794396E-4</c:v>
                </c:pt>
                <c:pt idx="86">
                  <c:v>9.7963624745481704E-5</c:v>
                </c:pt>
                <c:pt idx="87">
                  <c:v>9.6777895843996965E-5</c:v>
                </c:pt>
                <c:pt idx="88">
                  <c:v>9.5045466638330037E-5</c:v>
                </c:pt>
                <c:pt idx="89">
                  <c:v>9.4233714847591457E-5</c:v>
                </c:pt>
                <c:pt idx="90">
                  <c:v>9.3795027093914357E-5</c:v>
                </c:pt>
                <c:pt idx="91">
                  <c:v>9.1448262025399272E-5</c:v>
                </c:pt>
                <c:pt idx="92">
                  <c:v>9.0720391751089249E-5</c:v>
                </c:pt>
                <c:pt idx="93">
                  <c:v>8.9583744401740037E-5</c:v>
                </c:pt>
                <c:pt idx="94">
                  <c:v>8.845645489717167E-5</c:v>
                </c:pt>
                <c:pt idx="95">
                  <c:v>8.5383469122678535E-5</c:v>
                </c:pt>
                <c:pt idx="96">
                  <c:v>8.4176661273379792E-5</c:v>
                </c:pt>
                <c:pt idx="97">
                  <c:v>8.3714674467704823E-5</c:v>
                </c:pt>
                <c:pt idx="98">
                  <c:v>8.3088047731094171E-5</c:v>
                </c:pt>
                <c:pt idx="99">
                  <c:v>8.3717161381586329E-5</c:v>
                </c:pt>
                <c:pt idx="100">
                  <c:v>8.2518514664485561E-5</c:v>
                </c:pt>
                <c:pt idx="101">
                  <c:v>8.1175369257844497E-5</c:v>
                </c:pt>
                <c:pt idx="102">
                  <c:v>8.0814186694720016E-5</c:v>
                </c:pt>
                <c:pt idx="103">
                  <c:v>7.7312536672438377E-5</c:v>
                </c:pt>
                <c:pt idx="104">
                  <c:v>7.5736923309634987E-5</c:v>
                </c:pt>
                <c:pt idx="105">
                  <c:v>7.6309968713046211E-5</c:v>
                </c:pt>
                <c:pt idx="106">
                  <c:v>7.8098536434711643E-5</c:v>
                </c:pt>
                <c:pt idx="107">
                  <c:v>7.4485524605606083E-5</c:v>
                </c:pt>
                <c:pt idx="108">
                  <c:v>7.6055086801381854E-5</c:v>
                </c:pt>
                <c:pt idx="109">
                  <c:v>7.4743001444321102E-5</c:v>
                </c:pt>
                <c:pt idx="110">
                  <c:v>7.2400355698790908E-5</c:v>
                </c:pt>
                <c:pt idx="111">
                  <c:v>7.1555039771055266E-5</c:v>
                </c:pt>
                <c:pt idx="112">
                  <c:v>6.932965478427453E-5</c:v>
                </c:pt>
                <c:pt idx="113">
                  <c:v>7.1556488746471751E-5</c:v>
                </c:pt>
                <c:pt idx="114">
                  <c:v>7.0855973936865968E-5</c:v>
                </c:pt>
                <c:pt idx="115">
                  <c:v>7.2912292362982086E-5</c:v>
                </c:pt>
                <c:pt idx="116">
                  <c:v>6.8581894331176511E-5</c:v>
                </c:pt>
                <c:pt idx="117">
                  <c:v>6.9196307697199459E-5</c:v>
                </c:pt>
                <c:pt idx="118">
                  <c:v>7.2955528794752989E-5</c:v>
                </c:pt>
                <c:pt idx="119">
                  <c:v>7.4340498043764172E-5</c:v>
                </c:pt>
                <c:pt idx="120">
                  <c:v>7.3976929391228688E-5</c:v>
                </c:pt>
                <c:pt idx="121">
                  <c:v>7.1023386148502985E-5</c:v>
                </c:pt>
                <c:pt idx="122">
                  <c:v>6.7519166036619609E-5</c:v>
                </c:pt>
                <c:pt idx="123">
                  <c:v>0</c:v>
                </c:pt>
                <c:pt idx="124">
                  <c:v>0</c:v>
                </c:pt>
              </c:numCache>
            </c:numRef>
          </c:yVal>
          <c:smooth val="0"/>
        </c:ser>
        <c:ser>
          <c:idx val="4"/>
          <c:order val="4"/>
          <c:tx>
            <c:strRef>
              <c:f>Plots!$H$1</c:f>
              <c:strCache>
                <c:ptCount val="1"/>
                <c:pt idx="0">
                  <c:v>155</c:v>
                </c:pt>
              </c:strCache>
            </c:strRef>
          </c:tx>
          <c:spPr>
            <a:ln w="28575">
              <a:noFill/>
            </a:ln>
          </c:spPr>
          <c:marker>
            <c:symbol val="diamond"/>
            <c:size val="7"/>
            <c:spPr>
              <a:solidFill>
                <a:schemeClr val="accent6">
                  <a:lumMod val="75000"/>
                </a:schemeClr>
              </a:solidFill>
              <a:ln>
                <a:noFill/>
              </a:ln>
            </c:spPr>
          </c:marker>
          <c:xVal>
            <c:numRef>
              <c:f>Plots!$H$3:$H$127</c:f>
              <c:numCache>
                <c:formatCode>General</c:formatCode>
                <c:ptCount val="125"/>
                <c:pt idx="0">
                  <c:v>8727043076249482</c:v>
                </c:pt>
                <c:pt idx="1">
                  <c:v>3.1560234946914016E+16</c:v>
                </c:pt>
                <c:pt idx="2">
                  <c:v>4.5309012439026544E+16</c:v>
                </c:pt>
                <c:pt idx="3">
                  <c:v>5.0982250863211504E+16</c:v>
                </c:pt>
                <c:pt idx="4">
                  <c:v>5.1178369582090912E+16</c:v>
                </c:pt>
                <c:pt idx="5">
                  <c:v>4.9912721462713064E+16</c:v>
                </c:pt>
                <c:pt idx="6">
                  <c:v>4.8313923840799736E+16</c:v>
                </c:pt>
                <c:pt idx="7">
                  <c:v>4.666551900710676E+16</c:v>
                </c:pt>
                <c:pt idx="8">
                  <c:v>4.4976544710123E+16</c:v>
                </c:pt>
                <c:pt idx="9">
                  <c:v>4.3297295625445552E+16</c:v>
                </c:pt>
                <c:pt idx="10">
                  <c:v>4.1622390643104192E+16</c:v>
                </c:pt>
                <c:pt idx="11">
                  <c:v>3.9968522866421632E+16</c:v>
                </c:pt>
                <c:pt idx="12">
                  <c:v>3.8365322940663864E+16</c:v>
                </c:pt>
                <c:pt idx="13">
                  <c:v>3.6784006069278832E+16</c:v>
                </c:pt>
                <c:pt idx="14">
                  <c:v>3.5253631882131144E+16</c:v>
                </c:pt>
                <c:pt idx="15">
                  <c:v>3.3767002880971704E+16</c:v>
                </c:pt>
                <c:pt idx="16">
                  <c:v>3.231519201302758E+16</c:v>
                </c:pt>
                <c:pt idx="17">
                  <c:v>3.091116102120558E+16</c:v>
                </c:pt>
                <c:pt idx="18">
                  <c:v>2.9534055023421452E+16</c:v>
                </c:pt>
                <c:pt idx="19">
                  <c:v>2.8210566703065848E+16</c:v>
                </c:pt>
                <c:pt idx="20">
                  <c:v>2.6929816226991876E+16</c:v>
                </c:pt>
                <c:pt idx="21">
                  <c:v>2.5703222901033116E+16</c:v>
                </c:pt>
                <c:pt idx="22">
                  <c:v>2.4514377809718852E+16</c:v>
                </c:pt>
                <c:pt idx="23">
                  <c:v>2.3370816620893924E+16</c:v>
                </c:pt>
                <c:pt idx="24">
                  <c:v>2.2267149601990832E+16</c:v>
                </c:pt>
                <c:pt idx="25">
                  <c:v>2.1208510301154336E+16</c:v>
                </c:pt>
                <c:pt idx="26">
                  <c:v>2.0187778411763444E+16</c:v>
                </c:pt>
                <c:pt idx="27">
                  <c:v>1.9214550694927052E+16</c:v>
                </c:pt>
                <c:pt idx="28">
                  <c:v>1.8288632554884564E+16</c:v>
                </c:pt>
                <c:pt idx="29">
                  <c:v>1.7391931495668976E+16</c:v>
                </c:pt>
                <c:pt idx="30">
                  <c:v>1.6538399856130576E+16</c:v>
                </c:pt>
                <c:pt idx="31">
                  <c:v>1.5715471010505944E+16</c:v>
                </c:pt>
                <c:pt idx="32">
                  <c:v>1.492931230083144E+16</c:v>
                </c:pt>
                <c:pt idx="33">
                  <c:v>1.4180019672743982E+16</c:v>
                </c:pt>
                <c:pt idx="34">
                  <c:v>1.3473065048122954E+16</c:v>
                </c:pt>
                <c:pt idx="35">
                  <c:v>1.278917983791808E+16</c:v>
                </c:pt>
                <c:pt idx="36">
                  <c:v>1.2137821155093138E+16</c:v>
                </c:pt>
                <c:pt idx="37">
                  <c:v>1.1512769033845722E+16</c:v>
                </c:pt>
                <c:pt idx="38">
                  <c:v>1.0916318712888386E+16</c:v>
                </c:pt>
                <c:pt idx="39">
                  <c:v>1.0350832640919478E+16</c:v>
                </c:pt>
                <c:pt idx="40">
                  <c:v>9810368509480236</c:v>
                </c:pt>
                <c:pt idx="41">
                  <c:v>9302341910144850</c:v>
                </c:pt>
                <c:pt idx="42">
                  <c:v>8813427789886988</c:v>
                </c:pt>
                <c:pt idx="43">
                  <c:v>8347456774051619</c:v>
                </c:pt>
                <c:pt idx="44">
                  <c:v>7904715387749977</c:v>
                </c:pt>
                <c:pt idx="45">
                  <c:v>7489405732161670</c:v>
                </c:pt>
                <c:pt idx="46">
                  <c:v>7083987168673020</c:v>
                </c:pt>
                <c:pt idx="47">
                  <c:v>6708129772649259</c:v>
                </c:pt>
                <c:pt idx="48">
                  <c:v>6349463907024466</c:v>
                </c:pt>
                <c:pt idx="49">
                  <c:v>6005810502863359</c:v>
                </c:pt>
                <c:pt idx="50">
                  <c:v>5683925979188411</c:v>
                </c:pt>
                <c:pt idx="51">
                  <c:v>5372646766801340</c:v>
                </c:pt>
                <c:pt idx="52">
                  <c:v>5077187641707179</c:v>
                </c:pt>
                <c:pt idx="53">
                  <c:v>4798996508263966</c:v>
                </c:pt>
                <c:pt idx="54">
                  <c:v>4534507848661558</c:v>
                </c:pt>
                <c:pt idx="55">
                  <c:v>4280722342103614</c:v>
                </c:pt>
                <c:pt idx="56">
                  <c:v>4041244010725742.5</c:v>
                </c:pt>
                <c:pt idx="57">
                  <c:v>3820413343280806.5</c:v>
                </c:pt>
                <c:pt idx="58">
                  <c:v>3609054707254968.5</c:v>
                </c:pt>
                <c:pt idx="59">
                  <c:v>3400764725663630</c:v>
                </c:pt>
                <c:pt idx="60">
                  <c:v>3211716625499615</c:v>
                </c:pt>
                <c:pt idx="61">
                  <c:v>3033416194029786</c:v>
                </c:pt>
                <c:pt idx="62">
                  <c:v>2858668000604356</c:v>
                </c:pt>
                <c:pt idx="63">
                  <c:v>2695054071051816</c:v>
                </c:pt>
                <c:pt idx="64">
                  <c:v>2544503452018019</c:v>
                </c:pt>
                <c:pt idx="65">
                  <c:v>2394644915201997</c:v>
                </c:pt>
                <c:pt idx="66">
                  <c:v>2258384016490814.5</c:v>
                </c:pt>
                <c:pt idx="67">
                  <c:v>2125333701036259</c:v>
                </c:pt>
                <c:pt idx="68">
                  <c:v>2006373471782041.3</c:v>
                </c:pt>
                <c:pt idx="69">
                  <c:v>1892922145711898.5</c:v>
                </c:pt>
                <c:pt idx="70">
                  <c:v>1784424318592289.7</c:v>
                </c:pt>
                <c:pt idx="71">
                  <c:v>1680120202206138.5</c:v>
                </c:pt>
                <c:pt idx="72">
                  <c:v>1580812561674880</c:v>
                </c:pt>
                <c:pt idx="73">
                  <c:v>1486946818043782.2</c:v>
                </c:pt>
                <c:pt idx="74">
                  <c:v>1399104434341930.7</c:v>
                </c:pt>
                <c:pt idx="75">
                  <c:v>1317874290070017</c:v>
                </c:pt>
                <c:pt idx="76">
                  <c:v>1238352874427834.5</c:v>
                </c:pt>
                <c:pt idx="77">
                  <c:v>1162496862267477.2</c:v>
                </c:pt>
                <c:pt idx="78">
                  <c:v>1091651513141037.1</c:v>
                </c:pt>
                <c:pt idx="79">
                  <c:v>1023534831842565.1</c:v>
                </c:pt>
                <c:pt idx="80">
                  <c:v>962173167737705.87</c:v>
                </c:pt>
                <c:pt idx="81">
                  <c:v>902715581050900.12</c:v>
                </c:pt>
                <c:pt idx="82">
                  <c:v>845713678663036.25</c:v>
                </c:pt>
                <c:pt idx="83">
                  <c:v>793054561485642.75</c:v>
                </c:pt>
                <c:pt idx="84">
                  <c:v>745384731082372.25</c:v>
                </c:pt>
                <c:pt idx="85">
                  <c:v>699456180593879.75</c:v>
                </c:pt>
                <c:pt idx="86">
                  <c:v>646323443844938.62</c:v>
                </c:pt>
                <c:pt idx="87">
                  <c:v>606646522540376</c:v>
                </c:pt>
                <c:pt idx="88">
                  <c:v>571287097232285.87</c:v>
                </c:pt>
                <c:pt idx="89">
                  <c:v>533261331794387.75</c:v>
                </c:pt>
                <c:pt idx="90">
                  <c:v>503076716092097.69</c:v>
                </c:pt>
                <c:pt idx="91">
                  <c:v>466357172966193</c:v>
                </c:pt>
                <c:pt idx="92">
                  <c:v>437182832107273.94</c:v>
                </c:pt>
                <c:pt idx="93">
                  <c:v>407765114754636.31</c:v>
                </c:pt>
                <c:pt idx="94">
                  <c:v>384871066185501</c:v>
                </c:pt>
                <c:pt idx="95">
                  <c:v>357874404182030.87</c:v>
                </c:pt>
                <c:pt idx="96">
                  <c:v>337988927464847.75</c:v>
                </c:pt>
                <c:pt idx="97">
                  <c:v>313840683056074.06</c:v>
                </c:pt>
                <c:pt idx="98">
                  <c:v>290866532524594.37</c:v>
                </c:pt>
                <c:pt idx="99">
                  <c:v>267695538373085.19</c:v>
                </c:pt>
                <c:pt idx="100">
                  <c:v>249961809216060.91</c:v>
                </c:pt>
                <c:pt idx="101">
                  <c:v>240225810002350.59</c:v>
                </c:pt>
                <c:pt idx="102">
                  <c:v>217759479851157.37</c:v>
                </c:pt>
                <c:pt idx="103">
                  <c:v>206836069815326.53</c:v>
                </c:pt>
                <c:pt idx="104">
                  <c:v>189804487253711.22</c:v>
                </c:pt>
                <c:pt idx="105">
                  <c:v>184076982152645.59</c:v>
                </c:pt>
                <c:pt idx="106">
                  <c:v>167335618608948.41</c:v>
                </c:pt>
                <c:pt idx="107">
                  <c:v>153931750913514.56</c:v>
                </c:pt>
                <c:pt idx="108">
                  <c:v>139555487868430.03</c:v>
                </c:pt>
                <c:pt idx="109">
                  <c:v>134276374807682.67</c:v>
                </c:pt>
                <c:pt idx="110">
                  <c:v>124102196231606.17</c:v>
                </c:pt>
                <c:pt idx="111">
                  <c:v>118880655266080.42</c:v>
                </c:pt>
                <c:pt idx="112">
                  <c:v>105671617788163.52</c:v>
                </c:pt>
                <c:pt idx="113">
                  <c:v>100347082444648.72</c:v>
                </c:pt>
                <c:pt idx="114">
                  <c:v>91928609627271.656</c:v>
                </c:pt>
                <c:pt idx="115">
                  <c:v>83134132529936.016</c:v>
                </c:pt>
                <c:pt idx="116">
                  <c:v>84165425692132.922</c:v>
                </c:pt>
                <c:pt idx="117">
                  <c:v>77436438914342.672</c:v>
                </c:pt>
                <c:pt idx="118">
                  <c:v>72933870272603.984</c:v>
                </c:pt>
                <c:pt idx="119">
                  <c:v>62902284952191.891</c:v>
                </c:pt>
                <c:pt idx="120">
                  <c:v>55477426713187.906</c:v>
                </c:pt>
                <c:pt idx="121">
                  <c:v>53743670817068.023</c:v>
                </c:pt>
                <c:pt idx="122">
                  <c:v>52172640572918.719</c:v>
                </c:pt>
                <c:pt idx="123">
                  <c:v>50385125128704.586</c:v>
                </c:pt>
                <c:pt idx="124">
                  <c:v>45131979875242.906</c:v>
                </c:pt>
              </c:numCache>
            </c:numRef>
          </c:xVal>
          <c:yVal>
            <c:numRef>
              <c:f>Plots!$I$3:$I$127</c:f>
              <c:numCache>
                <c:formatCode>General</c:formatCode>
                <c:ptCount val="125"/>
                <c:pt idx="0">
                  <c:v>0</c:v>
                </c:pt>
                <c:pt idx="1">
                  <c:v>0</c:v>
                </c:pt>
                <c:pt idx="2">
                  <c:v>1.1981891677242959E-4</c:v>
                </c:pt>
                <c:pt idx="3">
                  <c:v>1.1121878735060558E-4</c:v>
                </c:pt>
                <c:pt idx="4">
                  <c:v>1.0522318449062863E-4</c:v>
                </c:pt>
                <c:pt idx="5">
                  <c:v>1.0365863435750172E-4</c:v>
                </c:pt>
                <c:pt idx="6">
                  <c:v>1.0537472679662779E-4</c:v>
                </c:pt>
                <c:pt idx="7">
                  <c:v>1.0771008231519409E-4</c:v>
                </c:pt>
                <c:pt idx="8">
                  <c:v>1.1003424067381745E-4</c:v>
                </c:pt>
                <c:pt idx="9">
                  <c:v>1.1226740841806575E-4</c:v>
                </c:pt>
                <c:pt idx="10">
                  <c:v>1.1442118380528079E-4</c:v>
                </c:pt>
                <c:pt idx="11">
                  <c:v>1.1646560835983724E-4</c:v>
                </c:pt>
                <c:pt idx="12">
                  <c:v>1.1848654724650601E-4</c:v>
                </c:pt>
                <c:pt idx="13">
                  <c:v>1.203367552056714E-4</c:v>
                </c:pt>
                <c:pt idx="14">
                  <c:v>1.221087404142952E-4</c:v>
                </c:pt>
                <c:pt idx="15">
                  <c:v>1.2386939813689707E-4</c:v>
                </c:pt>
                <c:pt idx="16">
                  <c:v>1.2548727357122877E-4</c:v>
                </c:pt>
                <c:pt idx="17">
                  <c:v>1.270285116785454E-4</c:v>
                </c:pt>
                <c:pt idx="18">
                  <c:v>1.2845016873375454E-4</c:v>
                </c:pt>
                <c:pt idx="19">
                  <c:v>1.2981803676260538E-4</c:v>
                </c:pt>
                <c:pt idx="20">
                  <c:v>1.3107855204413186E-4</c:v>
                </c:pt>
                <c:pt idx="21">
                  <c:v>1.3227336481801447E-4</c:v>
                </c:pt>
                <c:pt idx="22">
                  <c:v>1.3334299115300662E-4</c:v>
                </c:pt>
                <c:pt idx="23">
                  <c:v>1.3436509366675445E-4</c:v>
                </c:pt>
                <c:pt idx="24">
                  <c:v>1.3522042090638686E-4</c:v>
                </c:pt>
                <c:pt idx="25">
                  <c:v>1.3602008555474993E-4</c:v>
                </c:pt>
                <c:pt idx="26">
                  <c:v>1.3671515240161594E-4</c:v>
                </c:pt>
                <c:pt idx="27">
                  <c:v>1.3737989728649893E-4</c:v>
                </c:pt>
                <c:pt idx="28">
                  <c:v>1.3825078549108404E-4</c:v>
                </c:pt>
                <c:pt idx="29">
                  <c:v>1.3868821412288409E-4</c:v>
                </c:pt>
                <c:pt idx="30">
                  <c:v>1.3909810876375317E-4</c:v>
                </c:pt>
                <c:pt idx="31">
                  <c:v>1.3935967624559298E-4</c:v>
                </c:pt>
                <c:pt idx="32">
                  <c:v>1.3955652541060328E-4</c:v>
                </c:pt>
                <c:pt idx="33">
                  <c:v>1.3972363846597528E-4</c:v>
                </c:pt>
                <c:pt idx="34">
                  <c:v>1.3990313252757188E-4</c:v>
                </c:pt>
                <c:pt idx="35">
                  <c:v>1.3987994127735601E-4</c:v>
                </c:pt>
                <c:pt idx="36">
                  <c:v>1.3975875168709256E-4</c:v>
                </c:pt>
                <c:pt idx="37">
                  <c:v>1.3953742054232006E-4</c:v>
                </c:pt>
                <c:pt idx="38">
                  <c:v>1.3934335050044114E-4</c:v>
                </c:pt>
                <c:pt idx="39">
                  <c:v>1.3907777414362676E-4</c:v>
                </c:pt>
                <c:pt idx="40">
                  <c:v>1.3879823248331638E-4</c:v>
                </c:pt>
                <c:pt idx="41">
                  <c:v>1.3845191945336104E-4</c:v>
                </c:pt>
                <c:pt idx="42">
                  <c:v>1.3797648709139645E-4</c:v>
                </c:pt>
                <c:pt idx="43">
                  <c:v>1.3744347990636449E-4</c:v>
                </c:pt>
                <c:pt idx="44">
                  <c:v>1.3688059656930443E-4</c:v>
                </c:pt>
                <c:pt idx="45">
                  <c:v>1.3633437044016455E-4</c:v>
                </c:pt>
                <c:pt idx="46">
                  <c:v>1.3552298970510195E-4</c:v>
                </c:pt>
                <c:pt idx="47">
                  <c:v>1.3492464374842791E-4</c:v>
                </c:pt>
                <c:pt idx="48">
                  <c:v>1.343008272854904E-4</c:v>
                </c:pt>
                <c:pt idx="49">
                  <c:v>1.3340050675225622E-4</c:v>
                </c:pt>
                <c:pt idx="50">
                  <c:v>1.3261393949719232E-4</c:v>
                </c:pt>
                <c:pt idx="51">
                  <c:v>1.3164128014490353E-4</c:v>
                </c:pt>
                <c:pt idx="52">
                  <c:v>1.3069559762574943E-4</c:v>
                </c:pt>
                <c:pt idx="53">
                  <c:v>1.2978989281528308E-4</c:v>
                </c:pt>
                <c:pt idx="54">
                  <c:v>1.2879922806376359E-4</c:v>
                </c:pt>
                <c:pt idx="55">
                  <c:v>1.2773930829603348E-4</c:v>
                </c:pt>
                <c:pt idx="56">
                  <c:v>1.2662645350065702E-4</c:v>
                </c:pt>
                <c:pt idx="57">
                  <c:v>1.2562495218155175E-4</c:v>
                </c:pt>
                <c:pt idx="58">
                  <c:v>1.2474761781548505E-4</c:v>
                </c:pt>
                <c:pt idx="59">
                  <c:v>1.2340833072053593E-4</c:v>
                </c:pt>
                <c:pt idx="60">
                  <c:v>1.2238995859322884E-4</c:v>
                </c:pt>
                <c:pt idx="61">
                  <c:v>1.216020135596256E-4</c:v>
                </c:pt>
                <c:pt idx="62">
                  <c:v>1.2034060079128656E-4</c:v>
                </c:pt>
                <c:pt idx="63">
                  <c:v>1.190933857870763E-4</c:v>
                </c:pt>
                <c:pt idx="64">
                  <c:v>1.179662776452597E-4</c:v>
                </c:pt>
                <c:pt idx="65">
                  <c:v>1.1651302304513744E-4</c:v>
                </c:pt>
                <c:pt idx="66">
                  <c:v>1.1536717253215003E-4</c:v>
                </c:pt>
                <c:pt idx="67">
                  <c:v>1.1410406972944969E-4</c:v>
                </c:pt>
                <c:pt idx="68">
                  <c:v>1.131446965369136E-4</c:v>
                </c:pt>
                <c:pt idx="69">
                  <c:v>1.1211157378238963E-4</c:v>
                </c:pt>
                <c:pt idx="70">
                  <c:v>1.1094759791582217E-4</c:v>
                </c:pt>
                <c:pt idx="71">
                  <c:v>1.0947294984927487E-4</c:v>
                </c:pt>
                <c:pt idx="72">
                  <c:v>1.0797341280228074E-4</c:v>
                </c:pt>
                <c:pt idx="73">
                  <c:v>1.0672703979642963E-4</c:v>
                </c:pt>
                <c:pt idx="74">
                  <c:v>1.0558398208462866E-4</c:v>
                </c:pt>
                <c:pt idx="75">
                  <c:v>1.0430753441524116E-4</c:v>
                </c:pt>
                <c:pt idx="76">
                  <c:v>1.0279801048005809E-4</c:v>
                </c:pt>
                <c:pt idx="77">
                  <c:v>1.0144953935260507E-4</c:v>
                </c:pt>
                <c:pt idx="78">
                  <c:v>1.0018086202472442E-4</c:v>
                </c:pt>
                <c:pt idx="79">
                  <c:v>9.869912004744098E-5</c:v>
                </c:pt>
                <c:pt idx="80">
                  <c:v>9.7390103727462452E-5</c:v>
                </c:pt>
                <c:pt idx="81">
                  <c:v>9.6169076847882231E-5</c:v>
                </c:pt>
                <c:pt idx="82">
                  <c:v>9.4450625172488436E-5</c:v>
                </c:pt>
                <c:pt idx="83">
                  <c:v>9.3220710741862437E-5</c:v>
                </c:pt>
                <c:pt idx="84">
                  <c:v>9.2043415301145144E-5</c:v>
                </c:pt>
                <c:pt idx="85">
                  <c:v>9.0510904048425868E-5</c:v>
                </c:pt>
                <c:pt idx="86">
                  <c:v>8.8063231491143217E-5</c:v>
                </c:pt>
                <c:pt idx="87">
                  <c:v>8.7262340950992014E-5</c:v>
                </c:pt>
                <c:pt idx="88">
                  <c:v>8.6669377618623375E-5</c:v>
                </c:pt>
                <c:pt idx="89">
                  <c:v>8.5071508766868992E-5</c:v>
                </c:pt>
                <c:pt idx="90">
                  <c:v>8.4320994450669563E-5</c:v>
                </c:pt>
                <c:pt idx="91">
                  <c:v>8.2197301395207632E-5</c:v>
                </c:pt>
                <c:pt idx="92">
                  <c:v>8.1205155950942785E-5</c:v>
                </c:pt>
                <c:pt idx="93">
                  <c:v>7.9902826263227131E-5</c:v>
                </c:pt>
                <c:pt idx="94">
                  <c:v>7.9801677155682456E-5</c:v>
                </c:pt>
                <c:pt idx="95">
                  <c:v>7.7862090162578962E-5</c:v>
                </c:pt>
                <c:pt idx="96">
                  <c:v>7.7602495350476925E-5</c:v>
                </c:pt>
                <c:pt idx="97">
                  <c:v>7.5804247926173062E-5</c:v>
                </c:pt>
                <c:pt idx="98">
                  <c:v>7.4106572248251197E-5</c:v>
                </c:pt>
                <c:pt idx="99">
                  <c:v>7.2168422318789603E-5</c:v>
                </c:pt>
                <c:pt idx="100">
                  <c:v>7.1531885893961084E-5</c:v>
                </c:pt>
                <c:pt idx="101">
                  <c:v>7.2827480570960155E-5</c:v>
                </c:pt>
                <c:pt idx="102">
                  <c:v>6.9991162851123646E-5</c:v>
                </c:pt>
                <c:pt idx="103">
                  <c:v>7.0169900070714587E-5</c:v>
                </c:pt>
                <c:pt idx="104">
                  <c:v>6.8138379537086496E-5</c:v>
                </c:pt>
                <c:pt idx="105">
                  <c:v>6.9475421212019021E-5</c:v>
                </c:pt>
                <c:pt idx="106">
                  <c:v>6.6719806077949895E-5</c:v>
                </c:pt>
                <c:pt idx="107">
                  <c:v>6.4512631194850518E-5</c:v>
                </c:pt>
                <c:pt idx="108">
                  <c:v>6.3059096543229175E-5</c:v>
                </c:pt>
                <c:pt idx="109">
                  <c:v>6.4797309859505821E-5</c:v>
                </c:pt>
                <c:pt idx="110">
                  <c:v>6.299517013338396E-5</c:v>
                </c:pt>
                <c:pt idx="111">
                  <c:v>6.3888982337693159E-5</c:v>
                </c:pt>
                <c:pt idx="112">
                  <c:v>6.0180245877402074E-5</c:v>
                </c:pt>
                <c:pt idx="113">
                  <c:v>6.0478405618546203E-5</c:v>
                </c:pt>
                <c:pt idx="114">
                  <c:v>5.9334879924206176E-5</c:v>
                </c:pt>
                <c:pt idx="115">
                  <c:v>5.7399509718357085E-5</c:v>
                </c:pt>
                <c:pt idx="116">
                  <c:v>6.2912232321310908E-5</c:v>
                </c:pt>
                <c:pt idx="117">
                  <c:v>6.1069462146408715E-5</c:v>
                </c:pt>
                <c:pt idx="118">
                  <c:v>5.8842336126372873E-5</c:v>
                </c:pt>
                <c:pt idx="119">
                  <c:v>5.5654921037243726E-5</c:v>
                </c:pt>
                <c:pt idx="120">
                  <c:v>5.1447948187517906E-5</c:v>
                </c:pt>
                <c:pt idx="121">
                  <c:v>5.5210205301993167E-5</c:v>
                </c:pt>
                <c:pt idx="122">
                  <c:v>5.7074205745827435E-5</c:v>
                </c:pt>
                <c:pt idx="123">
                  <c:v>0</c:v>
                </c:pt>
                <c:pt idx="124">
                  <c:v>0</c:v>
                </c:pt>
              </c:numCache>
            </c:numRef>
          </c:yVal>
          <c:smooth val="0"/>
        </c:ser>
        <c:ser>
          <c:idx val="5"/>
          <c:order val="5"/>
          <c:tx>
            <c:strRef>
              <c:f>Plots!$J$1</c:f>
              <c:strCache>
                <c:ptCount val="1"/>
                <c:pt idx="0">
                  <c:v>145</c:v>
                </c:pt>
              </c:strCache>
            </c:strRef>
          </c:tx>
          <c:spPr>
            <a:ln w="28575">
              <a:noFill/>
            </a:ln>
          </c:spPr>
          <c:marker>
            <c:symbol val="diamond"/>
            <c:size val="7"/>
            <c:spPr>
              <a:solidFill>
                <a:srgbClr val="FFC000"/>
              </a:solidFill>
              <a:ln>
                <a:noFill/>
              </a:ln>
            </c:spPr>
          </c:marker>
          <c:xVal>
            <c:numRef>
              <c:f>Plots!$J$3:$J$127</c:f>
              <c:numCache>
                <c:formatCode>General</c:formatCode>
                <c:ptCount val="125"/>
                <c:pt idx="0">
                  <c:v>2074519034925287.7</c:v>
                </c:pt>
                <c:pt idx="1">
                  <c:v>2.2025190703221104E+16</c:v>
                </c:pt>
                <c:pt idx="2">
                  <c:v>3.9518259161658496E+16</c:v>
                </c:pt>
                <c:pt idx="3">
                  <c:v>4.8214015609869792E+16</c:v>
                </c:pt>
                <c:pt idx="4">
                  <c:v>5.0005911504466672E+16</c:v>
                </c:pt>
                <c:pt idx="5">
                  <c:v>4.9176541165333976E+16</c:v>
                </c:pt>
                <c:pt idx="6">
                  <c:v>4.7707700300768496E+16</c:v>
                </c:pt>
                <c:pt idx="7">
                  <c:v>4.6078922459232248E+16</c:v>
                </c:pt>
                <c:pt idx="8">
                  <c:v>4.43955814909892E+16</c:v>
                </c:pt>
                <c:pt idx="9">
                  <c:v>4.2712413611339608E+16</c:v>
                </c:pt>
                <c:pt idx="10">
                  <c:v>4.1038722472230016E+16</c:v>
                </c:pt>
                <c:pt idx="11">
                  <c:v>3.939036233301804E+16</c:v>
                </c:pt>
                <c:pt idx="12">
                  <c:v>3.7781383271855272E+16</c:v>
                </c:pt>
                <c:pt idx="13">
                  <c:v>3.6209993070680144E+16</c:v>
                </c:pt>
                <c:pt idx="14">
                  <c:v>3.4671273708373268E+16</c:v>
                </c:pt>
                <c:pt idx="15">
                  <c:v>3.3184431453255492E+16</c:v>
                </c:pt>
                <c:pt idx="16">
                  <c:v>3.174509449842714E+16</c:v>
                </c:pt>
                <c:pt idx="17">
                  <c:v>3.033595055628836E+16</c:v>
                </c:pt>
                <c:pt idx="18">
                  <c:v>2.8978594702342124E+16</c:v>
                </c:pt>
                <c:pt idx="19">
                  <c:v>2.7663049546534432E+16</c:v>
                </c:pt>
                <c:pt idx="20">
                  <c:v>2.63913542394605E+16</c:v>
                </c:pt>
                <c:pt idx="21">
                  <c:v>2.5166827105093416E+16</c:v>
                </c:pt>
                <c:pt idx="22">
                  <c:v>2.399002070064728E+16</c:v>
                </c:pt>
                <c:pt idx="23">
                  <c:v>2.2860087737416944E+16</c:v>
                </c:pt>
                <c:pt idx="24">
                  <c:v>2.1760356185646912E+16</c:v>
                </c:pt>
                <c:pt idx="25">
                  <c:v>2.0715238025688304E+16</c:v>
                </c:pt>
                <c:pt idx="26">
                  <c:v>1.970799932562826E+16</c:v>
                </c:pt>
                <c:pt idx="27">
                  <c:v>1.8739106350054064E+16</c:v>
                </c:pt>
                <c:pt idx="28">
                  <c:v>1.7824910200269204E+16</c:v>
                </c:pt>
                <c:pt idx="29">
                  <c:v>1.694277979422099E+16</c:v>
                </c:pt>
                <c:pt idx="30">
                  <c:v>1.609697271458525E+16</c:v>
                </c:pt>
                <c:pt idx="31">
                  <c:v>1.5290324068245758E+16</c:v>
                </c:pt>
                <c:pt idx="32">
                  <c:v>1.4513281518272044E+16</c:v>
                </c:pt>
                <c:pt idx="33">
                  <c:v>1.3775915851414012E+16</c:v>
                </c:pt>
                <c:pt idx="34">
                  <c:v>1.308604094246618E+16</c:v>
                </c:pt>
                <c:pt idx="35">
                  <c:v>1.2415333638188138E+16</c:v>
                </c:pt>
                <c:pt idx="36">
                  <c:v>1.176691605882329E+16</c:v>
                </c:pt>
                <c:pt idx="37">
                  <c:v>1.115570621917018E+16</c:v>
                </c:pt>
                <c:pt idx="38">
                  <c:v>1.0574497892836896E+16</c:v>
                </c:pt>
                <c:pt idx="39">
                  <c:v>1.0015082327231706E+16</c:v>
                </c:pt>
                <c:pt idx="40">
                  <c:v>9493926098382634</c:v>
                </c:pt>
                <c:pt idx="41">
                  <c:v>8992925351759579</c:v>
                </c:pt>
                <c:pt idx="42">
                  <c:v>8519303824831514</c:v>
                </c:pt>
                <c:pt idx="43">
                  <c:v>8067170770714496</c:v>
                </c:pt>
                <c:pt idx="44">
                  <c:v>7634917074911940</c:v>
                </c:pt>
                <c:pt idx="45">
                  <c:v>7216788729368713</c:v>
                </c:pt>
                <c:pt idx="46">
                  <c:v>6829530999793348</c:v>
                </c:pt>
                <c:pt idx="47">
                  <c:v>6461978150416202</c:v>
                </c:pt>
                <c:pt idx="48">
                  <c:v>6106548662782286</c:v>
                </c:pt>
                <c:pt idx="49">
                  <c:v>5778221048406993</c:v>
                </c:pt>
                <c:pt idx="50">
                  <c:v>5457811778378726</c:v>
                </c:pt>
                <c:pt idx="51">
                  <c:v>5162674612948237</c:v>
                </c:pt>
                <c:pt idx="52">
                  <c:v>4875431066658812</c:v>
                </c:pt>
                <c:pt idx="53">
                  <c:v>4606061488628949</c:v>
                </c:pt>
                <c:pt idx="54">
                  <c:v>4351449642749814.5</c:v>
                </c:pt>
                <c:pt idx="55">
                  <c:v>4107588821157932.5</c:v>
                </c:pt>
                <c:pt idx="56">
                  <c:v>3877513985534257.5</c:v>
                </c:pt>
                <c:pt idx="57">
                  <c:v>3659179694098015.5</c:v>
                </c:pt>
                <c:pt idx="58">
                  <c:v>3453140531127704</c:v>
                </c:pt>
                <c:pt idx="59">
                  <c:v>3257046182783085</c:v>
                </c:pt>
                <c:pt idx="60">
                  <c:v>3067409875111486.5</c:v>
                </c:pt>
                <c:pt idx="61">
                  <c:v>2889966827832722.5</c:v>
                </c:pt>
                <c:pt idx="62">
                  <c:v>2728543378086520</c:v>
                </c:pt>
                <c:pt idx="63">
                  <c:v>2571069942236090.5</c:v>
                </c:pt>
                <c:pt idx="64">
                  <c:v>2424160488374458</c:v>
                </c:pt>
                <c:pt idx="65">
                  <c:v>2279758202834589</c:v>
                </c:pt>
                <c:pt idx="66">
                  <c:v>2146515255447911.7</c:v>
                </c:pt>
                <c:pt idx="67">
                  <c:v>2020795570604404.2</c:v>
                </c:pt>
                <c:pt idx="68">
                  <c:v>1904087372435478.5</c:v>
                </c:pt>
                <c:pt idx="69">
                  <c:v>1793249665715172</c:v>
                </c:pt>
                <c:pt idx="70">
                  <c:v>1691410712306852</c:v>
                </c:pt>
                <c:pt idx="71">
                  <c:v>1589191441355563.7</c:v>
                </c:pt>
                <c:pt idx="72">
                  <c:v>1493276850031706.2</c:v>
                </c:pt>
                <c:pt idx="73">
                  <c:v>1403567357035927</c:v>
                </c:pt>
                <c:pt idx="74">
                  <c:v>1316837760168859.5</c:v>
                </c:pt>
                <c:pt idx="75">
                  <c:v>1241043329608051.7</c:v>
                </c:pt>
                <c:pt idx="76">
                  <c:v>1166650303736886.2</c:v>
                </c:pt>
                <c:pt idx="77">
                  <c:v>1096013584969202.2</c:v>
                </c:pt>
                <c:pt idx="78">
                  <c:v>1026228301752015.5</c:v>
                </c:pt>
                <c:pt idx="79">
                  <c:v>957554627631654.25</c:v>
                </c:pt>
                <c:pt idx="80">
                  <c:v>899792393340752.5</c:v>
                </c:pt>
                <c:pt idx="81">
                  <c:v>847191573033654.12</c:v>
                </c:pt>
                <c:pt idx="82">
                  <c:v>797124588545414.5</c:v>
                </c:pt>
                <c:pt idx="83">
                  <c:v>744861681961747.62</c:v>
                </c:pt>
                <c:pt idx="84">
                  <c:v>697719952270064.87</c:v>
                </c:pt>
                <c:pt idx="85">
                  <c:v>654037415284262.37</c:v>
                </c:pt>
                <c:pt idx="86">
                  <c:v>607732108366166.37</c:v>
                </c:pt>
                <c:pt idx="87">
                  <c:v>574515608499911.25</c:v>
                </c:pt>
                <c:pt idx="88">
                  <c:v>534026658217033.44</c:v>
                </c:pt>
                <c:pt idx="89">
                  <c:v>500164864436310.87</c:v>
                </c:pt>
                <c:pt idx="90">
                  <c:v>462989554940538.44</c:v>
                </c:pt>
                <c:pt idx="91">
                  <c:v>438550020961462.06</c:v>
                </c:pt>
                <c:pt idx="92">
                  <c:v>407065032615053.56</c:v>
                </c:pt>
                <c:pt idx="93">
                  <c:v>380954372776891.87</c:v>
                </c:pt>
                <c:pt idx="94">
                  <c:v>357693163191181.75</c:v>
                </c:pt>
                <c:pt idx="95">
                  <c:v>332678899869059.37</c:v>
                </c:pt>
                <c:pt idx="96">
                  <c:v>310715286220218.12</c:v>
                </c:pt>
                <c:pt idx="97">
                  <c:v>292420482671578.12</c:v>
                </c:pt>
                <c:pt idx="98">
                  <c:v>273202062305213.25</c:v>
                </c:pt>
                <c:pt idx="99">
                  <c:v>256601557912616.34</c:v>
                </c:pt>
                <c:pt idx="100">
                  <c:v>238453950058160.31</c:v>
                </c:pt>
                <c:pt idx="101">
                  <c:v>224164610833740.22</c:v>
                </c:pt>
                <c:pt idx="102">
                  <c:v>211598547822666.16</c:v>
                </c:pt>
                <c:pt idx="103">
                  <c:v>192399159958369</c:v>
                </c:pt>
                <c:pt idx="104">
                  <c:v>185243388440048.12</c:v>
                </c:pt>
                <c:pt idx="105">
                  <c:v>168711258786069.19</c:v>
                </c:pt>
                <c:pt idx="106">
                  <c:v>156437744249175.62</c:v>
                </c:pt>
                <c:pt idx="107">
                  <c:v>145929899088089.16</c:v>
                </c:pt>
                <c:pt idx="108">
                  <c:v>139359702491525.98</c:v>
                </c:pt>
                <c:pt idx="109">
                  <c:v>129224374865027.84</c:v>
                </c:pt>
                <c:pt idx="110">
                  <c:v>117130611164694.02</c:v>
                </c:pt>
                <c:pt idx="111">
                  <c:v>115580568839978.28</c:v>
                </c:pt>
                <c:pt idx="112">
                  <c:v>111396645479359.98</c:v>
                </c:pt>
                <c:pt idx="113">
                  <c:v>104167581305620.12</c:v>
                </c:pt>
                <c:pt idx="114">
                  <c:v>90955950893150.422</c:v>
                </c:pt>
                <c:pt idx="115">
                  <c:v>88892576188929.953</c:v>
                </c:pt>
                <c:pt idx="116">
                  <c:v>87654629858479.859</c:v>
                </c:pt>
                <c:pt idx="117">
                  <c:v>79558847819668.531</c:v>
                </c:pt>
                <c:pt idx="118">
                  <c:v>72291469399237.469</c:v>
                </c:pt>
                <c:pt idx="119">
                  <c:v>64615498367648.945</c:v>
                </c:pt>
                <c:pt idx="120">
                  <c:v>63121850829612.43</c:v>
                </c:pt>
                <c:pt idx="121">
                  <c:v>62606950153031.617</c:v>
                </c:pt>
                <c:pt idx="122">
                  <c:v>58281716962927.797</c:v>
                </c:pt>
                <c:pt idx="123">
                  <c:v>52413833701099.68</c:v>
                </c:pt>
                <c:pt idx="124">
                  <c:v>49120623884456.383</c:v>
                </c:pt>
              </c:numCache>
            </c:numRef>
          </c:xVal>
          <c:yVal>
            <c:numRef>
              <c:f>Plots!$K$3:$K$127</c:f>
              <c:numCache>
                <c:formatCode>General</c:formatCode>
                <c:ptCount val="125"/>
                <c:pt idx="0">
                  <c:v>0</c:v>
                </c:pt>
                <c:pt idx="1">
                  <c:v>0</c:v>
                </c:pt>
                <c:pt idx="2">
                  <c:v>1.169928035749718E-4</c:v>
                </c:pt>
                <c:pt idx="3">
                  <c:v>1.1177194572965153E-4</c:v>
                </c:pt>
                <c:pt idx="4">
                  <c:v>1.0476330552682935E-4</c:v>
                </c:pt>
                <c:pt idx="5">
                  <c:v>1.0153576604934461E-4</c:v>
                </c:pt>
                <c:pt idx="6">
                  <c:v>1.0219363194738051E-4</c:v>
                </c:pt>
                <c:pt idx="7">
                  <c:v>1.0425413151842085E-4</c:v>
                </c:pt>
                <c:pt idx="8">
                  <c:v>1.0649472598212029E-4</c:v>
                </c:pt>
                <c:pt idx="9">
                  <c:v>1.086084955929414E-4</c:v>
                </c:pt>
                <c:pt idx="10">
                  <c:v>1.1064726608357229E-4</c:v>
                </c:pt>
                <c:pt idx="11">
                  <c:v>1.1258286494608176E-4</c:v>
                </c:pt>
                <c:pt idx="12">
                  <c:v>1.1448457526646894E-4</c:v>
                </c:pt>
                <c:pt idx="13">
                  <c:v>1.1626184686444442E-4</c:v>
                </c:pt>
                <c:pt idx="14">
                  <c:v>1.1792119697337243E-4</c:v>
                </c:pt>
                <c:pt idx="15">
                  <c:v>1.1952124657189873E-4</c:v>
                </c:pt>
                <c:pt idx="16">
                  <c:v>1.2107120237370733E-4</c:v>
                </c:pt>
                <c:pt idx="17">
                  <c:v>1.2246343413923176E-4</c:v>
                </c:pt>
                <c:pt idx="18">
                  <c:v>1.238179204907507E-4</c:v>
                </c:pt>
                <c:pt idx="19">
                  <c:v>1.2506255436004688E-4</c:v>
                </c:pt>
                <c:pt idx="20">
                  <c:v>1.2619555731699473E-4</c:v>
                </c:pt>
                <c:pt idx="21">
                  <c:v>1.2725769750627228E-4</c:v>
                </c:pt>
                <c:pt idx="22">
                  <c:v>1.2821135894642164E-4</c:v>
                </c:pt>
                <c:pt idx="23">
                  <c:v>1.2913207570668076E-4</c:v>
                </c:pt>
                <c:pt idx="24">
                  <c:v>1.2987722982429385E-4</c:v>
                </c:pt>
                <c:pt idx="25">
                  <c:v>1.305635047337508E-4</c:v>
                </c:pt>
                <c:pt idx="26">
                  <c:v>1.3117636916338803E-4</c:v>
                </c:pt>
                <c:pt idx="27">
                  <c:v>1.316711639744794E-4</c:v>
                </c:pt>
                <c:pt idx="28">
                  <c:v>1.3239681790744006E-4</c:v>
                </c:pt>
                <c:pt idx="29">
                  <c:v>1.3287833073420536E-4</c:v>
                </c:pt>
                <c:pt idx="30">
                  <c:v>1.3314563440383118E-4</c:v>
                </c:pt>
                <c:pt idx="31">
                  <c:v>1.3334932954906526E-4</c:v>
                </c:pt>
                <c:pt idx="32">
                  <c:v>1.3345357630050025E-4</c:v>
                </c:pt>
                <c:pt idx="33">
                  <c:v>1.3356414486768507E-4</c:v>
                </c:pt>
                <c:pt idx="34">
                  <c:v>1.3370903699166979E-4</c:v>
                </c:pt>
                <c:pt idx="35">
                  <c:v>1.3362619386708246E-4</c:v>
                </c:pt>
                <c:pt idx="36">
                  <c:v>1.3334559085067458E-4</c:v>
                </c:pt>
                <c:pt idx="37">
                  <c:v>1.3307088452575169E-4</c:v>
                </c:pt>
                <c:pt idx="38">
                  <c:v>1.3281418715364006E-4</c:v>
                </c:pt>
                <c:pt idx="39">
                  <c:v>1.3248514540224287E-4</c:v>
                </c:pt>
                <c:pt idx="40">
                  <c:v>1.3220527613506288E-4</c:v>
                </c:pt>
                <c:pt idx="41">
                  <c:v>1.3172689900524422E-4</c:v>
                </c:pt>
                <c:pt idx="42">
                  <c:v>1.3133037222101871E-4</c:v>
                </c:pt>
                <c:pt idx="43">
                  <c:v>1.3074644504146952E-4</c:v>
                </c:pt>
                <c:pt idx="44">
                  <c:v>1.3007298240162282E-4</c:v>
                </c:pt>
                <c:pt idx="45">
                  <c:v>1.2927653691840305E-4</c:v>
                </c:pt>
                <c:pt idx="46">
                  <c:v>1.2862228821619142E-4</c:v>
                </c:pt>
                <c:pt idx="47">
                  <c:v>1.2803703211481876E-4</c:v>
                </c:pt>
                <c:pt idx="48">
                  <c:v>1.2718093599293879E-4</c:v>
                </c:pt>
                <c:pt idx="49">
                  <c:v>1.2640846605440652E-4</c:v>
                </c:pt>
                <c:pt idx="50">
                  <c:v>1.2546121235724211E-4</c:v>
                </c:pt>
                <c:pt idx="51">
                  <c:v>1.2465803933194906E-4</c:v>
                </c:pt>
                <c:pt idx="52">
                  <c:v>1.2359717708930595E-4</c:v>
                </c:pt>
                <c:pt idx="53">
                  <c:v>1.2271846605824729E-4</c:v>
                </c:pt>
                <c:pt idx="54">
                  <c:v>1.217297052932619E-4</c:v>
                </c:pt>
                <c:pt idx="55">
                  <c:v>1.2064392879687992E-4</c:v>
                </c:pt>
                <c:pt idx="56">
                  <c:v>1.1959408511503731E-4</c:v>
                </c:pt>
                <c:pt idx="57">
                  <c:v>1.1850012748351251E-4</c:v>
                </c:pt>
                <c:pt idx="58">
                  <c:v>1.1745577952945076E-4</c:v>
                </c:pt>
                <c:pt idx="59">
                  <c:v>1.1632849175926063E-4</c:v>
                </c:pt>
                <c:pt idx="60">
                  <c:v>1.15108395414388E-4</c:v>
                </c:pt>
                <c:pt idx="61">
                  <c:v>1.1412301703341144E-4</c:v>
                </c:pt>
                <c:pt idx="62">
                  <c:v>1.132396627540084E-4</c:v>
                </c:pt>
                <c:pt idx="63">
                  <c:v>1.1200856249884828E-4</c:v>
                </c:pt>
                <c:pt idx="64">
                  <c:v>1.1078843041708575E-4</c:v>
                </c:pt>
                <c:pt idx="65">
                  <c:v>1.0931897658176649E-4</c:v>
                </c:pt>
                <c:pt idx="66">
                  <c:v>1.0801795959894938E-4</c:v>
                </c:pt>
                <c:pt idx="67">
                  <c:v>1.0682324908032074E-4</c:v>
                </c:pt>
                <c:pt idx="68">
                  <c:v>1.0580635301181049E-4</c:v>
                </c:pt>
                <c:pt idx="69">
                  <c:v>1.0463260085032549E-4</c:v>
                </c:pt>
                <c:pt idx="70">
                  <c:v>1.0356845074521341E-4</c:v>
                </c:pt>
                <c:pt idx="71">
                  <c:v>1.0205630155435564E-4</c:v>
                </c:pt>
                <c:pt idx="72">
                  <c:v>1.0057489562938784E-4</c:v>
                </c:pt>
                <c:pt idx="73">
                  <c:v>9.921229375111417E-5</c:v>
                </c:pt>
                <c:pt idx="74">
                  <c:v>9.7806962736014531E-5</c:v>
                </c:pt>
                <c:pt idx="75">
                  <c:v>9.6921097692573868E-5</c:v>
                </c:pt>
                <c:pt idx="76">
                  <c:v>9.5624124532621755E-5</c:v>
                </c:pt>
                <c:pt idx="77">
                  <c:v>9.4293414711955247E-5</c:v>
                </c:pt>
                <c:pt idx="78">
                  <c:v>9.2636447012030932E-5</c:v>
                </c:pt>
                <c:pt idx="79">
                  <c:v>9.0868188673415824E-5</c:v>
                </c:pt>
                <c:pt idx="80">
                  <c:v>8.9912008931997221E-5</c:v>
                </c:pt>
                <c:pt idx="81">
                  <c:v>8.8949742479422716E-5</c:v>
                </c:pt>
                <c:pt idx="82">
                  <c:v>8.7904074063858227E-5</c:v>
                </c:pt>
                <c:pt idx="83">
                  <c:v>8.6232947789519811E-5</c:v>
                </c:pt>
                <c:pt idx="84">
                  <c:v>8.4913551524783923E-5</c:v>
                </c:pt>
                <c:pt idx="85">
                  <c:v>8.3566935338014647E-5</c:v>
                </c:pt>
                <c:pt idx="86">
                  <c:v>8.1741117284004979E-5</c:v>
                </c:pt>
                <c:pt idx="87">
                  <c:v>8.1272568380264204E-5</c:v>
                </c:pt>
                <c:pt idx="88">
                  <c:v>7.9565580251030467E-5</c:v>
                </c:pt>
                <c:pt idx="89">
                  <c:v>7.8150145796064202E-5</c:v>
                </c:pt>
                <c:pt idx="90">
                  <c:v>7.6533081950517519E-5</c:v>
                </c:pt>
                <c:pt idx="91">
                  <c:v>7.622712584626997E-5</c:v>
                </c:pt>
                <c:pt idx="92">
                  <c:v>7.4482195181298257E-5</c:v>
                </c:pt>
                <c:pt idx="93">
                  <c:v>7.336647755474369E-5</c:v>
                </c:pt>
                <c:pt idx="94">
                  <c:v>7.2748245319679462E-5</c:v>
                </c:pt>
                <c:pt idx="95">
                  <c:v>7.1508370787499575E-5</c:v>
                </c:pt>
                <c:pt idx="96">
                  <c:v>7.0164208779487325E-5</c:v>
                </c:pt>
                <c:pt idx="97">
                  <c:v>6.9877014723626027E-5</c:v>
                </c:pt>
                <c:pt idx="98">
                  <c:v>6.8948203760700212E-5</c:v>
                </c:pt>
                <c:pt idx="99">
                  <c:v>6.8174530677011179E-5</c:v>
                </c:pt>
                <c:pt idx="100">
                  <c:v>6.7122291760764053E-5</c:v>
                </c:pt>
                <c:pt idx="101">
                  <c:v>6.6630925623859899E-5</c:v>
                </c:pt>
                <c:pt idx="102">
                  <c:v>6.6578394034959553E-5</c:v>
                </c:pt>
                <c:pt idx="103">
                  <c:v>6.3990754949850805E-5</c:v>
                </c:pt>
                <c:pt idx="104">
                  <c:v>6.5138461376464159E-5</c:v>
                </c:pt>
                <c:pt idx="105">
                  <c:v>6.3252186718899047E-5</c:v>
                </c:pt>
                <c:pt idx="106">
                  <c:v>6.1824054108800038E-5</c:v>
                </c:pt>
                <c:pt idx="107">
                  <c:v>6.1645712009603359E-5</c:v>
                </c:pt>
                <c:pt idx="108">
                  <c:v>6.2347207326384269E-5</c:v>
                </c:pt>
                <c:pt idx="109">
                  <c:v>6.1277380320511388E-5</c:v>
                </c:pt>
                <c:pt idx="110">
                  <c:v>5.9276788915897697E-5</c:v>
                </c:pt>
                <c:pt idx="111">
                  <c:v>6.2613767538658571E-5</c:v>
                </c:pt>
                <c:pt idx="112">
                  <c:v>6.370966713955616E-5</c:v>
                </c:pt>
                <c:pt idx="113">
                  <c:v>6.3038685621357501E-5</c:v>
                </c:pt>
                <c:pt idx="114">
                  <c:v>5.8055915384348879E-5</c:v>
                </c:pt>
                <c:pt idx="115">
                  <c:v>6.0927855727619557E-5</c:v>
                </c:pt>
                <c:pt idx="116">
                  <c:v>6.3954287540874999E-5</c:v>
                </c:pt>
                <c:pt idx="117">
                  <c:v>6.1806953385885101E-5</c:v>
                </c:pt>
                <c:pt idx="118">
                  <c:v>5.9079364528654476E-5</c:v>
                </c:pt>
                <c:pt idx="119">
                  <c:v>5.7806119690556486E-5</c:v>
                </c:pt>
                <c:pt idx="120">
                  <c:v>6.0768920342955768E-5</c:v>
                </c:pt>
                <c:pt idx="121">
                  <c:v>6.4521643842778287E-5</c:v>
                </c:pt>
                <c:pt idx="122">
                  <c:v>6.4765946878850048E-5</c:v>
                </c:pt>
                <c:pt idx="123">
                  <c:v>0</c:v>
                </c:pt>
                <c:pt idx="124">
                  <c:v>0</c:v>
                </c:pt>
              </c:numCache>
            </c:numRef>
          </c:yVal>
          <c:smooth val="0"/>
        </c:ser>
        <c:ser>
          <c:idx val="6"/>
          <c:order val="6"/>
          <c:tx>
            <c:strRef>
              <c:f>Plots!$L$1</c:f>
              <c:strCache>
                <c:ptCount val="1"/>
                <c:pt idx="0">
                  <c:v>135</c:v>
                </c:pt>
              </c:strCache>
            </c:strRef>
          </c:tx>
          <c:spPr>
            <a:ln w="28575">
              <a:noFill/>
            </a:ln>
          </c:spPr>
          <c:marker>
            <c:symbol val="diamond"/>
            <c:size val="7"/>
            <c:spPr>
              <a:solidFill>
                <a:schemeClr val="accent6">
                  <a:lumMod val="60000"/>
                  <a:lumOff val="40000"/>
                </a:schemeClr>
              </a:solidFill>
              <a:ln>
                <a:noFill/>
              </a:ln>
            </c:spPr>
          </c:marker>
          <c:xVal>
            <c:numRef>
              <c:f>Plots!$L$3:$L$127</c:f>
              <c:numCache>
                <c:formatCode>General</c:formatCode>
                <c:ptCount val="125"/>
                <c:pt idx="0">
                  <c:v>8410358112621588</c:v>
                </c:pt>
                <c:pt idx="1">
                  <c:v>3.0583770066033812E+16</c:v>
                </c:pt>
                <c:pt idx="2">
                  <c:v>4.2680004517504328E+16</c:v>
                </c:pt>
                <c:pt idx="3">
                  <c:v>4.797280469585776E+16</c:v>
                </c:pt>
                <c:pt idx="4">
                  <c:v>4.8253949875685416E+16</c:v>
                </c:pt>
                <c:pt idx="5">
                  <c:v>4.711458522271004E+16</c:v>
                </c:pt>
                <c:pt idx="6">
                  <c:v>4.5570475040154648E+16</c:v>
                </c:pt>
                <c:pt idx="7">
                  <c:v>4.3951234237935976E+16</c:v>
                </c:pt>
                <c:pt idx="8">
                  <c:v>4.2302925139162672E+16</c:v>
                </c:pt>
                <c:pt idx="9">
                  <c:v>4.0665103412649304E+16</c:v>
                </c:pt>
                <c:pt idx="10">
                  <c:v>3.9034177105755152E+16</c:v>
                </c:pt>
                <c:pt idx="11">
                  <c:v>3.7427112119133856E+16</c:v>
                </c:pt>
                <c:pt idx="12">
                  <c:v>3.5863315475624376E+16</c:v>
                </c:pt>
                <c:pt idx="13">
                  <c:v>3.4335664676069E+16</c:v>
                </c:pt>
                <c:pt idx="14">
                  <c:v>3.2854071253276232E+16</c:v>
                </c:pt>
                <c:pt idx="15">
                  <c:v>3.1410804974049924E+16</c:v>
                </c:pt>
                <c:pt idx="16">
                  <c:v>3.0021041223568412E+16</c:v>
                </c:pt>
                <c:pt idx="17">
                  <c:v>2.866531958685004E+16</c:v>
                </c:pt>
                <c:pt idx="18">
                  <c:v>2.7353363988891016E+16</c:v>
                </c:pt>
                <c:pt idx="19">
                  <c:v>2.6082939568827848E+16</c:v>
                </c:pt>
                <c:pt idx="20">
                  <c:v>2.485935096433974E+16</c:v>
                </c:pt>
                <c:pt idx="21">
                  <c:v>2.3682181592526684E+16</c:v>
                </c:pt>
                <c:pt idx="22">
                  <c:v>2.2545775311778452E+16</c:v>
                </c:pt>
                <c:pt idx="23">
                  <c:v>2.1455800964547744E+16</c:v>
                </c:pt>
                <c:pt idx="24">
                  <c:v>2.0414667771855936E+16</c:v>
                </c:pt>
                <c:pt idx="25">
                  <c:v>1.9411297415474908E+16</c:v>
                </c:pt>
                <c:pt idx="26">
                  <c:v>1.8451788273437336E+16</c:v>
                </c:pt>
                <c:pt idx="27">
                  <c:v>1.753466818353102E+16</c:v>
                </c:pt>
                <c:pt idx="28">
                  <c:v>1.6661519010370076E+16</c:v>
                </c:pt>
                <c:pt idx="29">
                  <c:v>1.5818471320917066E+16</c:v>
                </c:pt>
                <c:pt idx="30">
                  <c:v>1.5014648672223134E+16</c:v>
                </c:pt>
                <c:pt idx="31">
                  <c:v>1.4242538714414272E+16</c:v>
                </c:pt>
                <c:pt idx="32">
                  <c:v>1.3512079113531654E+16</c:v>
                </c:pt>
                <c:pt idx="33">
                  <c:v>1.2815698359002448E+16</c:v>
                </c:pt>
                <c:pt idx="34">
                  <c:v>1.2151378446779704E+16</c:v>
                </c:pt>
                <c:pt idx="35">
                  <c:v>1.1517810987541364E+16</c:v>
                </c:pt>
                <c:pt idx="36">
                  <c:v>1.09113184854503E+16</c:v>
                </c:pt>
                <c:pt idx="37">
                  <c:v>1.0338315748193514E+16</c:v>
                </c:pt>
                <c:pt idx="38">
                  <c:v>9786863942225166</c:v>
                </c:pt>
                <c:pt idx="39">
                  <c:v>9267704131262416</c:v>
                </c:pt>
                <c:pt idx="40">
                  <c:v>8772512119209659</c:v>
                </c:pt>
                <c:pt idx="41">
                  <c:v>8300366587388205</c:v>
                </c:pt>
                <c:pt idx="42">
                  <c:v>7851750645284053</c:v>
                </c:pt>
                <c:pt idx="43">
                  <c:v>7425938440686768</c:v>
                </c:pt>
                <c:pt idx="44">
                  <c:v>7022596949788623</c:v>
                </c:pt>
                <c:pt idx="45">
                  <c:v>6640390117767708</c:v>
                </c:pt>
                <c:pt idx="46">
                  <c:v>6272878005256862</c:v>
                </c:pt>
                <c:pt idx="47">
                  <c:v>5933962851448639</c:v>
                </c:pt>
                <c:pt idx="48">
                  <c:v>5606832205525796</c:v>
                </c:pt>
                <c:pt idx="49">
                  <c:v>5288560386361960</c:v>
                </c:pt>
                <c:pt idx="50">
                  <c:v>4995377768320971</c:v>
                </c:pt>
                <c:pt idx="51">
                  <c:v>4715776055001313</c:v>
                </c:pt>
                <c:pt idx="52">
                  <c:v>4455108456032480.5</c:v>
                </c:pt>
                <c:pt idx="53">
                  <c:v>4204018339909773</c:v>
                </c:pt>
                <c:pt idx="54">
                  <c:v>3966569092129618</c:v>
                </c:pt>
                <c:pt idx="55">
                  <c:v>3738174881519351.5</c:v>
                </c:pt>
                <c:pt idx="56">
                  <c:v>3530332599667562.5</c:v>
                </c:pt>
                <c:pt idx="57">
                  <c:v>3329021018932950.5</c:v>
                </c:pt>
                <c:pt idx="58">
                  <c:v>3134693394355958</c:v>
                </c:pt>
                <c:pt idx="59">
                  <c:v>2953075179596129</c:v>
                </c:pt>
                <c:pt idx="60">
                  <c:v>2782428947917115</c:v>
                </c:pt>
                <c:pt idx="61">
                  <c:v>2622736976710276</c:v>
                </c:pt>
                <c:pt idx="62">
                  <c:v>2468494893343482</c:v>
                </c:pt>
                <c:pt idx="63">
                  <c:v>2324335506464936.5</c:v>
                </c:pt>
                <c:pt idx="64">
                  <c:v>2190118707955993.7</c:v>
                </c:pt>
                <c:pt idx="65">
                  <c:v>2060942416206878</c:v>
                </c:pt>
                <c:pt idx="66">
                  <c:v>1938574310366437.2</c:v>
                </c:pt>
                <c:pt idx="67">
                  <c:v>1827491072192057.5</c:v>
                </c:pt>
                <c:pt idx="68">
                  <c:v>1715928492803724.2</c:v>
                </c:pt>
                <c:pt idx="69">
                  <c:v>1619148034783635.5</c:v>
                </c:pt>
                <c:pt idx="70">
                  <c:v>1523989562506764.5</c:v>
                </c:pt>
                <c:pt idx="71">
                  <c:v>1431257683621872.5</c:v>
                </c:pt>
                <c:pt idx="72">
                  <c:v>1345451508030882</c:v>
                </c:pt>
                <c:pt idx="73">
                  <c:v>1258546631185784.8</c:v>
                </c:pt>
                <c:pt idx="74">
                  <c:v>1187094928345251.2</c:v>
                </c:pt>
                <c:pt idx="75">
                  <c:v>1111323382440134.6</c:v>
                </c:pt>
                <c:pt idx="76">
                  <c:v>1043978892634740.9</c:v>
                </c:pt>
                <c:pt idx="77">
                  <c:v>981250605419158.75</c:v>
                </c:pt>
                <c:pt idx="78">
                  <c:v>918045698188260.75</c:v>
                </c:pt>
                <c:pt idx="79">
                  <c:v>860540207725287.5</c:v>
                </c:pt>
                <c:pt idx="80">
                  <c:v>808094845458212.37</c:v>
                </c:pt>
                <c:pt idx="81">
                  <c:v>760735269810292.75</c:v>
                </c:pt>
                <c:pt idx="82">
                  <c:v>712954707158645.5</c:v>
                </c:pt>
                <c:pt idx="83">
                  <c:v>668319682619510.25</c:v>
                </c:pt>
                <c:pt idx="84">
                  <c:v>624762278571020.75</c:v>
                </c:pt>
                <c:pt idx="85">
                  <c:v>583881057705429.62</c:v>
                </c:pt>
                <c:pt idx="86">
                  <c:v>545662671175914</c:v>
                </c:pt>
                <c:pt idx="87">
                  <c:v>510197524634467</c:v>
                </c:pt>
                <c:pt idx="88">
                  <c:v>479667947621156.12</c:v>
                </c:pt>
                <c:pt idx="89">
                  <c:v>451566800259827.25</c:v>
                </c:pt>
                <c:pt idx="90">
                  <c:v>421956298878497.44</c:v>
                </c:pt>
                <c:pt idx="91">
                  <c:v>394817299972015.56</c:v>
                </c:pt>
                <c:pt idx="92">
                  <c:v>366966130349415.37</c:v>
                </c:pt>
                <c:pt idx="93">
                  <c:v>342617096722914.25</c:v>
                </c:pt>
                <c:pt idx="94">
                  <c:v>325920645821164.37</c:v>
                </c:pt>
                <c:pt idx="95">
                  <c:v>305575223228250.12</c:v>
                </c:pt>
                <c:pt idx="96">
                  <c:v>286335115317095.87</c:v>
                </c:pt>
                <c:pt idx="97">
                  <c:v>265582869214337.62</c:v>
                </c:pt>
                <c:pt idx="98">
                  <c:v>249932272333206.31</c:v>
                </c:pt>
                <c:pt idx="99">
                  <c:v>231434542471735.31</c:v>
                </c:pt>
                <c:pt idx="100">
                  <c:v>214085596038434.87</c:v>
                </c:pt>
                <c:pt idx="101">
                  <c:v>201379178675078.12</c:v>
                </c:pt>
                <c:pt idx="102">
                  <c:v>190994610573404.41</c:v>
                </c:pt>
                <c:pt idx="103">
                  <c:v>179089738101317.94</c:v>
                </c:pt>
                <c:pt idx="104">
                  <c:v>162819575027946.78</c:v>
                </c:pt>
                <c:pt idx="105">
                  <c:v>158693369747926.56</c:v>
                </c:pt>
                <c:pt idx="106">
                  <c:v>142145512768040.22</c:v>
                </c:pt>
                <c:pt idx="107">
                  <c:v>134099274977927.56</c:v>
                </c:pt>
                <c:pt idx="108">
                  <c:v>126251495196398.12</c:v>
                </c:pt>
                <c:pt idx="109">
                  <c:v>115271726648307.77</c:v>
                </c:pt>
                <c:pt idx="110">
                  <c:v>112821133761799.14</c:v>
                </c:pt>
                <c:pt idx="111">
                  <c:v>105179608751525.75</c:v>
                </c:pt>
                <c:pt idx="112">
                  <c:v>92695983221447.312</c:v>
                </c:pt>
                <c:pt idx="113">
                  <c:v>89515324304030.25</c:v>
                </c:pt>
                <c:pt idx="114">
                  <c:v>85161399132810.937</c:v>
                </c:pt>
                <c:pt idx="115">
                  <c:v>81884600988492.406</c:v>
                </c:pt>
                <c:pt idx="116">
                  <c:v>72791156582634.547</c:v>
                </c:pt>
                <c:pt idx="117">
                  <c:v>65364162543067.422</c:v>
                </c:pt>
                <c:pt idx="118">
                  <c:v>65217597771501.789</c:v>
                </c:pt>
                <c:pt idx="119">
                  <c:v>61212503447194.602</c:v>
                </c:pt>
                <c:pt idx="120">
                  <c:v>53547279885497.437</c:v>
                </c:pt>
                <c:pt idx="121">
                  <c:v>49252843218481.797</c:v>
                </c:pt>
                <c:pt idx="122">
                  <c:v>43935404626381.617</c:v>
                </c:pt>
                <c:pt idx="123">
                  <c:v>42130954849781.984</c:v>
                </c:pt>
                <c:pt idx="124">
                  <c:v>40424227695902.414</c:v>
                </c:pt>
              </c:numCache>
            </c:numRef>
          </c:xVal>
          <c:yVal>
            <c:numRef>
              <c:f>Plots!$M$3:$M$127</c:f>
              <c:numCache>
                <c:formatCode>General</c:formatCode>
                <c:ptCount val="125"/>
                <c:pt idx="0">
                  <c:v>0</c:v>
                </c:pt>
                <c:pt idx="1">
                  <c:v>0</c:v>
                </c:pt>
                <c:pt idx="2">
                  <c:v>1.1263862664296883E-4</c:v>
                </c:pt>
                <c:pt idx="3">
                  <c:v>1.0490157234622116E-4</c:v>
                </c:pt>
                <c:pt idx="4">
                  <c:v>1.0017198690588757E-4</c:v>
                </c:pt>
                <c:pt idx="5">
                  <c:v>9.8849096548571792E-5</c:v>
                </c:pt>
                <c:pt idx="6">
                  <c:v>1.0032046821255849E-4</c:v>
                </c:pt>
                <c:pt idx="7">
                  <c:v>1.0232177834654265E-4</c:v>
                </c:pt>
                <c:pt idx="8">
                  <c:v>1.0432198939446347E-4</c:v>
                </c:pt>
                <c:pt idx="9">
                  <c:v>1.0626665051733644E-4</c:v>
                </c:pt>
                <c:pt idx="10">
                  <c:v>1.0808660607352979E-4</c:v>
                </c:pt>
                <c:pt idx="11">
                  <c:v>1.0984230446245252E-4</c:v>
                </c:pt>
                <c:pt idx="12">
                  <c:v>1.1157724172079124E-4</c:v>
                </c:pt>
                <c:pt idx="13">
                  <c:v>1.1316709210603453E-4</c:v>
                </c:pt>
                <c:pt idx="14">
                  <c:v>1.1465307479976334E-4</c:v>
                </c:pt>
                <c:pt idx="15">
                  <c:v>1.1606091588670962E-4</c:v>
                </c:pt>
                <c:pt idx="16">
                  <c:v>1.1741164979029567E-4</c:v>
                </c:pt>
                <c:pt idx="17">
                  <c:v>1.1865609565261634E-4</c:v>
                </c:pt>
                <c:pt idx="18">
                  <c:v>1.1982273785551703E-4</c:v>
                </c:pt>
                <c:pt idx="19">
                  <c:v>1.2088224837976223E-4</c:v>
                </c:pt>
                <c:pt idx="20">
                  <c:v>1.218387159209083E-4</c:v>
                </c:pt>
                <c:pt idx="21">
                  <c:v>1.2272212371318181E-4</c:v>
                </c:pt>
                <c:pt idx="22">
                  <c:v>1.2348024202129583E-4</c:v>
                </c:pt>
                <c:pt idx="23">
                  <c:v>1.2420379653290195E-4</c:v>
                </c:pt>
                <c:pt idx="24">
                  <c:v>1.2484321587733236E-4</c:v>
                </c:pt>
                <c:pt idx="25">
                  <c:v>1.2536677624903195E-4</c:v>
                </c:pt>
                <c:pt idx="26">
                  <c:v>1.2581586171118761E-4</c:v>
                </c:pt>
                <c:pt idx="27">
                  <c:v>1.2623672177979444E-4</c:v>
                </c:pt>
                <c:pt idx="28">
                  <c:v>1.2679763623212867E-4</c:v>
                </c:pt>
                <c:pt idx="29">
                  <c:v>1.2703602630618287E-4</c:v>
                </c:pt>
                <c:pt idx="30">
                  <c:v>1.2719207536089386E-4</c:v>
                </c:pt>
                <c:pt idx="31">
                  <c:v>1.2725008304137505E-4</c:v>
                </c:pt>
                <c:pt idx="32">
                  <c:v>1.2727478236324645E-4</c:v>
                </c:pt>
                <c:pt idx="33">
                  <c:v>1.2726797883110731E-4</c:v>
                </c:pt>
                <c:pt idx="34">
                  <c:v>1.2713672946093623E-4</c:v>
                </c:pt>
                <c:pt idx="35">
                  <c:v>1.2698067306934603E-4</c:v>
                </c:pt>
                <c:pt idx="36">
                  <c:v>1.266624919024807E-4</c:v>
                </c:pt>
                <c:pt idx="37">
                  <c:v>1.2633687161372597E-4</c:v>
                </c:pt>
                <c:pt idx="38">
                  <c:v>1.2599683036484231E-4</c:v>
                </c:pt>
                <c:pt idx="39">
                  <c:v>1.2558696610532927E-4</c:v>
                </c:pt>
                <c:pt idx="40">
                  <c:v>1.251386126694714E-4</c:v>
                </c:pt>
                <c:pt idx="41">
                  <c:v>1.245924789878196E-4</c:v>
                </c:pt>
                <c:pt idx="42">
                  <c:v>1.2398820375637536E-4</c:v>
                </c:pt>
                <c:pt idx="43">
                  <c:v>1.2335943485006296E-4</c:v>
                </c:pt>
                <c:pt idx="44">
                  <c:v>1.2265904488705114E-4</c:v>
                </c:pt>
                <c:pt idx="45">
                  <c:v>1.2197506017004575E-4</c:v>
                </c:pt>
                <c:pt idx="46">
                  <c:v>1.2118435290756729E-4</c:v>
                </c:pt>
                <c:pt idx="47">
                  <c:v>1.2044650388367633E-4</c:v>
                </c:pt>
                <c:pt idx="48">
                  <c:v>1.1965922372124925E-4</c:v>
                </c:pt>
                <c:pt idx="49">
                  <c:v>1.1855756918308068E-4</c:v>
                </c:pt>
                <c:pt idx="50">
                  <c:v>1.176826066020119E-4</c:v>
                </c:pt>
                <c:pt idx="51">
                  <c:v>1.1676616077228156E-4</c:v>
                </c:pt>
                <c:pt idx="52">
                  <c:v>1.1593101162400445E-4</c:v>
                </c:pt>
                <c:pt idx="53">
                  <c:v>1.1479773931345539E-4</c:v>
                </c:pt>
                <c:pt idx="54">
                  <c:v>1.1383954277346966E-4</c:v>
                </c:pt>
                <c:pt idx="55">
                  <c:v>1.1267204077230676E-4</c:v>
                </c:pt>
                <c:pt idx="56">
                  <c:v>1.1174561803726836E-4</c:v>
                </c:pt>
                <c:pt idx="57">
                  <c:v>1.1064934047760672E-4</c:v>
                </c:pt>
                <c:pt idx="58">
                  <c:v>1.0942443614434173E-4</c:v>
                </c:pt>
                <c:pt idx="59">
                  <c:v>1.0834104812970801E-4</c:v>
                </c:pt>
                <c:pt idx="60">
                  <c:v>1.0717055287918967E-4</c:v>
                </c:pt>
                <c:pt idx="61">
                  <c:v>1.0624123109205397E-4</c:v>
                </c:pt>
                <c:pt idx="62">
                  <c:v>1.0504917042312444E-4</c:v>
                </c:pt>
                <c:pt idx="63">
                  <c:v>1.0382614413670224E-4</c:v>
                </c:pt>
                <c:pt idx="64">
                  <c:v>1.0269206812059197E-4</c:v>
                </c:pt>
                <c:pt idx="65">
                  <c:v>1.0146038263029677E-4</c:v>
                </c:pt>
                <c:pt idx="66">
                  <c:v>1.0012360031309458E-4</c:v>
                </c:pt>
                <c:pt idx="67">
                  <c:v>9.917039669539565E-5</c:v>
                </c:pt>
                <c:pt idx="68">
                  <c:v>9.7926054084360577E-5</c:v>
                </c:pt>
                <c:pt idx="69">
                  <c:v>9.6968806880031672E-5</c:v>
                </c:pt>
                <c:pt idx="70">
                  <c:v>9.5843857470718409E-5</c:v>
                </c:pt>
                <c:pt idx="71">
                  <c:v>9.4325673794454234E-5</c:v>
                </c:pt>
                <c:pt idx="72">
                  <c:v>9.3203571034707416E-5</c:v>
                </c:pt>
                <c:pt idx="73">
                  <c:v>9.1494997115006789E-5</c:v>
                </c:pt>
                <c:pt idx="74">
                  <c:v>9.0724209191381523E-5</c:v>
                </c:pt>
                <c:pt idx="75">
                  <c:v>8.9157751947764716E-5</c:v>
                </c:pt>
                <c:pt idx="76">
                  <c:v>8.7987027117733213E-5</c:v>
                </c:pt>
                <c:pt idx="77">
                  <c:v>8.6943858396817492E-5</c:v>
                </c:pt>
                <c:pt idx="78">
                  <c:v>8.5642111736343638E-5</c:v>
                </c:pt>
                <c:pt idx="79">
                  <c:v>8.4326198197225727E-5</c:v>
                </c:pt>
                <c:pt idx="80">
                  <c:v>8.3227287714712889E-5</c:v>
                </c:pt>
                <c:pt idx="81">
                  <c:v>8.2376102316549166E-5</c:v>
                </c:pt>
                <c:pt idx="82">
                  <c:v>8.1081362257446593E-5</c:v>
                </c:pt>
                <c:pt idx="83">
                  <c:v>7.9694772458128359E-5</c:v>
                </c:pt>
                <c:pt idx="84">
                  <c:v>7.8419626507462048E-5</c:v>
                </c:pt>
                <c:pt idx="85">
                  <c:v>7.6869202468232716E-5</c:v>
                </c:pt>
                <c:pt idx="86">
                  <c:v>7.5990363156503834E-5</c:v>
                </c:pt>
                <c:pt idx="87">
                  <c:v>7.4486872726619018E-5</c:v>
                </c:pt>
                <c:pt idx="88">
                  <c:v>7.381001878893845E-5</c:v>
                </c:pt>
                <c:pt idx="89">
                  <c:v>7.3217710203564375E-5</c:v>
                </c:pt>
                <c:pt idx="90">
                  <c:v>7.1947675864725345E-5</c:v>
                </c:pt>
                <c:pt idx="91">
                  <c:v>7.0354687628731296E-5</c:v>
                </c:pt>
                <c:pt idx="92">
                  <c:v>6.9215821966260471E-5</c:v>
                </c:pt>
                <c:pt idx="93">
                  <c:v>6.8144152512001648E-5</c:v>
                </c:pt>
                <c:pt idx="94">
                  <c:v>6.8587436541115091E-5</c:v>
                </c:pt>
                <c:pt idx="95">
                  <c:v>6.7615893999441691E-5</c:v>
                </c:pt>
                <c:pt idx="96">
                  <c:v>6.6689515743537827E-5</c:v>
                </c:pt>
                <c:pt idx="97">
                  <c:v>6.5189351530298769E-5</c:v>
                </c:pt>
                <c:pt idx="98">
                  <c:v>6.44529858362124E-5</c:v>
                </c:pt>
                <c:pt idx="99">
                  <c:v>6.3156404463176049E-5</c:v>
                </c:pt>
                <c:pt idx="100">
                  <c:v>6.1771473569561755E-5</c:v>
                </c:pt>
                <c:pt idx="101">
                  <c:v>6.1980158349565651E-5</c:v>
                </c:pt>
                <c:pt idx="102">
                  <c:v>6.1974286941864895E-5</c:v>
                </c:pt>
                <c:pt idx="103">
                  <c:v>6.1406103319152646E-5</c:v>
                </c:pt>
                <c:pt idx="104">
                  <c:v>5.9248313142820477E-5</c:v>
                </c:pt>
                <c:pt idx="105">
                  <c:v>6.1166890202767827E-5</c:v>
                </c:pt>
                <c:pt idx="106">
                  <c:v>5.7827843198207959E-5</c:v>
                </c:pt>
                <c:pt idx="107">
                  <c:v>5.7180924732657118E-5</c:v>
                </c:pt>
                <c:pt idx="108">
                  <c:v>5.8249901724527326E-5</c:v>
                </c:pt>
                <c:pt idx="109">
                  <c:v>5.6091205379170392E-5</c:v>
                </c:pt>
                <c:pt idx="110">
                  <c:v>5.7851860402645925E-5</c:v>
                </c:pt>
                <c:pt idx="111">
                  <c:v>5.7778295993532542E-5</c:v>
                </c:pt>
                <c:pt idx="112">
                  <c:v>5.3920482267402708E-5</c:v>
                </c:pt>
                <c:pt idx="113">
                  <c:v>5.5671175201106298E-5</c:v>
                </c:pt>
                <c:pt idx="114">
                  <c:v>5.5786194244541625E-5</c:v>
                </c:pt>
                <c:pt idx="115">
                  <c:v>5.7461815014478206E-5</c:v>
                </c:pt>
                <c:pt idx="116">
                  <c:v>5.4394029793708429E-5</c:v>
                </c:pt>
                <c:pt idx="117">
                  <c:v>5.2301169994437634E-5</c:v>
                </c:pt>
                <c:pt idx="118">
                  <c:v>5.6176339215744224E-5</c:v>
                </c:pt>
                <c:pt idx="119">
                  <c:v>5.478193788123218E-5</c:v>
                </c:pt>
                <c:pt idx="120">
                  <c:v>5.2199277082607089E-5</c:v>
                </c:pt>
                <c:pt idx="121">
                  <c:v>5.1131514382171591E-5</c:v>
                </c:pt>
                <c:pt idx="122">
                  <c:v>4.8938960551683472E-5</c:v>
                </c:pt>
                <c:pt idx="123">
                  <c:v>0</c:v>
                </c:pt>
                <c:pt idx="124">
                  <c:v>0</c:v>
                </c:pt>
              </c:numCache>
            </c:numRef>
          </c:yVal>
          <c:smooth val="0"/>
        </c:ser>
        <c:ser>
          <c:idx val="7"/>
          <c:order val="7"/>
          <c:tx>
            <c:strRef>
              <c:f>Plots!$N$1</c:f>
              <c:strCache>
                <c:ptCount val="1"/>
                <c:pt idx="0">
                  <c:v>125</c:v>
                </c:pt>
              </c:strCache>
            </c:strRef>
          </c:tx>
          <c:spPr>
            <a:ln w="28575">
              <a:noFill/>
            </a:ln>
          </c:spPr>
          <c:marker>
            <c:symbol val="diamond"/>
            <c:size val="7"/>
            <c:spPr>
              <a:solidFill>
                <a:srgbClr val="FFFF00"/>
              </a:solidFill>
              <a:ln>
                <a:noFill/>
              </a:ln>
            </c:spPr>
          </c:marker>
          <c:xVal>
            <c:numRef>
              <c:f>Plots!$N$3:$N$127</c:f>
              <c:numCache>
                <c:formatCode>General</c:formatCode>
                <c:ptCount val="125"/>
                <c:pt idx="0">
                  <c:v>8423663385468997</c:v>
                </c:pt>
                <c:pt idx="1">
                  <c:v>3.0006164730492536E+16</c:v>
                </c:pt>
                <c:pt idx="2">
                  <c:v>4.2892543549150504E+16</c:v>
                </c:pt>
                <c:pt idx="3">
                  <c:v>4.8371576580763016E+16</c:v>
                </c:pt>
                <c:pt idx="4">
                  <c:v>4.8478869087269952E+16</c:v>
                </c:pt>
                <c:pt idx="5">
                  <c:v>4.7197436444080632E+16</c:v>
                </c:pt>
                <c:pt idx="6">
                  <c:v>4.5546383639361376E+16</c:v>
                </c:pt>
                <c:pt idx="7">
                  <c:v>4.3867374262810072E+16</c:v>
                </c:pt>
                <c:pt idx="8">
                  <c:v>4.2181901304985136E+16</c:v>
                </c:pt>
                <c:pt idx="9">
                  <c:v>4.0481161891090864E+16</c:v>
                </c:pt>
                <c:pt idx="10">
                  <c:v>3.8808569697165216E+16</c:v>
                </c:pt>
                <c:pt idx="11">
                  <c:v>3.716623955284672E+16</c:v>
                </c:pt>
                <c:pt idx="12">
                  <c:v>3.5560788298195524E+16</c:v>
                </c:pt>
                <c:pt idx="13">
                  <c:v>3.401829318442698E+16</c:v>
                </c:pt>
                <c:pt idx="14">
                  <c:v>3.253063574881732E+16</c:v>
                </c:pt>
                <c:pt idx="15">
                  <c:v>3.1071082297964992E+16</c:v>
                </c:pt>
                <c:pt idx="16">
                  <c:v>2.9662075809839112E+16</c:v>
                </c:pt>
                <c:pt idx="17">
                  <c:v>2.830292029014344E+16</c:v>
                </c:pt>
                <c:pt idx="18">
                  <c:v>2.6983643470542968E+16</c:v>
                </c:pt>
                <c:pt idx="19">
                  <c:v>2.5706831855916976E+16</c:v>
                </c:pt>
                <c:pt idx="20">
                  <c:v>2.4477359364755028E+16</c:v>
                </c:pt>
                <c:pt idx="21">
                  <c:v>2.3296003486552232E+16</c:v>
                </c:pt>
                <c:pt idx="22">
                  <c:v>2.2162221369277856E+16</c:v>
                </c:pt>
                <c:pt idx="23">
                  <c:v>2.1073678018135624E+16</c:v>
                </c:pt>
                <c:pt idx="24">
                  <c:v>2.0030731418638324E+16</c:v>
                </c:pt>
                <c:pt idx="25">
                  <c:v>1.9029651747452364E+16</c:v>
                </c:pt>
                <c:pt idx="26">
                  <c:v>1.8076356863858188E+16</c:v>
                </c:pt>
                <c:pt idx="27">
                  <c:v>1.7157719437027256E+16</c:v>
                </c:pt>
                <c:pt idx="28">
                  <c:v>1.6284058185927308E+16</c:v>
                </c:pt>
                <c:pt idx="29">
                  <c:v>1.5451399629667454E+16</c:v>
                </c:pt>
                <c:pt idx="30">
                  <c:v>1.465542164886634E+16</c:v>
                </c:pt>
                <c:pt idx="31">
                  <c:v>1.389286212313493E+16</c:v>
                </c:pt>
                <c:pt idx="32">
                  <c:v>1.3166229454493008E+16</c:v>
                </c:pt>
                <c:pt idx="33">
                  <c:v>1.2475321458720032E+16</c:v>
                </c:pt>
                <c:pt idx="34">
                  <c:v>1.181883601162562E+16</c:v>
                </c:pt>
                <c:pt idx="35">
                  <c:v>1.1195520785871948E+16</c:v>
                </c:pt>
                <c:pt idx="36">
                  <c:v>1.0594794978361448E+16</c:v>
                </c:pt>
                <c:pt idx="37">
                  <c:v>1.0027349982562044E+16</c:v>
                </c:pt>
                <c:pt idx="38">
                  <c:v>9488095064300490</c:v>
                </c:pt>
                <c:pt idx="39">
                  <c:v>8978391598027393</c:v>
                </c:pt>
                <c:pt idx="40">
                  <c:v>8489560772717874</c:v>
                </c:pt>
                <c:pt idx="41">
                  <c:v>8025916311183798</c:v>
                </c:pt>
                <c:pt idx="42">
                  <c:v>7587211476781044</c:v>
                </c:pt>
                <c:pt idx="43">
                  <c:v>7169911535388398</c:v>
                </c:pt>
                <c:pt idx="44">
                  <c:v>6779556045981756</c:v>
                </c:pt>
                <c:pt idx="45">
                  <c:v>6403745181349803</c:v>
                </c:pt>
                <c:pt idx="46">
                  <c:v>6047420582491480</c:v>
                </c:pt>
                <c:pt idx="47">
                  <c:v>5713738583837373</c:v>
                </c:pt>
                <c:pt idx="48">
                  <c:v>5388687910096990</c:v>
                </c:pt>
                <c:pt idx="49">
                  <c:v>5089740823631831</c:v>
                </c:pt>
                <c:pt idx="50">
                  <c:v>4800700849844390</c:v>
                </c:pt>
                <c:pt idx="51">
                  <c:v>4534314608575347</c:v>
                </c:pt>
                <c:pt idx="52">
                  <c:v>4275116541689164</c:v>
                </c:pt>
                <c:pt idx="53">
                  <c:v>4036813872985872.5</c:v>
                </c:pt>
                <c:pt idx="54">
                  <c:v>3806374854712501.5</c:v>
                </c:pt>
                <c:pt idx="55">
                  <c:v>3587310393102773</c:v>
                </c:pt>
                <c:pt idx="56">
                  <c:v>3382354311200430</c:v>
                </c:pt>
                <c:pt idx="57">
                  <c:v>3190414439783194</c:v>
                </c:pt>
                <c:pt idx="58">
                  <c:v>3007437480547940.5</c:v>
                </c:pt>
                <c:pt idx="59">
                  <c:v>2833689582196861.5</c:v>
                </c:pt>
                <c:pt idx="60">
                  <c:v>2664043203963066</c:v>
                </c:pt>
                <c:pt idx="61">
                  <c:v>2513368788542959</c:v>
                </c:pt>
                <c:pt idx="62">
                  <c:v>2362278402035001.5</c:v>
                </c:pt>
                <c:pt idx="63">
                  <c:v>2222779684250751</c:v>
                </c:pt>
                <c:pt idx="64">
                  <c:v>2090550963651574.7</c:v>
                </c:pt>
                <c:pt idx="65">
                  <c:v>1968551566948136.2</c:v>
                </c:pt>
                <c:pt idx="66">
                  <c:v>1852338147457438.5</c:v>
                </c:pt>
                <c:pt idx="67">
                  <c:v>1739685067779720.7</c:v>
                </c:pt>
                <c:pt idx="68">
                  <c:v>1635834276920306.5</c:v>
                </c:pt>
                <c:pt idx="69">
                  <c:v>1541436011181278</c:v>
                </c:pt>
                <c:pt idx="70">
                  <c:v>1451195648875192.5</c:v>
                </c:pt>
                <c:pt idx="71">
                  <c:v>1361691103032711.2</c:v>
                </c:pt>
                <c:pt idx="72">
                  <c:v>1277023467112074.5</c:v>
                </c:pt>
                <c:pt idx="73">
                  <c:v>1203240718019216.2</c:v>
                </c:pt>
                <c:pt idx="74">
                  <c:v>1126729435333706.5</c:v>
                </c:pt>
                <c:pt idx="75">
                  <c:v>1057618069397432.9</c:v>
                </c:pt>
                <c:pt idx="76">
                  <c:v>993070163361916.25</c:v>
                </c:pt>
                <c:pt idx="77">
                  <c:v>931887241411688.25</c:v>
                </c:pt>
                <c:pt idx="78">
                  <c:v>872621134168142.12</c:v>
                </c:pt>
                <c:pt idx="79">
                  <c:v>821204288574443.5</c:v>
                </c:pt>
                <c:pt idx="80">
                  <c:v>768401874661223.62</c:v>
                </c:pt>
                <c:pt idx="81">
                  <c:v>723685010134871.75</c:v>
                </c:pt>
                <c:pt idx="82">
                  <c:v>676517396583542.75</c:v>
                </c:pt>
                <c:pt idx="83">
                  <c:v>631341772193475.25</c:v>
                </c:pt>
                <c:pt idx="84">
                  <c:v>592046728585351.25</c:v>
                </c:pt>
                <c:pt idx="85">
                  <c:v>553004431067814.5</c:v>
                </c:pt>
                <c:pt idx="86">
                  <c:v>517864696131610.25</c:v>
                </c:pt>
                <c:pt idx="87">
                  <c:v>481924651745744.37</c:v>
                </c:pt>
                <c:pt idx="88">
                  <c:v>453789437170013.87</c:v>
                </c:pt>
                <c:pt idx="89">
                  <c:v>421725336466280.31</c:v>
                </c:pt>
                <c:pt idx="90">
                  <c:v>395456778274896.31</c:v>
                </c:pt>
                <c:pt idx="91">
                  <c:v>370395934696508.19</c:v>
                </c:pt>
                <c:pt idx="92">
                  <c:v>345740757288362.56</c:v>
                </c:pt>
                <c:pt idx="93">
                  <c:v>322570670430659.5</c:v>
                </c:pt>
                <c:pt idx="94">
                  <c:v>303836495401728.81</c:v>
                </c:pt>
                <c:pt idx="95">
                  <c:v>285964455720042.25</c:v>
                </c:pt>
                <c:pt idx="96">
                  <c:v>268576423790699.81</c:v>
                </c:pt>
                <c:pt idx="97">
                  <c:v>250687857674623.06</c:v>
                </c:pt>
                <c:pt idx="98">
                  <c:v>232957382474319.34</c:v>
                </c:pt>
                <c:pt idx="99">
                  <c:v>217952197752603.41</c:v>
                </c:pt>
                <c:pt idx="100">
                  <c:v>203145377011868.84</c:v>
                </c:pt>
                <c:pt idx="101">
                  <c:v>190963632890135.53</c:v>
                </c:pt>
                <c:pt idx="102">
                  <c:v>181588138219792.22</c:v>
                </c:pt>
                <c:pt idx="103">
                  <c:v>166112148457633.81</c:v>
                </c:pt>
                <c:pt idx="104">
                  <c:v>158099267300373.44</c:v>
                </c:pt>
                <c:pt idx="105">
                  <c:v>151580243216627.69</c:v>
                </c:pt>
                <c:pt idx="106">
                  <c:v>136596623410283.62</c:v>
                </c:pt>
                <c:pt idx="107">
                  <c:v>131387581499606.42</c:v>
                </c:pt>
                <c:pt idx="108">
                  <c:v>118790353216772.84</c:v>
                </c:pt>
                <c:pt idx="109">
                  <c:v>111962238676673.53</c:v>
                </c:pt>
                <c:pt idx="110">
                  <c:v>107086253819438.64</c:v>
                </c:pt>
                <c:pt idx="111">
                  <c:v>103464714058290.64</c:v>
                </c:pt>
                <c:pt idx="112">
                  <c:v>91307693981123.5</c:v>
                </c:pt>
                <c:pt idx="113">
                  <c:v>90519182546084.656</c:v>
                </c:pt>
                <c:pt idx="114">
                  <c:v>84398207337516.203</c:v>
                </c:pt>
                <c:pt idx="115">
                  <c:v>79670057536120</c:v>
                </c:pt>
                <c:pt idx="116">
                  <c:v>73553612815862.266</c:v>
                </c:pt>
                <c:pt idx="117">
                  <c:v>67069379351677.898</c:v>
                </c:pt>
                <c:pt idx="118">
                  <c:v>64337592146227.359</c:v>
                </c:pt>
                <c:pt idx="119">
                  <c:v>63828352345482.602</c:v>
                </c:pt>
                <c:pt idx="120">
                  <c:v>59199712237099.164</c:v>
                </c:pt>
                <c:pt idx="121">
                  <c:v>55451665708988.094</c:v>
                </c:pt>
                <c:pt idx="122">
                  <c:v>46433207360142.164</c:v>
                </c:pt>
                <c:pt idx="123">
                  <c:v>45600967182385.125</c:v>
                </c:pt>
                <c:pt idx="124">
                  <c:v>43474706678303.148</c:v>
                </c:pt>
              </c:numCache>
            </c:numRef>
          </c:xVal>
          <c:yVal>
            <c:numRef>
              <c:f>Plots!$O$3:$O$127</c:f>
              <c:numCache>
                <c:formatCode>General</c:formatCode>
                <c:ptCount val="125"/>
                <c:pt idx="0">
                  <c:v>0</c:v>
                </c:pt>
                <c:pt idx="1">
                  <c:v>0</c:v>
                </c:pt>
                <c:pt idx="2">
                  <c:v>1.0957409296471509E-4</c:v>
                </c:pt>
                <c:pt idx="3">
                  <c:v>1.0336305763748083E-4</c:v>
                </c:pt>
                <c:pt idx="4">
                  <c:v>9.7777651030496449E-5</c:v>
                </c:pt>
                <c:pt idx="5">
                  <c:v>9.5829953968437889E-5</c:v>
                </c:pt>
                <c:pt idx="6">
                  <c:v>9.6996974556916223E-5</c:v>
                </c:pt>
                <c:pt idx="7">
                  <c:v>9.9039341161596584E-5</c:v>
                </c:pt>
                <c:pt idx="8">
                  <c:v>1.0102553482937599E-4</c:v>
                </c:pt>
                <c:pt idx="9">
                  <c:v>1.0289515754868448E-4</c:v>
                </c:pt>
                <c:pt idx="10">
                  <c:v>1.0467635634102186E-4</c:v>
                </c:pt>
                <c:pt idx="11">
                  <c:v>1.0633174723491702E-4</c:v>
                </c:pt>
                <c:pt idx="12">
                  <c:v>1.0789964407927751E-4</c:v>
                </c:pt>
                <c:pt idx="13">
                  <c:v>1.0937422411948211E-4</c:v>
                </c:pt>
                <c:pt idx="14">
                  <c:v>1.1078413730465694E-4</c:v>
                </c:pt>
                <c:pt idx="15">
                  <c:v>1.120735684957336E-4</c:v>
                </c:pt>
                <c:pt idx="16">
                  <c:v>1.1329025070758847E-4</c:v>
                </c:pt>
                <c:pt idx="17">
                  <c:v>1.1444475961539382E-4</c:v>
                </c:pt>
                <c:pt idx="18">
                  <c:v>1.1548243589925738E-4</c:v>
                </c:pt>
                <c:pt idx="19">
                  <c:v>1.164311717896473E-4</c:v>
                </c:pt>
                <c:pt idx="20">
                  <c:v>1.1728103156760483E-4</c:v>
                </c:pt>
                <c:pt idx="21">
                  <c:v>1.1804038276832116E-4</c:v>
                </c:pt>
                <c:pt idx="22">
                  <c:v>1.18705908896362E-4</c:v>
                </c:pt>
                <c:pt idx="23">
                  <c:v>1.1933630294527727E-4</c:v>
                </c:pt>
                <c:pt idx="24">
                  <c:v>1.1986467894010493E-4</c:v>
                </c:pt>
                <c:pt idx="25">
                  <c:v>1.202961329476843E-4</c:v>
                </c:pt>
                <c:pt idx="26">
                  <c:v>1.2067076574515379E-4</c:v>
                </c:pt>
                <c:pt idx="27">
                  <c:v>1.2091463717886619E-4</c:v>
                </c:pt>
                <c:pt idx="28">
                  <c:v>1.2129214131720344E-4</c:v>
                </c:pt>
                <c:pt idx="29">
                  <c:v>1.2156422835070844E-4</c:v>
                </c:pt>
                <c:pt idx="30">
                  <c:v>1.2164238736548173E-4</c:v>
                </c:pt>
                <c:pt idx="31">
                  <c:v>1.2165584176607027E-4</c:v>
                </c:pt>
                <c:pt idx="32">
                  <c:v>1.2156873755061611E-4</c:v>
                </c:pt>
                <c:pt idx="33">
                  <c:v>1.2147338100838365E-4</c:v>
                </c:pt>
                <c:pt idx="34">
                  <c:v>1.2128483625985322E-4</c:v>
                </c:pt>
                <c:pt idx="35">
                  <c:v>1.2104379062899997E-4</c:v>
                </c:pt>
                <c:pt idx="36">
                  <c:v>1.2068575324718441E-4</c:v>
                </c:pt>
                <c:pt idx="37">
                  <c:v>1.2029528453548061E-4</c:v>
                </c:pt>
                <c:pt idx="38">
                  <c:v>1.1983862482096178E-4</c:v>
                </c:pt>
                <c:pt idx="39">
                  <c:v>1.1946848360586915E-4</c:v>
                </c:pt>
                <c:pt idx="40">
                  <c:v>1.1894530410200837E-4</c:v>
                </c:pt>
                <c:pt idx="41">
                  <c:v>1.1828421896581633E-4</c:v>
                </c:pt>
                <c:pt idx="42">
                  <c:v>1.1771644937554231E-4</c:v>
                </c:pt>
                <c:pt idx="43">
                  <c:v>1.1707045650370146E-4</c:v>
                </c:pt>
                <c:pt idx="44">
                  <c:v>1.1641898341255263E-4</c:v>
                </c:pt>
                <c:pt idx="45">
                  <c:v>1.1560868625894482E-4</c:v>
                </c:pt>
                <c:pt idx="46">
                  <c:v>1.1475679021622161E-4</c:v>
                </c:pt>
                <c:pt idx="47">
                  <c:v>1.1403028295160161E-4</c:v>
                </c:pt>
                <c:pt idx="48">
                  <c:v>1.1302479118594721E-4</c:v>
                </c:pt>
                <c:pt idx="49">
                  <c:v>1.1225138285634521E-4</c:v>
                </c:pt>
                <c:pt idx="50">
                  <c:v>1.1126642617349815E-4</c:v>
                </c:pt>
                <c:pt idx="51">
                  <c:v>1.1039283993497386E-4</c:v>
                </c:pt>
                <c:pt idx="52">
                  <c:v>1.0934071384564178E-4</c:v>
                </c:pt>
                <c:pt idx="53">
                  <c:v>1.0847349528549144E-4</c:v>
                </c:pt>
                <c:pt idx="54">
                  <c:v>1.0741736628424766E-4</c:v>
                </c:pt>
                <c:pt idx="55">
                  <c:v>1.0634127609466341E-4</c:v>
                </c:pt>
                <c:pt idx="56">
                  <c:v>1.053170431820502E-4</c:v>
                </c:pt>
                <c:pt idx="57">
                  <c:v>1.0425341269307915E-4</c:v>
                </c:pt>
                <c:pt idx="58">
                  <c:v>1.0315239278926436E-4</c:v>
                </c:pt>
                <c:pt idx="59">
                  <c:v>1.0215357393524167E-4</c:v>
                </c:pt>
                <c:pt idx="60">
                  <c:v>1.0090013201045144E-4</c:v>
                </c:pt>
                <c:pt idx="61">
                  <c:v>9.9985576595111079E-5</c:v>
                </c:pt>
                <c:pt idx="62">
                  <c:v>9.8828343258308831E-5</c:v>
                </c:pt>
                <c:pt idx="63">
                  <c:v>9.7638716800523494E-5</c:v>
                </c:pt>
                <c:pt idx="64">
                  <c:v>9.6460182785512754E-5</c:v>
                </c:pt>
                <c:pt idx="65">
                  <c:v>9.5339196547832212E-5</c:v>
                </c:pt>
                <c:pt idx="66">
                  <c:v>9.4096143526738171E-5</c:v>
                </c:pt>
                <c:pt idx="67">
                  <c:v>9.2840899462129275E-5</c:v>
                </c:pt>
                <c:pt idx="68">
                  <c:v>9.1684881282437256E-5</c:v>
                </c:pt>
                <c:pt idx="69">
                  <c:v>9.0694297013750057E-5</c:v>
                </c:pt>
                <c:pt idx="70">
                  <c:v>8.9603797580993522E-5</c:v>
                </c:pt>
                <c:pt idx="71">
                  <c:v>8.8229528435005062E-5</c:v>
                </c:pt>
                <c:pt idx="72">
                  <c:v>8.6709596222353186E-5</c:v>
                </c:pt>
                <c:pt idx="73">
                  <c:v>8.5876802335016611E-5</c:v>
                </c:pt>
                <c:pt idx="74">
                  <c:v>8.4413702542422586E-5</c:v>
                </c:pt>
                <c:pt idx="75">
                  <c:v>8.325820882301935E-5</c:v>
                </c:pt>
                <c:pt idx="76">
                  <c:v>8.2109433683164056E-5</c:v>
                </c:pt>
                <c:pt idx="77">
                  <c:v>8.0948277603137958E-5</c:v>
                </c:pt>
                <c:pt idx="78">
                  <c:v>7.9744148174935376E-5</c:v>
                </c:pt>
                <c:pt idx="79">
                  <c:v>7.8912374435773422E-5</c:v>
                </c:pt>
                <c:pt idx="80">
                  <c:v>7.7486744705682899E-5</c:v>
                </c:pt>
                <c:pt idx="81">
                  <c:v>7.6641223560445154E-5</c:v>
                </c:pt>
                <c:pt idx="82">
                  <c:v>7.5279560232741866E-5</c:v>
                </c:pt>
                <c:pt idx="83">
                  <c:v>7.3758751895187369E-5</c:v>
                </c:pt>
                <c:pt idx="84">
                  <c:v>7.2752198470129136E-5</c:v>
                </c:pt>
                <c:pt idx="85">
                  <c:v>7.1358288936024226E-5</c:v>
                </c:pt>
                <c:pt idx="86">
                  <c:v>7.0344223437446526E-5</c:v>
                </c:pt>
                <c:pt idx="87">
                  <c:v>6.8787238920167874E-5</c:v>
                </c:pt>
                <c:pt idx="88">
                  <c:v>6.8227813435978849E-5</c:v>
                </c:pt>
                <c:pt idx="89">
                  <c:v>6.6702716970284614E-5</c:v>
                </c:pt>
                <c:pt idx="90">
                  <c:v>6.5785030859313986E-5</c:v>
                </c:pt>
                <c:pt idx="91">
                  <c:v>6.4933612221606618E-5</c:v>
                </c:pt>
                <c:pt idx="92">
                  <c:v>6.396616297631562E-5</c:v>
                </c:pt>
                <c:pt idx="93">
                  <c:v>6.297503212398419E-5</c:v>
                </c:pt>
                <c:pt idx="94">
                  <c:v>6.2565300275739354E-5</c:v>
                </c:pt>
                <c:pt idx="95">
                  <c:v>6.1818577904030074E-5</c:v>
                </c:pt>
                <c:pt idx="96">
                  <c:v>6.1195559350314777E-5</c:v>
                </c:pt>
                <c:pt idx="97">
                  <c:v>6.0236186144700176E-5</c:v>
                </c:pt>
                <c:pt idx="98">
                  <c:v>5.8764530033992779E-5</c:v>
                </c:pt>
                <c:pt idx="99">
                  <c:v>5.8386061579647536E-5</c:v>
                </c:pt>
                <c:pt idx="100">
                  <c:v>5.7608269267036817E-5</c:v>
                </c:pt>
                <c:pt idx="101">
                  <c:v>5.7197529334848294E-5</c:v>
                </c:pt>
                <c:pt idx="102">
                  <c:v>5.7835896087972417E-5</c:v>
                </c:pt>
                <c:pt idx="103">
                  <c:v>5.6112085414351062E-5</c:v>
                </c:pt>
                <c:pt idx="104">
                  <c:v>5.6386837581970854E-5</c:v>
                </c:pt>
                <c:pt idx="105">
                  <c:v>5.7362957148301214E-5</c:v>
                </c:pt>
                <c:pt idx="106">
                  <c:v>5.4617248860683887E-5</c:v>
                </c:pt>
                <c:pt idx="107">
                  <c:v>5.5284464991082403E-5</c:v>
                </c:pt>
                <c:pt idx="108">
                  <c:v>5.3011219335742092E-5</c:v>
                </c:pt>
                <c:pt idx="109">
                  <c:v>5.3269166411033026E-5</c:v>
                </c:pt>
                <c:pt idx="110">
                  <c:v>5.3368450160820141E-5</c:v>
                </c:pt>
                <c:pt idx="111">
                  <c:v>5.5878674028425179E-5</c:v>
                </c:pt>
                <c:pt idx="112">
                  <c:v>5.1854214139252942E-5</c:v>
                </c:pt>
                <c:pt idx="113">
                  <c:v>5.3855599999339958E-5</c:v>
                </c:pt>
                <c:pt idx="114">
                  <c:v>5.4756007882773097E-5</c:v>
                </c:pt>
                <c:pt idx="115">
                  <c:v>5.3959082455123061E-5</c:v>
                </c:pt>
                <c:pt idx="116">
                  <c:v>5.304727930676076E-5</c:v>
                </c:pt>
                <c:pt idx="117">
                  <c:v>5.1871486501810624E-5</c:v>
                </c:pt>
                <c:pt idx="118">
                  <c:v>5.2856190804033452E-5</c:v>
                </c:pt>
                <c:pt idx="119">
                  <c:v>5.7024784739719774E-5</c:v>
                </c:pt>
                <c:pt idx="120">
                  <c:v>5.4257058606785134E-5</c:v>
                </c:pt>
                <c:pt idx="121">
                  <c:v>5.5092306172260729E-5</c:v>
                </c:pt>
                <c:pt idx="122">
                  <c:v>4.9748926348005362E-5</c:v>
                </c:pt>
                <c:pt idx="123">
                  <c:v>0</c:v>
                </c:pt>
                <c:pt idx="124">
                  <c:v>0</c:v>
                </c:pt>
              </c:numCache>
            </c:numRef>
          </c:yVal>
          <c:smooth val="0"/>
        </c:ser>
        <c:ser>
          <c:idx val="8"/>
          <c:order val="8"/>
          <c:tx>
            <c:strRef>
              <c:f>Plots!$P$1</c:f>
              <c:strCache>
                <c:ptCount val="1"/>
                <c:pt idx="0">
                  <c:v>110</c:v>
                </c:pt>
              </c:strCache>
            </c:strRef>
          </c:tx>
          <c:spPr>
            <a:ln w="28575">
              <a:noFill/>
            </a:ln>
          </c:spPr>
          <c:marker>
            <c:symbol val="diamond"/>
            <c:size val="7"/>
            <c:spPr>
              <a:solidFill>
                <a:schemeClr val="accent3">
                  <a:lumMod val="60000"/>
                  <a:lumOff val="40000"/>
                </a:schemeClr>
              </a:solidFill>
              <a:ln>
                <a:noFill/>
              </a:ln>
            </c:spPr>
          </c:marker>
          <c:xVal>
            <c:numRef>
              <c:f>Plots!$P$3:$P$127</c:f>
              <c:numCache>
                <c:formatCode>General</c:formatCode>
                <c:ptCount val="125"/>
                <c:pt idx="0">
                  <c:v>2107252819206924.7</c:v>
                </c:pt>
                <c:pt idx="1">
                  <c:v>2.1899652293589792E+16</c:v>
                </c:pt>
                <c:pt idx="2">
                  <c:v>3.7718023803835352E+16</c:v>
                </c:pt>
                <c:pt idx="3">
                  <c:v>4.5456446983940432E+16</c:v>
                </c:pt>
                <c:pt idx="4">
                  <c:v>4.6804308424828176E+16</c:v>
                </c:pt>
                <c:pt idx="5">
                  <c:v>4.5874030796404496E+16</c:v>
                </c:pt>
                <c:pt idx="6">
                  <c:v>4.4361166301304496E+16</c:v>
                </c:pt>
                <c:pt idx="7">
                  <c:v>4.2735093902275072E+16</c:v>
                </c:pt>
                <c:pt idx="8">
                  <c:v>4.1076223716693304E+16</c:v>
                </c:pt>
                <c:pt idx="9">
                  <c:v>3.9429742810927336E+16</c:v>
                </c:pt>
                <c:pt idx="10">
                  <c:v>3.7799256189671336E+16</c:v>
                </c:pt>
                <c:pt idx="11">
                  <c:v>3.6178498148563984E+16</c:v>
                </c:pt>
                <c:pt idx="12">
                  <c:v>3.458839494867078E+16</c:v>
                </c:pt>
                <c:pt idx="13">
                  <c:v>3.3040463646075484E+16</c:v>
                </c:pt>
                <c:pt idx="14">
                  <c:v>3.1548480590417116E+16</c:v>
                </c:pt>
                <c:pt idx="15">
                  <c:v>3.0104517522309408E+16</c:v>
                </c:pt>
                <c:pt idx="16">
                  <c:v>2.8697765805840704E+16</c:v>
                </c:pt>
                <c:pt idx="17">
                  <c:v>2.73408318042656E+16</c:v>
                </c:pt>
                <c:pt idx="18">
                  <c:v>2.6029881326188632E+16</c:v>
                </c:pt>
                <c:pt idx="19">
                  <c:v>2.4764687146653992E+16</c:v>
                </c:pt>
                <c:pt idx="20">
                  <c:v>2.3540947279761036E+16</c:v>
                </c:pt>
                <c:pt idx="21">
                  <c:v>2.2374844699720788E+16</c:v>
                </c:pt>
                <c:pt idx="22">
                  <c:v>2.12569257768457E+16</c:v>
                </c:pt>
                <c:pt idx="23">
                  <c:v>2.0177555080969356E+16</c:v>
                </c:pt>
                <c:pt idx="24">
                  <c:v>1.914566095224276E+16</c:v>
                </c:pt>
                <c:pt idx="25">
                  <c:v>1.8162099612896436E+16</c:v>
                </c:pt>
                <c:pt idx="26">
                  <c:v>1.7220410050585468E+16</c:v>
                </c:pt>
                <c:pt idx="27">
                  <c:v>1.6324075274842758E+16</c:v>
                </c:pt>
                <c:pt idx="28">
                  <c:v>1.54684576586148E+16</c:v>
                </c:pt>
                <c:pt idx="29">
                  <c:v>1.465709930229672E+16</c:v>
                </c:pt>
                <c:pt idx="30">
                  <c:v>1.388154725212578E+16</c:v>
                </c:pt>
                <c:pt idx="31">
                  <c:v>1.3141633189033346E+16</c:v>
                </c:pt>
                <c:pt idx="32">
                  <c:v>1.2432044695992542E+16</c:v>
                </c:pt>
                <c:pt idx="33">
                  <c:v>1.1760530364213028E+16</c:v>
                </c:pt>
                <c:pt idx="34">
                  <c:v>1.112604204277816E+16</c:v>
                </c:pt>
                <c:pt idx="35">
                  <c:v>1.0528938028652228E+16</c:v>
                </c:pt>
                <c:pt idx="36">
                  <c:v>9950950771791380</c:v>
                </c:pt>
                <c:pt idx="37">
                  <c:v>9401168234116860</c:v>
                </c:pt>
                <c:pt idx="38">
                  <c:v>8883861637191630</c:v>
                </c:pt>
                <c:pt idx="39">
                  <c:v>8394801580829785</c:v>
                </c:pt>
                <c:pt idx="40">
                  <c:v>7925661852252956</c:v>
                </c:pt>
                <c:pt idx="41">
                  <c:v>7484177974849983</c:v>
                </c:pt>
                <c:pt idx="42">
                  <c:v>7073559503373543</c:v>
                </c:pt>
                <c:pt idx="43">
                  <c:v>6677401278753242</c:v>
                </c:pt>
                <c:pt idx="44">
                  <c:v>6298487412512983</c:v>
                </c:pt>
                <c:pt idx="45">
                  <c:v>5946095837566331</c:v>
                </c:pt>
                <c:pt idx="46">
                  <c:v>5605226423662818</c:v>
                </c:pt>
                <c:pt idx="47">
                  <c:v>5288236880628634</c:v>
                </c:pt>
                <c:pt idx="48">
                  <c:v>4986698034047947</c:v>
                </c:pt>
                <c:pt idx="49">
                  <c:v>4701874365598590</c:v>
                </c:pt>
                <c:pt idx="50">
                  <c:v>4433468666488168</c:v>
                </c:pt>
                <c:pt idx="51">
                  <c:v>4179701768516902.5</c:v>
                </c:pt>
                <c:pt idx="52">
                  <c:v>3938162769024214.5</c:v>
                </c:pt>
                <c:pt idx="53">
                  <c:v>3713416130200149</c:v>
                </c:pt>
                <c:pt idx="54">
                  <c:v>3491664331167154.5</c:v>
                </c:pt>
                <c:pt idx="55">
                  <c:v>3289576471769727.5</c:v>
                </c:pt>
                <c:pt idx="56">
                  <c:v>3099548584848033.5</c:v>
                </c:pt>
                <c:pt idx="57">
                  <c:v>2919202658064044</c:v>
                </c:pt>
                <c:pt idx="58">
                  <c:v>2748180125021420</c:v>
                </c:pt>
                <c:pt idx="59">
                  <c:v>2584630227360890.5</c:v>
                </c:pt>
                <c:pt idx="60">
                  <c:v>2433201433190152</c:v>
                </c:pt>
                <c:pt idx="61">
                  <c:v>2288383708486262</c:v>
                </c:pt>
                <c:pt idx="62">
                  <c:v>2150726447761736.7</c:v>
                </c:pt>
                <c:pt idx="63">
                  <c:v>2027498363887770</c:v>
                </c:pt>
                <c:pt idx="64">
                  <c:v>1904189054780164.5</c:v>
                </c:pt>
                <c:pt idx="65">
                  <c:v>1791066292777576.7</c:v>
                </c:pt>
                <c:pt idx="66">
                  <c:v>1683200522379324.2</c:v>
                </c:pt>
                <c:pt idx="67">
                  <c:v>1584641275814884.5</c:v>
                </c:pt>
                <c:pt idx="68">
                  <c:v>1489222877909887.5</c:v>
                </c:pt>
                <c:pt idx="69">
                  <c:v>1406064011830185.7</c:v>
                </c:pt>
                <c:pt idx="70">
                  <c:v>1320574067383191.2</c:v>
                </c:pt>
                <c:pt idx="71">
                  <c:v>1236733826010783</c:v>
                </c:pt>
                <c:pt idx="72">
                  <c:v>1164452234812913</c:v>
                </c:pt>
                <c:pt idx="73">
                  <c:v>1094563054872548.1</c:v>
                </c:pt>
                <c:pt idx="74">
                  <c:v>1024317106809788.2</c:v>
                </c:pt>
                <c:pt idx="75">
                  <c:v>961073415491800</c:v>
                </c:pt>
                <c:pt idx="76">
                  <c:v>901634886015529.37</c:v>
                </c:pt>
                <c:pt idx="77">
                  <c:v>846587205621710.25</c:v>
                </c:pt>
                <c:pt idx="78">
                  <c:v>795247771852220.25</c:v>
                </c:pt>
                <c:pt idx="79">
                  <c:v>747152328296169.75</c:v>
                </c:pt>
                <c:pt idx="80">
                  <c:v>698272123855146.87</c:v>
                </c:pt>
                <c:pt idx="81">
                  <c:v>655520175624577.25</c:v>
                </c:pt>
                <c:pt idx="82">
                  <c:v>617677865225161.25</c:v>
                </c:pt>
                <c:pt idx="83">
                  <c:v>577137336236416.37</c:v>
                </c:pt>
                <c:pt idx="84">
                  <c:v>543848042772152.12</c:v>
                </c:pt>
                <c:pt idx="85">
                  <c:v>508424092417514.75</c:v>
                </c:pt>
                <c:pt idx="86">
                  <c:v>476766788707274.87</c:v>
                </c:pt>
                <c:pt idx="87">
                  <c:v>445942292521875.25</c:v>
                </c:pt>
                <c:pt idx="88">
                  <c:v>416468108623945.69</c:v>
                </c:pt>
                <c:pt idx="89">
                  <c:v>389687215090154.31</c:v>
                </c:pt>
                <c:pt idx="90">
                  <c:v>363983714091576.31</c:v>
                </c:pt>
                <c:pt idx="91">
                  <c:v>342864431376109</c:v>
                </c:pt>
                <c:pt idx="92">
                  <c:v>317308741736356.31</c:v>
                </c:pt>
                <c:pt idx="93">
                  <c:v>295635324613815.25</c:v>
                </c:pt>
                <c:pt idx="94">
                  <c:v>276491990686992.37</c:v>
                </c:pt>
                <c:pt idx="95">
                  <c:v>261165926663640.03</c:v>
                </c:pt>
                <c:pt idx="96">
                  <c:v>244559294009226.66</c:v>
                </c:pt>
                <c:pt idx="97">
                  <c:v>230424237862474.44</c:v>
                </c:pt>
                <c:pt idx="98">
                  <c:v>214449474713303.19</c:v>
                </c:pt>
                <c:pt idx="99">
                  <c:v>201671539467061.06</c:v>
                </c:pt>
                <c:pt idx="100">
                  <c:v>187914915394482.03</c:v>
                </c:pt>
                <c:pt idx="101">
                  <c:v>173739686634093.44</c:v>
                </c:pt>
                <c:pt idx="102">
                  <c:v>162237195763575.47</c:v>
                </c:pt>
                <c:pt idx="103">
                  <c:v>150228433341766.37</c:v>
                </c:pt>
                <c:pt idx="104">
                  <c:v>143756174971715.28</c:v>
                </c:pt>
                <c:pt idx="105">
                  <c:v>136002322541517.87</c:v>
                </c:pt>
                <c:pt idx="106">
                  <c:v>125083228794618.34</c:v>
                </c:pt>
                <c:pt idx="107">
                  <c:v>118835412267096.89</c:v>
                </c:pt>
                <c:pt idx="108">
                  <c:v>105920509348676.73</c:v>
                </c:pt>
                <c:pt idx="109">
                  <c:v>102672141759923.03</c:v>
                </c:pt>
                <c:pt idx="110">
                  <c:v>97673680543651.562</c:v>
                </c:pt>
                <c:pt idx="111">
                  <c:v>85801910421263.047</c:v>
                </c:pt>
                <c:pt idx="112">
                  <c:v>82472948608596.953</c:v>
                </c:pt>
                <c:pt idx="113">
                  <c:v>76713253981874.469</c:v>
                </c:pt>
                <c:pt idx="114">
                  <c:v>70657640809805.422</c:v>
                </c:pt>
                <c:pt idx="115">
                  <c:v>62048361756023.055</c:v>
                </c:pt>
                <c:pt idx="116">
                  <c:v>59705221387564.297</c:v>
                </c:pt>
                <c:pt idx="117">
                  <c:v>56255290680741.977</c:v>
                </c:pt>
                <c:pt idx="118">
                  <c:v>55233351535849.406</c:v>
                </c:pt>
                <c:pt idx="119">
                  <c:v>51912444941434.156</c:v>
                </c:pt>
                <c:pt idx="120">
                  <c:v>45188386488876.344</c:v>
                </c:pt>
                <c:pt idx="121">
                  <c:v>39488925301109.969</c:v>
                </c:pt>
                <c:pt idx="122">
                  <c:v>38340952999290.187</c:v>
                </c:pt>
                <c:pt idx="123">
                  <c:v>37235595523510.156</c:v>
                </c:pt>
                <c:pt idx="124">
                  <c:v>36257808076576.844</c:v>
                </c:pt>
              </c:numCache>
            </c:numRef>
          </c:xVal>
          <c:yVal>
            <c:numRef>
              <c:f>Plots!$Q$3:$Q$127</c:f>
              <c:numCache>
                <c:formatCode>General</c:formatCode>
                <c:ptCount val="125"/>
                <c:pt idx="0">
                  <c:v>0</c:v>
                </c:pt>
                <c:pt idx="1">
                  <c:v>0</c:v>
                </c:pt>
                <c:pt idx="2">
                  <c:v>1.0606320466299551E-4</c:v>
                </c:pt>
                <c:pt idx="3">
                  <c:v>1.0181313313813947E-4</c:v>
                </c:pt>
                <c:pt idx="4">
                  <c:v>9.5949278801811105E-5</c:v>
                </c:pt>
                <c:pt idx="5">
                  <c:v>9.2915634308804402E-5</c:v>
                </c:pt>
                <c:pt idx="6">
                  <c:v>9.3234496148176521E-5</c:v>
                </c:pt>
                <c:pt idx="7">
                  <c:v>9.487640924845353E-5</c:v>
                </c:pt>
                <c:pt idx="8">
                  <c:v>9.6688312965762348E-5</c:v>
                </c:pt>
                <c:pt idx="9">
                  <c:v>9.8297448259692451E-5</c:v>
                </c:pt>
                <c:pt idx="10">
                  <c:v>9.986362376198163E-5</c:v>
                </c:pt>
                <c:pt idx="11">
                  <c:v>1.0129585291503989E-4</c:v>
                </c:pt>
                <c:pt idx="12">
                  <c:v>1.0265786237814419E-4</c:v>
                </c:pt>
                <c:pt idx="13">
                  <c:v>1.0394091517952012E-4</c:v>
                </c:pt>
                <c:pt idx="14">
                  <c:v>1.0511820433253439E-4</c:v>
                </c:pt>
                <c:pt idx="15">
                  <c:v>1.0621895125020117E-4</c:v>
                </c:pt>
                <c:pt idx="16">
                  <c:v>1.0723831322142775E-4</c:v>
                </c:pt>
                <c:pt idx="17">
                  <c:v>1.0817108623547271E-4</c:v>
                </c:pt>
                <c:pt idx="18">
                  <c:v>1.0902166368861767E-4</c:v>
                </c:pt>
                <c:pt idx="19">
                  <c:v>1.0980179606804742E-4</c:v>
                </c:pt>
                <c:pt idx="20">
                  <c:v>1.1043227712360297E-4</c:v>
                </c:pt>
                <c:pt idx="21">
                  <c:v>1.1103241187714199E-4</c:v>
                </c:pt>
                <c:pt idx="22">
                  <c:v>1.1153735584784984E-4</c:v>
                </c:pt>
                <c:pt idx="23">
                  <c:v>1.1193765258956284E-4</c:v>
                </c:pt>
                <c:pt idx="24">
                  <c:v>1.1227160431537225E-4</c:v>
                </c:pt>
                <c:pt idx="25">
                  <c:v>1.1255939725069948E-4</c:v>
                </c:pt>
                <c:pt idx="26">
                  <c:v>1.1273395101065581E-4</c:v>
                </c:pt>
                <c:pt idx="27">
                  <c:v>1.1287174359449896E-4</c:v>
                </c:pt>
                <c:pt idx="28">
                  <c:v>1.129794906681702E-4</c:v>
                </c:pt>
                <c:pt idx="29">
                  <c:v>1.1316680358883647E-4</c:v>
                </c:pt>
                <c:pt idx="30">
                  <c:v>1.1310523665811362E-4</c:v>
                </c:pt>
                <c:pt idx="31">
                  <c:v>1.1296879279050922E-4</c:v>
                </c:pt>
                <c:pt idx="32">
                  <c:v>1.1272998049636098E-4</c:v>
                </c:pt>
                <c:pt idx="33">
                  <c:v>1.1246625071539337E-4</c:v>
                </c:pt>
                <c:pt idx="34">
                  <c:v>1.1220149776598114E-4</c:v>
                </c:pt>
                <c:pt idx="35">
                  <c:v>1.1189397969966629E-4</c:v>
                </c:pt>
                <c:pt idx="36">
                  <c:v>1.1143702637659797E-4</c:v>
                </c:pt>
                <c:pt idx="37">
                  <c:v>1.1087512747425576E-4</c:v>
                </c:pt>
                <c:pt idx="38">
                  <c:v>1.1032750385459761E-4</c:v>
                </c:pt>
                <c:pt idx="39">
                  <c:v>1.0984958711268566E-4</c:v>
                </c:pt>
                <c:pt idx="40">
                  <c:v>1.0922618477653348E-4</c:v>
                </c:pt>
                <c:pt idx="41">
                  <c:v>1.0859600229778555E-4</c:v>
                </c:pt>
                <c:pt idx="42">
                  <c:v>1.0802003838994789E-4</c:v>
                </c:pt>
                <c:pt idx="43">
                  <c:v>1.0726792389407095E-4</c:v>
                </c:pt>
                <c:pt idx="44">
                  <c:v>1.0642526954190645E-4</c:v>
                </c:pt>
                <c:pt idx="45">
                  <c:v>1.0572137979928424E-4</c:v>
                </c:pt>
                <c:pt idx="46">
                  <c:v>1.0474973327297597E-4</c:v>
                </c:pt>
                <c:pt idx="47">
                  <c:v>1.0394755734929582E-4</c:v>
                </c:pt>
                <c:pt idx="48">
                  <c:v>1.0307776842866875E-4</c:v>
                </c:pt>
                <c:pt idx="49">
                  <c:v>1.0220069845665409E-4</c:v>
                </c:pt>
                <c:pt idx="50">
                  <c:v>1.0125805082399452E-4</c:v>
                </c:pt>
                <c:pt idx="51">
                  <c:v>1.002764281015124E-4</c:v>
                </c:pt>
                <c:pt idx="52">
                  <c:v>9.9254266862653309E-5</c:v>
                </c:pt>
                <c:pt idx="53">
                  <c:v>9.8355800879895824E-5</c:v>
                </c:pt>
                <c:pt idx="54">
                  <c:v>9.7171955281826768E-5</c:v>
                </c:pt>
                <c:pt idx="55">
                  <c:v>9.6126861280376304E-5</c:v>
                </c:pt>
                <c:pt idx="56">
                  <c:v>9.5196123777849774E-5</c:v>
                </c:pt>
                <c:pt idx="57">
                  <c:v>9.412554057966336E-5</c:v>
                </c:pt>
                <c:pt idx="58">
                  <c:v>9.306355975361973E-5</c:v>
                </c:pt>
                <c:pt idx="59">
                  <c:v>9.2016061382096449E-5</c:v>
                </c:pt>
                <c:pt idx="60">
                  <c:v>9.0954190742434959E-5</c:v>
                </c:pt>
                <c:pt idx="61">
                  <c:v>8.9827685277727893E-5</c:v>
                </c:pt>
                <c:pt idx="62">
                  <c:v>8.8808778419215188E-5</c:v>
                </c:pt>
                <c:pt idx="63">
                  <c:v>8.788820144050834E-5</c:v>
                </c:pt>
                <c:pt idx="64">
                  <c:v>8.6599692621027876E-5</c:v>
                </c:pt>
                <c:pt idx="65">
                  <c:v>8.5503575728336679E-5</c:v>
                </c:pt>
                <c:pt idx="66">
                  <c:v>8.4366899995354919E-5</c:v>
                </c:pt>
                <c:pt idx="67">
                  <c:v>8.3455419460696815E-5</c:v>
                </c:pt>
                <c:pt idx="68">
                  <c:v>8.2453300015662641E-5</c:v>
                </c:pt>
                <c:pt idx="69">
                  <c:v>8.1752487988855419E-5</c:v>
                </c:pt>
                <c:pt idx="70">
                  <c:v>8.0436410683889579E-5</c:v>
                </c:pt>
                <c:pt idx="71">
                  <c:v>7.9136012810903159E-5</c:v>
                </c:pt>
                <c:pt idx="72">
                  <c:v>7.8124524130429379E-5</c:v>
                </c:pt>
                <c:pt idx="73">
                  <c:v>7.7124754950245523E-5</c:v>
                </c:pt>
                <c:pt idx="74">
                  <c:v>7.5702340161728051E-5</c:v>
                </c:pt>
                <c:pt idx="75">
                  <c:v>7.4456331866791785E-5</c:v>
                </c:pt>
                <c:pt idx="76">
                  <c:v>7.3525972183204936E-5</c:v>
                </c:pt>
                <c:pt idx="77">
                  <c:v>7.2581280960372523E-5</c:v>
                </c:pt>
                <c:pt idx="78">
                  <c:v>7.1839007571961993E-5</c:v>
                </c:pt>
                <c:pt idx="79">
                  <c:v>7.0815241303836117E-5</c:v>
                </c:pt>
                <c:pt idx="80">
                  <c:v>6.9448283099774868E-5</c:v>
                </c:pt>
                <c:pt idx="81">
                  <c:v>6.8484866898541928E-5</c:v>
                </c:pt>
                <c:pt idx="82">
                  <c:v>6.7979146877149638E-5</c:v>
                </c:pt>
                <c:pt idx="83">
                  <c:v>6.662050937995622E-5</c:v>
                </c:pt>
                <c:pt idx="84">
                  <c:v>6.5944990108519753E-5</c:v>
                </c:pt>
                <c:pt idx="85">
                  <c:v>6.4740051102239878E-5</c:v>
                </c:pt>
                <c:pt idx="86">
                  <c:v>6.3763454763560894E-5</c:v>
                </c:pt>
                <c:pt idx="87">
                  <c:v>6.2725739749501001E-5</c:v>
                </c:pt>
                <c:pt idx="88">
                  <c:v>6.1670990511288086E-5</c:v>
                </c:pt>
                <c:pt idx="89">
                  <c:v>6.0712353077556644E-5</c:v>
                </c:pt>
                <c:pt idx="90">
                  <c:v>5.9591947432437116E-5</c:v>
                </c:pt>
                <c:pt idx="91">
                  <c:v>5.8998320631189398E-5</c:v>
                </c:pt>
                <c:pt idx="92">
                  <c:v>5.7724039212217266E-5</c:v>
                </c:pt>
                <c:pt idx="93">
                  <c:v>5.6913922440736271E-5</c:v>
                </c:pt>
                <c:pt idx="94">
                  <c:v>5.5953893781768727E-5</c:v>
                </c:pt>
                <c:pt idx="95">
                  <c:v>5.5859633328423588E-5</c:v>
                </c:pt>
                <c:pt idx="96">
                  <c:v>5.5082174842446496E-5</c:v>
                </c:pt>
                <c:pt idx="97">
                  <c:v>5.4547558061730309E-5</c:v>
                </c:pt>
                <c:pt idx="98">
                  <c:v>5.3524775362834855E-5</c:v>
                </c:pt>
                <c:pt idx="99">
                  <c:v>5.2961612980262012E-5</c:v>
                </c:pt>
                <c:pt idx="100">
                  <c:v>5.2417888810729737E-5</c:v>
                </c:pt>
                <c:pt idx="101">
                  <c:v>5.1082939443648805E-5</c:v>
                </c:pt>
                <c:pt idx="102">
                  <c:v>5.0617530757285697E-5</c:v>
                </c:pt>
                <c:pt idx="103">
                  <c:v>4.9617893176511257E-5</c:v>
                </c:pt>
                <c:pt idx="104">
                  <c:v>5.0760552179415373E-5</c:v>
                </c:pt>
                <c:pt idx="105">
                  <c:v>5.0415617215755167E-5</c:v>
                </c:pt>
                <c:pt idx="106">
                  <c:v>4.9018141013641435E-5</c:v>
                </c:pt>
                <c:pt idx="107">
                  <c:v>4.9046404864548019E-5</c:v>
                </c:pt>
                <c:pt idx="108">
                  <c:v>4.6699112890181457E-5</c:v>
                </c:pt>
                <c:pt idx="109">
                  <c:v>4.7867735089359338E-5</c:v>
                </c:pt>
                <c:pt idx="110">
                  <c:v>4.8082326500991477E-5</c:v>
                </c:pt>
                <c:pt idx="111">
                  <c:v>4.4561541953726087E-5</c:v>
                </c:pt>
                <c:pt idx="112">
                  <c:v>4.5431026599738423E-5</c:v>
                </c:pt>
                <c:pt idx="113">
                  <c:v>4.4919752787949667E-5</c:v>
                </c:pt>
                <c:pt idx="114">
                  <c:v>4.4352294499180567E-5</c:v>
                </c:pt>
                <c:pt idx="115">
                  <c:v>4.139078519511802E-5</c:v>
                </c:pt>
                <c:pt idx="116">
                  <c:v>4.270240557873003E-5</c:v>
                </c:pt>
                <c:pt idx="117">
                  <c:v>4.3253657160757846E-5</c:v>
                </c:pt>
                <c:pt idx="118">
                  <c:v>4.4797074566651456E-5</c:v>
                </c:pt>
                <c:pt idx="119">
                  <c:v>4.5187077400978123E-5</c:v>
                </c:pt>
                <c:pt idx="120">
                  <c:v>4.1184240178159781E-5</c:v>
                </c:pt>
                <c:pt idx="121">
                  <c:v>3.8849131220944545E-5</c:v>
                </c:pt>
                <c:pt idx="122">
                  <c:v>4.0057547969338958E-5</c:v>
                </c:pt>
                <c:pt idx="123">
                  <c:v>0</c:v>
                </c:pt>
                <c:pt idx="124">
                  <c:v>0</c:v>
                </c:pt>
              </c:numCache>
            </c:numRef>
          </c:yVal>
          <c:smooth val="0"/>
        </c:ser>
        <c:ser>
          <c:idx val="9"/>
          <c:order val="9"/>
          <c:tx>
            <c:strRef>
              <c:f>Plots!$R$1</c:f>
              <c:strCache>
                <c:ptCount val="1"/>
                <c:pt idx="0">
                  <c:v>100</c:v>
                </c:pt>
              </c:strCache>
            </c:strRef>
          </c:tx>
          <c:spPr>
            <a:ln w="28575">
              <a:noFill/>
            </a:ln>
          </c:spPr>
          <c:marker>
            <c:spPr>
              <a:solidFill>
                <a:srgbClr val="92D050"/>
              </a:solidFill>
              <a:ln>
                <a:noFill/>
              </a:ln>
            </c:spPr>
          </c:marker>
          <c:xVal>
            <c:numRef>
              <c:f>Plots!$R$3:$R$127</c:f>
              <c:numCache>
                <c:formatCode>General</c:formatCode>
                <c:ptCount val="125"/>
                <c:pt idx="0">
                  <c:v>1433506366200056.5</c:v>
                </c:pt>
                <c:pt idx="1">
                  <c:v>1.8586604013240676E+16</c:v>
                </c:pt>
                <c:pt idx="2">
                  <c:v>3.4180622617626284E+16</c:v>
                </c:pt>
                <c:pt idx="3">
                  <c:v>4.2379713751541704E+16</c:v>
                </c:pt>
                <c:pt idx="4">
                  <c:v>4.4477072986582192E+16</c:v>
                </c:pt>
                <c:pt idx="5">
                  <c:v>4.3851871028326304E+16</c:v>
                </c:pt>
                <c:pt idx="6">
                  <c:v>4.247078600387744E+16</c:v>
                </c:pt>
                <c:pt idx="7">
                  <c:v>4.0914323414433464E+16</c:v>
                </c:pt>
                <c:pt idx="8">
                  <c:v>3.9311666106833E+16</c:v>
                </c:pt>
                <c:pt idx="9">
                  <c:v>3.7684831096580768E+16</c:v>
                </c:pt>
                <c:pt idx="10">
                  <c:v>3.60899784162182E+16</c:v>
                </c:pt>
                <c:pt idx="11">
                  <c:v>3.4514411967951964E+16</c:v>
                </c:pt>
                <c:pt idx="12">
                  <c:v>3.297095470293074E+16</c:v>
                </c:pt>
                <c:pt idx="13">
                  <c:v>3.1453109963503504E+16</c:v>
                </c:pt>
                <c:pt idx="14">
                  <c:v>2.9991011084043908E+16</c:v>
                </c:pt>
                <c:pt idx="15">
                  <c:v>2.8585976804415952E+16</c:v>
                </c:pt>
                <c:pt idx="16">
                  <c:v>2.7218743453358028E+16</c:v>
                </c:pt>
                <c:pt idx="17">
                  <c:v>2.5898688053513552E+16</c:v>
                </c:pt>
                <c:pt idx="18">
                  <c:v>2.4633024239700212E+16</c:v>
                </c:pt>
                <c:pt idx="19">
                  <c:v>2.3403054605234644E+16</c:v>
                </c:pt>
                <c:pt idx="20">
                  <c:v>2.2226122171074412E+16</c:v>
                </c:pt>
                <c:pt idx="21">
                  <c:v>2.1092930140213428E+16</c:v>
                </c:pt>
                <c:pt idx="22">
                  <c:v>2.0010689912370512E+16</c:v>
                </c:pt>
                <c:pt idx="23">
                  <c:v>1.8978539507392712E+16</c:v>
                </c:pt>
                <c:pt idx="24">
                  <c:v>1.7991374433311538E+16</c:v>
                </c:pt>
                <c:pt idx="25">
                  <c:v>1.7046982699224028E+16</c:v>
                </c:pt>
                <c:pt idx="26">
                  <c:v>1.6152514561817968E+16</c:v>
                </c:pt>
                <c:pt idx="27">
                  <c:v>1.5293979750639296E+16</c:v>
                </c:pt>
                <c:pt idx="28">
                  <c:v>1.4476258733317636E+16</c:v>
                </c:pt>
                <c:pt idx="29">
                  <c:v>1.370410228795804E+16</c:v>
                </c:pt>
                <c:pt idx="30">
                  <c:v>1.2961307831731576E+16</c:v>
                </c:pt>
                <c:pt idx="31">
                  <c:v>1.2260958257149936E+16</c:v>
                </c:pt>
                <c:pt idx="32">
                  <c:v>1.1590407020085328E+16</c:v>
                </c:pt>
                <c:pt idx="33">
                  <c:v>1.0950700892372228E+16</c:v>
                </c:pt>
                <c:pt idx="34">
                  <c:v>1.0356935805190024E+16</c:v>
                </c:pt>
                <c:pt idx="35">
                  <c:v>9788595532061088</c:v>
                </c:pt>
                <c:pt idx="36">
                  <c:v>9238579554310980</c:v>
                </c:pt>
                <c:pt idx="37">
                  <c:v>8729900250923223</c:v>
                </c:pt>
                <c:pt idx="38">
                  <c:v>8241116102567818</c:v>
                </c:pt>
                <c:pt idx="39">
                  <c:v>7782180311802803</c:v>
                </c:pt>
                <c:pt idx="40">
                  <c:v>7342931586620667</c:v>
                </c:pt>
                <c:pt idx="41">
                  <c:v>6927495784510610</c:v>
                </c:pt>
                <c:pt idx="42">
                  <c:v>6543209885185837</c:v>
                </c:pt>
                <c:pt idx="43">
                  <c:v>6172327841030490</c:v>
                </c:pt>
                <c:pt idx="44">
                  <c:v>5822873544517566</c:v>
                </c:pt>
                <c:pt idx="45">
                  <c:v>5491446136093354</c:v>
                </c:pt>
                <c:pt idx="46">
                  <c:v>5177252674185190</c:v>
                </c:pt>
                <c:pt idx="47">
                  <c:v>4881983405174045</c:v>
                </c:pt>
                <c:pt idx="48">
                  <c:v>4598621481702552</c:v>
                </c:pt>
                <c:pt idx="49">
                  <c:v>4339377830968778.5</c:v>
                </c:pt>
                <c:pt idx="50">
                  <c:v>4087233206439773.5</c:v>
                </c:pt>
                <c:pt idx="51">
                  <c:v>3848339065369351</c:v>
                </c:pt>
                <c:pt idx="52">
                  <c:v>3630412170466764</c:v>
                </c:pt>
                <c:pt idx="53">
                  <c:v>3418681912092656.5</c:v>
                </c:pt>
                <c:pt idx="54">
                  <c:v>3216604765329950</c:v>
                </c:pt>
                <c:pt idx="55">
                  <c:v>3031617996684388</c:v>
                </c:pt>
                <c:pt idx="56">
                  <c:v>2853760498465583.5</c:v>
                </c:pt>
                <c:pt idx="57">
                  <c:v>2688367030231416.5</c:v>
                </c:pt>
                <c:pt idx="58">
                  <c:v>2528104768869150</c:v>
                </c:pt>
                <c:pt idx="59">
                  <c:v>2381604847959824.5</c:v>
                </c:pt>
                <c:pt idx="60">
                  <c:v>2237356560412170.2</c:v>
                </c:pt>
                <c:pt idx="61">
                  <c:v>2104576469592910</c:v>
                </c:pt>
                <c:pt idx="62">
                  <c:v>1983044255041531.7</c:v>
                </c:pt>
                <c:pt idx="63">
                  <c:v>1864229568571421.2</c:v>
                </c:pt>
                <c:pt idx="64">
                  <c:v>1755829380950309.5</c:v>
                </c:pt>
                <c:pt idx="65">
                  <c:v>1649222749758620.5</c:v>
                </c:pt>
                <c:pt idx="66">
                  <c:v>1549101101560244.2</c:v>
                </c:pt>
                <c:pt idx="67">
                  <c:v>1454321048311813.5</c:v>
                </c:pt>
                <c:pt idx="68">
                  <c:v>1369032620666059.7</c:v>
                </c:pt>
                <c:pt idx="69">
                  <c:v>1291331837852253</c:v>
                </c:pt>
                <c:pt idx="70">
                  <c:v>1213902580131892.7</c:v>
                </c:pt>
                <c:pt idx="71">
                  <c:v>1136060058579218.5</c:v>
                </c:pt>
                <c:pt idx="72">
                  <c:v>1066933391116412.7</c:v>
                </c:pt>
                <c:pt idx="73">
                  <c:v>1006489831883885.2</c:v>
                </c:pt>
                <c:pt idx="74">
                  <c:v>944174610179198.5</c:v>
                </c:pt>
                <c:pt idx="75">
                  <c:v>886603370154778.87</c:v>
                </c:pt>
                <c:pt idx="76">
                  <c:v>832072204983981.87</c:v>
                </c:pt>
                <c:pt idx="77">
                  <c:v>780472512412560.37</c:v>
                </c:pt>
                <c:pt idx="78">
                  <c:v>730869743933806</c:v>
                </c:pt>
                <c:pt idx="79">
                  <c:v>686671721118209.5</c:v>
                </c:pt>
                <c:pt idx="80">
                  <c:v>644393473947753.5</c:v>
                </c:pt>
                <c:pt idx="81">
                  <c:v>603693699055548.5</c:v>
                </c:pt>
                <c:pt idx="82">
                  <c:v>563363632220507.25</c:v>
                </c:pt>
                <c:pt idx="83">
                  <c:v>536229700368124</c:v>
                </c:pt>
                <c:pt idx="84">
                  <c:v>495989608243609.12</c:v>
                </c:pt>
                <c:pt idx="85">
                  <c:v>464409112158638.81</c:v>
                </c:pt>
                <c:pt idx="86">
                  <c:v>436338564241342.06</c:v>
                </c:pt>
                <c:pt idx="87">
                  <c:v>409789696820170.19</c:v>
                </c:pt>
                <c:pt idx="88">
                  <c:v>380238060996519.19</c:v>
                </c:pt>
                <c:pt idx="89">
                  <c:v>358403277535800.62</c:v>
                </c:pt>
                <c:pt idx="90">
                  <c:v>335979458281102.75</c:v>
                </c:pt>
                <c:pt idx="91">
                  <c:v>311946987236436.75</c:v>
                </c:pt>
                <c:pt idx="92">
                  <c:v>295956818396342.62</c:v>
                </c:pt>
                <c:pt idx="93">
                  <c:v>271081167947234.97</c:v>
                </c:pt>
                <c:pt idx="94">
                  <c:v>256678077399679.12</c:v>
                </c:pt>
                <c:pt idx="95">
                  <c:v>238539893726326.03</c:v>
                </c:pt>
                <c:pt idx="96">
                  <c:v>223717201863717.94</c:v>
                </c:pt>
                <c:pt idx="97">
                  <c:v>209315240691800.28</c:v>
                </c:pt>
                <c:pt idx="98">
                  <c:v>196957452547394.97</c:v>
                </c:pt>
                <c:pt idx="99">
                  <c:v>184569421048294.62</c:v>
                </c:pt>
                <c:pt idx="100">
                  <c:v>169919031432384.87</c:v>
                </c:pt>
                <c:pt idx="101">
                  <c:v>160186762321915.62</c:v>
                </c:pt>
                <c:pt idx="102">
                  <c:v>142847346202554.09</c:v>
                </c:pt>
                <c:pt idx="103">
                  <c:v>138758170900629.03</c:v>
                </c:pt>
                <c:pt idx="104">
                  <c:v>131594958844147.55</c:v>
                </c:pt>
                <c:pt idx="105">
                  <c:v>119463116247691.34</c:v>
                </c:pt>
                <c:pt idx="106">
                  <c:v>109805287314542</c:v>
                </c:pt>
                <c:pt idx="107">
                  <c:v>103222522325312.64</c:v>
                </c:pt>
                <c:pt idx="108">
                  <c:v>99750897063542.047</c:v>
                </c:pt>
                <c:pt idx="109">
                  <c:v>92890529036053.187</c:v>
                </c:pt>
                <c:pt idx="110">
                  <c:v>83615268138933.234</c:v>
                </c:pt>
                <c:pt idx="111">
                  <c:v>79060241501571.359</c:v>
                </c:pt>
                <c:pt idx="112">
                  <c:v>77488657367638.656</c:v>
                </c:pt>
                <c:pt idx="113">
                  <c:v>71889025978833.641</c:v>
                </c:pt>
                <c:pt idx="114">
                  <c:v>60617206574669.852</c:v>
                </c:pt>
                <c:pt idx="115">
                  <c:v>60053894202365.078</c:v>
                </c:pt>
                <c:pt idx="116">
                  <c:v>56031097072688.875</c:v>
                </c:pt>
                <c:pt idx="117">
                  <c:v>49115237735558.117</c:v>
                </c:pt>
                <c:pt idx="118">
                  <c:v>46703782592696.219</c:v>
                </c:pt>
                <c:pt idx="119">
                  <c:v>43328747343463.359</c:v>
                </c:pt>
                <c:pt idx="120">
                  <c:v>39673633017910.875</c:v>
                </c:pt>
                <c:pt idx="121">
                  <c:v>39111426820190.578</c:v>
                </c:pt>
                <c:pt idx="122">
                  <c:v>38027321856249.289</c:v>
                </c:pt>
                <c:pt idx="123">
                  <c:v>35618516157877.586</c:v>
                </c:pt>
                <c:pt idx="124">
                  <c:v>33290539415570.934</c:v>
                </c:pt>
              </c:numCache>
            </c:numRef>
          </c:xVal>
          <c:yVal>
            <c:numRef>
              <c:f>Plots!$S$3:$S$127</c:f>
              <c:numCache>
                <c:formatCode>General</c:formatCode>
                <c:ptCount val="125"/>
                <c:pt idx="0">
                  <c:v>0</c:v>
                </c:pt>
                <c:pt idx="1">
                  <c:v>0</c:v>
                </c:pt>
                <c:pt idx="2">
                  <c:v>1.0184272577572131E-4</c:v>
                </c:pt>
                <c:pt idx="3">
                  <c:v>9.8758281114463635E-5</c:v>
                </c:pt>
                <c:pt idx="4">
                  <c:v>9.4118247130550056E-5</c:v>
                </c:pt>
                <c:pt idx="5">
                  <c:v>9.1380729557935463E-5</c:v>
                </c:pt>
                <c:pt idx="6">
                  <c:v>9.1565032457886485E-5</c:v>
                </c:pt>
                <c:pt idx="7">
                  <c:v>9.2950431055585387E-5</c:v>
                </c:pt>
                <c:pt idx="8">
                  <c:v>9.4539495323798183E-5</c:v>
                </c:pt>
                <c:pt idx="9">
                  <c:v>9.5975519161787103E-5</c:v>
                </c:pt>
                <c:pt idx="10">
                  <c:v>9.7321069111484356E-5</c:v>
                </c:pt>
                <c:pt idx="11">
                  <c:v>9.8573589089736796E-5</c:v>
                </c:pt>
                <c:pt idx="12">
                  <c:v>9.97871083893885E-5</c:v>
                </c:pt>
                <c:pt idx="13">
                  <c:v>1.0086611599417929E-4</c:v>
                </c:pt>
                <c:pt idx="14">
                  <c:v>1.0184652233192572E-4</c:v>
                </c:pt>
                <c:pt idx="15">
                  <c:v>1.0278582140603543E-4</c:v>
                </c:pt>
                <c:pt idx="16">
                  <c:v>1.036272680521904E-4</c:v>
                </c:pt>
                <c:pt idx="17">
                  <c:v>1.043544378412279E-4</c:v>
                </c:pt>
                <c:pt idx="18">
                  <c:v>1.0505222992515569E-4</c:v>
                </c:pt>
                <c:pt idx="19">
                  <c:v>1.0562616566314185E-4</c:v>
                </c:pt>
                <c:pt idx="20">
                  <c:v>1.0611207055498545E-4</c:v>
                </c:pt>
                <c:pt idx="21">
                  <c:v>1.0650223360121044E-4</c:v>
                </c:pt>
                <c:pt idx="22">
                  <c:v>1.0681132343318296E-4</c:v>
                </c:pt>
                <c:pt idx="23">
                  <c:v>1.0711205377409755E-4</c:v>
                </c:pt>
                <c:pt idx="24">
                  <c:v>1.0732320251960731E-4</c:v>
                </c:pt>
                <c:pt idx="25">
                  <c:v>1.0740273389606166E-4</c:v>
                </c:pt>
                <c:pt idx="26">
                  <c:v>1.0748776129778212E-4</c:v>
                </c:pt>
                <c:pt idx="27">
                  <c:v>1.0745060953310424E-4</c:v>
                </c:pt>
                <c:pt idx="28">
                  <c:v>1.0747385200993081E-4</c:v>
                </c:pt>
                <c:pt idx="29">
                  <c:v>1.074981910917451E-4</c:v>
                </c:pt>
                <c:pt idx="30">
                  <c:v>1.0728614214451059E-4</c:v>
                </c:pt>
                <c:pt idx="31">
                  <c:v>1.0705948490708559E-4</c:v>
                </c:pt>
                <c:pt idx="32">
                  <c:v>1.0673790851385148E-4</c:v>
                </c:pt>
                <c:pt idx="33">
                  <c:v>1.0634667431877272E-4</c:v>
                </c:pt>
                <c:pt idx="34">
                  <c:v>1.0601120383597155E-4</c:v>
                </c:pt>
                <c:pt idx="35">
                  <c:v>1.0558675946751897E-4</c:v>
                </c:pt>
                <c:pt idx="36">
                  <c:v>1.0500498195782335E-4</c:v>
                </c:pt>
                <c:pt idx="37">
                  <c:v>1.0449374415816099E-4</c:v>
                </c:pt>
                <c:pt idx="38">
                  <c:v>1.0385992179259853E-4</c:v>
                </c:pt>
                <c:pt idx="39">
                  <c:v>1.0327715159123998E-4</c:v>
                </c:pt>
                <c:pt idx="40">
                  <c:v>1.0259409852077054E-4</c:v>
                </c:pt>
                <c:pt idx="41">
                  <c:v>1.0188343427290176E-4</c:v>
                </c:pt>
                <c:pt idx="42">
                  <c:v>1.0125888408958701E-4</c:v>
                </c:pt>
                <c:pt idx="43">
                  <c:v>1.0052609237644192E-4</c:v>
                </c:pt>
                <c:pt idx="44">
                  <c:v>9.97213413868101E-5</c:v>
                </c:pt>
                <c:pt idx="45">
                  <c:v>9.8882012503332238E-5</c:v>
                </c:pt>
                <c:pt idx="46">
                  <c:v>9.8011126652100422E-5</c:v>
                </c:pt>
                <c:pt idx="47">
                  <c:v>9.7179176972886214E-5</c:v>
                </c:pt>
                <c:pt idx="48">
                  <c:v>9.6217599725054479E-5</c:v>
                </c:pt>
                <c:pt idx="49">
                  <c:v>9.5456740072956411E-5</c:v>
                </c:pt>
                <c:pt idx="50">
                  <c:v>9.4477085841447527E-5</c:v>
                </c:pt>
                <c:pt idx="51">
                  <c:v>9.342206457720246E-5</c:v>
                </c:pt>
                <c:pt idx="52">
                  <c:v>9.2532059105732869E-5</c:v>
                </c:pt>
                <c:pt idx="53">
                  <c:v>9.1595639910898582E-5</c:v>
                </c:pt>
                <c:pt idx="54">
                  <c:v>9.050869576496533E-5</c:v>
                </c:pt>
                <c:pt idx="55">
                  <c:v>8.9572690554896308E-5</c:v>
                </c:pt>
                <c:pt idx="56">
                  <c:v>8.8581308194572006E-5</c:v>
                </c:pt>
                <c:pt idx="57">
                  <c:v>8.7619370966277068E-5</c:v>
                </c:pt>
                <c:pt idx="58">
                  <c:v>8.6494777495620188E-5</c:v>
                </c:pt>
                <c:pt idx="59">
                  <c:v>8.5611847400961146E-5</c:v>
                </c:pt>
                <c:pt idx="60">
                  <c:v>8.4422302307309217E-5</c:v>
                </c:pt>
                <c:pt idx="61">
                  <c:v>8.3460589035428266E-5</c:v>
                </c:pt>
                <c:pt idx="62">
                  <c:v>8.2802090789811579E-5</c:v>
                </c:pt>
                <c:pt idx="63">
                  <c:v>8.1641709438302903E-5</c:v>
                </c:pt>
                <c:pt idx="64">
                  <c:v>8.0750174298471731E-5</c:v>
                </c:pt>
                <c:pt idx="65">
                  <c:v>7.9484675371401314E-5</c:v>
                </c:pt>
                <c:pt idx="66">
                  <c:v>7.8354566539597993E-5</c:v>
                </c:pt>
                <c:pt idx="67">
                  <c:v>7.7247503747010984E-5</c:v>
                </c:pt>
                <c:pt idx="68">
                  <c:v>7.6393616772068462E-5</c:v>
                </c:pt>
                <c:pt idx="69">
                  <c:v>7.574976886747748E-5</c:v>
                </c:pt>
                <c:pt idx="70">
                  <c:v>7.4642788372413041E-5</c:v>
                </c:pt>
                <c:pt idx="71">
                  <c:v>7.3391214708848956E-5</c:v>
                </c:pt>
                <c:pt idx="72">
                  <c:v>7.2305719608110465E-5</c:v>
                </c:pt>
                <c:pt idx="73">
                  <c:v>7.1617618514618526E-5</c:v>
                </c:pt>
                <c:pt idx="74">
                  <c:v>7.0586323126443183E-5</c:v>
                </c:pt>
                <c:pt idx="75">
                  <c:v>6.9416862936829673E-5</c:v>
                </c:pt>
                <c:pt idx="76">
                  <c:v>6.8494239789513344E-5</c:v>
                </c:pt>
                <c:pt idx="77">
                  <c:v>6.7488682831915822E-5</c:v>
                </c:pt>
                <c:pt idx="78">
                  <c:v>6.6274320743682424E-5</c:v>
                </c:pt>
                <c:pt idx="79">
                  <c:v>6.5547182235745484E-5</c:v>
                </c:pt>
                <c:pt idx="80">
                  <c:v>6.4512948990689303E-5</c:v>
                </c:pt>
                <c:pt idx="81">
                  <c:v>6.3569614102076646E-5</c:v>
                </c:pt>
                <c:pt idx="82">
                  <c:v>6.227918848133711E-5</c:v>
                </c:pt>
                <c:pt idx="83">
                  <c:v>6.2347579115683337E-5</c:v>
                </c:pt>
                <c:pt idx="84">
                  <c:v>6.046290772430105E-5</c:v>
                </c:pt>
                <c:pt idx="85">
                  <c:v>5.9402253967745005E-5</c:v>
                </c:pt>
                <c:pt idx="86">
                  <c:v>5.8794854876087156E-5</c:v>
                </c:pt>
                <c:pt idx="87">
                  <c:v>5.8096988797758171E-5</c:v>
                </c:pt>
                <c:pt idx="88">
                  <c:v>5.6636521721189814E-5</c:v>
                </c:pt>
                <c:pt idx="89">
                  <c:v>5.6273307508575022E-5</c:v>
                </c:pt>
                <c:pt idx="90">
                  <c:v>5.5511785414129531E-5</c:v>
                </c:pt>
                <c:pt idx="91">
                  <c:v>5.4146325282738624E-5</c:v>
                </c:pt>
                <c:pt idx="92">
                  <c:v>5.411261304671631E-5</c:v>
                </c:pt>
                <c:pt idx="93">
                  <c:v>5.2150464638468475E-5</c:v>
                </c:pt>
                <c:pt idx="94">
                  <c:v>5.1887014205258124E-5</c:v>
                </c:pt>
                <c:pt idx="95">
                  <c:v>5.1147344622592002E-5</c:v>
                </c:pt>
                <c:pt idx="96">
                  <c:v>5.0362641524341289E-5</c:v>
                </c:pt>
                <c:pt idx="97">
                  <c:v>4.9928175753074211E-5</c:v>
                </c:pt>
                <c:pt idx="98">
                  <c:v>4.9427233382254555E-5</c:v>
                </c:pt>
                <c:pt idx="99">
                  <c:v>4.8690616207331908E-5</c:v>
                </c:pt>
                <c:pt idx="100">
                  <c:v>4.7139692938229925E-5</c:v>
                </c:pt>
                <c:pt idx="101">
                  <c:v>4.7304573436670543E-5</c:v>
                </c:pt>
                <c:pt idx="102">
                  <c:v>4.4730553574043342E-5</c:v>
                </c:pt>
                <c:pt idx="103">
                  <c:v>4.5900123510926073E-5</c:v>
                </c:pt>
                <c:pt idx="104">
                  <c:v>4.5771914596838334E-5</c:v>
                </c:pt>
                <c:pt idx="105">
                  <c:v>4.4000270521459961E-5</c:v>
                </c:pt>
                <c:pt idx="106">
                  <c:v>4.2829606064606364E-5</c:v>
                </c:pt>
                <c:pt idx="107">
                  <c:v>4.3306635022581003E-5</c:v>
                </c:pt>
                <c:pt idx="108">
                  <c:v>4.3719015922940483E-5</c:v>
                </c:pt>
                <c:pt idx="109">
                  <c:v>4.3084075750067029E-5</c:v>
                </c:pt>
                <c:pt idx="110">
                  <c:v>4.1373072870497883E-5</c:v>
                </c:pt>
                <c:pt idx="111">
                  <c:v>4.1732984234665943E-5</c:v>
                </c:pt>
                <c:pt idx="112">
                  <c:v>4.3360935994923344E-5</c:v>
                </c:pt>
                <c:pt idx="113">
                  <c:v>4.2743729085619854E-5</c:v>
                </c:pt>
                <c:pt idx="114">
                  <c:v>3.8148740167455106E-5</c:v>
                </c:pt>
                <c:pt idx="115">
                  <c:v>4.0864663915682305E-5</c:v>
                </c:pt>
                <c:pt idx="116">
                  <c:v>4.0156244298637038E-5</c:v>
                </c:pt>
                <c:pt idx="117">
                  <c:v>3.725461040502706E-5</c:v>
                </c:pt>
                <c:pt idx="118">
                  <c:v>3.7682182485579737E-5</c:v>
                </c:pt>
                <c:pt idx="119">
                  <c:v>3.7647544985007007E-5</c:v>
                </c:pt>
                <c:pt idx="120">
                  <c:v>3.7772846803875498E-5</c:v>
                </c:pt>
                <c:pt idx="121">
                  <c:v>3.9886555175348995E-5</c:v>
                </c:pt>
                <c:pt idx="122">
                  <c:v>4.1368540738840201E-5</c:v>
                </c:pt>
                <c:pt idx="123">
                  <c:v>0</c:v>
                </c:pt>
                <c:pt idx="124">
                  <c:v>0</c:v>
                </c:pt>
              </c:numCache>
            </c:numRef>
          </c:yVal>
          <c:smooth val="0"/>
        </c:ser>
        <c:ser>
          <c:idx val="10"/>
          <c:order val="10"/>
          <c:tx>
            <c:strRef>
              <c:f>Plots!$T$1</c:f>
              <c:strCache>
                <c:ptCount val="1"/>
                <c:pt idx="0">
                  <c:v>91</c:v>
                </c:pt>
              </c:strCache>
            </c:strRef>
          </c:tx>
          <c:spPr>
            <a:ln w="28575">
              <a:noFill/>
            </a:ln>
          </c:spPr>
          <c:marker>
            <c:symbol val="diamond"/>
            <c:size val="7"/>
            <c:spPr>
              <a:solidFill>
                <a:srgbClr val="00B050"/>
              </a:solidFill>
              <a:ln>
                <a:noFill/>
              </a:ln>
            </c:spPr>
          </c:marker>
          <c:xVal>
            <c:numRef>
              <c:f>Plots!$T$3:$T$127</c:f>
              <c:numCache>
                <c:formatCode>General</c:formatCode>
                <c:ptCount val="125"/>
                <c:pt idx="0">
                  <c:v>1913543134428039.7</c:v>
                </c:pt>
                <c:pt idx="1">
                  <c:v>2.01375467721446E+16</c:v>
                </c:pt>
                <c:pt idx="2">
                  <c:v>3.4741954943832144E+16</c:v>
                </c:pt>
                <c:pt idx="3">
                  <c:v>4.1667115218088512E+16</c:v>
                </c:pt>
                <c:pt idx="4">
                  <c:v>4.3455284123251032E+16</c:v>
                </c:pt>
                <c:pt idx="5">
                  <c:v>4.2652093312722968E+16</c:v>
                </c:pt>
                <c:pt idx="6">
                  <c:v>4.1250825171608976E+16</c:v>
                </c:pt>
                <c:pt idx="7">
                  <c:v>3.9672399012795616E+16</c:v>
                </c:pt>
                <c:pt idx="8">
                  <c:v>3.8059817017094992E+16</c:v>
                </c:pt>
                <c:pt idx="9">
                  <c:v>3.6433462154102552E+16</c:v>
                </c:pt>
                <c:pt idx="10">
                  <c:v>3.483571059119702E+16</c:v>
                </c:pt>
                <c:pt idx="11">
                  <c:v>3.3253131160169136E+16</c:v>
                </c:pt>
                <c:pt idx="12">
                  <c:v>3.171272316329726E+16</c:v>
                </c:pt>
                <c:pt idx="13">
                  <c:v>3.0215033732219332E+16</c:v>
                </c:pt>
                <c:pt idx="14">
                  <c:v>2.8775604790480684E+16</c:v>
                </c:pt>
                <c:pt idx="15">
                  <c:v>2.7382482338106084E+16</c:v>
                </c:pt>
                <c:pt idx="16">
                  <c:v>2.603626787545752E+16</c:v>
                </c:pt>
                <c:pt idx="17">
                  <c:v>2.4732736285717892E+16</c:v>
                </c:pt>
                <c:pt idx="18">
                  <c:v>2.3486463224145776E+16</c:v>
                </c:pt>
                <c:pt idx="19">
                  <c:v>2.2286207896176312E+16</c:v>
                </c:pt>
                <c:pt idx="20">
                  <c:v>2.1135955445844492E+16</c:v>
                </c:pt>
                <c:pt idx="21">
                  <c:v>2.0030961774527944E+16</c:v>
                </c:pt>
                <c:pt idx="22">
                  <c:v>1.8984359938017208E+16</c:v>
                </c:pt>
                <c:pt idx="23">
                  <c:v>1.7972678542788218E+16</c:v>
                </c:pt>
                <c:pt idx="24">
                  <c:v>1.7012654632280278E+16</c:v>
                </c:pt>
                <c:pt idx="25">
                  <c:v>1.6105690102627986E+16</c:v>
                </c:pt>
                <c:pt idx="26">
                  <c:v>1.5230644888485984E+16</c:v>
                </c:pt>
                <c:pt idx="27">
                  <c:v>1.440933525045515E+16</c:v>
                </c:pt>
                <c:pt idx="28">
                  <c:v>1.3624295478097528E+16</c:v>
                </c:pt>
                <c:pt idx="29">
                  <c:v>1.288227283289047E+16</c:v>
                </c:pt>
                <c:pt idx="30">
                  <c:v>1.2170678060889736E+16</c:v>
                </c:pt>
                <c:pt idx="31">
                  <c:v>1.1498834171178518E+16</c:v>
                </c:pt>
                <c:pt idx="32">
                  <c:v>1.0858634125697176E+16</c:v>
                </c:pt>
                <c:pt idx="33">
                  <c:v>1.0249385028642982E+16</c:v>
                </c:pt>
                <c:pt idx="34">
                  <c:v>9682019232608480</c:v>
                </c:pt>
                <c:pt idx="35">
                  <c:v>9136230091850236</c:v>
                </c:pt>
                <c:pt idx="36">
                  <c:v>8620541369611960</c:v>
                </c:pt>
                <c:pt idx="37">
                  <c:v>8127948231750457</c:v>
                </c:pt>
                <c:pt idx="38">
                  <c:v>7669864918576115</c:v>
                </c:pt>
                <c:pt idx="39">
                  <c:v>7228541880781902</c:v>
                </c:pt>
                <c:pt idx="40">
                  <c:v>6816368549960175</c:v>
                </c:pt>
                <c:pt idx="41">
                  <c:v>6423591328431591</c:v>
                </c:pt>
                <c:pt idx="42">
                  <c:v>6057597983215112</c:v>
                </c:pt>
                <c:pt idx="43">
                  <c:v>5710475466733108</c:v>
                </c:pt>
                <c:pt idx="44">
                  <c:v>5381737203959602</c:v>
                </c:pt>
                <c:pt idx="45">
                  <c:v>5067845791882764</c:v>
                </c:pt>
                <c:pt idx="46">
                  <c:v>4771694184608403</c:v>
                </c:pt>
                <c:pt idx="47">
                  <c:v>4495515895753992</c:v>
                </c:pt>
                <c:pt idx="48">
                  <c:v>4234716789328534</c:v>
                </c:pt>
                <c:pt idx="49">
                  <c:v>3987020595188116</c:v>
                </c:pt>
                <c:pt idx="50">
                  <c:v>3754660263738729</c:v>
                </c:pt>
                <c:pt idx="51">
                  <c:v>3535208866762058.5</c:v>
                </c:pt>
                <c:pt idx="52">
                  <c:v>3328122087820037.5</c:v>
                </c:pt>
                <c:pt idx="53">
                  <c:v>3130806555371705.5</c:v>
                </c:pt>
                <c:pt idx="54">
                  <c:v>2949338984214566</c:v>
                </c:pt>
                <c:pt idx="55">
                  <c:v>2773169485963377.5</c:v>
                </c:pt>
                <c:pt idx="56">
                  <c:v>2608560322076547</c:v>
                </c:pt>
                <c:pt idx="57">
                  <c:v>2450033742175164.5</c:v>
                </c:pt>
                <c:pt idx="58">
                  <c:v>2303864684167863</c:v>
                </c:pt>
                <c:pt idx="59">
                  <c:v>2167387019571309.5</c:v>
                </c:pt>
                <c:pt idx="60">
                  <c:v>2039393851914282.5</c:v>
                </c:pt>
                <c:pt idx="61">
                  <c:v>1914620708427938.5</c:v>
                </c:pt>
                <c:pt idx="62">
                  <c:v>1803686529400788.7</c:v>
                </c:pt>
                <c:pt idx="63">
                  <c:v>1692857873969272.2</c:v>
                </c:pt>
                <c:pt idx="64">
                  <c:v>1589564493707347.2</c:v>
                </c:pt>
                <c:pt idx="65">
                  <c:v>1493529241240431.5</c:v>
                </c:pt>
                <c:pt idx="66">
                  <c:v>1404872998324502</c:v>
                </c:pt>
                <c:pt idx="67">
                  <c:v>1318714147179721.7</c:v>
                </c:pt>
                <c:pt idx="68">
                  <c:v>1241443909524617.2</c:v>
                </c:pt>
                <c:pt idx="69">
                  <c:v>1164226736902755</c:v>
                </c:pt>
                <c:pt idx="70">
                  <c:v>1092106445950158.4</c:v>
                </c:pt>
                <c:pt idx="71">
                  <c:v>1025968187910467</c:v>
                </c:pt>
                <c:pt idx="72">
                  <c:v>960345690182154.62</c:v>
                </c:pt>
                <c:pt idx="73">
                  <c:v>903341379383613.25</c:v>
                </c:pt>
                <c:pt idx="74">
                  <c:v>848280147883614.5</c:v>
                </c:pt>
                <c:pt idx="75">
                  <c:v>796878449021972.12</c:v>
                </c:pt>
                <c:pt idx="76">
                  <c:v>744686953571694.75</c:v>
                </c:pt>
                <c:pt idx="77">
                  <c:v>700789182944051</c:v>
                </c:pt>
                <c:pt idx="78">
                  <c:v>655646947805355</c:v>
                </c:pt>
                <c:pt idx="79">
                  <c:v>615591634584130</c:v>
                </c:pt>
                <c:pt idx="80">
                  <c:v>577615479881071.62</c:v>
                </c:pt>
                <c:pt idx="81">
                  <c:v>542569236217796</c:v>
                </c:pt>
                <c:pt idx="82">
                  <c:v>509070508404529.19</c:v>
                </c:pt>
                <c:pt idx="83">
                  <c:v>474812876297501.37</c:v>
                </c:pt>
                <c:pt idx="84">
                  <c:v>444627233034222.19</c:v>
                </c:pt>
                <c:pt idx="85">
                  <c:v>412819936097257.44</c:v>
                </c:pt>
                <c:pt idx="86">
                  <c:v>392008870679654.31</c:v>
                </c:pt>
                <c:pt idx="87">
                  <c:v>367192204430564.12</c:v>
                </c:pt>
                <c:pt idx="88">
                  <c:v>345468543819164.87</c:v>
                </c:pt>
                <c:pt idx="89">
                  <c:v>320525975568127.69</c:v>
                </c:pt>
                <c:pt idx="90">
                  <c:v>299517551375281.75</c:v>
                </c:pt>
                <c:pt idx="91">
                  <c:v>281311642553917.56</c:v>
                </c:pt>
                <c:pt idx="92">
                  <c:v>263704286396440.97</c:v>
                </c:pt>
                <c:pt idx="93">
                  <c:v>248039445685599.12</c:v>
                </c:pt>
                <c:pt idx="94">
                  <c:v>230161462716726.5</c:v>
                </c:pt>
                <c:pt idx="95">
                  <c:v>212994397646154.56</c:v>
                </c:pt>
                <c:pt idx="96">
                  <c:v>203977835866785.44</c:v>
                </c:pt>
                <c:pt idx="97">
                  <c:v>191056596987828.62</c:v>
                </c:pt>
                <c:pt idx="98">
                  <c:v>177189238198406.41</c:v>
                </c:pt>
                <c:pt idx="99">
                  <c:v>166128292786393.62</c:v>
                </c:pt>
                <c:pt idx="100">
                  <c:v>154845791912181.84</c:v>
                </c:pt>
                <c:pt idx="101">
                  <c:v>146782497469383.62</c:v>
                </c:pt>
                <c:pt idx="102">
                  <c:v>135325000017123.12</c:v>
                </c:pt>
                <c:pt idx="103">
                  <c:v>125861477497914.34</c:v>
                </c:pt>
                <c:pt idx="104">
                  <c:v>116937952330020.64</c:v>
                </c:pt>
                <c:pt idx="105">
                  <c:v>110344923312771.69</c:v>
                </c:pt>
                <c:pt idx="106">
                  <c:v>99642733194221.953</c:v>
                </c:pt>
                <c:pt idx="107">
                  <c:v>97968152029651.25</c:v>
                </c:pt>
                <c:pt idx="108">
                  <c:v>90965919051070.734</c:v>
                </c:pt>
                <c:pt idx="109">
                  <c:v>82029853455164.141</c:v>
                </c:pt>
                <c:pt idx="110">
                  <c:v>76556921986631.344</c:v>
                </c:pt>
                <c:pt idx="111">
                  <c:v>71010918003856.469</c:v>
                </c:pt>
                <c:pt idx="112">
                  <c:v>65088061504272.578</c:v>
                </c:pt>
                <c:pt idx="113">
                  <c:v>60041015397891.203</c:v>
                </c:pt>
                <c:pt idx="114">
                  <c:v>57385590122216.516</c:v>
                </c:pt>
                <c:pt idx="115">
                  <c:v>54351707466836.094</c:v>
                </c:pt>
                <c:pt idx="116">
                  <c:v>51091174277911.992</c:v>
                </c:pt>
                <c:pt idx="117">
                  <c:v>45785722288221.789</c:v>
                </c:pt>
                <c:pt idx="118">
                  <c:v>41316217341736.023</c:v>
                </c:pt>
                <c:pt idx="119">
                  <c:v>39233648698181.953</c:v>
                </c:pt>
                <c:pt idx="120">
                  <c:v>38173623770021.664</c:v>
                </c:pt>
                <c:pt idx="121">
                  <c:v>34918654491508.055</c:v>
                </c:pt>
                <c:pt idx="122">
                  <c:v>33518653827537.844</c:v>
                </c:pt>
                <c:pt idx="123">
                  <c:v>31400098375217.559</c:v>
                </c:pt>
                <c:pt idx="124">
                  <c:v>23007031841007.055</c:v>
                </c:pt>
              </c:numCache>
            </c:numRef>
          </c:xVal>
          <c:yVal>
            <c:numRef>
              <c:f>Plots!$U$3:$U$127</c:f>
              <c:numCache>
                <c:formatCode>General</c:formatCode>
                <c:ptCount val="125"/>
                <c:pt idx="0">
                  <c:v>0</c:v>
                </c:pt>
                <c:pt idx="1">
                  <c:v>0</c:v>
                </c:pt>
                <c:pt idx="2">
                  <c:v>9.9492827014988449E-5</c:v>
                </c:pt>
                <c:pt idx="3">
                  <c:v>9.5727227121647065E-5</c:v>
                </c:pt>
                <c:pt idx="4">
                  <c:v>9.1422667906628869E-5</c:v>
                </c:pt>
                <c:pt idx="5">
                  <c:v>8.9232579632055924E-5</c:v>
                </c:pt>
                <c:pt idx="6">
                  <c:v>8.954638737438375E-5</c:v>
                </c:pt>
                <c:pt idx="7">
                  <c:v>9.0838365483628428E-5</c:v>
                </c:pt>
                <c:pt idx="8">
                  <c:v>9.222453372230034E-5</c:v>
                </c:pt>
                <c:pt idx="9">
                  <c:v>9.3487696500920166E-5</c:v>
                </c:pt>
                <c:pt idx="10">
                  <c:v>9.471218857986327E-5</c:v>
                </c:pt>
                <c:pt idx="11">
                  <c:v>9.5785949371087433E-5</c:v>
                </c:pt>
                <c:pt idx="12">
                  <c:v>9.6814342459314648E-5</c:v>
                </c:pt>
                <c:pt idx="13">
                  <c:v>9.7724671532279885E-5</c:v>
                </c:pt>
                <c:pt idx="14">
                  <c:v>9.8572821497506513E-5</c:v>
                </c:pt>
                <c:pt idx="15">
                  <c:v>9.9335703678949593E-5</c:v>
                </c:pt>
                <c:pt idx="16">
                  <c:v>1.0001537594165611E-4</c:v>
                </c:pt>
                <c:pt idx="17">
                  <c:v>1.0058819298051413E-4</c:v>
                </c:pt>
                <c:pt idx="18">
                  <c:v>1.0113476276817127E-4</c:v>
                </c:pt>
                <c:pt idx="19">
                  <c:v>1.0156603901066268E-4</c:v>
                </c:pt>
                <c:pt idx="20">
                  <c:v>1.0191274793184869E-4</c:v>
                </c:pt>
                <c:pt idx="21">
                  <c:v>1.021675212865904E-4</c:v>
                </c:pt>
                <c:pt idx="22">
                  <c:v>1.0236740649540765E-4</c:v>
                </c:pt>
                <c:pt idx="23">
                  <c:v>1.0247423379509249E-4</c:v>
                </c:pt>
                <c:pt idx="24">
                  <c:v>1.0251756101389957E-4</c:v>
                </c:pt>
                <c:pt idx="25">
                  <c:v>1.0255133003615597E-4</c:v>
                </c:pt>
                <c:pt idx="26">
                  <c:v>1.0244258649653082E-4</c:v>
                </c:pt>
                <c:pt idx="27">
                  <c:v>1.0232954959677444E-4</c:v>
                </c:pt>
                <c:pt idx="28">
                  <c:v>1.0229941113714975E-4</c:v>
                </c:pt>
                <c:pt idx="29">
                  <c:v>1.0216738156899772E-4</c:v>
                </c:pt>
                <c:pt idx="30">
                  <c:v>1.0187317548599588E-4</c:v>
                </c:pt>
                <c:pt idx="31">
                  <c:v>1.0153350111865493E-4</c:v>
                </c:pt>
                <c:pt idx="32">
                  <c:v>1.0113930813320973E-4</c:v>
                </c:pt>
                <c:pt idx="33">
                  <c:v>1.006813624911548E-4</c:v>
                </c:pt>
                <c:pt idx="34">
                  <c:v>1.002840104694155E-4</c:v>
                </c:pt>
                <c:pt idx="35">
                  <c:v>9.9727148552823054E-5</c:v>
                </c:pt>
                <c:pt idx="36">
                  <c:v>9.9140718356468456E-5</c:v>
                </c:pt>
                <c:pt idx="37">
                  <c:v>9.8462067623504283E-5</c:v>
                </c:pt>
                <c:pt idx="38">
                  <c:v>9.7887450810894846E-5</c:v>
                </c:pt>
                <c:pt idx="39">
                  <c:v>9.7181151602689011E-5</c:v>
                </c:pt>
                <c:pt idx="40">
                  <c:v>9.6490886000162539E-5</c:v>
                </c:pt>
                <c:pt idx="41">
                  <c:v>9.5738181677215722E-5</c:v>
                </c:pt>
                <c:pt idx="42">
                  <c:v>9.4996215069782929E-5</c:v>
                </c:pt>
                <c:pt idx="43">
                  <c:v>9.424783391802126E-5</c:v>
                </c:pt>
                <c:pt idx="44">
                  <c:v>9.3421997974763008E-5</c:v>
                </c:pt>
                <c:pt idx="45">
                  <c:v>9.2498234740188883E-5</c:v>
                </c:pt>
                <c:pt idx="46">
                  <c:v>9.158129550114355E-5</c:v>
                </c:pt>
                <c:pt idx="47">
                  <c:v>9.0767556561932345E-5</c:v>
                </c:pt>
                <c:pt idx="48">
                  <c:v>8.9931970028122365E-5</c:v>
                </c:pt>
                <c:pt idx="49">
                  <c:v>8.8969371885397363E-5</c:v>
                </c:pt>
                <c:pt idx="50">
                  <c:v>8.8036726221368274E-5</c:v>
                </c:pt>
                <c:pt idx="51">
                  <c:v>8.7086036363712374E-5</c:v>
                </c:pt>
                <c:pt idx="52">
                  <c:v>8.618124937137104E-5</c:v>
                </c:pt>
                <c:pt idx="53">
                  <c:v>8.5108054430827534E-5</c:v>
                </c:pt>
                <c:pt idx="54">
                  <c:v>8.4230390116566558E-5</c:v>
                </c:pt>
                <c:pt idx="55">
                  <c:v>8.3151211508500524E-5</c:v>
                </c:pt>
                <c:pt idx="56">
                  <c:v>8.2114280300227087E-5</c:v>
                </c:pt>
                <c:pt idx="57">
                  <c:v>8.0959352872175065E-5</c:v>
                </c:pt>
                <c:pt idx="58">
                  <c:v>8.0064720125197345E-5</c:v>
                </c:pt>
                <c:pt idx="59">
                  <c:v>7.916050623362042E-5</c:v>
                </c:pt>
                <c:pt idx="60">
                  <c:v>7.8214664884998234E-5</c:v>
                </c:pt>
                <c:pt idx="61">
                  <c:v>7.7168057779005502E-5</c:v>
                </c:pt>
                <c:pt idx="62">
                  <c:v>7.6394388535642855E-5</c:v>
                </c:pt>
                <c:pt idx="63">
                  <c:v>7.5281558338348239E-5</c:v>
                </c:pt>
                <c:pt idx="64">
                  <c:v>7.4168939463950005E-5</c:v>
                </c:pt>
                <c:pt idx="65">
                  <c:v>7.3124950281799891E-5</c:v>
                </c:pt>
                <c:pt idx="66">
                  <c:v>7.2274608752170301E-5</c:v>
                </c:pt>
                <c:pt idx="67">
                  <c:v>7.1230895487557784E-5</c:v>
                </c:pt>
                <c:pt idx="68">
                  <c:v>7.0447681596631144E-5</c:v>
                </c:pt>
                <c:pt idx="69">
                  <c:v>6.9395069728552273E-5</c:v>
                </c:pt>
                <c:pt idx="70">
                  <c:v>6.8332674976809792E-5</c:v>
                </c:pt>
                <c:pt idx="71">
                  <c:v>6.7395422770863986E-5</c:v>
                </c:pt>
                <c:pt idx="72">
                  <c:v>6.6213556576294355E-5</c:v>
                </c:pt>
                <c:pt idx="73">
                  <c:v>6.5320707055529093E-5</c:v>
                </c:pt>
                <c:pt idx="74">
                  <c:v>6.4497024039685081E-5</c:v>
                </c:pt>
                <c:pt idx="75">
                  <c:v>6.3499491875517431E-5</c:v>
                </c:pt>
                <c:pt idx="76">
                  <c:v>6.240470784058383E-5</c:v>
                </c:pt>
                <c:pt idx="77">
                  <c:v>6.1670811913744621E-5</c:v>
                </c:pt>
                <c:pt idx="78">
                  <c:v>6.0766994236601496E-5</c:v>
                </c:pt>
                <c:pt idx="79">
                  <c:v>5.986195256216445E-5</c:v>
                </c:pt>
                <c:pt idx="80">
                  <c:v>5.9067893918298781E-5</c:v>
                </c:pt>
                <c:pt idx="81">
                  <c:v>5.8263703443363361E-5</c:v>
                </c:pt>
                <c:pt idx="82">
                  <c:v>5.7433958766264762E-5</c:v>
                </c:pt>
                <c:pt idx="83">
                  <c:v>5.6318472651506121E-5</c:v>
                </c:pt>
                <c:pt idx="84">
                  <c:v>5.5373126796034745E-5</c:v>
                </c:pt>
                <c:pt idx="85">
                  <c:v>5.4270073809769562E-5</c:v>
                </c:pt>
                <c:pt idx="86">
                  <c:v>5.4132236769690648E-5</c:v>
                </c:pt>
                <c:pt idx="87">
                  <c:v>5.3359999621478415E-5</c:v>
                </c:pt>
                <c:pt idx="88">
                  <c:v>5.2590289687257529E-5</c:v>
                </c:pt>
                <c:pt idx="89">
                  <c:v>5.1270347695275019E-5</c:v>
                </c:pt>
                <c:pt idx="90">
                  <c:v>5.0440852059378028E-5</c:v>
                </c:pt>
                <c:pt idx="91">
                  <c:v>4.9897850610782555E-5</c:v>
                </c:pt>
                <c:pt idx="92">
                  <c:v>4.948791269527409E-5</c:v>
                </c:pt>
                <c:pt idx="93">
                  <c:v>4.8751115718606004E-5</c:v>
                </c:pt>
                <c:pt idx="94">
                  <c:v>4.8011192684764891E-5</c:v>
                </c:pt>
                <c:pt idx="95">
                  <c:v>4.6618456296571355E-5</c:v>
                </c:pt>
                <c:pt idx="96">
                  <c:v>4.726011104853869E-5</c:v>
                </c:pt>
                <c:pt idx="97">
                  <c:v>4.6541236140980299E-5</c:v>
                </c:pt>
                <c:pt idx="98">
                  <c:v>4.5412015002669962E-5</c:v>
                </c:pt>
                <c:pt idx="99">
                  <c:v>4.499432289323397E-5</c:v>
                </c:pt>
                <c:pt idx="100">
                  <c:v>4.4246126482627157E-5</c:v>
                </c:pt>
                <c:pt idx="101">
                  <c:v>4.448872868518796E-5</c:v>
                </c:pt>
                <c:pt idx="102">
                  <c:v>4.3103146086015569E-5</c:v>
                </c:pt>
                <c:pt idx="103">
                  <c:v>4.2583487530701379E-5</c:v>
                </c:pt>
                <c:pt idx="104">
                  <c:v>4.1947033684344881E-5</c:v>
                </c:pt>
                <c:pt idx="105">
                  <c:v>4.1892141505804122E-5</c:v>
                </c:pt>
                <c:pt idx="106">
                  <c:v>4.0206752687338253E-5</c:v>
                </c:pt>
                <c:pt idx="107">
                  <c:v>4.1460952914742129E-5</c:v>
                </c:pt>
                <c:pt idx="108">
                  <c:v>4.1037820993627059E-5</c:v>
                </c:pt>
                <c:pt idx="109">
                  <c:v>3.9441728313386519E-5</c:v>
                </c:pt>
                <c:pt idx="110">
                  <c:v>3.846863946158187E-5</c:v>
                </c:pt>
                <c:pt idx="111">
                  <c:v>3.8336829891974199E-5</c:v>
                </c:pt>
                <c:pt idx="112">
                  <c:v>3.7473946414539991E-5</c:v>
                </c:pt>
                <c:pt idx="113">
                  <c:v>3.6845277452902948E-5</c:v>
                </c:pt>
                <c:pt idx="114">
                  <c:v>3.7252406745458578E-5</c:v>
                </c:pt>
                <c:pt idx="115">
                  <c:v>3.7372700887978658E-5</c:v>
                </c:pt>
                <c:pt idx="116">
                  <c:v>3.7298038104171119E-5</c:v>
                </c:pt>
                <c:pt idx="117">
                  <c:v>3.5828112191993261E-5</c:v>
                </c:pt>
                <c:pt idx="118">
                  <c:v>3.4578960237307291E-5</c:v>
                </c:pt>
                <c:pt idx="119">
                  <c:v>3.5112621378438672E-5</c:v>
                </c:pt>
                <c:pt idx="120">
                  <c:v>3.5862401189382351E-5</c:v>
                </c:pt>
                <c:pt idx="121">
                  <c:v>3.4987304874784742E-5</c:v>
                </c:pt>
                <c:pt idx="122">
                  <c:v>3.5657030833057388E-5</c:v>
                </c:pt>
                <c:pt idx="123">
                  <c:v>0</c:v>
                </c:pt>
                <c:pt idx="124">
                  <c:v>0</c:v>
                </c:pt>
              </c:numCache>
            </c:numRef>
          </c:yVal>
          <c:smooth val="0"/>
        </c:ser>
        <c:ser>
          <c:idx val="11"/>
          <c:order val="11"/>
          <c:tx>
            <c:strRef>
              <c:f>Plots!$V$1</c:f>
              <c:strCache>
                <c:ptCount val="1"/>
                <c:pt idx="0">
                  <c:v>80</c:v>
                </c:pt>
              </c:strCache>
            </c:strRef>
          </c:tx>
          <c:spPr>
            <a:ln w="28575">
              <a:noFill/>
            </a:ln>
          </c:spPr>
          <c:marker>
            <c:symbol val="diamond"/>
            <c:size val="7"/>
            <c:spPr>
              <a:solidFill>
                <a:srgbClr val="00B0F0"/>
              </a:solidFill>
              <a:ln>
                <a:noFill/>
              </a:ln>
            </c:spPr>
          </c:marker>
          <c:xVal>
            <c:numRef>
              <c:f>Plots!$V$3:$V$127</c:f>
              <c:numCache>
                <c:formatCode>General</c:formatCode>
                <c:ptCount val="125"/>
                <c:pt idx="0">
                  <c:v>1693783105920689.5</c:v>
                </c:pt>
                <c:pt idx="1">
                  <c:v>1.9410960719977016E+16</c:v>
                </c:pt>
                <c:pt idx="2">
                  <c:v>3.427947187525662E+16</c:v>
                </c:pt>
                <c:pt idx="3">
                  <c:v>4.152089830050196E+16</c:v>
                </c:pt>
                <c:pt idx="4">
                  <c:v>4.301247674330804E+16</c:v>
                </c:pt>
                <c:pt idx="5">
                  <c:v>4.2170225432810376E+16</c:v>
                </c:pt>
                <c:pt idx="6">
                  <c:v>4.0688941887245528E+16</c:v>
                </c:pt>
                <c:pt idx="7">
                  <c:v>3.908651752580088E+16</c:v>
                </c:pt>
                <c:pt idx="8">
                  <c:v>3.7447698952808616E+16</c:v>
                </c:pt>
                <c:pt idx="9">
                  <c:v>3.5819511087265112E+16</c:v>
                </c:pt>
                <c:pt idx="10">
                  <c:v>3.4208096368563528E+16</c:v>
                </c:pt>
                <c:pt idx="11">
                  <c:v>3.263652541500204E+16</c:v>
                </c:pt>
                <c:pt idx="12">
                  <c:v>3.1101423018673908E+16</c:v>
                </c:pt>
                <c:pt idx="13">
                  <c:v>2.9601053670575E+16</c:v>
                </c:pt>
                <c:pt idx="14">
                  <c:v>2.8137654285546292E+16</c:v>
                </c:pt>
                <c:pt idx="15">
                  <c:v>2.6747156415262412E+16</c:v>
                </c:pt>
                <c:pt idx="16">
                  <c:v>2.5402087174087176E+16</c:v>
                </c:pt>
                <c:pt idx="17">
                  <c:v>2.4098999497327272E+16</c:v>
                </c:pt>
                <c:pt idx="18">
                  <c:v>2.285463230403938E+16</c:v>
                </c:pt>
                <c:pt idx="19">
                  <c:v>2.1654785842687532E+16</c:v>
                </c:pt>
                <c:pt idx="20">
                  <c:v>2.0509950169302924E+16</c:v>
                </c:pt>
                <c:pt idx="21">
                  <c:v>1.9416512707562504E+16</c:v>
                </c:pt>
                <c:pt idx="22">
                  <c:v>1.8365118693698788E+16</c:v>
                </c:pt>
                <c:pt idx="23">
                  <c:v>1.7374656739480366E+16</c:v>
                </c:pt>
                <c:pt idx="24">
                  <c:v>1.642306757608314E+16</c:v>
                </c:pt>
                <c:pt idx="25">
                  <c:v>1.5523982592965874E+16</c:v>
                </c:pt>
                <c:pt idx="26">
                  <c:v>1.4666484655425094E+16</c:v>
                </c:pt>
                <c:pt idx="27">
                  <c:v>1.3854024990093784E+16</c:v>
                </c:pt>
                <c:pt idx="28">
                  <c:v>1.3077396950770802E+16</c:v>
                </c:pt>
                <c:pt idx="29">
                  <c:v>1.2352350549570946E+16</c:v>
                </c:pt>
                <c:pt idx="30">
                  <c:v>1.1661787105570796E+16</c:v>
                </c:pt>
                <c:pt idx="31">
                  <c:v>1.1003962332519206E+16</c:v>
                </c:pt>
                <c:pt idx="32">
                  <c:v>1.0375213799067462E+16</c:v>
                </c:pt>
                <c:pt idx="33">
                  <c:v>9789472491120520</c:v>
                </c:pt>
                <c:pt idx="34">
                  <c:v>9239198259825824</c:v>
                </c:pt>
                <c:pt idx="35">
                  <c:v>8707938754529217</c:v>
                </c:pt>
                <c:pt idx="36">
                  <c:v>8206241675078334</c:v>
                </c:pt>
                <c:pt idx="37">
                  <c:v>7734134293975187</c:v>
                </c:pt>
                <c:pt idx="38">
                  <c:v>7287919095582872</c:v>
                </c:pt>
                <c:pt idx="39">
                  <c:v>6865804373737040</c:v>
                </c:pt>
                <c:pt idx="40">
                  <c:v>6466517698254884</c:v>
                </c:pt>
                <c:pt idx="41">
                  <c:v>6092677857138473</c:v>
                </c:pt>
                <c:pt idx="42">
                  <c:v>5739657809199401</c:v>
                </c:pt>
                <c:pt idx="43">
                  <c:v>5405842930582006</c:v>
                </c:pt>
                <c:pt idx="44">
                  <c:v>5092536193917239</c:v>
                </c:pt>
                <c:pt idx="45">
                  <c:v>4791785614850060</c:v>
                </c:pt>
                <c:pt idx="46">
                  <c:v>4511950485994082</c:v>
                </c:pt>
                <c:pt idx="47">
                  <c:v>4245024794717632</c:v>
                </c:pt>
                <c:pt idx="48">
                  <c:v>3997377313281280.5</c:v>
                </c:pt>
                <c:pt idx="49">
                  <c:v>3762570057441901</c:v>
                </c:pt>
                <c:pt idx="50">
                  <c:v>3535955174263475</c:v>
                </c:pt>
                <c:pt idx="51">
                  <c:v>3330505742146022.5</c:v>
                </c:pt>
                <c:pt idx="52">
                  <c:v>3130352644178402.5</c:v>
                </c:pt>
                <c:pt idx="53">
                  <c:v>2945230015881290</c:v>
                </c:pt>
                <c:pt idx="54">
                  <c:v>2772114979167382.5</c:v>
                </c:pt>
                <c:pt idx="55">
                  <c:v>2603605012738422</c:v>
                </c:pt>
                <c:pt idx="56">
                  <c:v>2449440594402289.5</c:v>
                </c:pt>
                <c:pt idx="57">
                  <c:v>2305035747723245.5</c:v>
                </c:pt>
                <c:pt idx="58">
                  <c:v>2165091188004775.7</c:v>
                </c:pt>
                <c:pt idx="59">
                  <c:v>2030487012491433</c:v>
                </c:pt>
                <c:pt idx="60">
                  <c:v>1909408699471954.2</c:v>
                </c:pt>
                <c:pt idx="61">
                  <c:v>1794188143797178.5</c:v>
                </c:pt>
                <c:pt idx="62">
                  <c:v>1687293412566952.7</c:v>
                </c:pt>
                <c:pt idx="63">
                  <c:v>1584556376340867</c:v>
                </c:pt>
                <c:pt idx="64">
                  <c:v>1486679362694140</c:v>
                </c:pt>
                <c:pt idx="65">
                  <c:v>1398760551816846</c:v>
                </c:pt>
                <c:pt idx="66">
                  <c:v>1309509526261927.5</c:v>
                </c:pt>
                <c:pt idx="67">
                  <c:v>1231322650383031.2</c:v>
                </c:pt>
                <c:pt idx="68">
                  <c:v>1159787126339578.5</c:v>
                </c:pt>
                <c:pt idx="69">
                  <c:v>1089394337794851.4</c:v>
                </c:pt>
                <c:pt idx="70">
                  <c:v>1021222161005051.5</c:v>
                </c:pt>
                <c:pt idx="71">
                  <c:v>955895301778495</c:v>
                </c:pt>
                <c:pt idx="72">
                  <c:v>900017637224870.12</c:v>
                </c:pt>
                <c:pt idx="73">
                  <c:v>843284211275834.62</c:v>
                </c:pt>
                <c:pt idx="74">
                  <c:v>790290180638397</c:v>
                </c:pt>
                <c:pt idx="75">
                  <c:v>741570525009084.75</c:v>
                </c:pt>
                <c:pt idx="76">
                  <c:v>692602792105307.5</c:v>
                </c:pt>
                <c:pt idx="77">
                  <c:v>652219141036057.75</c:v>
                </c:pt>
                <c:pt idx="78">
                  <c:v>609847325047140.37</c:v>
                </c:pt>
                <c:pt idx="79">
                  <c:v>571489354981425</c:v>
                </c:pt>
                <c:pt idx="80">
                  <c:v>538779848699913.25</c:v>
                </c:pt>
                <c:pt idx="81">
                  <c:v>503515960162595.69</c:v>
                </c:pt>
                <c:pt idx="82">
                  <c:v>472548453846166.19</c:v>
                </c:pt>
                <c:pt idx="83">
                  <c:v>437711710257036.31</c:v>
                </c:pt>
                <c:pt idx="84">
                  <c:v>409498888437137.5</c:v>
                </c:pt>
                <c:pt idx="85">
                  <c:v>383306939309791.5</c:v>
                </c:pt>
                <c:pt idx="86">
                  <c:v>359857343920689.25</c:v>
                </c:pt>
                <c:pt idx="87">
                  <c:v>337426402222296.87</c:v>
                </c:pt>
                <c:pt idx="88">
                  <c:v>314990677209633.87</c:v>
                </c:pt>
                <c:pt idx="89">
                  <c:v>294186111032730.5</c:v>
                </c:pt>
                <c:pt idx="90">
                  <c:v>276422955790747.78</c:v>
                </c:pt>
                <c:pt idx="91">
                  <c:v>257484423477760.72</c:v>
                </c:pt>
                <c:pt idx="92">
                  <c:v>240887084408394.81</c:v>
                </c:pt>
                <c:pt idx="93">
                  <c:v>222789963796979.78</c:v>
                </c:pt>
                <c:pt idx="94">
                  <c:v>209015681769219.12</c:v>
                </c:pt>
                <c:pt idx="95">
                  <c:v>195326620751066.53</c:v>
                </c:pt>
                <c:pt idx="96">
                  <c:v>184068058582076.62</c:v>
                </c:pt>
                <c:pt idx="97">
                  <c:v>171665175373828.03</c:v>
                </c:pt>
                <c:pt idx="98">
                  <c:v>160857755367125.84</c:v>
                </c:pt>
                <c:pt idx="99">
                  <c:v>148944413340120.28</c:v>
                </c:pt>
                <c:pt idx="100">
                  <c:v>143009528941137.66</c:v>
                </c:pt>
                <c:pt idx="101">
                  <c:v>130286532784658.31</c:v>
                </c:pt>
                <c:pt idx="102">
                  <c:v>124432487391425.8</c:v>
                </c:pt>
                <c:pt idx="103">
                  <c:v>113522547592569.91</c:v>
                </c:pt>
                <c:pt idx="104">
                  <c:v>106995126883152.05</c:v>
                </c:pt>
                <c:pt idx="105">
                  <c:v>99360267440736.5</c:v>
                </c:pt>
                <c:pt idx="106">
                  <c:v>92017904628778.25</c:v>
                </c:pt>
                <c:pt idx="107">
                  <c:v>89690522206475.609</c:v>
                </c:pt>
                <c:pt idx="108">
                  <c:v>84143122718282</c:v>
                </c:pt>
                <c:pt idx="109">
                  <c:v>75236340194163.453</c:v>
                </c:pt>
                <c:pt idx="110">
                  <c:v>72591142715369.359</c:v>
                </c:pt>
                <c:pt idx="111">
                  <c:v>66444964042900.617</c:v>
                </c:pt>
                <c:pt idx="112">
                  <c:v>61909106846947.703</c:v>
                </c:pt>
                <c:pt idx="113">
                  <c:v>56447396279682.508</c:v>
                </c:pt>
                <c:pt idx="114">
                  <c:v>54841635399100.062</c:v>
                </c:pt>
                <c:pt idx="115">
                  <c:v>52558278399165.234</c:v>
                </c:pt>
                <c:pt idx="116">
                  <c:v>49633459283911.367</c:v>
                </c:pt>
                <c:pt idx="117">
                  <c:v>43679802955572.414</c:v>
                </c:pt>
                <c:pt idx="118">
                  <c:v>42432589323734.437</c:v>
                </c:pt>
                <c:pt idx="119">
                  <c:v>38335600383827.164</c:v>
                </c:pt>
                <c:pt idx="120">
                  <c:v>37623333488907.75</c:v>
                </c:pt>
                <c:pt idx="121">
                  <c:v>35059453619002.414</c:v>
                </c:pt>
                <c:pt idx="122">
                  <c:v>35486748542918.664</c:v>
                </c:pt>
                <c:pt idx="123">
                  <c:v>33564315372188.66</c:v>
                </c:pt>
                <c:pt idx="124">
                  <c:v>28795770401322.207</c:v>
                </c:pt>
              </c:numCache>
            </c:numRef>
          </c:xVal>
          <c:yVal>
            <c:numRef>
              <c:f>Plots!$W$3:$W$127</c:f>
              <c:numCache>
                <c:formatCode>General</c:formatCode>
                <c:ptCount val="125"/>
                <c:pt idx="0">
                  <c:v>0</c:v>
                </c:pt>
                <c:pt idx="1">
                  <c:v>0</c:v>
                </c:pt>
                <c:pt idx="2">
                  <c:v>9.6383930337673858E-5</c:v>
                </c:pt>
                <c:pt idx="3">
                  <c:v>9.4092898193742709E-5</c:v>
                </c:pt>
                <c:pt idx="4">
                  <c:v>8.9494563565813015E-5</c:v>
                </c:pt>
                <c:pt idx="5">
                  <c:v>8.7036699004200941E-5</c:v>
                </c:pt>
                <c:pt idx="6">
                  <c:v>8.7266861755058291E-5</c:v>
                </c:pt>
                <c:pt idx="7">
                  <c:v>8.8538999510207427E-5</c:v>
                </c:pt>
                <c:pt idx="8">
                  <c:v>8.980599928147736E-5</c:v>
                </c:pt>
                <c:pt idx="9">
                  <c:v>9.0986975326000504E-5</c:v>
                </c:pt>
                <c:pt idx="10">
                  <c:v>9.205801369060684E-5</c:v>
                </c:pt>
                <c:pt idx="11">
                  <c:v>9.2997437358991882E-5</c:v>
                </c:pt>
                <c:pt idx="12">
                  <c:v>9.3894461282802082E-5</c:v>
                </c:pt>
                <c:pt idx="13">
                  <c:v>9.4679014018318874E-5</c:v>
                </c:pt>
                <c:pt idx="14">
                  <c:v>9.5330367376871746E-5</c:v>
                </c:pt>
                <c:pt idx="15">
                  <c:v>9.5968943809406768E-5</c:v>
                </c:pt>
                <c:pt idx="16">
                  <c:v>9.6538658040946673E-5</c:v>
                </c:pt>
                <c:pt idx="17">
                  <c:v>9.6982576995631722E-5</c:v>
                </c:pt>
                <c:pt idx="18">
                  <c:v>9.7393223264884181E-5</c:v>
                </c:pt>
                <c:pt idx="19">
                  <c:v>9.7690743535287574E-5</c:v>
                </c:pt>
                <c:pt idx="20">
                  <c:v>9.791278956576106E-5</c:v>
                </c:pt>
                <c:pt idx="21">
                  <c:v>9.8067751337431989E-5</c:v>
                </c:pt>
                <c:pt idx="22">
                  <c:v>9.8085257560685745E-5</c:v>
                </c:pt>
                <c:pt idx="23">
                  <c:v>9.8156370690880295E-5</c:v>
                </c:pt>
                <c:pt idx="24">
                  <c:v>9.8080345443025133E-5</c:v>
                </c:pt>
                <c:pt idx="25">
                  <c:v>9.7981403024253194E-5</c:v>
                </c:pt>
                <c:pt idx="26">
                  <c:v>9.7794380134642398E-5</c:v>
                </c:pt>
                <c:pt idx="27">
                  <c:v>9.7566117883371813E-5</c:v>
                </c:pt>
                <c:pt idx="28">
                  <c:v>9.7352032768882292E-5</c:v>
                </c:pt>
                <c:pt idx="29">
                  <c:v>9.7207147952077963E-5</c:v>
                </c:pt>
                <c:pt idx="30">
                  <c:v>9.6873538325407735E-5</c:v>
                </c:pt>
                <c:pt idx="31">
                  <c:v>9.6447168085530486E-5</c:v>
                </c:pt>
                <c:pt idx="32">
                  <c:v>9.5962175711131057E-5</c:v>
                </c:pt>
                <c:pt idx="33">
                  <c:v>9.5497429045582113E-5</c:v>
                </c:pt>
                <c:pt idx="34">
                  <c:v>9.5025521123286266E-5</c:v>
                </c:pt>
                <c:pt idx="35">
                  <c:v>9.4395737785285034E-5</c:v>
                </c:pt>
                <c:pt idx="36">
                  <c:v>9.374260320874959E-5</c:v>
                </c:pt>
                <c:pt idx="37">
                  <c:v>9.3083659768637255E-5</c:v>
                </c:pt>
                <c:pt idx="38">
                  <c:v>9.2393590234817708E-5</c:v>
                </c:pt>
                <c:pt idx="39">
                  <c:v>9.1706665306011813E-5</c:v>
                </c:pt>
                <c:pt idx="40">
                  <c:v>9.0974290088748907E-5</c:v>
                </c:pt>
                <c:pt idx="41">
                  <c:v>9.0254072920731526E-5</c:v>
                </c:pt>
                <c:pt idx="42">
                  <c:v>8.949958743193482E-5</c:v>
                </c:pt>
                <c:pt idx="43">
                  <c:v>8.8673067949919247E-5</c:v>
                </c:pt>
                <c:pt idx="44">
                  <c:v>8.7891782944105493E-5</c:v>
                </c:pt>
                <c:pt idx="45">
                  <c:v>8.6955086876757385E-5</c:v>
                </c:pt>
                <c:pt idx="46">
                  <c:v>8.6098532712366218E-5</c:v>
                </c:pt>
                <c:pt idx="47">
                  <c:v>8.5259688983560001E-5</c:v>
                </c:pt>
                <c:pt idx="48">
                  <c:v>8.4387167561063132E-5</c:v>
                </c:pt>
                <c:pt idx="49">
                  <c:v>8.3514832433944001E-5</c:v>
                </c:pt>
                <c:pt idx="50">
                  <c:v>8.2472734894313812E-5</c:v>
                </c:pt>
                <c:pt idx="51">
                  <c:v>8.1616603064725069E-5</c:v>
                </c:pt>
                <c:pt idx="52">
                  <c:v>8.060273989030576E-5</c:v>
                </c:pt>
                <c:pt idx="53">
                  <c:v>7.9697141249299183E-5</c:v>
                </c:pt>
                <c:pt idx="54">
                  <c:v>7.8809972844908849E-5</c:v>
                </c:pt>
                <c:pt idx="55">
                  <c:v>7.7749456902959292E-5</c:v>
                </c:pt>
                <c:pt idx="56">
                  <c:v>7.6775727059712643E-5</c:v>
                </c:pt>
                <c:pt idx="57">
                  <c:v>7.5820179775749642E-5</c:v>
                </c:pt>
                <c:pt idx="58">
                  <c:v>7.4877635456126936E-5</c:v>
                </c:pt>
                <c:pt idx="59">
                  <c:v>7.3724445311233581E-5</c:v>
                </c:pt>
                <c:pt idx="60">
                  <c:v>7.2839246929161294E-5</c:v>
                </c:pt>
                <c:pt idx="61">
                  <c:v>7.1991133969589432E-5</c:v>
                </c:pt>
                <c:pt idx="62">
                  <c:v>7.1205573084736587E-5</c:v>
                </c:pt>
                <c:pt idx="63">
                  <c:v>7.0163336699174603E-5</c:v>
                </c:pt>
                <c:pt idx="64">
                  <c:v>6.9100120307307586E-5</c:v>
                </c:pt>
                <c:pt idx="65">
                  <c:v>6.8191466378298324E-5</c:v>
                </c:pt>
                <c:pt idx="66">
                  <c:v>6.7129235770008674E-5</c:v>
                </c:pt>
                <c:pt idx="67">
                  <c:v>6.6244719966006434E-5</c:v>
                </c:pt>
                <c:pt idx="68">
                  <c:v>6.5517714084727943E-5</c:v>
                </c:pt>
                <c:pt idx="69">
                  <c:v>6.4569055388306E-5</c:v>
                </c:pt>
                <c:pt idx="70">
                  <c:v>6.3543513225127339E-5</c:v>
                </c:pt>
                <c:pt idx="71">
                  <c:v>6.2381431091388482E-5</c:v>
                </c:pt>
                <c:pt idx="72">
                  <c:v>6.1739444771140639E-5</c:v>
                </c:pt>
                <c:pt idx="73">
                  <c:v>6.0653473511998793E-5</c:v>
                </c:pt>
                <c:pt idx="74">
                  <c:v>5.9664951458090879E-5</c:v>
                </c:pt>
                <c:pt idx="75">
                  <c:v>5.8846068448249237E-5</c:v>
                </c:pt>
                <c:pt idx="76">
                  <c:v>5.7694295928513513E-5</c:v>
                </c:pt>
                <c:pt idx="77">
                  <c:v>5.7182462396706891E-5</c:v>
                </c:pt>
                <c:pt idx="78">
                  <c:v>5.6177927857325506E-5</c:v>
                </c:pt>
                <c:pt idx="79">
                  <c:v>5.5338515467812881E-5</c:v>
                </c:pt>
                <c:pt idx="80">
                  <c:v>5.4873458525637565E-5</c:v>
                </c:pt>
                <c:pt idx="81">
                  <c:v>5.3716929592342676E-5</c:v>
                </c:pt>
                <c:pt idx="82">
                  <c:v>5.2920525143491336E-5</c:v>
                </c:pt>
                <c:pt idx="83">
                  <c:v>5.1468841014870222E-5</c:v>
                </c:pt>
                <c:pt idx="84">
                  <c:v>5.0578339861410318E-5</c:v>
                </c:pt>
                <c:pt idx="85">
                  <c:v>4.9843489728683452E-5</c:v>
                </c:pt>
                <c:pt idx="86">
                  <c:v>4.9423805201470506E-5</c:v>
                </c:pt>
                <c:pt idx="87">
                  <c:v>4.8588303564317966E-5</c:v>
                </c:pt>
                <c:pt idx="88">
                  <c:v>4.7664409491323855E-5</c:v>
                </c:pt>
                <c:pt idx="89">
                  <c:v>4.6862124610607179E-5</c:v>
                </c:pt>
                <c:pt idx="90">
                  <c:v>4.6215714094030493E-5</c:v>
                </c:pt>
                <c:pt idx="91">
                  <c:v>4.5183453528127513E-5</c:v>
                </c:pt>
                <c:pt idx="92">
                  <c:v>4.4565392773674368E-5</c:v>
                </c:pt>
                <c:pt idx="93">
                  <c:v>4.3447482310240309E-5</c:v>
                </c:pt>
                <c:pt idx="94">
                  <c:v>4.3164635933065412E-5</c:v>
                </c:pt>
                <c:pt idx="95">
                  <c:v>4.2465746207744881E-5</c:v>
                </c:pt>
                <c:pt idx="96">
                  <c:v>4.2220142474866329E-5</c:v>
                </c:pt>
                <c:pt idx="97">
                  <c:v>4.1430284808520411E-5</c:v>
                </c:pt>
                <c:pt idx="98">
                  <c:v>4.0854041846528994E-5</c:v>
                </c:pt>
                <c:pt idx="99">
                  <c:v>3.9911143051121524E-5</c:v>
                </c:pt>
                <c:pt idx="100">
                  <c:v>4.0837580794746412E-5</c:v>
                </c:pt>
                <c:pt idx="101">
                  <c:v>3.9143293827483125E-5</c:v>
                </c:pt>
                <c:pt idx="102">
                  <c:v>3.9490522587345796E-5</c:v>
                </c:pt>
                <c:pt idx="103">
                  <c:v>3.812132167041941E-5</c:v>
                </c:pt>
                <c:pt idx="104">
                  <c:v>3.7830535056575261E-5</c:v>
                </c:pt>
                <c:pt idx="105">
                  <c:v>3.7251561637489913E-5</c:v>
                </c:pt>
                <c:pt idx="106">
                  <c:v>3.6685534386214904E-5</c:v>
                </c:pt>
                <c:pt idx="107">
                  <c:v>3.7583911184049263E-5</c:v>
                </c:pt>
                <c:pt idx="108">
                  <c:v>3.7727252204722045E-5</c:v>
                </c:pt>
                <c:pt idx="109">
                  <c:v>3.536641677108524E-5</c:v>
                </c:pt>
                <c:pt idx="110">
                  <c:v>3.6354150259216119E-5</c:v>
                </c:pt>
                <c:pt idx="111">
                  <c:v>3.5593179731830984E-5</c:v>
                </c:pt>
                <c:pt idx="112">
                  <c:v>3.5201895976138636E-5</c:v>
                </c:pt>
                <c:pt idx="113">
                  <c:v>3.449476000824402E-5</c:v>
                </c:pt>
                <c:pt idx="114">
                  <c:v>3.580346251737864E-5</c:v>
                </c:pt>
                <c:pt idx="115">
                  <c:v>3.5592738840319736E-5</c:v>
                </c:pt>
                <c:pt idx="116">
                  <c:v>3.6095691079722845E-5</c:v>
                </c:pt>
                <c:pt idx="117">
                  <c:v>3.3580358146575107E-5</c:v>
                </c:pt>
                <c:pt idx="118">
                  <c:v>3.4854276128818665E-5</c:v>
                </c:pt>
                <c:pt idx="119">
                  <c:v>3.3716266598861633E-5</c:v>
                </c:pt>
                <c:pt idx="120">
                  <c:v>3.5845750798735615E-5</c:v>
                </c:pt>
                <c:pt idx="121">
                  <c:v>3.5446782641958327E-5</c:v>
                </c:pt>
                <c:pt idx="122">
                  <c:v>3.8331120322149558E-5</c:v>
                </c:pt>
                <c:pt idx="123">
                  <c:v>0</c:v>
                </c:pt>
                <c:pt idx="124">
                  <c:v>0</c:v>
                </c:pt>
              </c:numCache>
            </c:numRef>
          </c:yVal>
          <c:smooth val="0"/>
        </c:ser>
        <c:ser>
          <c:idx val="12"/>
          <c:order val="12"/>
          <c:tx>
            <c:strRef>
              <c:f>Plots!$X$1</c:f>
              <c:strCache>
                <c:ptCount val="1"/>
                <c:pt idx="0">
                  <c:v>65</c:v>
                </c:pt>
              </c:strCache>
            </c:strRef>
          </c:tx>
          <c:spPr>
            <a:ln w="28575">
              <a:noFill/>
            </a:ln>
          </c:spPr>
          <c:marker>
            <c:symbol val="diamond"/>
            <c:size val="7"/>
            <c:spPr>
              <a:solidFill>
                <a:schemeClr val="tx2">
                  <a:lumMod val="60000"/>
                  <a:lumOff val="40000"/>
                </a:schemeClr>
              </a:solidFill>
              <a:ln>
                <a:noFill/>
              </a:ln>
            </c:spPr>
          </c:marker>
          <c:xVal>
            <c:numRef>
              <c:f>Plots!$X$3:$X$127</c:f>
              <c:numCache>
                <c:formatCode>General</c:formatCode>
                <c:ptCount val="125"/>
                <c:pt idx="0">
                  <c:v>7565841804155300</c:v>
                </c:pt>
                <c:pt idx="1">
                  <c:v>2.738501715302124E+16</c:v>
                </c:pt>
                <c:pt idx="2">
                  <c:v>3.8078414765823184E+16</c:v>
                </c:pt>
                <c:pt idx="3">
                  <c:v>4.2415709355329072E+16</c:v>
                </c:pt>
                <c:pt idx="4">
                  <c:v>4.2252887478711064E+16</c:v>
                </c:pt>
                <c:pt idx="5">
                  <c:v>4.0949945154202984E+16</c:v>
                </c:pt>
                <c:pt idx="6">
                  <c:v>3.9332214405695456E+16</c:v>
                </c:pt>
                <c:pt idx="7">
                  <c:v>3.766234926509988E+16</c:v>
                </c:pt>
                <c:pt idx="8">
                  <c:v>3.597093858957424E+16</c:v>
                </c:pt>
                <c:pt idx="9">
                  <c:v>3.4294680523644108E+16</c:v>
                </c:pt>
                <c:pt idx="10">
                  <c:v>3.2648410842608896E+16</c:v>
                </c:pt>
                <c:pt idx="11">
                  <c:v>3.1046283769154836E+16</c:v>
                </c:pt>
                <c:pt idx="12">
                  <c:v>2.9488430485059992E+16</c:v>
                </c:pt>
                <c:pt idx="13">
                  <c:v>2.7986409302385104E+16</c:v>
                </c:pt>
                <c:pt idx="14">
                  <c:v>2.654493912441552E+16</c:v>
                </c:pt>
                <c:pt idx="15">
                  <c:v>2.5163686972006484E+16</c:v>
                </c:pt>
                <c:pt idx="16">
                  <c:v>2.3833853873395004E+16</c:v>
                </c:pt>
                <c:pt idx="17">
                  <c:v>2.2559257822349864E+16</c:v>
                </c:pt>
                <c:pt idx="18">
                  <c:v>2.133312045865078E+16</c:v>
                </c:pt>
                <c:pt idx="19">
                  <c:v>2.0164492522350924E+16</c:v>
                </c:pt>
                <c:pt idx="20">
                  <c:v>1.9050526154334492E+16</c:v>
                </c:pt>
                <c:pt idx="21">
                  <c:v>1.799130170461181E+16</c:v>
                </c:pt>
                <c:pt idx="22">
                  <c:v>1.6986955627279374E+16</c:v>
                </c:pt>
                <c:pt idx="23">
                  <c:v>1.6030826996530156E+16</c:v>
                </c:pt>
                <c:pt idx="24">
                  <c:v>1.5122974653555946E+16</c:v>
                </c:pt>
                <c:pt idx="25">
                  <c:v>1.4260301653207026E+16</c:v>
                </c:pt>
                <c:pt idx="26">
                  <c:v>1.3444432298532742E+16</c:v>
                </c:pt>
                <c:pt idx="27">
                  <c:v>1.2667293081587426E+16</c:v>
                </c:pt>
                <c:pt idx="28">
                  <c:v>1.193715392637213E+16</c:v>
                </c:pt>
                <c:pt idx="29">
                  <c:v>1.125221139034201E+16</c:v>
                </c:pt>
                <c:pt idx="30">
                  <c:v>1.0597149003055426E+16</c:v>
                </c:pt>
                <c:pt idx="31">
                  <c:v>9982167377333728</c:v>
                </c:pt>
                <c:pt idx="32">
                  <c:v>9399381448272492</c:v>
                </c:pt>
                <c:pt idx="33">
                  <c:v>8846350649734431</c:v>
                </c:pt>
                <c:pt idx="34">
                  <c:v>8326548138688342</c:v>
                </c:pt>
                <c:pt idx="35">
                  <c:v>7839224183907838</c:v>
                </c:pt>
                <c:pt idx="36">
                  <c:v>7375043364422782</c:v>
                </c:pt>
                <c:pt idx="37">
                  <c:v>6941119278516136</c:v>
                </c:pt>
                <c:pt idx="38">
                  <c:v>6527356937468605</c:v>
                </c:pt>
                <c:pt idx="39">
                  <c:v>6138759875348875</c:v>
                </c:pt>
                <c:pt idx="40">
                  <c:v>5772185234914032</c:v>
                </c:pt>
                <c:pt idx="41">
                  <c:v>5428539027921159</c:v>
                </c:pt>
                <c:pt idx="42">
                  <c:v>5107259784469212</c:v>
                </c:pt>
                <c:pt idx="43">
                  <c:v>4806721344770856</c:v>
                </c:pt>
                <c:pt idx="44">
                  <c:v>4518628706582146</c:v>
                </c:pt>
                <c:pt idx="45">
                  <c:v>4247989788699058</c:v>
                </c:pt>
                <c:pt idx="46">
                  <c:v>3993561139025419</c:v>
                </c:pt>
                <c:pt idx="47">
                  <c:v>3751286276858217.5</c:v>
                </c:pt>
                <c:pt idx="48">
                  <c:v>3525614094036759</c:v>
                </c:pt>
                <c:pt idx="49">
                  <c:v>3314786409855577.5</c:v>
                </c:pt>
                <c:pt idx="50">
                  <c:v>3116243217833103.5</c:v>
                </c:pt>
                <c:pt idx="51">
                  <c:v>2924973126422076.5</c:v>
                </c:pt>
                <c:pt idx="52">
                  <c:v>2748882233442933.5</c:v>
                </c:pt>
                <c:pt idx="53">
                  <c:v>2581419898885032.5</c:v>
                </c:pt>
                <c:pt idx="54">
                  <c:v>2425320728851411.5</c:v>
                </c:pt>
                <c:pt idx="55">
                  <c:v>2277213682858390</c:v>
                </c:pt>
                <c:pt idx="56">
                  <c:v>2140384226951084.2</c:v>
                </c:pt>
                <c:pt idx="57">
                  <c:v>2007993830778583</c:v>
                </c:pt>
                <c:pt idx="58">
                  <c:v>1886354329432707</c:v>
                </c:pt>
                <c:pt idx="59">
                  <c:v>1772452256493963.2</c:v>
                </c:pt>
                <c:pt idx="60">
                  <c:v>1665526771123515.2</c:v>
                </c:pt>
                <c:pt idx="61">
                  <c:v>1558237977087884.5</c:v>
                </c:pt>
                <c:pt idx="62">
                  <c:v>1461677569198681.7</c:v>
                </c:pt>
                <c:pt idx="63">
                  <c:v>1371694597089720.8</c:v>
                </c:pt>
                <c:pt idx="64">
                  <c:v>1288389771688755.7</c:v>
                </c:pt>
                <c:pt idx="65">
                  <c:v>1206542530502746.7</c:v>
                </c:pt>
                <c:pt idx="66">
                  <c:v>1136106917881792.5</c:v>
                </c:pt>
                <c:pt idx="67">
                  <c:v>1067833298679284.9</c:v>
                </c:pt>
                <c:pt idx="68">
                  <c:v>1002519333819481.6</c:v>
                </c:pt>
                <c:pt idx="69">
                  <c:v>938214047112472.25</c:v>
                </c:pt>
                <c:pt idx="70">
                  <c:v>878077825127041.87</c:v>
                </c:pt>
                <c:pt idx="71">
                  <c:v>825323006213303.62</c:v>
                </c:pt>
                <c:pt idx="72">
                  <c:v>773230083570816.37</c:v>
                </c:pt>
                <c:pt idx="73">
                  <c:v>726232960631785.5</c:v>
                </c:pt>
                <c:pt idx="74">
                  <c:v>680237288749727.87</c:v>
                </c:pt>
                <c:pt idx="75">
                  <c:v>636300304750012.87</c:v>
                </c:pt>
                <c:pt idx="76">
                  <c:v>596057774969350.12</c:v>
                </c:pt>
                <c:pt idx="77">
                  <c:v>556147691561983.56</c:v>
                </c:pt>
                <c:pt idx="78">
                  <c:v>524343320350493.75</c:v>
                </c:pt>
                <c:pt idx="79">
                  <c:v>491964037248977.87</c:v>
                </c:pt>
                <c:pt idx="80">
                  <c:v>460153516095892.06</c:v>
                </c:pt>
                <c:pt idx="81">
                  <c:v>427605194474180.87</c:v>
                </c:pt>
                <c:pt idx="82">
                  <c:v>399165571307144.5</c:v>
                </c:pt>
                <c:pt idx="83">
                  <c:v>376113050344900.5</c:v>
                </c:pt>
                <c:pt idx="84">
                  <c:v>351099595899249.75</c:v>
                </c:pt>
                <c:pt idx="85">
                  <c:v>330814378551015.37</c:v>
                </c:pt>
                <c:pt idx="86">
                  <c:v>306576215956176.75</c:v>
                </c:pt>
                <c:pt idx="87">
                  <c:v>288475210553740.56</c:v>
                </c:pt>
                <c:pt idx="88">
                  <c:v>266659505909746.69</c:v>
                </c:pt>
                <c:pt idx="89">
                  <c:v>249338156296765.97</c:v>
                </c:pt>
                <c:pt idx="90">
                  <c:v>236362330288789.97</c:v>
                </c:pt>
                <c:pt idx="91">
                  <c:v>219541870450927.91</c:v>
                </c:pt>
                <c:pt idx="92">
                  <c:v>206233795528831.81</c:v>
                </c:pt>
                <c:pt idx="93">
                  <c:v>192807727702663.41</c:v>
                </c:pt>
                <c:pt idx="94">
                  <c:v>179889377499720.06</c:v>
                </c:pt>
                <c:pt idx="95">
                  <c:v>168395618177768.97</c:v>
                </c:pt>
                <c:pt idx="96">
                  <c:v>157404471876939.37</c:v>
                </c:pt>
                <c:pt idx="97">
                  <c:v>145572139698325.78</c:v>
                </c:pt>
                <c:pt idx="98">
                  <c:v>138334514932123.25</c:v>
                </c:pt>
                <c:pt idx="99">
                  <c:v>127339675471558.08</c:v>
                </c:pt>
                <c:pt idx="100">
                  <c:v>119950406014855.55</c:v>
                </c:pt>
                <c:pt idx="101">
                  <c:v>111651699713573.95</c:v>
                </c:pt>
                <c:pt idx="102">
                  <c:v>102934311030037.52</c:v>
                </c:pt>
                <c:pt idx="103">
                  <c:v>94387739495072.484</c:v>
                </c:pt>
                <c:pt idx="104">
                  <c:v>92431966129225.641</c:v>
                </c:pt>
                <c:pt idx="105">
                  <c:v>84187005591679.812</c:v>
                </c:pt>
                <c:pt idx="106">
                  <c:v>79302238970013.344</c:v>
                </c:pt>
                <c:pt idx="107">
                  <c:v>75754241202081.687</c:v>
                </c:pt>
                <c:pt idx="108">
                  <c:v>73151072252442.875</c:v>
                </c:pt>
                <c:pt idx="109">
                  <c:v>62939605360227.797</c:v>
                </c:pt>
                <c:pt idx="110">
                  <c:v>59982409643848.883</c:v>
                </c:pt>
                <c:pt idx="111">
                  <c:v>58650412104931.562</c:v>
                </c:pt>
                <c:pt idx="112">
                  <c:v>56051865693215.828</c:v>
                </c:pt>
                <c:pt idx="113">
                  <c:v>46930775317628.625</c:v>
                </c:pt>
                <c:pt idx="114">
                  <c:v>46119771253025.953</c:v>
                </c:pt>
                <c:pt idx="115">
                  <c:v>43979139131170.687</c:v>
                </c:pt>
                <c:pt idx="116">
                  <c:v>42065964245424.648</c:v>
                </c:pt>
                <c:pt idx="117">
                  <c:v>41060916680621.789</c:v>
                </c:pt>
                <c:pt idx="118">
                  <c:v>36620926926745.219</c:v>
                </c:pt>
                <c:pt idx="119">
                  <c:v>33252154445647.07</c:v>
                </c:pt>
                <c:pt idx="120">
                  <c:v>30953200208288.23</c:v>
                </c:pt>
                <c:pt idx="121">
                  <c:v>29658294539833.184</c:v>
                </c:pt>
                <c:pt idx="122">
                  <c:v>28331353220591.906</c:v>
                </c:pt>
                <c:pt idx="123">
                  <c:v>26131094722194.648</c:v>
                </c:pt>
                <c:pt idx="124">
                  <c:v>27684116250285.309</c:v>
                </c:pt>
              </c:numCache>
            </c:numRef>
          </c:xVal>
          <c:yVal>
            <c:numRef>
              <c:f>Plots!$Y$3:$Y$127</c:f>
              <c:numCache>
                <c:formatCode>General</c:formatCode>
                <c:ptCount val="125"/>
                <c:pt idx="0">
                  <c:v>0</c:v>
                </c:pt>
                <c:pt idx="1">
                  <c:v>0</c:v>
                </c:pt>
                <c:pt idx="2">
                  <c:v>9.3732640268540162E-5</c:v>
                </c:pt>
                <c:pt idx="3">
                  <c:v>8.920299430967121E-5</c:v>
                </c:pt>
                <c:pt idx="4">
                  <c:v>8.5128513938318771E-5</c:v>
                </c:pt>
                <c:pt idx="5">
                  <c:v>8.3668164080806843E-5</c:v>
                </c:pt>
                <c:pt idx="6">
                  <c:v>8.4392431627919049E-5</c:v>
                </c:pt>
                <c:pt idx="7">
                  <c:v>8.5604740580580627E-5</c:v>
                </c:pt>
                <c:pt idx="8">
                  <c:v>8.6698073845341547E-5</c:v>
                </c:pt>
                <c:pt idx="9">
                  <c:v>8.7643485547503097E-5</c:v>
                </c:pt>
                <c:pt idx="10">
                  <c:v>8.8484309773841305E-5</c:v>
                </c:pt>
                <c:pt idx="11">
                  <c:v>8.9214343444232407E-5</c:v>
                </c:pt>
                <c:pt idx="12">
                  <c:v>8.985744423069142E-5</c:v>
                </c:pt>
                <c:pt idx="13">
                  <c:v>9.0387046541521573E-5</c:v>
                </c:pt>
                <c:pt idx="14">
                  <c:v>9.0864514958716473E-5</c:v>
                </c:pt>
                <c:pt idx="15">
                  <c:v>9.1277790509274739E-5</c:v>
                </c:pt>
                <c:pt idx="16">
                  <c:v>9.158660337763052E-5</c:v>
                </c:pt>
                <c:pt idx="17">
                  <c:v>9.1817226155394845E-5</c:v>
                </c:pt>
                <c:pt idx="18">
                  <c:v>9.1963637122935681E-5</c:v>
                </c:pt>
                <c:pt idx="19">
                  <c:v>9.2043134955331266E-5</c:v>
                </c:pt>
                <c:pt idx="20">
                  <c:v>9.2048918940243083E-5</c:v>
                </c:pt>
                <c:pt idx="21">
                  <c:v>9.2000066896281686E-5</c:v>
                </c:pt>
                <c:pt idx="22">
                  <c:v>9.1882908809849491E-5</c:v>
                </c:pt>
                <c:pt idx="23">
                  <c:v>9.1737808168390438E-5</c:v>
                </c:pt>
                <c:pt idx="24">
                  <c:v>9.1504404975303939E-5</c:v>
                </c:pt>
                <c:pt idx="25">
                  <c:v>9.1207245068856575E-5</c:v>
                </c:pt>
                <c:pt idx="26">
                  <c:v>9.086949733975159E-5</c:v>
                </c:pt>
                <c:pt idx="27">
                  <c:v>9.0470282915639219E-5</c:v>
                </c:pt>
                <c:pt idx="28">
                  <c:v>9.0179418967676909E-5</c:v>
                </c:pt>
                <c:pt idx="29">
                  <c:v>8.9820543100505327E-5</c:v>
                </c:pt>
                <c:pt idx="30">
                  <c:v>8.9339665705330765E-5</c:v>
                </c:pt>
                <c:pt idx="31">
                  <c:v>8.8802366254726303E-5</c:v>
                </c:pt>
                <c:pt idx="32">
                  <c:v>8.8218879710549105E-5</c:v>
                </c:pt>
                <c:pt idx="33">
                  <c:v>8.7594324391287529E-5</c:v>
                </c:pt>
                <c:pt idx="34">
                  <c:v>8.6943036171849842E-5</c:v>
                </c:pt>
                <c:pt idx="35">
                  <c:v>8.6327975327273821E-5</c:v>
                </c:pt>
                <c:pt idx="36">
                  <c:v>8.5603773323004157E-5</c:v>
                </c:pt>
                <c:pt idx="37">
                  <c:v>8.4867285103147524E-5</c:v>
                </c:pt>
                <c:pt idx="38">
                  <c:v>8.4120195180373045E-5</c:v>
                </c:pt>
                <c:pt idx="39">
                  <c:v>8.3341155754487731E-5</c:v>
                </c:pt>
                <c:pt idx="40">
                  <c:v>8.2575668747570356E-5</c:v>
                </c:pt>
                <c:pt idx="41">
                  <c:v>8.1773547836816782E-5</c:v>
                </c:pt>
                <c:pt idx="42">
                  <c:v>8.1004394374602838E-5</c:v>
                </c:pt>
                <c:pt idx="43">
                  <c:v>8.0185731128444535E-5</c:v>
                </c:pt>
                <c:pt idx="44">
                  <c:v>7.93036798770043E-5</c:v>
                </c:pt>
                <c:pt idx="45">
                  <c:v>7.8394646191068368E-5</c:v>
                </c:pt>
                <c:pt idx="46">
                  <c:v>7.7525284665046988E-5</c:v>
                </c:pt>
                <c:pt idx="47">
                  <c:v>7.6622036563657957E-5</c:v>
                </c:pt>
                <c:pt idx="48">
                  <c:v>7.5710886327394892E-5</c:v>
                </c:pt>
                <c:pt idx="49">
                  <c:v>7.4849318415712824E-5</c:v>
                </c:pt>
                <c:pt idx="50">
                  <c:v>7.3973235030035505E-5</c:v>
                </c:pt>
                <c:pt idx="51">
                  <c:v>7.2930268763700621E-5</c:v>
                </c:pt>
                <c:pt idx="52">
                  <c:v>7.201963249962905E-5</c:v>
                </c:pt>
                <c:pt idx="53">
                  <c:v>7.1109511223156797E-5</c:v>
                </c:pt>
                <c:pt idx="54">
                  <c:v>7.0158653896674466E-5</c:v>
                </c:pt>
                <c:pt idx="55">
                  <c:v>6.9218782318152588E-5</c:v>
                </c:pt>
                <c:pt idx="56">
                  <c:v>6.8296844380061542E-5</c:v>
                </c:pt>
                <c:pt idx="57">
                  <c:v>6.7300826341233202E-5</c:v>
                </c:pt>
                <c:pt idx="58">
                  <c:v>6.6420444184529399E-5</c:v>
                </c:pt>
                <c:pt idx="59">
                  <c:v>6.5614700818157994E-5</c:v>
                </c:pt>
                <c:pt idx="60">
                  <c:v>6.4733043944150692E-5</c:v>
                </c:pt>
                <c:pt idx="61">
                  <c:v>6.3665880541823153E-5</c:v>
                </c:pt>
                <c:pt idx="62">
                  <c:v>6.2764842218527312E-5</c:v>
                </c:pt>
                <c:pt idx="63">
                  <c:v>6.1869903117230631E-5</c:v>
                </c:pt>
                <c:pt idx="64">
                  <c:v>6.1049488012205724E-5</c:v>
                </c:pt>
                <c:pt idx="65">
                  <c:v>6.0030248607171063E-5</c:v>
                </c:pt>
                <c:pt idx="66">
                  <c:v>5.9336351233140746E-5</c:v>
                </c:pt>
                <c:pt idx="67">
                  <c:v>5.8575118895087014E-5</c:v>
                </c:pt>
                <c:pt idx="68">
                  <c:v>5.7705069228547961E-5</c:v>
                </c:pt>
                <c:pt idx="69">
                  <c:v>5.6729959653810497E-5</c:v>
                </c:pt>
                <c:pt idx="70">
                  <c:v>5.571389816146223E-5</c:v>
                </c:pt>
                <c:pt idx="71">
                  <c:v>5.4966284599035218E-5</c:v>
                </c:pt>
                <c:pt idx="72">
                  <c:v>5.4092021864328602E-5</c:v>
                </c:pt>
                <c:pt idx="73">
                  <c:v>5.3345350358035761E-5</c:v>
                </c:pt>
                <c:pt idx="74">
                  <c:v>5.2399392326150717E-5</c:v>
                </c:pt>
                <c:pt idx="75">
                  <c:v>5.1452582047236514E-5</c:v>
                </c:pt>
                <c:pt idx="76">
                  <c:v>5.0710296295735594E-5</c:v>
                </c:pt>
                <c:pt idx="77">
                  <c:v>4.9736687873937558E-5</c:v>
                </c:pt>
                <c:pt idx="78">
                  <c:v>4.9272527802243045E-5</c:v>
                </c:pt>
                <c:pt idx="79">
                  <c:v>4.8571678777368913E-5</c:v>
                </c:pt>
                <c:pt idx="80">
                  <c:v>4.7666704032203833E-5</c:v>
                </c:pt>
                <c:pt idx="81">
                  <c:v>4.6558718603540229E-5</c:v>
                </c:pt>
                <c:pt idx="82">
                  <c:v>4.5659973663002903E-5</c:v>
                </c:pt>
                <c:pt idx="83">
                  <c:v>4.5259843511859239E-5</c:v>
                </c:pt>
                <c:pt idx="84">
                  <c:v>4.443203746876174E-5</c:v>
                </c:pt>
                <c:pt idx="85">
                  <c:v>4.3925648647035027E-5</c:v>
                </c:pt>
                <c:pt idx="86">
                  <c:v>4.2708542535979838E-5</c:v>
                </c:pt>
                <c:pt idx="87">
                  <c:v>4.2268152699005291E-5</c:v>
                </c:pt>
                <c:pt idx="88">
                  <c:v>4.1240818521069959E-5</c:v>
                </c:pt>
                <c:pt idx="89">
                  <c:v>4.0655198721819697E-5</c:v>
                </c:pt>
                <c:pt idx="90">
                  <c:v>4.0673199478954976E-5</c:v>
                </c:pt>
                <c:pt idx="91">
                  <c:v>3.9614063733033374E-5</c:v>
                </c:pt>
                <c:pt idx="92">
                  <c:v>3.9270783457228084E-5</c:v>
                </c:pt>
                <c:pt idx="93">
                  <c:v>3.8799559167974421E-5</c:v>
                </c:pt>
                <c:pt idx="94">
                  <c:v>3.7999417517488803E-5</c:v>
                </c:pt>
                <c:pt idx="95">
                  <c:v>3.7380977032064016E-5</c:v>
                </c:pt>
                <c:pt idx="96">
                  <c:v>3.7014631503843143E-5</c:v>
                </c:pt>
                <c:pt idx="97">
                  <c:v>3.5939955983389153E-5</c:v>
                </c:pt>
                <c:pt idx="98">
                  <c:v>3.6072953787747515E-5</c:v>
                </c:pt>
                <c:pt idx="99">
                  <c:v>3.5234007637081744E-5</c:v>
                </c:pt>
                <c:pt idx="100">
                  <c:v>3.4886670060960796E-5</c:v>
                </c:pt>
                <c:pt idx="101">
                  <c:v>3.4189141405673575E-5</c:v>
                </c:pt>
                <c:pt idx="102">
                  <c:v>3.3465219586121102E-5</c:v>
                </c:pt>
                <c:pt idx="103">
                  <c:v>3.2521298349352028E-5</c:v>
                </c:pt>
                <c:pt idx="104">
                  <c:v>3.3509650015170189E-5</c:v>
                </c:pt>
                <c:pt idx="105">
                  <c:v>3.2581908786918208E-5</c:v>
                </c:pt>
                <c:pt idx="106">
                  <c:v>3.2337650443747412E-5</c:v>
                </c:pt>
                <c:pt idx="107">
                  <c:v>3.2692300963741984E-5</c:v>
                </c:pt>
                <c:pt idx="108">
                  <c:v>3.3326096151545268E-5</c:v>
                </c:pt>
                <c:pt idx="109">
                  <c:v>3.0593473263971398E-5</c:v>
                </c:pt>
                <c:pt idx="110">
                  <c:v>3.103321266768139E-5</c:v>
                </c:pt>
                <c:pt idx="111">
                  <c:v>3.189050102146487E-5</c:v>
                </c:pt>
                <c:pt idx="112">
                  <c:v>3.2514466229363324E-5</c:v>
                </c:pt>
                <c:pt idx="113">
                  <c:v>2.9225385227530643E-5</c:v>
                </c:pt>
                <c:pt idx="114">
                  <c:v>3.0412011152044277E-5</c:v>
                </c:pt>
                <c:pt idx="115">
                  <c:v>3.1396926113164817E-5</c:v>
                </c:pt>
                <c:pt idx="116">
                  <c:v>3.1428200889418047E-5</c:v>
                </c:pt>
                <c:pt idx="117">
                  <c:v>3.2584452298390993E-5</c:v>
                </c:pt>
                <c:pt idx="118">
                  <c:v>3.0953628953904034E-5</c:v>
                </c:pt>
                <c:pt idx="119">
                  <c:v>2.9809287881908238E-5</c:v>
                </c:pt>
                <c:pt idx="120">
                  <c:v>3.0024217899997222E-5</c:v>
                </c:pt>
                <c:pt idx="121">
                  <c:v>3.0444568025893325E-5</c:v>
                </c:pt>
                <c:pt idx="122">
                  <c:v>3.1459636622149499E-5</c:v>
                </c:pt>
                <c:pt idx="123">
                  <c:v>0</c:v>
                </c:pt>
                <c:pt idx="124">
                  <c:v>0</c:v>
                </c:pt>
              </c:numCache>
            </c:numRef>
          </c:yVal>
          <c:smooth val="0"/>
        </c:ser>
        <c:ser>
          <c:idx val="13"/>
          <c:order val="13"/>
          <c:tx>
            <c:strRef>
              <c:f>Plots!$Z$1</c:f>
              <c:strCache>
                <c:ptCount val="1"/>
                <c:pt idx="0">
                  <c:v>55</c:v>
                </c:pt>
              </c:strCache>
            </c:strRef>
          </c:tx>
          <c:spPr>
            <a:ln w="28575">
              <a:noFill/>
            </a:ln>
          </c:spPr>
          <c:marker>
            <c:symbol val="diamond"/>
            <c:size val="7"/>
            <c:spPr>
              <a:solidFill>
                <a:srgbClr val="0070C0"/>
              </a:solidFill>
              <a:ln>
                <a:noFill/>
              </a:ln>
            </c:spPr>
          </c:marker>
          <c:xVal>
            <c:numRef>
              <c:f>Plots!$Z$3:$Z$127</c:f>
              <c:numCache>
                <c:formatCode>General</c:formatCode>
                <c:ptCount val="125"/>
                <c:pt idx="0">
                  <c:v>1971905908464600</c:v>
                </c:pt>
                <c:pt idx="1">
                  <c:v>1.9742263050865956E+16</c:v>
                </c:pt>
                <c:pt idx="2">
                  <c:v>3.365984226694176E+16</c:v>
                </c:pt>
                <c:pt idx="3">
                  <c:v>4.0666876125602344E+16</c:v>
                </c:pt>
                <c:pt idx="4">
                  <c:v>4.1609755541308288E+16</c:v>
                </c:pt>
                <c:pt idx="5">
                  <c:v>4.0566165756272936E+16</c:v>
                </c:pt>
                <c:pt idx="6">
                  <c:v>3.9010803016052328E+16</c:v>
                </c:pt>
                <c:pt idx="7">
                  <c:v>3.7349913671264152E+16</c:v>
                </c:pt>
                <c:pt idx="8">
                  <c:v>3.5638656479652812E+16</c:v>
                </c:pt>
                <c:pt idx="9">
                  <c:v>3.3961748340187108E+16</c:v>
                </c:pt>
                <c:pt idx="10">
                  <c:v>3.2286643410512756E+16</c:v>
                </c:pt>
                <c:pt idx="11">
                  <c:v>3.0661872741253832E+16</c:v>
                </c:pt>
                <c:pt idx="12">
                  <c:v>2.9083320443874492E+16</c:v>
                </c:pt>
                <c:pt idx="13">
                  <c:v>2.7554878127987248E+16</c:v>
                </c:pt>
                <c:pt idx="14">
                  <c:v>2.6095971564037876E+16</c:v>
                </c:pt>
                <c:pt idx="15">
                  <c:v>2.4686278835579184E+16</c:v>
                </c:pt>
                <c:pt idx="16">
                  <c:v>2.3357098364881352E+16</c:v>
                </c:pt>
                <c:pt idx="17">
                  <c:v>2.2069323747111096E+16</c:v>
                </c:pt>
                <c:pt idx="18">
                  <c:v>2.083302200239284E+16</c:v>
                </c:pt>
                <c:pt idx="19">
                  <c:v>1.9669585829918472E+16</c:v>
                </c:pt>
                <c:pt idx="20">
                  <c:v>1.8557767150406964E+16</c:v>
                </c:pt>
                <c:pt idx="21">
                  <c:v>1.7497042502111576E+16</c:v>
                </c:pt>
                <c:pt idx="22">
                  <c:v>1.6491509988497378E+16</c:v>
                </c:pt>
                <c:pt idx="23">
                  <c:v>1.5540977146762602E+16</c:v>
                </c:pt>
                <c:pt idx="24">
                  <c:v>1.4634302562794686E+16</c:v>
                </c:pt>
                <c:pt idx="25">
                  <c:v>1.3778201957879882E+16</c:v>
                </c:pt>
                <c:pt idx="26">
                  <c:v>1.2969490369932988E+16</c:v>
                </c:pt>
                <c:pt idx="27">
                  <c:v>1.2209711122239922E+16</c:v>
                </c:pt>
                <c:pt idx="28">
                  <c:v>1.1488660888425376E+16</c:v>
                </c:pt>
                <c:pt idx="29">
                  <c:v>1.081179394135705E+16</c:v>
                </c:pt>
                <c:pt idx="30">
                  <c:v>1.0175516675305976E+16</c:v>
                </c:pt>
                <c:pt idx="31">
                  <c:v>9568168771644478</c:v>
                </c:pt>
                <c:pt idx="32">
                  <c:v>8996557515700738</c:v>
                </c:pt>
                <c:pt idx="33">
                  <c:v>8461051318686814</c:v>
                </c:pt>
                <c:pt idx="34">
                  <c:v>7960056144995165</c:v>
                </c:pt>
                <c:pt idx="35">
                  <c:v>7481787413153376</c:v>
                </c:pt>
                <c:pt idx="36">
                  <c:v>7033451166503162</c:v>
                </c:pt>
                <c:pt idx="37">
                  <c:v>6611933110770728</c:v>
                </c:pt>
                <c:pt idx="38">
                  <c:v>6214365038920637</c:v>
                </c:pt>
                <c:pt idx="39">
                  <c:v>5835975060342848</c:v>
                </c:pt>
                <c:pt idx="40">
                  <c:v>5486764860184468</c:v>
                </c:pt>
                <c:pt idx="41">
                  <c:v>5155011401512875</c:v>
                </c:pt>
                <c:pt idx="42">
                  <c:v>4845779576191345</c:v>
                </c:pt>
                <c:pt idx="43">
                  <c:v>4552040699326873</c:v>
                </c:pt>
                <c:pt idx="44">
                  <c:v>4277303399171193</c:v>
                </c:pt>
                <c:pt idx="45">
                  <c:v>4016395475427875</c:v>
                </c:pt>
                <c:pt idx="46">
                  <c:v>3772109317679065.5</c:v>
                </c:pt>
                <c:pt idx="47">
                  <c:v>3537322522562459.5</c:v>
                </c:pt>
                <c:pt idx="48">
                  <c:v>3323342538535315</c:v>
                </c:pt>
                <c:pt idx="49">
                  <c:v>3121430949376782</c:v>
                </c:pt>
                <c:pt idx="50">
                  <c:v>2927956365438691</c:v>
                </c:pt>
                <c:pt idx="51">
                  <c:v>2750615597745355</c:v>
                </c:pt>
                <c:pt idx="52">
                  <c:v>2582216852541174.5</c:v>
                </c:pt>
                <c:pt idx="53">
                  <c:v>2417683467931821</c:v>
                </c:pt>
                <c:pt idx="54">
                  <c:v>2272241642057476</c:v>
                </c:pt>
                <c:pt idx="55">
                  <c:v>2131824785717582</c:v>
                </c:pt>
                <c:pt idx="56">
                  <c:v>1999831371497317.7</c:v>
                </c:pt>
                <c:pt idx="57">
                  <c:v>1874567920004991.2</c:v>
                </c:pt>
                <c:pt idx="58">
                  <c:v>1758815752349403.2</c:v>
                </c:pt>
                <c:pt idx="59">
                  <c:v>1648821259235025.5</c:v>
                </c:pt>
                <c:pt idx="60">
                  <c:v>1542957316366785.7</c:v>
                </c:pt>
                <c:pt idx="61">
                  <c:v>1448590383347330</c:v>
                </c:pt>
                <c:pt idx="62">
                  <c:v>1357866952157551.7</c:v>
                </c:pt>
                <c:pt idx="63">
                  <c:v>1273757981264236.2</c:v>
                </c:pt>
                <c:pt idx="64">
                  <c:v>1192767935153911.2</c:v>
                </c:pt>
                <c:pt idx="65">
                  <c:v>1117549533028412.5</c:v>
                </c:pt>
                <c:pt idx="66">
                  <c:v>1049291905960543</c:v>
                </c:pt>
                <c:pt idx="67">
                  <c:v>984628372566214</c:v>
                </c:pt>
                <c:pt idx="68">
                  <c:v>927103927134133</c:v>
                </c:pt>
                <c:pt idx="69">
                  <c:v>866470613909136.12</c:v>
                </c:pt>
                <c:pt idx="70">
                  <c:v>810906986938017.62</c:v>
                </c:pt>
                <c:pt idx="71">
                  <c:v>760401280574749.75</c:v>
                </c:pt>
                <c:pt idx="72">
                  <c:v>712866316756456.25</c:v>
                </c:pt>
                <c:pt idx="73">
                  <c:v>668018138554375.5</c:v>
                </c:pt>
                <c:pt idx="74">
                  <c:v>624888670853128</c:v>
                </c:pt>
                <c:pt idx="75">
                  <c:v>585528570922884.87</c:v>
                </c:pt>
                <c:pt idx="76">
                  <c:v>547693485096479.62</c:v>
                </c:pt>
                <c:pt idx="77">
                  <c:v>514534474264850.06</c:v>
                </c:pt>
                <c:pt idx="78">
                  <c:v>482931265038150.19</c:v>
                </c:pt>
                <c:pt idx="79">
                  <c:v>451710573249831.87</c:v>
                </c:pt>
                <c:pt idx="80">
                  <c:v>422818795973028.56</c:v>
                </c:pt>
                <c:pt idx="81">
                  <c:v>393516110509785.31</c:v>
                </c:pt>
                <c:pt idx="82">
                  <c:v>367746499827386.19</c:v>
                </c:pt>
                <c:pt idx="83">
                  <c:v>346741592401656.44</c:v>
                </c:pt>
                <c:pt idx="84">
                  <c:v>328108492141304.75</c:v>
                </c:pt>
                <c:pt idx="85">
                  <c:v>303958515897008.19</c:v>
                </c:pt>
                <c:pt idx="86">
                  <c:v>283676206649318.62</c:v>
                </c:pt>
                <c:pt idx="87">
                  <c:v>265505253337107.53</c:v>
                </c:pt>
                <c:pt idx="88">
                  <c:v>249190089836032.19</c:v>
                </c:pt>
                <c:pt idx="89">
                  <c:v>235929878353780.28</c:v>
                </c:pt>
                <c:pt idx="90">
                  <c:v>221169004837690.12</c:v>
                </c:pt>
                <c:pt idx="91">
                  <c:v>204326347870612.28</c:v>
                </c:pt>
                <c:pt idx="92">
                  <c:v>191331920196486.41</c:v>
                </c:pt>
                <c:pt idx="93">
                  <c:v>180940969474048.72</c:v>
                </c:pt>
                <c:pt idx="94">
                  <c:v>170775179955861.19</c:v>
                </c:pt>
                <c:pt idx="95">
                  <c:v>157573390317036.31</c:v>
                </c:pt>
                <c:pt idx="96">
                  <c:v>150901313275625.78</c:v>
                </c:pt>
                <c:pt idx="97">
                  <c:v>140824171285597.37</c:v>
                </c:pt>
                <c:pt idx="98">
                  <c:v>131309462610054.12</c:v>
                </c:pt>
                <c:pt idx="99">
                  <c:v>123795453838294.64</c:v>
                </c:pt>
                <c:pt idx="100">
                  <c:v>111876524987228.75</c:v>
                </c:pt>
                <c:pt idx="101">
                  <c:v>106641269902939.83</c:v>
                </c:pt>
                <c:pt idx="102">
                  <c:v>96057000116639.734</c:v>
                </c:pt>
                <c:pt idx="103">
                  <c:v>94131210352739.734</c:v>
                </c:pt>
                <c:pt idx="104">
                  <c:v>85423704841269.766</c:v>
                </c:pt>
                <c:pt idx="105">
                  <c:v>80874828278731.484</c:v>
                </c:pt>
                <c:pt idx="106">
                  <c:v>77456685071983.094</c:v>
                </c:pt>
                <c:pt idx="107">
                  <c:v>72210430141149.297</c:v>
                </c:pt>
                <c:pt idx="108">
                  <c:v>65717215797741.219</c:v>
                </c:pt>
                <c:pt idx="109">
                  <c:v>63097214957383.539</c:v>
                </c:pt>
                <c:pt idx="110">
                  <c:v>59473105271969.867</c:v>
                </c:pt>
                <c:pt idx="111">
                  <c:v>55028708126304.141</c:v>
                </c:pt>
                <c:pt idx="112">
                  <c:v>50982242583159.102</c:v>
                </c:pt>
                <c:pt idx="113">
                  <c:v>49218272765353.461</c:v>
                </c:pt>
                <c:pt idx="114">
                  <c:v>41103067870416.336</c:v>
                </c:pt>
                <c:pt idx="115">
                  <c:v>39128748919764.375</c:v>
                </c:pt>
                <c:pt idx="116">
                  <c:v>37792647735136.43</c:v>
                </c:pt>
                <c:pt idx="117">
                  <c:v>35364008779599.133</c:v>
                </c:pt>
                <c:pt idx="118">
                  <c:v>34028563569476.602</c:v>
                </c:pt>
                <c:pt idx="119">
                  <c:v>33391296740368.91</c:v>
                </c:pt>
                <c:pt idx="120">
                  <c:v>31510238710566.637</c:v>
                </c:pt>
                <c:pt idx="121">
                  <c:v>25112531920012.066</c:v>
                </c:pt>
                <c:pt idx="122">
                  <c:v>22537211529625.367</c:v>
                </c:pt>
                <c:pt idx="123">
                  <c:v>20992494546241.551</c:v>
                </c:pt>
                <c:pt idx="124">
                  <c:v>20962228449426.48</c:v>
                </c:pt>
              </c:numCache>
            </c:numRef>
          </c:xVal>
          <c:yVal>
            <c:numRef>
              <c:f>Plots!$AA$3:$AA$127</c:f>
              <c:numCache>
                <c:formatCode>General</c:formatCode>
                <c:ptCount val="125"/>
                <c:pt idx="0">
                  <c:v>0</c:v>
                </c:pt>
                <c:pt idx="1">
                  <c:v>0</c:v>
                </c:pt>
                <c:pt idx="2">
                  <c:v>9.0409835916860641E-5</c:v>
                </c:pt>
                <c:pt idx="3">
                  <c:v>8.9156160996190295E-5</c:v>
                </c:pt>
                <c:pt idx="4">
                  <c:v>8.4607829276273178E-5</c:v>
                </c:pt>
                <c:pt idx="5">
                  <c:v>8.1957904162874266E-5</c:v>
                </c:pt>
                <c:pt idx="6">
                  <c:v>8.2006095400608136E-5</c:v>
                </c:pt>
                <c:pt idx="7">
                  <c:v>8.3030818400038381E-5</c:v>
                </c:pt>
                <c:pt idx="8">
                  <c:v>8.4024765247586524E-5</c:v>
                </c:pt>
                <c:pt idx="9">
                  <c:v>8.4887351580490065E-5</c:v>
                </c:pt>
                <c:pt idx="10">
                  <c:v>8.5619130847971599E-5</c:v>
                </c:pt>
                <c:pt idx="11">
                  <c:v>8.6223346615569462E-5</c:v>
                </c:pt>
                <c:pt idx="12">
                  <c:v>8.6754747512131177E-5</c:v>
                </c:pt>
                <c:pt idx="13">
                  <c:v>8.7165575653389793E-5</c:v>
                </c:pt>
                <c:pt idx="14">
                  <c:v>8.7526098826841271E-5</c:v>
                </c:pt>
                <c:pt idx="15">
                  <c:v>8.7774381626519655E-5</c:v>
                </c:pt>
                <c:pt idx="16">
                  <c:v>8.8017634825122409E-5</c:v>
                </c:pt>
                <c:pt idx="17">
                  <c:v>8.8126753298046394E-5</c:v>
                </c:pt>
                <c:pt idx="18">
                  <c:v>8.8138476220901908E-5</c:v>
                </c:pt>
                <c:pt idx="19">
                  <c:v>8.8172391223796234E-5</c:v>
                </c:pt>
                <c:pt idx="20">
                  <c:v>8.8085938374983275E-5</c:v>
                </c:pt>
                <c:pt idx="21">
                  <c:v>8.792190971418487E-5</c:v>
                </c:pt>
                <c:pt idx="22">
                  <c:v>8.7696144399527202E-5</c:v>
                </c:pt>
                <c:pt idx="23">
                  <c:v>8.7444429628818088E-5</c:v>
                </c:pt>
                <c:pt idx="24">
                  <c:v>8.7103689439496361E-5</c:v>
                </c:pt>
                <c:pt idx="25">
                  <c:v>8.6729821647188752E-5</c:v>
                </c:pt>
                <c:pt idx="26">
                  <c:v>8.6298387642066158E-5</c:v>
                </c:pt>
                <c:pt idx="27">
                  <c:v>8.5858797131954699E-5</c:v>
                </c:pt>
                <c:pt idx="28">
                  <c:v>8.5414679563049773E-5</c:v>
                </c:pt>
                <c:pt idx="29">
                  <c:v>8.5019266289845745E-5</c:v>
                </c:pt>
                <c:pt idx="30">
                  <c:v>8.4497316758011382E-5</c:v>
                </c:pt>
                <c:pt idx="31">
                  <c:v>8.3877416505259518E-5</c:v>
                </c:pt>
                <c:pt idx="32">
                  <c:v>8.3229954994112977E-5</c:v>
                </c:pt>
                <c:pt idx="33">
                  <c:v>8.2593974689096347E-5</c:v>
                </c:pt>
                <c:pt idx="34">
                  <c:v>8.197369105652076E-5</c:v>
                </c:pt>
                <c:pt idx="35">
                  <c:v>8.1200726019766274E-5</c:v>
                </c:pt>
                <c:pt idx="36">
                  <c:v>8.0490446528999171E-5</c:v>
                </c:pt>
                <c:pt idx="37">
                  <c:v>7.9727369490081615E-5</c:v>
                </c:pt>
                <c:pt idx="38">
                  <c:v>7.8933421280223757E-5</c:v>
                </c:pt>
                <c:pt idx="39">
                  <c:v>7.8125782633729662E-5</c:v>
                </c:pt>
                <c:pt idx="40">
                  <c:v>7.7380087409377216E-5</c:v>
                </c:pt>
                <c:pt idx="41">
                  <c:v>7.6552999590649384E-5</c:v>
                </c:pt>
                <c:pt idx="42">
                  <c:v>7.5737749926741023E-5</c:v>
                </c:pt>
                <c:pt idx="43">
                  <c:v>7.4898698125151818E-5</c:v>
                </c:pt>
                <c:pt idx="44">
                  <c:v>7.405757036938982E-5</c:v>
                </c:pt>
                <c:pt idx="45">
                  <c:v>7.3123851826260974E-5</c:v>
                </c:pt>
                <c:pt idx="46">
                  <c:v>7.2216031326807699E-5</c:v>
                </c:pt>
                <c:pt idx="47">
                  <c:v>7.1284678206851997E-5</c:v>
                </c:pt>
                <c:pt idx="48">
                  <c:v>7.043262460431611E-5</c:v>
                </c:pt>
                <c:pt idx="49">
                  <c:v>6.9568230421868674E-5</c:v>
                </c:pt>
                <c:pt idx="50">
                  <c:v>6.8569819786844244E-5</c:v>
                </c:pt>
                <c:pt idx="51">
                  <c:v>6.7711282302727936E-5</c:v>
                </c:pt>
                <c:pt idx="52">
                  <c:v>6.6768283775178535E-5</c:v>
                </c:pt>
                <c:pt idx="53">
                  <c:v>6.5723023774031511E-5</c:v>
                </c:pt>
                <c:pt idx="54">
                  <c:v>6.4894145218874041E-5</c:v>
                </c:pt>
                <c:pt idx="55">
                  <c:v>6.3920473925434512E-5</c:v>
                </c:pt>
                <c:pt idx="56">
                  <c:v>6.3056929793604781E-5</c:v>
                </c:pt>
                <c:pt idx="57">
                  <c:v>6.2044821150778793E-5</c:v>
                </c:pt>
                <c:pt idx="58">
                  <c:v>6.1170526893102254E-5</c:v>
                </c:pt>
                <c:pt idx="59">
                  <c:v>6.0287482825523297E-5</c:v>
                </c:pt>
                <c:pt idx="60">
                  <c:v>5.9271261634689427E-5</c:v>
                </c:pt>
                <c:pt idx="61">
                  <c:v>5.849573210573079E-5</c:v>
                </c:pt>
                <c:pt idx="62">
                  <c:v>5.7651169095582691E-5</c:v>
                </c:pt>
                <c:pt idx="63">
                  <c:v>5.6790791739580015E-5</c:v>
                </c:pt>
                <c:pt idx="64">
                  <c:v>5.5807609214835455E-5</c:v>
                </c:pt>
                <c:pt idx="65">
                  <c:v>5.4938746934372082E-5</c:v>
                </c:pt>
                <c:pt idx="66">
                  <c:v>5.415354171797436E-5</c:v>
                </c:pt>
                <c:pt idx="67">
                  <c:v>5.3359314182924145E-5</c:v>
                </c:pt>
                <c:pt idx="68">
                  <c:v>5.2703704053046346E-5</c:v>
                </c:pt>
                <c:pt idx="69">
                  <c:v>5.178016282301906E-5</c:v>
                </c:pt>
                <c:pt idx="70">
                  <c:v>5.0859315120359245E-5</c:v>
                </c:pt>
                <c:pt idx="71">
                  <c:v>5.0038837377713927E-5</c:v>
                </c:pt>
                <c:pt idx="72">
                  <c:v>4.9299830617194603E-5</c:v>
                </c:pt>
                <c:pt idx="73">
                  <c:v>4.8505566490323201E-5</c:v>
                </c:pt>
                <c:pt idx="74">
                  <c:v>4.7555383083200932E-5</c:v>
                </c:pt>
                <c:pt idx="75">
                  <c:v>4.6833777100913136E-5</c:v>
                </c:pt>
                <c:pt idx="76">
                  <c:v>4.6094682061502996E-5</c:v>
                </c:pt>
                <c:pt idx="77">
                  <c:v>4.5469102051226364E-5</c:v>
                </c:pt>
                <c:pt idx="78">
                  <c:v>4.4868181348996385E-5</c:v>
                </c:pt>
                <c:pt idx="79">
                  <c:v>4.403974377598987E-5</c:v>
                </c:pt>
                <c:pt idx="80">
                  <c:v>4.3238541683069664E-5</c:v>
                </c:pt>
                <c:pt idx="81">
                  <c:v>4.2442597050391756E-5</c:v>
                </c:pt>
                <c:pt idx="82">
                  <c:v>4.1720620453461768E-5</c:v>
                </c:pt>
                <c:pt idx="83">
                  <c:v>4.1274579147961066E-5</c:v>
                </c:pt>
                <c:pt idx="84">
                  <c:v>4.1062233376356103E-5</c:v>
                </c:pt>
                <c:pt idx="85">
                  <c:v>3.9818852001350389E-5</c:v>
                </c:pt>
                <c:pt idx="86">
                  <c:v>3.9062582531546255E-5</c:v>
                </c:pt>
                <c:pt idx="87">
                  <c:v>3.8567493373286187E-5</c:v>
                </c:pt>
                <c:pt idx="88">
                  <c:v>3.8164294107190508E-5</c:v>
                </c:pt>
                <c:pt idx="89">
                  <c:v>3.8045112666329892E-5</c:v>
                </c:pt>
                <c:pt idx="90">
                  <c:v>3.7469247004588986E-5</c:v>
                </c:pt>
                <c:pt idx="91">
                  <c:v>3.6321190281174633E-5</c:v>
                </c:pt>
                <c:pt idx="92">
                  <c:v>3.5886270195317172E-5</c:v>
                </c:pt>
                <c:pt idx="93">
                  <c:v>3.5799890688653428E-5</c:v>
                </c:pt>
                <c:pt idx="94">
                  <c:v>3.5672266193140223E-5</c:v>
                </c:pt>
                <c:pt idx="95">
                  <c:v>3.4567799877827699E-5</c:v>
                </c:pt>
                <c:pt idx="96">
                  <c:v>3.4920567073396403E-5</c:v>
                </c:pt>
                <c:pt idx="97">
                  <c:v>3.4395970707252845E-5</c:v>
                </c:pt>
                <c:pt idx="98">
                  <c:v>3.3702148027960769E-5</c:v>
                </c:pt>
                <c:pt idx="99">
                  <c:v>3.3656375728394033E-5</c:v>
                </c:pt>
                <c:pt idx="100">
                  <c:v>3.2170407395471306E-5</c:v>
                </c:pt>
                <c:pt idx="101">
                  <c:v>3.2579196416967558E-5</c:v>
                </c:pt>
                <c:pt idx="102">
                  <c:v>3.1009177625520697E-5</c:v>
                </c:pt>
                <c:pt idx="103">
                  <c:v>3.2211497228649463E-5</c:v>
                </c:pt>
                <c:pt idx="104">
                  <c:v>3.0901789641635419E-5</c:v>
                </c:pt>
                <c:pt idx="105">
                  <c:v>3.1032487787745048E-5</c:v>
                </c:pt>
                <c:pt idx="106">
                  <c:v>3.1626443735066918E-5</c:v>
                </c:pt>
                <c:pt idx="107">
                  <c:v>3.0830163024551494E-5</c:v>
                </c:pt>
                <c:pt idx="108">
                  <c:v>2.9785458387482791E-5</c:v>
                </c:pt>
                <c:pt idx="109">
                  <c:v>3.0392155243591335E-5</c:v>
                </c:pt>
                <c:pt idx="110">
                  <c:v>3.0468207286526834E-5</c:v>
                </c:pt>
                <c:pt idx="111">
                  <c:v>3.0012098645452246E-5</c:v>
                </c:pt>
                <c:pt idx="112">
                  <c:v>2.9526562981796101E-5</c:v>
                </c:pt>
                <c:pt idx="113">
                  <c:v>3.0461957943549221E-5</c:v>
                </c:pt>
                <c:pt idx="114">
                  <c:v>2.6735253231195023E-5</c:v>
                </c:pt>
                <c:pt idx="115">
                  <c:v>2.7397408454352974E-5</c:v>
                </c:pt>
                <c:pt idx="116">
                  <c:v>2.8294440774782403E-5</c:v>
                </c:pt>
                <c:pt idx="117">
                  <c:v>2.8298321069927239E-5</c:v>
                </c:pt>
                <c:pt idx="118">
                  <c:v>2.8804020721252816E-5</c:v>
                </c:pt>
                <c:pt idx="119">
                  <c:v>3.0005966242014475E-5</c:v>
                </c:pt>
                <c:pt idx="120">
                  <c:v>2.97337348104298E-5</c:v>
                </c:pt>
                <c:pt idx="121">
                  <c:v>2.5148175818857571E-5</c:v>
                </c:pt>
                <c:pt idx="122">
                  <c:v>2.4453449578280993E-5</c:v>
                </c:pt>
                <c:pt idx="123">
                  <c:v>0</c:v>
                </c:pt>
                <c:pt idx="124">
                  <c:v>0</c:v>
                </c:pt>
              </c:numCache>
            </c:numRef>
          </c:yVal>
          <c:smooth val="0"/>
        </c:ser>
        <c:ser>
          <c:idx val="14"/>
          <c:order val="14"/>
          <c:tx>
            <c:strRef>
              <c:f>Plots!$AB$1</c:f>
              <c:strCache>
                <c:ptCount val="1"/>
                <c:pt idx="0">
                  <c:v>45</c:v>
                </c:pt>
              </c:strCache>
            </c:strRef>
          </c:tx>
          <c:spPr>
            <a:ln w="28575">
              <a:noFill/>
            </a:ln>
          </c:spPr>
          <c:marker>
            <c:symbol val="diamond"/>
            <c:size val="7"/>
            <c:spPr>
              <a:solidFill>
                <a:srgbClr val="7030A0"/>
              </a:solidFill>
              <a:ln>
                <a:noFill/>
              </a:ln>
            </c:spPr>
          </c:marker>
          <c:xVal>
            <c:numRef>
              <c:f>Plots!$AB$3:$AB$127</c:f>
              <c:numCache>
                <c:formatCode>General</c:formatCode>
                <c:ptCount val="125"/>
                <c:pt idx="0">
                  <c:v>7244041741688577</c:v>
                </c:pt>
                <c:pt idx="1">
                  <c:v>2.6375386762743972E+16</c:v>
                </c:pt>
                <c:pt idx="2">
                  <c:v>3.6473735296994688E+16</c:v>
                </c:pt>
                <c:pt idx="3">
                  <c:v>4.0337574030895696E+16</c:v>
                </c:pt>
                <c:pt idx="4">
                  <c:v>4.006245664847328E+16</c:v>
                </c:pt>
                <c:pt idx="5">
                  <c:v>3.8704657110360864E+16</c:v>
                </c:pt>
                <c:pt idx="6">
                  <c:v>3.7097722630401752E+16</c:v>
                </c:pt>
                <c:pt idx="7">
                  <c:v>3.543534734095032E+16</c:v>
                </c:pt>
                <c:pt idx="8">
                  <c:v>3.3732706561691752E+16</c:v>
                </c:pt>
                <c:pt idx="9">
                  <c:v>3.2048324510666296E+16</c:v>
                </c:pt>
                <c:pt idx="10">
                  <c:v>3.03977976489585E+16</c:v>
                </c:pt>
                <c:pt idx="11">
                  <c:v>2.8806761960045912E+16</c:v>
                </c:pt>
                <c:pt idx="12">
                  <c:v>2.727112849478766E+16</c:v>
                </c:pt>
                <c:pt idx="13">
                  <c:v>2.5792813827336772E+16</c:v>
                </c:pt>
                <c:pt idx="14">
                  <c:v>2.437127981745992E+16</c:v>
                </c:pt>
                <c:pt idx="15">
                  <c:v>2.3015483586981708E+16</c:v>
                </c:pt>
                <c:pt idx="16">
                  <c:v>2.172826833485738E+16</c:v>
                </c:pt>
                <c:pt idx="17">
                  <c:v>2.0491643266920144E+16</c:v>
                </c:pt>
                <c:pt idx="18">
                  <c:v>1.931098871593842E+16</c:v>
                </c:pt>
                <c:pt idx="19">
                  <c:v>1.8196712771042788E+16</c:v>
                </c:pt>
                <c:pt idx="20">
                  <c:v>1.7137727177373004E+16</c:v>
                </c:pt>
                <c:pt idx="21">
                  <c:v>1.6131028534692852E+16</c:v>
                </c:pt>
                <c:pt idx="22">
                  <c:v>1.5176521357107906E+16</c:v>
                </c:pt>
                <c:pt idx="23">
                  <c:v>1.428151811403134E+16</c:v>
                </c:pt>
                <c:pt idx="24">
                  <c:v>1.3427607805776688E+16</c:v>
                </c:pt>
                <c:pt idx="25">
                  <c:v>1.262674865010698E+16</c:v>
                </c:pt>
                <c:pt idx="26">
                  <c:v>1.1869355850059888E+16</c:v>
                </c:pt>
                <c:pt idx="27">
                  <c:v>1.115593328918093E+16</c:v>
                </c:pt>
                <c:pt idx="28">
                  <c:v>1.0487017800959046E+16</c:v>
                </c:pt>
                <c:pt idx="29">
                  <c:v>9856077054510280</c:v>
                </c:pt>
                <c:pt idx="30">
                  <c:v>9256278935361150</c:v>
                </c:pt>
                <c:pt idx="31">
                  <c:v>8695635500180223</c:v>
                </c:pt>
                <c:pt idx="32">
                  <c:v>8165081027887551</c:v>
                </c:pt>
                <c:pt idx="33">
                  <c:v>7672518409964877</c:v>
                </c:pt>
                <c:pt idx="34">
                  <c:v>7203943540658035</c:v>
                </c:pt>
                <c:pt idx="35">
                  <c:v>6764396528904354</c:v>
                </c:pt>
                <c:pt idx="36">
                  <c:v>6352259615018610</c:v>
                </c:pt>
                <c:pt idx="37">
                  <c:v>5959190330754884</c:v>
                </c:pt>
                <c:pt idx="38">
                  <c:v>5592032664632903</c:v>
                </c:pt>
                <c:pt idx="39">
                  <c:v>5248997573277009</c:v>
                </c:pt>
                <c:pt idx="40">
                  <c:v>4924332695780243</c:v>
                </c:pt>
                <c:pt idx="41">
                  <c:v>4623880633562385</c:v>
                </c:pt>
                <c:pt idx="42">
                  <c:v>4338298480493001</c:v>
                </c:pt>
                <c:pt idx="43">
                  <c:v>4072865501814048</c:v>
                </c:pt>
                <c:pt idx="44">
                  <c:v>3821421204560372.5</c:v>
                </c:pt>
                <c:pt idx="45">
                  <c:v>3586495720332612.5</c:v>
                </c:pt>
                <c:pt idx="46">
                  <c:v>3364010498688498.5</c:v>
                </c:pt>
                <c:pt idx="47">
                  <c:v>3158695095399249.5</c:v>
                </c:pt>
                <c:pt idx="48">
                  <c:v>2958882829586818</c:v>
                </c:pt>
                <c:pt idx="49">
                  <c:v>2775483689437958.5</c:v>
                </c:pt>
                <c:pt idx="50">
                  <c:v>2604117998975277</c:v>
                </c:pt>
                <c:pt idx="51">
                  <c:v>2443276335424529.5</c:v>
                </c:pt>
                <c:pt idx="52">
                  <c:v>2289033624296643.5</c:v>
                </c:pt>
                <c:pt idx="53">
                  <c:v>2145826176576411.7</c:v>
                </c:pt>
                <c:pt idx="54">
                  <c:v>2012659011954270.7</c:v>
                </c:pt>
                <c:pt idx="55">
                  <c:v>1886695523499806.2</c:v>
                </c:pt>
                <c:pt idx="56">
                  <c:v>1767021374273298.2</c:v>
                </c:pt>
                <c:pt idx="57">
                  <c:v>1656242090401518.2</c:v>
                </c:pt>
                <c:pt idx="58">
                  <c:v>1551751046613909.2</c:v>
                </c:pt>
                <c:pt idx="59">
                  <c:v>1451917046588091.2</c:v>
                </c:pt>
                <c:pt idx="60">
                  <c:v>1360895188656769.7</c:v>
                </c:pt>
                <c:pt idx="61">
                  <c:v>1273518930374259</c:v>
                </c:pt>
                <c:pt idx="62">
                  <c:v>1194504952114149.7</c:v>
                </c:pt>
                <c:pt idx="63">
                  <c:v>1118145346238722.6</c:v>
                </c:pt>
                <c:pt idx="64">
                  <c:v>1047913413691851.4</c:v>
                </c:pt>
                <c:pt idx="65">
                  <c:v>981295598415776</c:v>
                </c:pt>
                <c:pt idx="66">
                  <c:v>920538043304723.12</c:v>
                </c:pt>
                <c:pt idx="67">
                  <c:v>861947608932653.37</c:v>
                </c:pt>
                <c:pt idx="68">
                  <c:v>807710225718679.87</c:v>
                </c:pt>
                <c:pt idx="69">
                  <c:v>755496593393900.12</c:v>
                </c:pt>
                <c:pt idx="70">
                  <c:v>709098609817523.25</c:v>
                </c:pt>
                <c:pt idx="71">
                  <c:v>663749250380869</c:v>
                </c:pt>
                <c:pt idx="72">
                  <c:v>621069036704523</c:v>
                </c:pt>
                <c:pt idx="73">
                  <c:v>580805952479762.25</c:v>
                </c:pt>
                <c:pt idx="74">
                  <c:v>544339817717795.5</c:v>
                </c:pt>
                <c:pt idx="75">
                  <c:v>511493639462085.94</c:v>
                </c:pt>
                <c:pt idx="76">
                  <c:v>477956748980410.19</c:v>
                </c:pt>
                <c:pt idx="77">
                  <c:v>446684669818855.44</c:v>
                </c:pt>
                <c:pt idx="78">
                  <c:v>417751816260304.75</c:v>
                </c:pt>
                <c:pt idx="79">
                  <c:v>391232006846498.37</c:v>
                </c:pt>
                <c:pt idx="80">
                  <c:v>365118465188814</c:v>
                </c:pt>
                <c:pt idx="81">
                  <c:v>339965733785679.06</c:v>
                </c:pt>
                <c:pt idx="82">
                  <c:v>319797853539128.5</c:v>
                </c:pt>
                <c:pt idx="83">
                  <c:v>299196896722797.19</c:v>
                </c:pt>
                <c:pt idx="84">
                  <c:v>279650543035323.19</c:v>
                </c:pt>
                <c:pt idx="85">
                  <c:v>261443471850581.31</c:v>
                </c:pt>
                <c:pt idx="86">
                  <c:v>244745296729092.53</c:v>
                </c:pt>
                <c:pt idx="87">
                  <c:v>230100106409078.06</c:v>
                </c:pt>
                <c:pt idx="88">
                  <c:v>216197795558118</c:v>
                </c:pt>
                <c:pt idx="89">
                  <c:v>202456828279596.66</c:v>
                </c:pt>
                <c:pt idx="90">
                  <c:v>188185086188353.06</c:v>
                </c:pt>
                <c:pt idx="91">
                  <c:v>177162261735660.03</c:v>
                </c:pt>
                <c:pt idx="92">
                  <c:v>167966116337203.72</c:v>
                </c:pt>
                <c:pt idx="93">
                  <c:v>157568890620902.16</c:v>
                </c:pt>
                <c:pt idx="94">
                  <c:v>148505109270124.41</c:v>
                </c:pt>
                <c:pt idx="95">
                  <c:v>139104656952409.78</c:v>
                </c:pt>
                <c:pt idx="96">
                  <c:v>129483870611491.67</c:v>
                </c:pt>
                <c:pt idx="97">
                  <c:v>117176735705412.39</c:v>
                </c:pt>
                <c:pt idx="98">
                  <c:v>113078292720161.81</c:v>
                </c:pt>
                <c:pt idx="99">
                  <c:v>106661291953823.28</c:v>
                </c:pt>
                <c:pt idx="100">
                  <c:v>96959257853411.656</c:v>
                </c:pt>
                <c:pt idx="101">
                  <c:v>91554179197431.969</c:v>
                </c:pt>
                <c:pt idx="102">
                  <c:v>85552686623503.812</c:v>
                </c:pt>
                <c:pt idx="103">
                  <c:v>81268620332211.406</c:v>
                </c:pt>
                <c:pt idx="104">
                  <c:v>76700898651127.172</c:v>
                </c:pt>
                <c:pt idx="105">
                  <c:v>71793950427176.062</c:v>
                </c:pt>
                <c:pt idx="106">
                  <c:v>69826267168428.734</c:v>
                </c:pt>
                <c:pt idx="107">
                  <c:v>60592948459446.578</c:v>
                </c:pt>
                <c:pt idx="108">
                  <c:v>57118737344461.43</c:v>
                </c:pt>
                <c:pt idx="109">
                  <c:v>55325390431413.562</c:v>
                </c:pt>
                <c:pt idx="110">
                  <c:v>53504031258705.664</c:v>
                </c:pt>
                <c:pt idx="111">
                  <c:v>47616159672498.5</c:v>
                </c:pt>
                <c:pt idx="112">
                  <c:v>46535793880263.266</c:v>
                </c:pt>
                <c:pt idx="113">
                  <c:v>44290348394724.859</c:v>
                </c:pt>
                <c:pt idx="114">
                  <c:v>39687987298046.57</c:v>
                </c:pt>
                <c:pt idx="115">
                  <c:v>36848615617834.281</c:v>
                </c:pt>
                <c:pt idx="116">
                  <c:v>35259086834375.078</c:v>
                </c:pt>
                <c:pt idx="117">
                  <c:v>32081276863808.434</c:v>
                </c:pt>
                <c:pt idx="118">
                  <c:v>31201966281625.195</c:v>
                </c:pt>
                <c:pt idx="119">
                  <c:v>27714391306977.859</c:v>
                </c:pt>
                <c:pt idx="120">
                  <c:v>28196301252375.047</c:v>
                </c:pt>
                <c:pt idx="121">
                  <c:v>26013948911003.566</c:v>
                </c:pt>
                <c:pt idx="122">
                  <c:v>26467335464072.469</c:v>
                </c:pt>
                <c:pt idx="123">
                  <c:v>25248868860342.312</c:v>
                </c:pt>
                <c:pt idx="124">
                  <c:v>20292777593107.348</c:v>
                </c:pt>
              </c:numCache>
            </c:numRef>
          </c:xVal>
          <c:yVal>
            <c:numRef>
              <c:f>Plots!$AC$3:$AC$127</c:f>
              <c:numCache>
                <c:formatCode>General</c:formatCode>
                <c:ptCount val="125"/>
                <c:pt idx="0">
                  <c:v>0</c:v>
                </c:pt>
                <c:pt idx="1">
                  <c:v>0</c:v>
                </c:pt>
                <c:pt idx="2">
                  <c:v>8.8229950918120747E-5</c:v>
                </c:pt>
                <c:pt idx="3">
                  <c:v>8.4303806643796743E-5</c:v>
                </c:pt>
                <c:pt idx="4">
                  <c:v>8.0718975871471409E-5</c:v>
                </c:pt>
                <c:pt idx="5">
                  <c:v>7.9479383603459398E-5</c:v>
                </c:pt>
                <c:pt idx="6">
                  <c:v>8.0076292640171085E-5</c:v>
                </c:pt>
                <c:pt idx="7">
                  <c:v>8.0986920042056091E-5</c:v>
                </c:pt>
                <c:pt idx="8">
                  <c:v>8.1761063908809294E-5</c:v>
                </c:pt>
                <c:pt idx="9">
                  <c:v>8.2412588558675303E-5</c:v>
                </c:pt>
                <c:pt idx="10">
                  <c:v>8.2928415916007746E-5</c:v>
                </c:pt>
                <c:pt idx="11">
                  <c:v>8.3344803570850289E-5</c:v>
                </c:pt>
                <c:pt idx="12">
                  <c:v>8.3682432211862399E-5</c:v>
                </c:pt>
                <c:pt idx="13">
                  <c:v>8.3917265516433089E-5</c:v>
                </c:pt>
                <c:pt idx="14">
                  <c:v>8.4067015052438306E-5</c:v>
                </c:pt>
                <c:pt idx="15">
                  <c:v>8.4159936328553474E-5</c:v>
                </c:pt>
                <c:pt idx="16">
                  <c:v>8.4209327046744104E-5</c:v>
                </c:pt>
                <c:pt idx="17">
                  <c:v>8.4152677687909238E-5</c:v>
                </c:pt>
                <c:pt idx="18">
                  <c:v>8.4031248362396467E-5</c:v>
                </c:pt>
                <c:pt idx="19">
                  <c:v>8.3872722165134969E-5</c:v>
                </c:pt>
                <c:pt idx="20">
                  <c:v>8.3629394586252231E-5</c:v>
                </c:pt>
                <c:pt idx="21">
                  <c:v>8.3324281422807587E-5</c:v>
                </c:pt>
                <c:pt idx="22">
                  <c:v>8.292722009597324E-5</c:v>
                </c:pt>
                <c:pt idx="23">
                  <c:v>8.2588278041321848E-5</c:v>
                </c:pt>
                <c:pt idx="24">
                  <c:v>8.2120853902438212E-5</c:v>
                </c:pt>
                <c:pt idx="25">
                  <c:v>8.1646026397784441E-5</c:v>
                </c:pt>
                <c:pt idx="26">
                  <c:v>8.1126398286082699E-5</c:v>
                </c:pt>
                <c:pt idx="27">
                  <c:v>8.0580907743885936E-5</c:v>
                </c:pt>
                <c:pt idx="28">
                  <c:v>8.0147483813736948E-5</c:v>
                </c:pt>
                <c:pt idx="29">
                  <c:v>7.9602429981370118E-5</c:v>
                </c:pt>
                <c:pt idx="30">
                  <c:v>7.8941544443051761E-5</c:v>
                </c:pt>
                <c:pt idx="31">
                  <c:v>7.828489465989685E-5</c:v>
                </c:pt>
                <c:pt idx="32">
                  <c:v>7.7586945035916356E-5</c:v>
                </c:pt>
                <c:pt idx="33">
                  <c:v>7.6923370728008441E-5</c:v>
                </c:pt>
                <c:pt idx="34">
                  <c:v>7.6180054896973136E-5</c:v>
                </c:pt>
                <c:pt idx="35">
                  <c:v>7.5411352394994316E-5</c:v>
                </c:pt>
                <c:pt idx="36">
                  <c:v>7.4664626886849806E-5</c:v>
                </c:pt>
                <c:pt idx="37">
                  <c:v>7.3808885590420748E-5</c:v>
                </c:pt>
                <c:pt idx="38">
                  <c:v>7.3018088584925471E-5</c:v>
                </c:pt>
                <c:pt idx="39">
                  <c:v>7.2216184008007861E-5</c:v>
                </c:pt>
                <c:pt idx="40">
                  <c:v>7.1374981662841643E-5</c:v>
                </c:pt>
                <c:pt idx="41">
                  <c:v>7.0545755699306866E-5</c:v>
                </c:pt>
                <c:pt idx="42">
                  <c:v>6.9714488678187682E-5</c:v>
                </c:pt>
                <c:pt idx="43">
                  <c:v>6.887738747018827E-5</c:v>
                </c:pt>
                <c:pt idx="44">
                  <c:v>6.7977228456710218E-5</c:v>
                </c:pt>
                <c:pt idx="45">
                  <c:v>6.713456074996393E-5</c:v>
                </c:pt>
                <c:pt idx="46">
                  <c:v>6.6197089404018941E-5</c:v>
                </c:pt>
                <c:pt idx="47">
                  <c:v>6.5391762297983428E-5</c:v>
                </c:pt>
                <c:pt idx="48">
                  <c:v>6.4397038125598504E-5</c:v>
                </c:pt>
                <c:pt idx="49">
                  <c:v>6.3497741821377606E-5</c:v>
                </c:pt>
                <c:pt idx="50">
                  <c:v>6.264820471611903E-5</c:v>
                </c:pt>
                <c:pt idx="51">
                  <c:v>6.1747196974130383E-5</c:v>
                </c:pt>
                <c:pt idx="52">
                  <c:v>6.0776733311380574E-5</c:v>
                </c:pt>
                <c:pt idx="53">
                  <c:v>5.9888905676988266E-5</c:v>
                </c:pt>
                <c:pt idx="54">
                  <c:v>5.8962459809741168E-5</c:v>
                </c:pt>
                <c:pt idx="55">
                  <c:v>5.8121460002666581E-5</c:v>
                </c:pt>
                <c:pt idx="56">
                  <c:v>5.7140508503167144E-5</c:v>
                </c:pt>
                <c:pt idx="57">
                  <c:v>5.6286492233283094E-5</c:v>
                </c:pt>
                <c:pt idx="58">
                  <c:v>5.5438135994147062E-5</c:v>
                </c:pt>
                <c:pt idx="59">
                  <c:v>5.4439484203575156E-5</c:v>
                </c:pt>
                <c:pt idx="60">
                  <c:v>5.3634512468479119E-5</c:v>
                </c:pt>
                <c:pt idx="61">
                  <c:v>5.2794981810558116E-5</c:v>
                </c:pt>
                <c:pt idx="62">
                  <c:v>5.2032146497063645E-5</c:v>
                </c:pt>
                <c:pt idx="63">
                  <c:v>5.1117989936302418E-5</c:v>
                </c:pt>
                <c:pt idx="64">
                  <c:v>5.0273816312726465E-5</c:v>
                </c:pt>
                <c:pt idx="65">
                  <c:v>4.9446676858631413E-5</c:v>
                </c:pt>
                <c:pt idx="66">
                  <c:v>4.8703855201087529E-5</c:v>
                </c:pt>
                <c:pt idx="67">
                  <c:v>4.7894641337883841E-5</c:v>
                </c:pt>
                <c:pt idx="68">
                  <c:v>4.7180096559339035E-5</c:v>
                </c:pt>
                <c:pt idx="69">
                  <c:v>4.6259966049248509E-5</c:v>
                </c:pt>
                <c:pt idx="70">
                  <c:v>4.5640304988115163E-5</c:v>
                </c:pt>
                <c:pt idx="71">
                  <c:v>4.483123886740212E-5</c:v>
                </c:pt>
                <c:pt idx="72">
                  <c:v>4.4016192632086179E-5</c:v>
                </c:pt>
                <c:pt idx="73">
                  <c:v>4.3203202277328784E-5</c:v>
                </c:pt>
                <c:pt idx="74">
                  <c:v>4.2531688171066244E-5</c:v>
                </c:pt>
                <c:pt idx="75">
                  <c:v>4.1975381746645102E-5</c:v>
                </c:pt>
                <c:pt idx="76">
                  <c:v>4.1206724282794674E-5</c:v>
                </c:pt>
                <c:pt idx="77">
                  <c:v>4.0396675115542372E-5</c:v>
                </c:pt>
                <c:pt idx="78">
                  <c:v>3.9749709167376029E-5</c:v>
                </c:pt>
                <c:pt idx="79">
                  <c:v>3.9116896031916053E-5</c:v>
                </c:pt>
                <c:pt idx="80">
                  <c:v>3.8325499907255677E-5</c:v>
                </c:pt>
                <c:pt idx="81">
                  <c:v>3.7497252512293773E-5</c:v>
                </c:pt>
                <c:pt idx="82">
                  <c:v>3.7047620304947977E-5</c:v>
                </c:pt>
                <c:pt idx="83">
                  <c:v>3.6521784801457692E-5</c:v>
                </c:pt>
                <c:pt idx="84">
                  <c:v>3.5830441481081972E-5</c:v>
                </c:pt>
                <c:pt idx="85">
                  <c:v>3.521716635103938E-5</c:v>
                </c:pt>
                <c:pt idx="86">
                  <c:v>3.4636299543935885E-5</c:v>
                </c:pt>
                <c:pt idx="87">
                  <c:v>3.4243410306908367E-5</c:v>
                </c:pt>
                <c:pt idx="88">
                  <c:v>3.3888449490291753E-5</c:v>
                </c:pt>
                <c:pt idx="89">
                  <c:v>3.3266643657884407E-5</c:v>
                </c:pt>
                <c:pt idx="90">
                  <c:v>3.2590434570038474E-5</c:v>
                </c:pt>
                <c:pt idx="91">
                  <c:v>3.2369071722714913E-5</c:v>
                </c:pt>
                <c:pt idx="92">
                  <c:v>3.2298841290070853E-5</c:v>
                </c:pt>
                <c:pt idx="93">
                  <c:v>3.1942639440911835E-5</c:v>
                </c:pt>
                <c:pt idx="94">
                  <c:v>3.1739938212278554E-5</c:v>
                </c:pt>
                <c:pt idx="95">
                  <c:v>3.1377930064272493E-5</c:v>
                </c:pt>
                <c:pt idx="96">
                  <c:v>3.0854193556588868E-5</c:v>
                </c:pt>
                <c:pt idx="97">
                  <c:v>2.9488207323174141E-5</c:v>
                </c:pt>
                <c:pt idx="98">
                  <c:v>3.0020443596320061E-5</c:v>
                </c:pt>
                <c:pt idx="99">
                  <c:v>3.0030486067330319E-5</c:v>
                </c:pt>
                <c:pt idx="100">
                  <c:v>2.8732615508222022E-5</c:v>
                </c:pt>
                <c:pt idx="101">
                  <c:v>2.8809576900339276E-5</c:v>
                </c:pt>
                <c:pt idx="102">
                  <c:v>2.8422072266602838E-5</c:v>
                </c:pt>
                <c:pt idx="103">
                  <c:v>2.8479564051928299E-5</c:v>
                </c:pt>
                <c:pt idx="104">
                  <c:v>2.8726460698647253E-5</c:v>
                </c:pt>
                <c:pt idx="105">
                  <c:v>2.811133160146693E-5</c:v>
                </c:pt>
                <c:pt idx="106">
                  <c:v>2.8657587365389711E-5</c:v>
                </c:pt>
                <c:pt idx="107">
                  <c:v>2.6638675776931374E-5</c:v>
                </c:pt>
                <c:pt idx="108">
                  <c:v>2.701431434600079E-5</c:v>
                </c:pt>
                <c:pt idx="109">
                  <c:v>2.7609514079930968E-5</c:v>
                </c:pt>
                <c:pt idx="110">
                  <c:v>2.8583111512027667E-5</c:v>
                </c:pt>
                <c:pt idx="111">
                  <c:v>2.6880267477429532E-5</c:v>
                </c:pt>
                <c:pt idx="112">
                  <c:v>2.7600039655093089E-5</c:v>
                </c:pt>
                <c:pt idx="113">
                  <c:v>2.802261711934116E-5</c:v>
                </c:pt>
                <c:pt idx="114">
                  <c:v>2.6661508244448614E-5</c:v>
                </c:pt>
                <c:pt idx="115">
                  <c:v>2.5924039058135731E-5</c:v>
                </c:pt>
                <c:pt idx="116">
                  <c:v>2.6839986170368753E-5</c:v>
                </c:pt>
                <c:pt idx="117">
                  <c:v>2.6129218513160013E-5</c:v>
                </c:pt>
                <c:pt idx="118">
                  <c:v>2.6946380702710909E-5</c:v>
                </c:pt>
                <c:pt idx="119">
                  <c:v>2.5552277399751782E-5</c:v>
                </c:pt>
                <c:pt idx="120">
                  <c:v>2.8161328725008663E-5</c:v>
                </c:pt>
                <c:pt idx="121">
                  <c:v>2.7509347564860976E-5</c:v>
                </c:pt>
                <c:pt idx="122">
                  <c:v>2.988687351026707E-5</c:v>
                </c:pt>
                <c:pt idx="123">
                  <c:v>0</c:v>
                </c:pt>
                <c:pt idx="124">
                  <c:v>0</c:v>
                </c:pt>
              </c:numCache>
            </c:numRef>
          </c:yVal>
          <c:smooth val="0"/>
        </c:ser>
        <c:ser>
          <c:idx val="0"/>
          <c:order val="0"/>
          <c:tx>
            <c:strRef>
              <c:f>Plots!$AD$1</c:f>
              <c:strCache>
                <c:ptCount val="1"/>
                <c:pt idx="0">
                  <c:v>36</c:v>
                </c:pt>
              </c:strCache>
            </c:strRef>
          </c:tx>
          <c:spPr>
            <a:ln w="28575">
              <a:noFill/>
            </a:ln>
          </c:spPr>
          <c:marker>
            <c:spPr>
              <a:solidFill>
                <a:schemeClr val="accent4">
                  <a:lumMod val="50000"/>
                </a:schemeClr>
              </a:solidFill>
              <a:ln>
                <a:noFill/>
              </a:ln>
            </c:spPr>
          </c:marker>
          <c:xVal>
            <c:numRef>
              <c:f>Plots!$AD$3:$AD$127</c:f>
              <c:numCache>
                <c:formatCode>General</c:formatCode>
                <c:ptCount val="125"/>
                <c:pt idx="0">
                  <c:v>1585813847840932</c:v>
                </c:pt>
                <c:pt idx="1">
                  <c:v>1.7946620397315686E+16</c:v>
                </c:pt>
                <c:pt idx="2">
                  <c:v>3.1057351531436408E+16</c:v>
                </c:pt>
                <c:pt idx="3">
                  <c:v>3.749130995981228E+16</c:v>
                </c:pt>
                <c:pt idx="4">
                  <c:v>3.8521615199147376E+16</c:v>
                </c:pt>
                <c:pt idx="5">
                  <c:v>3.762103766298056E+16</c:v>
                </c:pt>
                <c:pt idx="6">
                  <c:v>3.609325828481628E+16</c:v>
                </c:pt>
                <c:pt idx="7">
                  <c:v>3.4442783617619184E+16</c:v>
                </c:pt>
                <c:pt idx="8">
                  <c:v>3.2766308581967968E+16</c:v>
                </c:pt>
                <c:pt idx="9">
                  <c:v>3.1139395240223956E+16</c:v>
                </c:pt>
                <c:pt idx="10">
                  <c:v>2.9539814524043988E+16</c:v>
                </c:pt>
                <c:pt idx="11">
                  <c:v>2.7972546126244968E+16</c:v>
                </c:pt>
                <c:pt idx="12">
                  <c:v>2.6444137059912976E+16</c:v>
                </c:pt>
                <c:pt idx="13">
                  <c:v>2.4978853216424532E+16</c:v>
                </c:pt>
                <c:pt idx="14">
                  <c:v>2.3572833120625148E+16</c:v>
                </c:pt>
                <c:pt idx="15">
                  <c:v>2.2234058352127728E+16</c:v>
                </c:pt>
                <c:pt idx="16">
                  <c:v>2.0955416964534296E+16</c:v>
                </c:pt>
                <c:pt idx="17">
                  <c:v>1.9744806746422804E+16</c:v>
                </c:pt>
                <c:pt idx="18">
                  <c:v>1.8584733535255656E+16</c:v>
                </c:pt>
                <c:pt idx="19">
                  <c:v>1.7487857326777696E+16</c:v>
                </c:pt>
                <c:pt idx="20">
                  <c:v>1.64449797372331E+16</c:v>
                </c:pt>
                <c:pt idx="21">
                  <c:v>1.5453599279889756E+16</c:v>
                </c:pt>
                <c:pt idx="22">
                  <c:v>1.4515752211187E+16</c:v>
                </c:pt>
                <c:pt idx="23">
                  <c:v>1.3635563491500782E+16</c:v>
                </c:pt>
                <c:pt idx="24">
                  <c:v>1.28079547456541E+16</c:v>
                </c:pt>
                <c:pt idx="25">
                  <c:v>1.2021168446407422E+16</c:v>
                </c:pt>
                <c:pt idx="26">
                  <c:v>1.1286356639853162E+16</c:v>
                </c:pt>
                <c:pt idx="27">
                  <c:v>1.0591048500868738E+16</c:v>
                </c:pt>
                <c:pt idx="28">
                  <c:v>9937355682244652</c:v>
                </c:pt>
                <c:pt idx="29">
                  <c:v>9327074789338492</c:v>
                </c:pt>
                <c:pt idx="30">
                  <c:v>8751885941751206</c:v>
                </c:pt>
                <c:pt idx="31">
                  <c:v>8211085607899708</c:v>
                </c:pt>
                <c:pt idx="32">
                  <c:v>7702776773158385</c:v>
                </c:pt>
                <c:pt idx="33">
                  <c:v>7225462401322463</c:v>
                </c:pt>
                <c:pt idx="34">
                  <c:v>6778986480180133</c:v>
                </c:pt>
                <c:pt idx="35">
                  <c:v>6356214088716197</c:v>
                </c:pt>
                <c:pt idx="36">
                  <c:v>5958572383561566</c:v>
                </c:pt>
                <c:pt idx="37">
                  <c:v>5588626583383481</c:v>
                </c:pt>
                <c:pt idx="38">
                  <c:v>5237659456288118</c:v>
                </c:pt>
                <c:pt idx="39">
                  <c:v>4911915810360348</c:v>
                </c:pt>
                <c:pt idx="40">
                  <c:v>4605588315992750</c:v>
                </c:pt>
                <c:pt idx="41">
                  <c:v>4316447224246116</c:v>
                </c:pt>
                <c:pt idx="42">
                  <c:v>4046517035875377.5</c:v>
                </c:pt>
                <c:pt idx="43">
                  <c:v>3794182493212063</c:v>
                </c:pt>
                <c:pt idx="44">
                  <c:v>3558674855277596.5</c:v>
                </c:pt>
                <c:pt idx="45">
                  <c:v>3336572164242186</c:v>
                </c:pt>
                <c:pt idx="46">
                  <c:v>3126180275167651.5</c:v>
                </c:pt>
                <c:pt idx="47">
                  <c:v>2930718886345703</c:v>
                </c:pt>
                <c:pt idx="48">
                  <c:v>2748296996122512</c:v>
                </c:pt>
                <c:pt idx="49">
                  <c:v>2571607112532073.5</c:v>
                </c:pt>
                <c:pt idx="50">
                  <c:v>2412049278914672.5</c:v>
                </c:pt>
                <c:pt idx="51">
                  <c:v>2260974837077971.5</c:v>
                </c:pt>
                <c:pt idx="52">
                  <c:v>2116174838283313.5</c:v>
                </c:pt>
                <c:pt idx="53">
                  <c:v>1985371311989255.7</c:v>
                </c:pt>
                <c:pt idx="54">
                  <c:v>1859120715806837.5</c:v>
                </c:pt>
                <c:pt idx="55">
                  <c:v>1742189326075923.2</c:v>
                </c:pt>
                <c:pt idx="56">
                  <c:v>1630708920677370.2</c:v>
                </c:pt>
                <c:pt idx="57">
                  <c:v>1525925163875375.5</c:v>
                </c:pt>
                <c:pt idx="58">
                  <c:v>1430607535603631.5</c:v>
                </c:pt>
                <c:pt idx="59">
                  <c:v>1339518389352478.2</c:v>
                </c:pt>
                <c:pt idx="60">
                  <c:v>1253746281264723.5</c:v>
                </c:pt>
                <c:pt idx="61">
                  <c:v>1172439449169530.5</c:v>
                </c:pt>
                <c:pt idx="62">
                  <c:v>1100449194920983.6</c:v>
                </c:pt>
                <c:pt idx="63">
                  <c:v>1028893505660453</c:v>
                </c:pt>
                <c:pt idx="64">
                  <c:v>962954435686354.12</c:v>
                </c:pt>
                <c:pt idx="65">
                  <c:v>905684070501619</c:v>
                </c:pt>
                <c:pt idx="66">
                  <c:v>847317248761956.75</c:v>
                </c:pt>
                <c:pt idx="67">
                  <c:v>792547042991893.5</c:v>
                </c:pt>
                <c:pt idx="68">
                  <c:v>741818546500818.5</c:v>
                </c:pt>
                <c:pt idx="69">
                  <c:v>694788462454825.62</c:v>
                </c:pt>
                <c:pt idx="70">
                  <c:v>650349846863213.87</c:v>
                </c:pt>
                <c:pt idx="71">
                  <c:v>609162688596804.62</c:v>
                </c:pt>
                <c:pt idx="72">
                  <c:v>571663035733671.12</c:v>
                </c:pt>
                <c:pt idx="73">
                  <c:v>533576471120106.81</c:v>
                </c:pt>
                <c:pt idx="74">
                  <c:v>500784945466182.62</c:v>
                </c:pt>
                <c:pt idx="75">
                  <c:v>468298682796157</c:v>
                </c:pt>
                <c:pt idx="76">
                  <c:v>437993086364316.56</c:v>
                </c:pt>
                <c:pt idx="77">
                  <c:v>409467643711282.06</c:v>
                </c:pt>
                <c:pt idx="78">
                  <c:v>385130394647316.94</c:v>
                </c:pt>
                <c:pt idx="79">
                  <c:v>358292831120604.62</c:v>
                </c:pt>
                <c:pt idx="80">
                  <c:v>336960160093728.56</c:v>
                </c:pt>
                <c:pt idx="81">
                  <c:v>315529997305188.31</c:v>
                </c:pt>
                <c:pt idx="82">
                  <c:v>294440737399901.81</c:v>
                </c:pt>
                <c:pt idx="83">
                  <c:v>274452361003439.22</c:v>
                </c:pt>
                <c:pt idx="84">
                  <c:v>255858860409469.03</c:v>
                </c:pt>
                <c:pt idx="85">
                  <c:v>240632552311557.34</c:v>
                </c:pt>
                <c:pt idx="86">
                  <c:v>225374426205168.56</c:v>
                </c:pt>
                <c:pt idx="87">
                  <c:v>210219602383287.91</c:v>
                </c:pt>
                <c:pt idx="88">
                  <c:v>197463787436530.72</c:v>
                </c:pt>
                <c:pt idx="89">
                  <c:v>182890367668270.03</c:v>
                </c:pt>
                <c:pt idx="90">
                  <c:v>174507174786691.59</c:v>
                </c:pt>
                <c:pt idx="91">
                  <c:v>160021409738492.75</c:v>
                </c:pt>
                <c:pt idx="92">
                  <c:v>154964569998526.03</c:v>
                </c:pt>
                <c:pt idx="93">
                  <c:v>142066567407636.41</c:v>
                </c:pt>
                <c:pt idx="94">
                  <c:v>133853538134648.84</c:v>
                </c:pt>
                <c:pt idx="95">
                  <c:v>125084744587214.86</c:v>
                </c:pt>
                <c:pt idx="96">
                  <c:v>117234922701682.09</c:v>
                </c:pt>
                <c:pt idx="97">
                  <c:v>109900634619680.64</c:v>
                </c:pt>
                <c:pt idx="98">
                  <c:v>102198674741908.09</c:v>
                </c:pt>
                <c:pt idx="99">
                  <c:v>92927565015643.219</c:v>
                </c:pt>
                <c:pt idx="100">
                  <c:v>89190117007346.062</c:v>
                </c:pt>
                <c:pt idx="101">
                  <c:v>84361218595217.75</c:v>
                </c:pt>
                <c:pt idx="102">
                  <c:v>79560903440725.891</c:v>
                </c:pt>
                <c:pt idx="103">
                  <c:v>74737884917894.734</c:v>
                </c:pt>
                <c:pt idx="104">
                  <c:v>66696097344369.047</c:v>
                </c:pt>
                <c:pt idx="105">
                  <c:v>62652575888201.508</c:v>
                </c:pt>
                <c:pt idx="106">
                  <c:v>60445141227830.18</c:v>
                </c:pt>
                <c:pt idx="107">
                  <c:v>56165648103643.586</c:v>
                </c:pt>
                <c:pt idx="108">
                  <c:v>51091678503776.875</c:v>
                </c:pt>
                <c:pt idx="109">
                  <c:v>48994229251402.117</c:v>
                </c:pt>
                <c:pt idx="110">
                  <c:v>48038648240570.648</c:v>
                </c:pt>
                <c:pt idx="111">
                  <c:v>42095891208204.227</c:v>
                </c:pt>
                <c:pt idx="112">
                  <c:v>37483466503572.437</c:v>
                </c:pt>
                <c:pt idx="113">
                  <c:v>38251955946262.953</c:v>
                </c:pt>
                <c:pt idx="114">
                  <c:v>36609048149113.391</c:v>
                </c:pt>
                <c:pt idx="115">
                  <c:v>33192264130555.344</c:v>
                </c:pt>
                <c:pt idx="116">
                  <c:v>28851351464204.613</c:v>
                </c:pt>
                <c:pt idx="117">
                  <c:v>29010123163501.457</c:v>
                </c:pt>
                <c:pt idx="118">
                  <c:v>26444118510532.32</c:v>
                </c:pt>
                <c:pt idx="119">
                  <c:v>23905831672692.988</c:v>
                </c:pt>
                <c:pt idx="120">
                  <c:v>24196608534582.395</c:v>
                </c:pt>
                <c:pt idx="121">
                  <c:v>22848597579349.918</c:v>
                </c:pt>
                <c:pt idx="122">
                  <c:v>21791588271237.574</c:v>
                </c:pt>
                <c:pt idx="123">
                  <c:v>21104608912749.391</c:v>
                </c:pt>
                <c:pt idx="124">
                  <c:v>20047980639536.109</c:v>
                </c:pt>
              </c:numCache>
            </c:numRef>
          </c:xVal>
          <c:yVal>
            <c:numRef>
              <c:f>Plots!$AE$3:$AE$127</c:f>
              <c:numCache>
                <c:formatCode>General</c:formatCode>
                <c:ptCount val="125"/>
                <c:pt idx="0">
                  <c:v>0</c:v>
                </c:pt>
                <c:pt idx="1">
                  <c:v>0</c:v>
                </c:pt>
                <c:pt idx="2">
                  <c:v>8.3131348036927498E-5</c:v>
                </c:pt>
                <c:pt idx="3">
                  <c:v>8.2757767949408567E-5</c:v>
                </c:pt>
                <c:pt idx="4">
                  <c:v>7.9235917400336629E-5</c:v>
                </c:pt>
                <c:pt idx="5">
                  <c:v>7.7144894482027E-5</c:v>
                </c:pt>
                <c:pt idx="6">
                  <c:v>7.7187165229540978E-5</c:v>
                </c:pt>
                <c:pt idx="7">
                  <c:v>7.78940353994568E-5</c:v>
                </c:pt>
                <c:pt idx="8">
                  <c:v>7.8509721765908003E-5</c:v>
                </c:pt>
                <c:pt idx="9">
                  <c:v>7.9016854382941203E-5</c:v>
                </c:pt>
                <c:pt idx="10">
                  <c:v>7.9455174078902759E-5</c:v>
                </c:pt>
                <c:pt idx="11">
                  <c:v>7.973812289410547E-5</c:v>
                </c:pt>
                <c:pt idx="12">
                  <c:v>7.9929395887211481E-5</c:v>
                </c:pt>
                <c:pt idx="13">
                  <c:v>8.004467415595336E-5</c:v>
                </c:pt>
                <c:pt idx="14">
                  <c:v>8.006232206367512E-5</c:v>
                </c:pt>
                <c:pt idx="15">
                  <c:v>8.0025468036897521E-5</c:v>
                </c:pt>
                <c:pt idx="16">
                  <c:v>7.9911319772795294E-5</c:v>
                </c:pt>
                <c:pt idx="17">
                  <c:v>7.9778916475173293E-5</c:v>
                </c:pt>
                <c:pt idx="18">
                  <c:v>7.9564475533431411E-5</c:v>
                </c:pt>
                <c:pt idx="19">
                  <c:v>7.930345440163162E-5</c:v>
                </c:pt>
                <c:pt idx="20">
                  <c:v>7.8961902581118601E-5</c:v>
                </c:pt>
                <c:pt idx="21">
                  <c:v>7.8547363088688949E-5</c:v>
                </c:pt>
                <c:pt idx="22">
                  <c:v>7.808390035718535E-5</c:v>
                </c:pt>
                <c:pt idx="23">
                  <c:v>7.7630479528918188E-5</c:v>
                </c:pt>
                <c:pt idx="24">
                  <c:v>7.7151576596369711E-5</c:v>
                </c:pt>
                <c:pt idx="25">
                  <c:v>7.6566144688074075E-5</c:v>
                </c:pt>
                <c:pt idx="26">
                  <c:v>7.598832178810085E-5</c:v>
                </c:pt>
                <c:pt idx="27">
                  <c:v>7.5355630128474437E-5</c:v>
                </c:pt>
                <c:pt idx="28">
                  <c:v>7.4800311634470672E-5</c:v>
                </c:pt>
                <c:pt idx="29">
                  <c:v>7.423478851822708E-5</c:v>
                </c:pt>
                <c:pt idx="30">
                  <c:v>7.3565274690259096E-5</c:v>
                </c:pt>
                <c:pt idx="31">
                  <c:v>7.2884110822897356E-5</c:v>
                </c:pt>
                <c:pt idx="32">
                  <c:v>7.2163406097925883E-5</c:v>
                </c:pt>
                <c:pt idx="33">
                  <c:v>7.1413143128643109E-5</c:v>
                </c:pt>
                <c:pt idx="34">
                  <c:v>7.0683678938478789E-5</c:v>
                </c:pt>
                <c:pt idx="35">
                  <c:v>6.987624670647409E-5</c:v>
                </c:pt>
                <c:pt idx="36">
                  <c:v>6.9068138754672557E-5</c:v>
                </c:pt>
                <c:pt idx="37">
                  <c:v>6.8271333423826062E-5</c:v>
                </c:pt>
                <c:pt idx="38">
                  <c:v>6.7424327214984529E-5</c:v>
                </c:pt>
                <c:pt idx="39">
                  <c:v>6.6643089850517535E-5</c:v>
                </c:pt>
                <c:pt idx="40">
                  <c:v>6.5832526509307862E-5</c:v>
                </c:pt>
                <c:pt idx="41">
                  <c:v>6.4967869596071302E-5</c:v>
                </c:pt>
                <c:pt idx="42">
                  <c:v>6.4144293056981068E-5</c:v>
                </c:pt>
                <c:pt idx="43">
                  <c:v>6.3291489975743289E-5</c:v>
                </c:pt>
                <c:pt idx="44">
                  <c:v>6.2470007336934828E-5</c:v>
                </c:pt>
                <c:pt idx="45">
                  <c:v>6.1604939292661054E-5</c:v>
                </c:pt>
                <c:pt idx="46">
                  <c:v>6.0694429951310203E-5</c:v>
                </c:pt>
                <c:pt idx="47">
                  <c:v>5.9853909254501258E-5</c:v>
                </c:pt>
                <c:pt idx="48">
                  <c:v>5.9015497013915074E-5</c:v>
                </c:pt>
                <c:pt idx="49">
                  <c:v>5.8075123798169404E-5</c:v>
                </c:pt>
                <c:pt idx="50">
                  <c:v>5.7238031073326939E-5</c:v>
                </c:pt>
                <c:pt idx="51">
                  <c:v>5.6405111680550536E-5</c:v>
                </c:pt>
                <c:pt idx="52">
                  <c:v>5.5445361752747273E-5</c:v>
                </c:pt>
                <c:pt idx="53">
                  <c:v>5.4670553686769099E-5</c:v>
                </c:pt>
                <c:pt idx="54">
                  <c:v>5.3794750270390493E-5</c:v>
                </c:pt>
                <c:pt idx="55">
                  <c:v>5.2913585560564683E-5</c:v>
                </c:pt>
                <c:pt idx="56">
                  <c:v>5.2057191147203012E-5</c:v>
                </c:pt>
                <c:pt idx="57">
                  <c:v>5.1115107178860067E-5</c:v>
                </c:pt>
                <c:pt idx="58">
                  <c:v>5.0410950211880086E-5</c:v>
                </c:pt>
                <c:pt idx="59">
                  <c:v>4.9585495290902557E-5</c:v>
                </c:pt>
                <c:pt idx="60">
                  <c:v>4.8713664473669717E-5</c:v>
                </c:pt>
                <c:pt idx="61">
                  <c:v>4.7887857736870256E-5</c:v>
                </c:pt>
                <c:pt idx="62">
                  <c:v>4.7274091431943032E-5</c:v>
                </c:pt>
                <c:pt idx="63">
                  <c:v>4.6411497815151406E-5</c:v>
                </c:pt>
                <c:pt idx="64">
                  <c:v>4.5613957172702181E-5</c:v>
                </c:pt>
                <c:pt idx="65">
                  <c:v>4.5004877985856691E-5</c:v>
                </c:pt>
                <c:pt idx="66">
                  <c:v>4.4211319044488772E-5</c:v>
                </c:pt>
                <c:pt idx="67">
                  <c:v>4.3394592461160879E-5</c:v>
                </c:pt>
                <c:pt idx="68">
                  <c:v>4.2659368330524771E-5</c:v>
                </c:pt>
                <c:pt idx="69">
                  <c:v>4.1984981700823887E-5</c:v>
                </c:pt>
                <c:pt idx="70">
                  <c:v>4.126373308496971E-5</c:v>
                </c:pt>
                <c:pt idx="71">
                  <c:v>4.05297328999412E-5</c:v>
                </c:pt>
                <c:pt idx="72">
                  <c:v>3.9945417737897135E-5</c:v>
                </c:pt>
                <c:pt idx="73">
                  <c:v>3.9176013489061829E-5</c:v>
                </c:pt>
                <c:pt idx="74">
                  <c:v>3.8558564043357559E-5</c:v>
                </c:pt>
                <c:pt idx="75">
                  <c:v>3.787402678374081E-5</c:v>
                </c:pt>
                <c:pt idx="76">
                  <c:v>3.7215519789367847E-5</c:v>
                </c:pt>
                <c:pt idx="77">
                  <c:v>3.6585311899331635E-5</c:v>
                </c:pt>
                <c:pt idx="78">
                  <c:v>3.6101939224579206E-5</c:v>
                </c:pt>
                <c:pt idx="79">
                  <c:v>3.5272760100597037E-5</c:v>
                </c:pt>
                <c:pt idx="80">
                  <c:v>3.4861994780288238E-5</c:v>
                </c:pt>
                <c:pt idx="81">
                  <c:v>3.4315913636428291E-5</c:v>
                </c:pt>
                <c:pt idx="82">
                  <c:v>3.3577653591344661E-5</c:v>
                </c:pt>
                <c:pt idx="83">
                  <c:v>3.2958671686905984E-5</c:v>
                </c:pt>
                <c:pt idx="84">
                  <c:v>3.2285955659906983E-5</c:v>
                </c:pt>
                <c:pt idx="85">
                  <c:v>3.1921049143291238E-5</c:v>
                </c:pt>
                <c:pt idx="86">
                  <c:v>3.1489403675666939E-5</c:v>
                </c:pt>
                <c:pt idx="87">
                  <c:v>3.0934390026452594E-5</c:v>
                </c:pt>
                <c:pt idx="88">
                  <c:v>3.0568032498230631E-5</c:v>
                </c:pt>
                <c:pt idx="89">
                  <c:v>2.9780725918426928E-5</c:v>
                </c:pt>
                <c:pt idx="90">
                  <c:v>2.9931757719091154E-5</c:v>
                </c:pt>
                <c:pt idx="91">
                  <c:v>2.8882158639878007E-5</c:v>
                </c:pt>
                <c:pt idx="92">
                  <c:v>2.9468186562644131E-5</c:v>
                </c:pt>
                <c:pt idx="93">
                  <c:v>2.8554436183390928E-5</c:v>
                </c:pt>
                <c:pt idx="94">
                  <c:v>2.8233712113128548E-5</c:v>
                </c:pt>
                <c:pt idx="95">
                  <c:v>2.7850846072839176E-5</c:v>
                </c:pt>
                <c:pt idx="96">
                  <c:v>2.7408544536651809E-5</c:v>
                </c:pt>
                <c:pt idx="97">
                  <c:v>2.716101303726196E-5</c:v>
                </c:pt>
                <c:pt idx="98">
                  <c:v>2.6612089643026948E-5</c:v>
                </c:pt>
                <c:pt idx="99">
                  <c:v>2.561588365859555E-5</c:v>
                </c:pt>
                <c:pt idx="100">
                  <c:v>2.6017850555229179E-5</c:v>
                </c:pt>
                <c:pt idx="101">
                  <c:v>2.61948412599048E-5</c:v>
                </c:pt>
                <c:pt idx="102">
                  <c:v>2.5787309777088101E-5</c:v>
                </c:pt>
                <c:pt idx="103">
                  <c:v>2.5682532025901838E-5</c:v>
                </c:pt>
                <c:pt idx="104">
                  <c:v>2.4301524806615893E-5</c:v>
                </c:pt>
                <c:pt idx="105">
                  <c:v>2.4104167491341043E-5</c:v>
                </c:pt>
                <c:pt idx="106">
                  <c:v>2.4801956403011887E-5</c:v>
                </c:pt>
                <c:pt idx="107">
                  <c:v>2.4212012803530742E-5</c:v>
                </c:pt>
                <c:pt idx="108">
                  <c:v>2.3295408756966734E-5</c:v>
                </c:pt>
                <c:pt idx="109">
                  <c:v>2.3528223624119428E-5</c:v>
                </c:pt>
                <c:pt idx="110">
                  <c:v>2.4466661580645691E-5</c:v>
                </c:pt>
                <c:pt idx="111">
                  <c:v>2.2943046524707928E-5</c:v>
                </c:pt>
                <c:pt idx="112">
                  <c:v>2.1710888661758581E-5</c:v>
                </c:pt>
                <c:pt idx="113">
                  <c:v>2.357512119081028E-5</c:v>
                </c:pt>
                <c:pt idx="114">
                  <c:v>2.3873916164264329E-5</c:v>
                </c:pt>
                <c:pt idx="115">
                  <c:v>2.2766307418037876E-5</c:v>
                </c:pt>
                <c:pt idx="116">
                  <c:v>2.1482276332190469E-5</c:v>
                </c:pt>
                <c:pt idx="117">
                  <c:v>2.2724417767815362E-5</c:v>
                </c:pt>
                <c:pt idx="118">
                  <c:v>2.2387306543220306E-5</c:v>
                </c:pt>
                <c:pt idx="119">
                  <c:v>2.1601208932550096E-5</c:v>
                </c:pt>
                <c:pt idx="120">
                  <c:v>2.3452601249486544E-5</c:v>
                </c:pt>
                <c:pt idx="121">
                  <c:v>2.4171833829037863E-5</c:v>
                </c:pt>
                <c:pt idx="122">
                  <c:v>2.4574261231452186E-5</c:v>
                </c:pt>
                <c:pt idx="123">
                  <c:v>0</c:v>
                </c:pt>
                <c:pt idx="124">
                  <c:v>0</c:v>
                </c:pt>
              </c:numCache>
            </c:numRef>
          </c:yVal>
          <c:smooth val="0"/>
        </c:ser>
        <c:dLbls>
          <c:showLegendKey val="0"/>
          <c:showVal val="0"/>
          <c:showCatName val="0"/>
          <c:showSerName val="0"/>
          <c:showPercent val="0"/>
          <c:showBubbleSize val="0"/>
        </c:dLbls>
        <c:axId val="143778944"/>
        <c:axId val="143781248"/>
      </c:scatterChart>
      <c:valAx>
        <c:axId val="143778944"/>
        <c:scaling>
          <c:logBase val="10"/>
          <c:orientation val="minMax"/>
          <c:min val="10000000000000"/>
        </c:scaling>
        <c:delete val="0"/>
        <c:axPos val="b"/>
        <c:title>
          <c:tx>
            <c:rich>
              <a:bodyPr/>
              <a:lstStyle/>
              <a:p>
                <a:pPr>
                  <a:defRPr/>
                </a:pPr>
                <a:r>
                  <a:rPr lang="en-US"/>
                  <a:t>Minority</a:t>
                </a:r>
                <a:r>
                  <a:rPr lang="en-US" baseline="0"/>
                  <a:t> Carrier Density (cm</a:t>
                </a:r>
                <a:r>
                  <a:rPr lang="en-US" baseline="30000"/>
                  <a:t>-3</a:t>
                </a:r>
                <a:r>
                  <a:rPr lang="en-US" baseline="0"/>
                  <a:t>)</a:t>
                </a:r>
                <a:endParaRPr lang="en-US"/>
              </a:p>
            </c:rich>
          </c:tx>
          <c:layout/>
          <c:overlay val="0"/>
        </c:title>
        <c:numFmt formatCode="General" sourceLinked="1"/>
        <c:majorTickMark val="none"/>
        <c:minorTickMark val="none"/>
        <c:tickLblPos val="nextTo"/>
        <c:crossAx val="143781248"/>
        <c:crosses val="autoZero"/>
        <c:crossBetween val="midCat"/>
      </c:valAx>
      <c:valAx>
        <c:axId val="143781248"/>
        <c:scaling>
          <c:orientation val="minMax"/>
        </c:scaling>
        <c:delete val="0"/>
        <c:axPos val="l"/>
        <c:majorGridlines/>
        <c:title>
          <c:tx>
            <c:rich>
              <a:bodyPr/>
              <a:lstStyle/>
              <a:p>
                <a:pPr>
                  <a:defRPr/>
                </a:pPr>
                <a:r>
                  <a:rPr lang="en-US"/>
                  <a:t>Lifetime (s)</a:t>
                </a:r>
              </a:p>
            </c:rich>
          </c:tx>
          <c:layout/>
          <c:overlay val="0"/>
        </c:title>
        <c:numFmt formatCode="0.00E+00" sourceLinked="0"/>
        <c:majorTickMark val="none"/>
        <c:minorTickMark val="none"/>
        <c:tickLblPos val="nextTo"/>
        <c:crossAx val="143778944"/>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ViewPoint" max="35" min="1" page="10" val="34"/>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104775</xdr:rowOff>
        </xdr:from>
        <xdr:to>
          <xdr:col>9</xdr:col>
          <xdr:colOff>381000</xdr:colOff>
          <xdr:row>2</xdr:row>
          <xdr:rowOff>85725</xdr:rowOff>
        </xdr:to>
        <xdr:sp macro="" textlink="">
          <xdr:nvSpPr>
            <xdr:cNvPr id="51322" name="Spinner 122" hidden="1">
              <a:extLst>
                <a:ext uri="{63B3BB69-23CF-44E3-9099-C40C66FF867C}">
                  <a14:compatExt spid="_x0000_s51322"/>
                </a:ext>
              </a:extLst>
            </xdr:cNvPr>
            <xdr:cNvSpPr/>
          </xdr:nvSpPr>
          <xdr:spPr>
            <a:xfrm>
              <a:off x="0" y="0"/>
              <a:ext cx="0" cy="0"/>
            </a:xfrm>
            <a:prstGeom prst="rect">
              <a:avLst/>
            </a:prstGeom>
          </xdr:spPr>
        </xdr:sp>
        <xdr:clientData/>
      </xdr:twoCellAnchor>
    </mc:Choice>
    <mc:Fallback/>
  </mc:AlternateContent>
  <xdr:twoCellAnchor editAs="oneCell">
    <xdr:from>
      <xdr:col>9</xdr:col>
      <xdr:colOff>448235</xdr:colOff>
      <xdr:row>0</xdr:row>
      <xdr:rowOff>67236</xdr:rowOff>
    </xdr:from>
    <xdr:to>
      <xdr:col>11</xdr:col>
      <xdr:colOff>124722</xdr:colOff>
      <xdr:row>3</xdr:row>
      <xdr:rowOff>22411</xdr:rowOff>
    </xdr:to>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3441" y="67236"/>
          <a:ext cx="1559075" cy="537881"/>
        </a:xfrm>
        <a:prstGeom prst="rect">
          <a:avLst/>
        </a:prstGeom>
      </xdr:spPr>
    </xdr:pic>
    <xdr:clientData/>
  </xdr:twoCellAnchor>
  <xdr:twoCellAnchor>
    <xdr:from>
      <xdr:col>0</xdr:col>
      <xdr:colOff>33618</xdr:colOff>
      <xdr:row>0</xdr:row>
      <xdr:rowOff>44817</xdr:rowOff>
    </xdr:from>
    <xdr:to>
      <xdr:col>1</xdr:col>
      <xdr:colOff>488756</xdr:colOff>
      <xdr:row>2</xdr:row>
      <xdr:rowOff>182963</xdr:rowOff>
    </xdr:to>
    <xdr:sp macro="[0]!ZeroInstrumentButton_Click" textlink="">
      <xdr:nvSpPr>
        <xdr:cNvPr id="17" name="Rectangle 16"/>
        <xdr:cNvSpPr/>
      </xdr:nvSpPr>
      <xdr:spPr>
        <a:xfrm>
          <a:off x="3361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560295</xdr:colOff>
      <xdr:row>0</xdr:row>
      <xdr:rowOff>44817</xdr:rowOff>
    </xdr:from>
    <xdr:to>
      <xdr:col>3</xdr:col>
      <xdr:colOff>118963</xdr:colOff>
      <xdr:row>2</xdr:row>
      <xdr:rowOff>182963</xdr:rowOff>
    </xdr:to>
    <xdr:sp macro="[0]!MeasureButton_Click" textlink="">
      <xdr:nvSpPr>
        <xdr:cNvPr id="18" name="Rectangle 17"/>
        <xdr:cNvSpPr/>
      </xdr:nvSpPr>
      <xdr:spPr>
        <a:xfrm>
          <a:off x="1714501"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190502</xdr:colOff>
      <xdr:row>0</xdr:row>
      <xdr:rowOff>44817</xdr:rowOff>
    </xdr:from>
    <xdr:to>
      <xdr:col>4</xdr:col>
      <xdr:colOff>813728</xdr:colOff>
      <xdr:row>2</xdr:row>
      <xdr:rowOff>182963</xdr:rowOff>
    </xdr:to>
    <xdr:sp macro="[0]!LogToSummaryButton_Click" textlink="">
      <xdr:nvSpPr>
        <xdr:cNvPr id="19" name="Rectangle 18"/>
        <xdr:cNvSpPr/>
      </xdr:nvSpPr>
      <xdr:spPr>
        <a:xfrm>
          <a:off x="3395384"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885267</xdr:colOff>
      <xdr:row>0</xdr:row>
      <xdr:rowOff>44817</xdr:rowOff>
    </xdr:from>
    <xdr:to>
      <xdr:col>6</xdr:col>
      <xdr:colOff>656846</xdr:colOff>
      <xdr:row>2</xdr:row>
      <xdr:rowOff>182963</xdr:rowOff>
    </xdr:to>
    <xdr:sp macro="[0]!SaveGraphtoTextButton_Click" textlink="">
      <xdr:nvSpPr>
        <xdr:cNvPr id="20" name="Rectangle 19"/>
        <xdr:cNvSpPr/>
      </xdr:nvSpPr>
      <xdr:spPr>
        <a:xfrm>
          <a:off x="5076267"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728383</xdr:colOff>
      <xdr:row>0</xdr:row>
      <xdr:rowOff>44817</xdr:rowOff>
    </xdr:from>
    <xdr:to>
      <xdr:col>8</xdr:col>
      <xdr:colOff>264639</xdr:colOff>
      <xdr:row>2</xdr:row>
      <xdr:rowOff>182963</xdr:rowOff>
    </xdr:to>
    <xdr:sp macro="[0]!TempScanButton_Click" textlink="">
      <xdr:nvSpPr>
        <xdr:cNvPr id="21" name="Rectangle 20"/>
        <xdr:cNvSpPr/>
      </xdr:nvSpPr>
      <xdr:spPr>
        <a:xfrm>
          <a:off x="675714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Temperature Scan</a:t>
          </a:r>
          <a:endParaRPr 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707571</xdr:colOff>
      <xdr:row>20</xdr:row>
      <xdr:rowOff>77560</xdr:rowOff>
    </xdr:from>
    <xdr:to>
      <xdr:col>30</xdr:col>
      <xdr:colOff>326572</xdr:colOff>
      <xdr:row>37</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8</xdr:row>
      <xdr:rowOff>147637</xdr:rowOff>
    </xdr:from>
    <xdr:to>
      <xdr:col>12</xdr:col>
      <xdr:colOff>476250</xdr:colOff>
      <xdr:row>37</xdr:row>
      <xdr:rowOff>23812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0.6627</cdr:x>
      <cdr:y>0.74861</cdr:y>
    </cdr:from>
    <cdr:to>
      <cdr:x>0.87882</cdr:x>
      <cdr:y>0.86193</cdr:y>
    </cdr:to>
    <cdr:pic>
      <cdr:nvPicPr>
        <cdr:cNvPr id="2" name="SintonLog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4241800" y="3422650"/>
          <a:ext cx="1383324" cy="518094"/>
        </a:xfrm>
        <a:prstGeom xmlns:a="http://schemas.openxmlformats.org/drawingml/2006/main" prst="rect">
          <a:avLst/>
        </a:prstGeom>
        <a:noFill xmlns:a="http://schemas.openxmlformats.org/drawingml/2006/main"/>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zoomScale="85" zoomScaleNormal="85" workbookViewId="0">
      <selection activeCell="D6" sqref="D6"/>
    </sheetView>
  </sheetViews>
  <sheetFormatPr defaultRowHeight="12.75" x14ac:dyDescent="0.2"/>
  <cols>
    <col min="1" max="1" width="17.28515625" style="39" customWidth="1"/>
    <col min="2" max="2" width="14.85546875" style="39" customWidth="1"/>
    <col min="3" max="3" width="16" style="39" customWidth="1"/>
    <col min="4" max="4" width="14.85546875" style="39" customWidth="1"/>
    <col min="5" max="6" width="13.7109375" style="39" customWidth="1"/>
    <col min="7" max="7" width="13.42578125" style="39" customWidth="1"/>
    <col min="8" max="8" width="17.7109375" style="39" customWidth="1"/>
    <col min="9" max="9" width="15.7109375" style="39" customWidth="1"/>
    <col min="10" max="11" width="14.140625" style="39" customWidth="1"/>
    <col min="12" max="12" width="12.42578125" style="39" customWidth="1"/>
    <col min="13" max="13" width="11.28515625" style="39" customWidth="1"/>
    <col min="14" max="14" width="9.28515625" style="39" bestFit="1" customWidth="1"/>
    <col min="15" max="15" width="10.5703125" style="39" bestFit="1" customWidth="1"/>
    <col min="16" max="16384" width="9.140625" style="39"/>
  </cols>
  <sheetData>
    <row r="1" spans="1:20" ht="15.75" customHeight="1" x14ac:dyDescent="0.25">
      <c r="C1" s="40"/>
      <c r="E1" s="41"/>
      <c r="L1" s="42" t="s">
        <v>158</v>
      </c>
      <c r="R1" s="41"/>
    </row>
    <row r="2" spans="1:20" s="46" customFormat="1" ht="15" customHeight="1" x14ac:dyDescent="0.25">
      <c r="A2" s="43"/>
      <c r="B2" s="43"/>
      <c r="C2" s="44"/>
      <c r="D2" s="43"/>
      <c r="E2" s="43"/>
      <c r="F2" s="43"/>
      <c r="G2" s="43"/>
      <c r="H2" s="43"/>
      <c r="I2" s="45">
        <v>34</v>
      </c>
      <c r="L2" s="47" t="s">
        <v>48</v>
      </c>
      <c r="M2" s="48" t="s">
        <v>335</v>
      </c>
      <c r="N2" s="49" t="s">
        <v>336</v>
      </c>
      <c r="P2" s="50"/>
      <c r="Q2" s="43"/>
      <c r="R2" s="43"/>
      <c r="S2" s="43"/>
    </row>
    <row r="3" spans="1:20" s="46" customFormat="1" ht="15" customHeight="1" x14ac:dyDescent="0.2">
      <c r="A3" s="51"/>
      <c r="B3" s="52"/>
      <c r="C3" s="53"/>
      <c r="D3" s="54"/>
      <c r="E3" s="54"/>
      <c r="F3" s="54"/>
      <c r="G3" s="55"/>
      <c r="H3" s="43"/>
      <c r="M3" s="43"/>
      <c r="N3" s="43"/>
      <c r="P3" s="43"/>
      <c r="Q3" s="43"/>
      <c r="R3" s="43"/>
      <c r="S3" s="43"/>
    </row>
    <row r="4" spans="1:20" s="46" customFormat="1" ht="15" customHeight="1" x14ac:dyDescent="0.25">
      <c r="A4" s="56" t="s">
        <v>156</v>
      </c>
      <c r="B4" s="56"/>
      <c r="C4" s="57"/>
      <c r="D4" s="56"/>
      <c r="E4" s="56" t="s">
        <v>13</v>
      </c>
      <c r="F4" s="56"/>
      <c r="G4" s="56"/>
      <c r="I4" s="56" t="s">
        <v>159</v>
      </c>
      <c r="J4" s="58"/>
      <c r="K4" s="58"/>
      <c r="L4" s="56" t="s">
        <v>320</v>
      </c>
      <c r="M4" s="50"/>
      <c r="O4" s="50"/>
      <c r="P4" s="50"/>
      <c r="Q4" s="59"/>
      <c r="R4" s="43"/>
      <c r="S4" s="43"/>
    </row>
    <row r="5" spans="1:20" ht="35.25" customHeight="1" x14ac:dyDescent="0.25">
      <c r="A5" s="60" t="s">
        <v>14</v>
      </c>
      <c r="B5" s="61" t="s">
        <v>157</v>
      </c>
      <c r="C5" s="61" t="s">
        <v>161</v>
      </c>
      <c r="D5" s="62" t="s">
        <v>261</v>
      </c>
      <c r="E5" s="60" t="s">
        <v>20</v>
      </c>
      <c r="F5" s="61" t="s">
        <v>337</v>
      </c>
      <c r="G5" s="63" t="s">
        <v>170</v>
      </c>
      <c r="H5" s="64" t="s">
        <v>155</v>
      </c>
      <c r="I5" s="61" t="s">
        <v>15</v>
      </c>
      <c r="J5" s="61" t="s">
        <v>19</v>
      </c>
      <c r="K5" s="61" t="s">
        <v>22</v>
      </c>
      <c r="L5" s="65" t="s">
        <v>321</v>
      </c>
      <c r="M5" s="66" t="s">
        <v>322</v>
      </c>
      <c r="N5" s="66" t="s">
        <v>323</v>
      </c>
      <c r="O5" s="67" t="s">
        <v>324</v>
      </c>
      <c r="P5" s="46"/>
      <c r="Q5" s="59"/>
      <c r="R5" s="43"/>
      <c r="S5" s="43"/>
      <c r="T5" s="46"/>
    </row>
    <row r="6" spans="1:20" s="83" customFormat="1" ht="15.75" customHeight="1" x14ac:dyDescent="0.25">
      <c r="A6" s="68" t="s">
        <v>389</v>
      </c>
      <c r="B6" s="69">
        <v>1.9599999999999999E-2</v>
      </c>
      <c r="C6" s="70">
        <v>4.0999999999999996</v>
      </c>
      <c r="D6" s="71" t="s">
        <v>224</v>
      </c>
      <c r="E6" s="72">
        <v>0.7</v>
      </c>
      <c r="F6" s="73">
        <v>1000000000000000</v>
      </c>
      <c r="G6" s="74">
        <v>0</v>
      </c>
      <c r="H6" s="75" t="s">
        <v>287</v>
      </c>
      <c r="I6" s="76">
        <f>MeasDate</f>
        <v>42055</v>
      </c>
      <c r="J6" s="77">
        <f>MeasTime</f>
        <v>0.6613310185185185</v>
      </c>
      <c r="K6" s="78" t="s">
        <v>355</v>
      </c>
      <c r="L6" s="79">
        <v>30</v>
      </c>
      <c r="M6" s="74">
        <v>200</v>
      </c>
      <c r="N6" s="74">
        <v>5</v>
      </c>
      <c r="O6" s="80">
        <v>0.5</v>
      </c>
      <c r="P6" s="81"/>
      <c r="Q6" s="46"/>
      <c r="R6" s="81"/>
      <c r="S6" s="82"/>
      <c r="T6" s="81"/>
    </row>
    <row r="7" spans="1:20" ht="18.75" customHeight="1" x14ac:dyDescent="0.25">
      <c r="A7" s="56" t="s">
        <v>23</v>
      </c>
      <c r="B7" s="56"/>
      <c r="C7" s="50"/>
      <c r="D7" s="49"/>
      <c r="E7" s="84"/>
      <c r="F7" s="85"/>
      <c r="G7" s="49" t="s">
        <v>258</v>
      </c>
      <c r="H7" s="50"/>
      <c r="I7" s="50"/>
      <c r="J7" s="49"/>
      <c r="K7" s="86"/>
      <c r="M7" s="56" t="s">
        <v>254</v>
      </c>
      <c r="O7" s="50"/>
      <c r="P7" s="43"/>
      <c r="Q7" s="43"/>
      <c r="R7" s="43"/>
      <c r="S7" s="43"/>
      <c r="T7" s="46"/>
    </row>
    <row r="8" spans="1:20" ht="49.5" customHeight="1" x14ac:dyDescent="0.25">
      <c r="A8" s="60" t="s">
        <v>25</v>
      </c>
      <c r="B8" s="87" t="s">
        <v>338</v>
      </c>
      <c r="C8" s="61" t="s">
        <v>339</v>
      </c>
      <c r="D8" s="61" t="s">
        <v>340</v>
      </c>
      <c r="E8" s="61" t="s">
        <v>262</v>
      </c>
      <c r="F8" s="61" t="s">
        <v>341</v>
      </c>
      <c r="G8" s="61" t="s">
        <v>342</v>
      </c>
      <c r="H8" s="61" t="s">
        <v>343</v>
      </c>
      <c r="I8" s="61" t="s">
        <v>344</v>
      </c>
      <c r="J8" s="61" t="s">
        <v>345</v>
      </c>
      <c r="K8" s="88" t="s">
        <v>266</v>
      </c>
      <c r="L8" s="88" t="s">
        <v>346</v>
      </c>
      <c r="M8" s="283" t="str">
        <f ca="1">RefCellErrorMsg&amp;MCDErrorMsg&amp;LightBiasErrorMsg&amp;AirVoltageError&amp;AnalysisModeErrorMsg&amp;mobilitymodelerror</f>
        <v xml:space="preserve">  Saturated Reference Cell  - Data for MCD&gt; 3.9E+16 not valid </v>
      </c>
      <c r="N8" s="284"/>
      <c r="O8" s="285"/>
      <c r="P8" s="43"/>
      <c r="Q8" s="43"/>
      <c r="R8" s="43"/>
      <c r="S8" s="43"/>
      <c r="T8" s="46"/>
    </row>
    <row r="9" spans="1:20" s="83" customFormat="1" ht="17.25" customHeight="1" x14ac:dyDescent="0.25">
      <c r="A9" s="89">
        <f>MeasuredLifetime</f>
        <v>48.801695726676584</v>
      </c>
      <c r="B9" s="90">
        <f>CorrectedSheetRho</f>
        <v>139.14849699875415</v>
      </c>
      <c r="C9" s="91">
        <f>CorrectedResistivity</f>
        <v>2.7273105411755814</v>
      </c>
      <c r="D9" s="92">
        <f>Jo</f>
        <v>-1.2429989732555723E-12</v>
      </c>
      <c r="E9" s="90">
        <f>TauFitIntercept</f>
        <v>22.663326382240999</v>
      </c>
      <c r="F9" s="93">
        <f>MinApparentCD</f>
        <v>21815427621230.598</v>
      </c>
      <c r="G9" s="93">
        <f>MaxApparentCD</f>
        <v>4.019757950596416E+16</v>
      </c>
      <c r="H9" s="93">
        <f>BiasPtCD</f>
        <v>0</v>
      </c>
      <c r="I9" s="93">
        <f>Traps</f>
        <v>0</v>
      </c>
      <c r="J9" s="93">
        <f>SampleDoping</f>
        <v>3416264639614550.5</v>
      </c>
      <c r="K9" s="94">
        <f ca="1">ImpliedVoc1sun</f>
        <v>0.60263892676989128</v>
      </c>
      <c r="L9" s="95">
        <f>Temperature</f>
        <v>35.505602000000003</v>
      </c>
      <c r="M9" s="286"/>
      <c r="N9" s="287"/>
      <c r="O9" s="288"/>
      <c r="P9" s="43"/>
      <c r="Q9" s="82"/>
      <c r="R9" s="82"/>
      <c r="S9" s="82"/>
      <c r="T9" s="81"/>
    </row>
    <row r="10" spans="1:20" s="83" customFormat="1" ht="18" customHeight="1" x14ac:dyDescent="0.2">
      <c r="A10" s="275" t="str">
        <f>LifetimeTextLabel</f>
        <v>Lifetime = 48.80 µs @ 1.0E+15 cm-3</v>
      </c>
      <c r="B10" s="276"/>
      <c r="C10" s="276"/>
      <c r="D10" s="276"/>
      <c r="E10" s="276"/>
      <c r="F10" s="276"/>
      <c r="G10" s="276"/>
      <c r="H10" s="276"/>
      <c r="I10" s="277"/>
      <c r="J10" s="281" t="str">
        <f>PassFailMsg</f>
        <v/>
      </c>
      <c r="K10" s="96"/>
      <c r="M10" s="286"/>
      <c r="N10" s="287"/>
      <c r="O10" s="288"/>
      <c r="P10" s="96"/>
      <c r="Q10" s="97"/>
      <c r="R10" s="97"/>
      <c r="S10" s="97"/>
    </row>
    <row r="11" spans="1:20" ht="11.25" customHeight="1" x14ac:dyDescent="0.2">
      <c r="A11" s="278"/>
      <c r="B11" s="279"/>
      <c r="C11" s="279"/>
      <c r="D11" s="279"/>
      <c r="E11" s="279"/>
      <c r="F11" s="279"/>
      <c r="G11" s="279"/>
      <c r="H11" s="279"/>
      <c r="I11" s="280"/>
      <c r="J11" s="282"/>
      <c r="K11" s="41"/>
      <c r="M11" s="289"/>
      <c r="N11" s="290"/>
      <c r="O11" s="291"/>
      <c r="P11" s="41"/>
      <c r="Q11" s="41"/>
      <c r="R11" s="41"/>
      <c r="S11" s="41"/>
    </row>
    <row r="12" spans="1:20" x14ac:dyDescent="0.2">
      <c r="A12" s="98"/>
      <c r="B12" s="98"/>
      <c r="C12" s="98"/>
      <c r="D12" s="98"/>
      <c r="E12" s="43"/>
      <c r="F12" s="41"/>
      <c r="G12" s="41"/>
      <c r="H12" s="41"/>
      <c r="I12" s="41"/>
      <c r="J12" s="41"/>
      <c r="K12" s="41"/>
      <c r="L12" s="41"/>
      <c r="M12" s="41"/>
      <c r="N12" s="41"/>
      <c r="O12" s="41"/>
      <c r="P12" s="41"/>
      <c r="Q12" s="41"/>
      <c r="R12" s="41"/>
      <c r="S12" s="41"/>
    </row>
    <row r="13" spans="1:20" x14ac:dyDescent="0.2">
      <c r="A13" s="99"/>
      <c r="B13" s="82"/>
      <c r="C13" s="100"/>
      <c r="D13" s="101"/>
      <c r="E13" s="43"/>
      <c r="F13" s="41"/>
      <c r="G13" s="41"/>
      <c r="H13" s="41"/>
      <c r="I13" s="41"/>
      <c r="J13" s="41"/>
      <c r="K13" s="41"/>
      <c r="L13" s="41"/>
      <c r="M13" s="41"/>
      <c r="N13" s="41"/>
      <c r="O13" s="41"/>
      <c r="P13" s="41"/>
      <c r="Q13" s="41"/>
      <c r="R13" s="41"/>
      <c r="S13" s="41"/>
    </row>
    <row r="14" spans="1:20" x14ac:dyDescent="0.2">
      <c r="A14" s="43"/>
      <c r="B14" s="43"/>
      <c r="C14" s="43"/>
      <c r="D14" s="43"/>
      <c r="E14" s="43"/>
      <c r="F14" s="41"/>
      <c r="G14" s="41"/>
      <c r="H14" s="41"/>
      <c r="I14" s="41"/>
      <c r="J14" s="41"/>
      <c r="K14" s="41"/>
      <c r="L14" s="41"/>
      <c r="M14" s="41"/>
      <c r="N14" s="41"/>
      <c r="O14" s="41"/>
      <c r="P14" s="41"/>
      <c r="Q14" s="41"/>
      <c r="R14" s="41"/>
      <c r="S14" s="41"/>
    </row>
    <row r="15" spans="1:20" x14ac:dyDescent="0.2">
      <c r="A15" s="98"/>
      <c r="B15" s="98"/>
      <c r="C15" s="98"/>
      <c r="D15" s="98"/>
      <c r="E15" s="43"/>
      <c r="F15" s="41"/>
      <c r="G15" s="41"/>
      <c r="H15" s="41"/>
      <c r="I15" s="41"/>
      <c r="J15" s="41"/>
      <c r="K15" s="41"/>
      <c r="L15" s="41"/>
      <c r="M15" s="41"/>
      <c r="N15" s="41"/>
      <c r="O15" s="41"/>
      <c r="P15" s="41"/>
      <c r="Q15" s="41"/>
      <c r="R15" s="41"/>
      <c r="S15" s="41"/>
    </row>
    <row r="16" spans="1:20" x14ac:dyDescent="0.2">
      <c r="A16" s="99"/>
      <c r="B16" s="43"/>
      <c r="C16" s="102"/>
      <c r="D16" s="103"/>
      <c r="E16" s="43"/>
      <c r="F16" s="41"/>
      <c r="G16" s="41"/>
      <c r="H16" s="41"/>
      <c r="I16" s="41"/>
      <c r="J16" s="41"/>
      <c r="K16" s="41"/>
      <c r="L16" s="41"/>
      <c r="M16" s="41"/>
      <c r="N16" s="41"/>
      <c r="O16" s="41"/>
      <c r="P16" s="41"/>
      <c r="Q16" s="41"/>
      <c r="R16" s="41"/>
      <c r="S16" s="41"/>
    </row>
    <row r="17" spans="1:19" x14ac:dyDescent="0.2">
      <c r="A17" s="99"/>
      <c r="B17" s="43"/>
      <c r="C17" s="102"/>
      <c r="D17" s="103"/>
      <c r="E17" s="43"/>
      <c r="F17" s="41"/>
      <c r="G17" s="41"/>
      <c r="H17" s="41"/>
      <c r="I17" s="41"/>
      <c r="J17" s="41"/>
      <c r="K17" s="41"/>
      <c r="L17" s="41"/>
      <c r="M17" s="41"/>
      <c r="N17" s="41"/>
      <c r="O17" s="41"/>
      <c r="P17" s="41"/>
      <c r="Q17" s="41"/>
      <c r="R17" s="41"/>
      <c r="S17" s="41"/>
    </row>
    <row r="18" spans="1:19" x14ac:dyDescent="0.2">
      <c r="A18" s="43"/>
      <c r="B18" s="43"/>
      <c r="C18" s="43"/>
      <c r="D18" s="43"/>
      <c r="E18" s="43"/>
      <c r="F18" s="41"/>
      <c r="G18" s="41"/>
      <c r="H18" s="41"/>
      <c r="I18" s="41"/>
      <c r="J18" s="41"/>
      <c r="K18" s="41"/>
      <c r="L18" s="41"/>
      <c r="M18" s="41"/>
      <c r="N18" s="41"/>
      <c r="O18" s="41"/>
      <c r="P18" s="41"/>
      <c r="Q18" s="41"/>
      <c r="R18" s="41"/>
      <c r="S18" s="41"/>
    </row>
    <row r="19" spans="1:19" x14ac:dyDescent="0.2">
      <c r="A19" s="43"/>
      <c r="B19" s="43"/>
      <c r="C19" s="43"/>
      <c r="D19" s="43"/>
      <c r="E19" s="43"/>
      <c r="F19" s="41"/>
      <c r="G19" s="41"/>
      <c r="H19" s="41"/>
      <c r="I19" s="41"/>
      <c r="J19" s="41"/>
      <c r="K19" s="41"/>
      <c r="L19" s="41"/>
      <c r="M19" s="41"/>
      <c r="N19" s="41"/>
      <c r="O19" s="41"/>
      <c r="P19" s="41"/>
      <c r="Q19" s="41"/>
      <c r="R19" s="41"/>
      <c r="S19" s="41"/>
    </row>
    <row r="20" spans="1:19" x14ac:dyDescent="0.2">
      <c r="A20" s="41"/>
      <c r="B20" s="41"/>
      <c r="C20" s="41"/>
      <c r="D20" s="41"/>
      <c r="E20" s="41"/>
      <c r="F20" s="41"/>
      <c r="G20" s="41"/>
      <c r="H20" s="41"/>
      <c r="I20" s="41"/>
      <c r="J20" s="41"/>
      <c r="K20" s="41"/>
      <c r="L20" s="41"/>
      <c r="M20" s="41"/>
      <c r="N20" s="41"/>
      <c r="O20" s="41"/>
      <c r="P20" s="41"/>
      <c r="Q20" s="41"/>
      <c r="R20" s="41"/>
      <c r="S20" s="41"/>
    </row>
    <row r="21" spans="1:19" x14ac:dyDescent="0.2">
      <c r="A21" s="41"/>
      <c r="B21" s="41"/>
      <c r="C21" s="41"/>
      <c r="D21" s="41"/>
      <c r="E21" s="41"/>
      <c r="F21" s="41"/>
      <c r="G21" s="41"/>
      <c r="H21" s="41"/>
      <c r="I21" s="41"/>
      <c r="J21" s="41"/>
      <c r="K21" s="41"/>
      <c r="L21" s="41"/>
      <c r="M21" s="41"/>
      <c r="N21" s="41"/>
      <c r="O21" s="41"/>
      <c r="P21" s="41"/>
      <c r="Q21" s="41"/>
      <c r="R21" s="41"/>
      <c r="S21" s="41"/>
    </row>
    <row r="22" spans="1:19" x14ac:dyDescent="0.2">
      <c r="A22" s="41"/>
      <c r="B22" s="41"/>
      <c r="C22" s="41"/>
      <c r="D22" s="41"/>
      <c r="E22" s="41"/>
      <c r="F22" s="41"/>
      <c r="G22" s="41"/>
      <c r="H22" s="41"/>
      <c r="I22" s="41"/>
      <c r="J22" s="41"/>
      <c r="K22" s="41"/>
      <c r="L22" s="41"/>
      <c r="M22" s="41"/>
      <c r="N22" s="41"/>
      <c r="O22" s="41"/>
      <c r="P22" s="41"/>
      <c r="Q22" s="41"/>
      <c r="R22" s="41"/>
      <c r="S22" s="41"/>
    </row>
    <row r="23" spans="1:19" x14ac:dyDescent="0.2">
      <c r="A23" s="41"/>
      <c r="B23" s="41"/>
      <c r="C23" s="41"/>
      <c r="D23" s="41"/>
      <c r="E23" s="41"/>
      <c r="F23" s="41"/>
      <c r="G23" s="41"/>
      <c r="H23" s="41"/>
      <c r="I23" s="41"/>
      <c r="J23" s="41"/>
      <c r="K23" s="41"/>
      <c r="L23" s="41"/>
      <c r="M23" s="41"/>
      <c r="N23" s="41"/>
      <c r="O23" s="41"/>
      <c r="P23" s="41"/>
      <c r="Q23" s="41"/>
      <c r="R23" s="41"/>
      <c r="S23" s="41"/>
    </row>
    <row r="24" spans="1:19" x14ac:dyDescent="0.2">
      <c r="A24" s="41"/>
      <c r="B24" s="41"/>
      <c r="C24" s="41"/>
      <c r="D24" s="41"/>
      <c r="E24" s="41"/>
      <c r="F24" s="41"/>
      <c r="G24" s="41"/>
      <c r="H24" s="41"/>
      <c r="I24" s="41"/>
      <c r="J24" s="41"/>
      <c r="K24" s="41"/>
      <c r="L24" s="41"/>
      <c r="M24" s="41"/>
      <c r="N24" s="41"/>
      <c r="O24" s="41"/>
      <c r="P24" s="41"/>
      <c r="Q24" s="41"/>
      <c r="R24" s="41"/>
      <c r="S24" s="41"/>
    </row>
    <row r="25" spans="1:19" x14ac:dyDescent="0.2">
      <c r="A25" s="41"/>
      <c r="B25" s="41"/>
      <c r="C25" s="41"/>
      <c r="D25" s="41"/>
      <c r="E25" s="41"/>
      <c r="F25" s="41"/>
      <c r="G25" s="41"/>
      <c r="H25" s="41"/>
      <c r="I25" s="41"/>
      <c r="J25" s="41"/>
      <c r="K25" s="41"/>
      <c r="L25" s="41"/>
      <c r="M25" s="41"/>
      <c r="N25" s="41"/>
      <c r="O25" s="41"/>
      <c r="P25" s="41"/>
      <c r="Q25" s="41"/>
      <c r="R25" s="41"/>
      <c r="S25" s="41"/>
    </row>
    <row r="26" spans="1:19" x14ac:dyDescent="0.2">
      <c r="A26" s="41"/>
      <c r="B26" s="41"/>
      <c r="C26" s="41"/>
      <c r="D26" s="41"/>
      <c r="E26" s="41"/>
      <c r="F26" s="41"/>
      <c r="G26" s="41"/>
      <c r="H26" s="41"/>
      <c r="I26" s="41"/>
      <c r="J26" s="41"/>
      <c r="K26" s="41"/>
      <c r="L26" s="41"/>
      <c r="M26" s="41"/>
      <c r="N26" s="41"/>
      <c r="O26" s="41"/>
      <c r="P26" s="41"/>
      <c r="Q26" s="41"/>
      <c r="R26" s="41"/>
      <c r="S26" s="41"/>
    </row>
    <row r="27" spans="1:19" x14ac:dyDescent="0.2">
      <c r="A27" s="41"/>
      <c r="B27" s="41"/>
      <c r="C27" s="41"/>
      <c r="D27" s="41"/>
      <c r="E27" s="41"/>
      <c r="F27" s="41"/>
      <c r="G27" s="41"/>
      <c r="H27" s="41"/>
      <c r="I27" s="41"/>
      <c r="J27" s="41"/>
      <c r="K27" s="41"/>
      <c r="L27" s="41"/>
      <c r="M27" s="41"/>
      <c r="N27" s="41"/>
      <c r="O27" s="41"/>
      <c r="P27" s="41"/>
      <c r="Q27" s="41"/>
      <c r="R27" s="41"/>
      <c r="S27" s="41"/>
    </row>
    <row r="28" spans="1:19" x14ac:dyDescent="0.2">
      <c r="A28" s="41"/>
      <c r="B28" s="41"/>
      <c r="C28" s="41"/>
      <c r="D28" s="41"/>
      <c r="E28" s="41"/>
      <c r="F28" s="41"/>
      <c r="G28" s="41"/>
      <c r="H28" s="41"/>
      <c r="I28" s="41"/>
      <c r="J28" s="41"/>
      <c r="K28" s="41"/>
      <c r="L28" s="41"/>
      <c r="M28" s="41"/>
      <c r="N28" s="41"/>
      <c r="O28" s="41"/>
      <c r="P28" s="41"/>
      <c r="Q28" s="41"/>
      <c r="R28" s="41"/>
      <c r="S28" s="41"/>
    </row>
    <row r="29" spans="1:19" x14ac:dyDescent="0.2">
      <c r="A29" s="41"/>
      <c r="B29" s="41"/>
      <c r="C29" s="41"/>
      <c r="D29" s="41"/>
      <c r="E29" s="41"/>
      <c r="F29" s="41"/>
      <c r="G29" s="41"/>
      <c r="H29" s="41"/>
      <c r="I29" s="41"/>
      <c r="J29" s="41"/>
      <c r="K29" s="41"/>
      <c r="L29" s="41"/>
      <c r="M29" s="41"/>
      <c r="N29" s="41"/>
      <c r="O29" s="41"/>
      <c r="P29" s="41"/>
      <c r="Q29" s="41"/>
      <c r="R29" s="41"/>
      <c r="S29" s="41"/>
    </row>
    <row r="30" spans="1:19" x14ac:dyDescent="0.2">
      <c r="A30" s="41"/>
      <c r="B30" s="41"/>
      <c r="C30" s="41"/>
      <c r="D30" s="41"/>
      <c r="E30" s="41"/>
      <c r="F30" s="41"/>
      <c r="G30" s="41"/>
      <c r="H30" s="41"/>
      <c r="I30" s="41"/>
      <c r="J30" s="41"/>
      <c r="K30" s="41"/>
      <c r="L30" s="41"/>
      <c r="M30" s="41"/>
      <c r="N30" s="41"/>
      <c r="O30" s="41"/>
      <c r="P30" s="41"/>
      <c r="Q30" s="41"/>
      <c r="R30" s="41"/>
      <c r="S30" s="41"/>
    </row>
    <row r="31" spans="1:19" x14ac:dyDescent="0.2">
      <c r="A31" s="41"/>
      <c r="B31" s="41"/>
      <c r="C31" s="41"/>
      <c r="D31" s="41"/>
      <c r="E31" s="41"/>
      <c r="F31" s="41"/>
      <c r="G31" s="41"/>
      <c r="H31" s="41"/>
      <c r="I31" s="41"/>
      <c r="J31" s="41"/>
      <c r="K31" s="41"/>
      <c r="L31" s="41"/>
      <c r="M31" s="41"/>
      <c r="N31" s="41"/>
      <c r="O31" s="41"/>
      <c r="P31" s="41"/>
      <c r="Q31" s="41"/>
      <c r="R31" s="41"/>
      <c r="S31" s="41"/>
    </row>
    <row r="32" spans="1:19" x14ac:dyDescent="0.2">
      <c r="A32" s="41"/>
      <c r="B32" s="41"/>
      <c r="C32" s="41"/>
      <c r="D32" s="41"/>
      <c r="E32" s="41"/>
      <c r="F32" s="41"/>
      <c r="G32" s="41"/>
      <c r="H32" s="41"/>
      <c r="I32" s="41"/>
      <c r="J32" s="41"/>
      <c r="K32" s="41"/>
      <c r="L32" s="41"/>
      <c r="M32" s="41"/>
      <c r="N32" s="41"/>
      <c r="O32" s="41"/>
      <c r="P32" s="41"/>
      <c r="Q32" s="41"/>
      <c r="R32" s="41"/>
      <c r="S32" s="41"/>
    </row>
    <row r="33" spans="1:19" x14ac:dyDescent="0.2">
      <c r="A33" s="41"/>
      <c r="B33" s="41"/>
      <c r="C33" s="41"/>
      <c r="D33" s="41"/>
      <c r="E33" s="41"/>
      <c r="F33" s="41"/>
      <c r="G33" s="41"/>
      <c r="H33" s="41"/>
      <c r="I33" s="41"/>
      <c r="J33" s="41"/>
      <c r="K33" s="41"/>
      <c r="L33" s="41"/>
      <c r="M33" s="41"/>
      <c r="N33" s="41"/>
      <c r="O33" s="41"/>
      <c r="P33" s="41"/>
      <c r="Q33" s="41"/>
      <c r="R33" s="41"/>
      <c r="S33" s="41"/>
    </row>
    <row r="34" spans="1:19" x14ac:dyDescent="0.2">
      <c r="A34" s="41"/>
      <c r="B34" s="41"/>
      <c r="C34" s="41"/>
      <c r="D34" s="41"/>
      <c r="E34" s="41"/>
      <c r="F34" s="41"/>
      <c r="G34" s="41"/>
      <c r="H34" s="41"/>
      <c r="I34" s="41"/>
      <c r="J34" s="41"/>
      <c r="K34" s="41"/>
      <c r="L34" s="41"/>
      <c r="M34" s="41"/>
      <c r="N34" s="41"/>
      <c r="O34" s="41"/>
      <c r="P34" s="41"/>
      <c r="Q34" s="41"/>
      <c r="R34" s="41"/>
      <c r="S34" s="41"/>
    </row>
    <row r="35" spans="1:19" x14ac:dyDescent="0.2">
      <c r="A35" s="41"/>
      <c r="B35" s="41"/>
      <c r="C35" s="41"/>
      <c r="D35" s="41"/>
      <c r="E35" s="41"/>
      <c r="F35" s="41"/>
      <c r="G35" s="41"/>
      <c r="H35" s="41"/>
      <c r="I35" s="41"/>
      <c r="J35" s="41"/>
      <c r="K35" s="41"/>
      <c r="L35" s="41"/>
      <c r="M35" s="41"/>
      <c r="N35" s="41"/>
      <c r="O35" s="41"/>
      <c r="P35" s="41"/>
      <c r="Q35" s="41"/>
      <c r="R35" s="41"/>
      <c r="S35" s="41"/>
    </row>
    <row r="36" spans="1:19" x14ac:dyDescent="0.2">
      <c r="A36" s="41"/>
      <c r="B36" s="41"/>
      <c r="C36" s="41"/>
      <c r="D36" s="41"/>
      <c r="E36" s="41"/>
      <c r="F36" s="41"/>
      <c r="G36" s="41"/>
      <c r="H36" s="41"/>
      <c r="I36" s="41"/>
      <c r="J36" s="41"/>
      <c r="K36" s="41"/>
      <c r="L36" s="41"/>
      <c r="M36" s="41"/>
      <c r="N36" s="41"/>
      <c r="O36" s="41"/>
      <c r="P36" s="41"/>
      <c r="Q36" s="41"/>
      <c r="R36" s="41"/>
      <c r="S36" s="41"/>
    </row>
    <row r="37" spans="1:19" x14ac:dyDescent="0.2">
      <c r="A37" s="41"/>
      <c r="B37" s="41"/>
      <c r="C37" s="41"/>
      <c r="D37" s="41"/>
      <c r="E37" s="41"/>
      <c r="F37" s="41"/>
      <c r="G37" s="41"/>
      <c r="H37" s="41"/>
      <c r="I37" s="41"/>
      <c r="J37" s="41"/>
      <c r="K37" s="41"/>
      <c r="L37" s="41"/>
      <c r="M37" s="41"/>
      <c r="N37" s="41"/>
      <c r="O37" s="41"/>
      <c r="P37" s="41"/>
      <c r="Q37" s="41"/>
      <c r="R37" s="41"/>
      <c r="S37" s="41"/>
    </row>
    <row r="38" spans="1:19" x14ac:dyDescent="0.2">
      <c r="A38" s="41"/>
      <c r="B38" s="41"/>
      <c r="C38" s="41"/>
      <c r="D38" s="41"/>
      <c r="E38" s="41"/>
      <c r="F38" s="41"/>
      <c r="G38" s="41"/>
      <c r="H38" s="41"/>
      <c r="I38" s="41"/>
      <c r="J38" s="41"/>
      <c r="K38" s="41"/>
      <c r="L38" s="41"/>
      <c r="M38" s="41"/>
      <c r="N38" s="41"/>
      <c r="O38" s="41"/>
      <c r="P38" s="41"/>
      <c r="Q38" s="41"/>
      <c r="R38" s="41"/>
      <c r="S38" s="41"/>
    </row>
    <row r="39" spans="1:19" x14ac:dyDescent="0.2">
      <c r="A39" s="41"/>
      <c r="B39" s="41"/>
      <c r="C39" s="41"/>
      <c r="D39" s="41"/>
      <c r="E39" s="41"/>
      <c r="F39" s="41"/>
      <c r="G39" s="41"/>
      <c r="H39" s="41"/>
      <c r="I39" s="41"/>
      <c r="J39" s="41"/>
      <c r="K39" s="41"/>
      <c r="L39" s="41"/>
      <c r="M39" s="41"/>
      <c r="N39" s="41"/>
      <c r="O39" s="41"/>
      <c r="P39" s="41"/>
      <c r="Q39" s="41"/>
      <c r="R39" s="41"/>
      <c r="S39" s="41"/>
    </row>
    <row r="40" spans="1:19" x14ac:dyDescent="0.2">
      <c r="A40" s="41"/>
      <c r="B40" s="41"/>
      <c r="C40" s="41"/>
      <c r="D40" s="41"/>
      <c r="E40" s="41"/>
      <c r="F40" s="41"/>
      <c r="G40" s="41"/>
      <c r="H40" s="41"/>
      <c r="I40" s="41"/>
      <c r="J40" s="41"/>
      <c r="K40" s="41"/>
      <c r="L40" s="41"/>
      <c r="M40" s="41"/>
      <c r="N40" s="41"/>
      <c r="O40" s="41"/>
      <c r="P40" s="41"/>
      <c r="Q40" s="41"/>
      <c r="R40" s="41"/>
      <c r="S40" s="41"/>
    </row>
    <row r="41" spans="1:19" x14ac:dyDescent="0.2">
      <c r="A41" s="41"/>
      <c r="B41" s="41"/>
      <c r="C41" s="41"/>
      <c r="D41" s="41"/>
      <c r="E41" s="41"/>
      <c r="F41" s="41"/>
      <c r="G41" s="41"/>
      <c r="H41" s="41"/>
      <c r="I41" s="41"/>
      <c r="J41" s="41"/>
      <c r="K41" s="41"/>
      <c r="L41" s="41"/>
      <c r="M41" s="41"/>
      <c r="N41" s="41"/>
      <c r="O41" s="41"/>
      <c r="P41" s="41"/>
      <c r="Q41" s="41"/>
      <c r="R41" s="41"/>
      <c r="S41" s="41"/>
    </row>
    <row r="42" spans="1:19" x14ac:dyDescent="0.2">
      <c r="A42" s="41"/>
      <c r="B42" s="41"/>
      <c r="C42" s="41"/>
      <c r="D42" s="41"/>
      <c r="E42" s="41"/>
      <c r="F42" s="41"/>
      <c r="G42" s="41"/>
      <c r="H42" s="41"/>
      <c r="I42" s="41"/>
      <c r="J42" s="41"/>
      <c r="K42" s="41"/>
      <c r="L42" s="41"/>
      <c r="M42" s="41"/>
      <c r="N42" s="41"/>
      <c r="O42" s="41"/>
      <c r="P42" s="41"/>
      <c r="Q42" s="41"/>
      <c r="R42" s="41"/>
      <c r="S42" s="41"/>
    </row>
    <row r="43" spans="1:19" x14ac:dyDescent="0.2">
      <c r="A43" s="41"/>
      <c r="B43" s="41"/>
      <c r="C43" s="41"/>
      <c r="D43" s="41"/>
      <c r="E43" s="41"/>
      <c r="F43" s="41"/>
      <c r="G43" s="41"/>
      <c r="H43" s="41"/>
      <c r="I43" s="41"/>
      <c r="J43" s="41"/>
      <c r="K43" s="41"/>
      <c r="L43" s="41"/>
      <c r="M43" s="41"/>
      <c r="N43" s="41"/>
      <c r="O43" s="41"/>
      <c r="P43" s="41"/>
      <c r="Q43" s="41"/>
      <c r="R43" s="41"/>
      <c r="S43" s="41"/>
    </row>
    <row r="44" spans="1:19" x14ac:dyDescent="0.2">
      <c r="A44" s="41"/>
      <c r="B44" s="41"/>
      <c r="C44" s="41"/>
      <c r="D44" s="41"/>
      <c r="E44" s="41"/>
      <c r="F44" s="41"/>
      <c r="G44" s="41"/>
      <c r="H44" s="41"/>
      <c r="I44" s="41"/>
      <c r="J44" s="41"/>
      <c r="K44" s="41"/>
      <c r="L44" s="41"/>
      <c r="M44" s="41"/>
      <c r="N44" s="41"/>
      <c r="O44" s="41"/>
      <c r="P44" s="41"/>
      <c r="Q44" s="41"/>
      <c r="R44" s="41"/>
      <c r="S44" s="41"/>
    </row>
    <row r="45" spans="1:19" x14ac:dyDescent="0.2">
      <c r="A45" s="41"/>
      <c r="B45" s="41"/>
      <c r="C45" s="41"/>
      <c r="D45" s="41"/>
      <c r="E45" s="41"/>
      <c r="F45" s="41"/>
      <c r="G45" s="41"/>
      <c r="H45" s="41"/>
      <c r="I45" s="41"/>
      <c r="J45" s="41"/>
      <c r="K45" s="41"/>
      <c r="L45" s="41"/>
      <c r="M45" s="41"/>
      <c r="N45" s="41"/>
      <c r="O45" s="41"/>
      <c r="P45" s="41"/>
      <c r="Q45" s="41"/>
      <c r="R45" s="41"/>
      <c r="S45" s="41"/>
    </row>
    <row r="46" spans="1:19" x14ac:dyDescent="0.2">
      <c r="A46" s="41"/>
      <c r="B46" s="41"/>
      <c r="C46" s="41"/>
      <c r="D46" s="41"/>
      <c r="E46" s="41"/>
      <c r="F46" s="41"/>
      <c r="G46" s="41"/>
      <c r="H46" s="41"/>
      <c r="I46" s="41"/>
      <c r="J46" s="41"/>
      <c r="K46" s="41"/>
      <c r="L46" s="41"/>
      <c r="M46" s="41"/>
      <c r="N46" s="41"/>
      <c r="O46" s="41"/>
      <c r="P46" s="41"/>
      <c r="Q46" s="41"/>
      <c r="R46" s="41"/>
      <c r="S46" s="41"/>
    </row>
    <row r="47" spans="1:19" x14ac:dyDescent="0.2">
      <c r="A47" s="41"/>
      <c r="B47" s="41"/>
      <c r="C47" s="41"/>
      <c r="D47" s="41"/>
      <c r="E47" s="41"/>
      <c r="F47" s="41"/>
      <c r="G47" s="41"/>
      <c r="H47" s="41"/>
      <c r="I47" s="41"/>
      <c r="J47" s="41"/>
      <c r="K47" s="41"/>
      <c r="L47" s="41"/>
      <c r="M47" s="41"/>
      <c r="N47" s="41"/>
      <c r="O47" s="41"/>
      <c r="P47" s="41"/>
      <c r="Q47" s="41"/>
      <c r="R47" s="41"/>
      <c r="S47" s="41"/>
    </row>
    <row r="48" spans="1:19" x14ac:dyDescent="0.2">
      <c r="A48" s="41"/>
      <c r="B48" s="41"/>
      <c r="C48" s="41"/>
      <c r="D48" s="41"/>
      <c r="E48" s="41"/>
      <c r="F48" s="41"/>
      <c r="G48" s="41"/>
      <c r="H48" s="41"/>
      <c r="I48" s="41"/>
      <c r="J48" s="41"/>
      <c r="K48" s="41"/>
      <c r="L48" s="41"/>
      <c r="M48" s="41"/>
      <c r="N48" s="41"/>
      <c r="O48" s="41"/>
      <c r="P48" s="41"/>
      <c r="Q48" s="41"/>
      <c r="R48" s="41"/>
      <c r="S48" s="41"/>
    </row>
    <row r="49" spans="1:19" x14ac:dyDescent="0.2">
      <c r="A49" s="41"/>
      <c r="B49" s="41"/>
      <c r="C49" s="41"/>
      <c r="D49" s="41"/>
      <c r="E49" s="41"/>
      <c r="F49" s="41"/>
      <c r="G49" s="41"/>
      <c r="H49" s="41"/>
      <c r="I49" s="41"/>
      <c r="J49" s="41"/>
      <c r="K49" s="41"/>
      <c r="L49" s="41"/>
      <c r="M49" s="41"/>
      <c r="N49" s="41"/>
      <c r="O49" s="41"/>
      <c r="P49" s="41"/>
      <c r="Q49" s="41"/>
      <c r="R49" s="41"/>
      <c r="S49" s="41"/>
    </row>
    <row r="50" spans="1:19" x14ac:dyDescent="0.2">
      <c r="A50" s="41"/>
      <c r="B50" s="41"/>
      <c r="C50" s="41"/>
      <c r="D50" s="41"/>
      <c r="E50" s="41"/>
      <c r="F50" s="41"/>
      <c r="G50" s="41"/>
      <c r="H50" s="41"/>
      <c r="I50" s="41"/>
      <c r="J50" s="41"/>
      <c r="K50" s="41"/>
      <c r="L50" s="41"/>
      <c r="M50" s="41"/>
      <c r="N50" s="41"/>
      <c r="O50" s="41"/>
      <c r="P50" s="41"/>
      <c r="Q50" s="41"/>
      <c r="R50" s="41"/>
      <c r="S50" s="41"/>
    </row>
    <row r="51" spans="1:19" x14ac:dyDescent="0.2">
      <c r="A51" s="41"/>
      <c r="B51" s="41"/>
      <c r="C51" s="41"/>
      <c r="D51" s="41"/>
      <c r="E51" s="41"/>
      <c r="F51" s="41"/>
      <c r="G51" s="41"/>
      <c r="H51" s="41"/>
      <c r="I51" s="41"/>
      <c r="J51" s="41"/>
      <c r="K51" s="41"/>
      <c r="L51" s="41"/>
      <c r="M51" s="41"/>
      <c r="N51" s="41"/>
      <c r="O51" s="41"/>
      <c r="P51" s="41"/>
      <c r="Q51" s="41"/>
      <c r="R51" s="41"/>
      <c r="S51" s="41"/>
    </row>
    <row r="52" spans="1:19" x14ac:dyDescent="0.2">
      <c r="A52" s="41"/>
      <c r="B52" s="41"/>
      <c r="C52" s="41"/>
      <c r="D52" s="41"/>
      <c r="E52" s="41"/>
      <c r="F52" s="41"/>
      <c r="G52" s="41"/>
      <c r="H52" s="41"/>
      <c r="I52" s="41"/>
      <c r="J52" s="41"/>
      <c r="K52" s="41"/>
      <c r="L52" s="41"/>
      <c r="M52" s="41"/>
      <c r="N52" s="41"/>
      <c r="O52" s="41"/>
      <c r="P52" s="41"/>
      <c r="Q52" s="41"/>
      <c r="R52" s="41"/>
      <c r="S52" s="41"/>
    </row>
    <row r="53" spans="1:19" x14ac:dyDescent="0.2">
      <c r="A53" s="41"/>
      <c r="B53" s="41"/>
      <c r="C53" s="41"/>
      <c r="D53" s="41"/>
      <c r="E53" s="41"/>
      <c r="F53" s="41"/>
      <c r="G53" s="41"/>
      <c r="H53" s="41"/>
      <c r="I53" s="41"/>
      <c r="J53" s="41"/>
      <c r="K53" s="41"/>
      <c r="L53" s="41"/>
      <c r="M53" s="41"/>
      <c r="N53" s="41"/>
      <c r="O53" s="41"/>
      <c r="P53" s="41"/>
      <c r="Q53" s="41"/>
      <c r="R53" s="41"/>
      <c r="S53" s="41"/>
    </row>
    <row r="54" spans="1:19" x14ac:dyDescent="0.2">
      <c r="A54" s="41"/>
      <c r="B54" s="41"/>
      <c r="C54" s="41"/>
      <c r="D54" s="41"/>
      <c r="E54" s="41"/>
      <c r="F54" s="41"/>
      <c r="G54" s="41"/>
      <c r="H54" s="41"/>
      <c r="I54" s="41"/>
      <c r="J54" s="41"/>
      <c r="K54" s="41"/>
      <c r="L54" s="41"/>
      <c r="M54" s="41"/>
      <c r="N54" s="41"/>
      <c r="O54" s="41"/>
      <c r="P54" s="41"/>
      <c r="Q54" s="41"/>
      <c r="R54" s="41"/>
      <c r="S54" s="41"/>
    </row>
    <row r="55" spans="1:19" x14ac:dyDescent="0.2">
      <c r="A55" s="41"/>
      <c r="B55" s="41"/>
      <c r="C55" s="41"/>
      <c r="D55" s="41"/>
      <c r="E55" s="41"/>
      <c r="F55" s="41"/>
      <c r="G55" s="41"/>
      <c r="H55" s="41"/>
      <c r="I55" s="41"/>
      <c r="J55" s="41"/>
      <c r="K55" s="41"/>
      <c r="L55" s="41"/>
      <c r="M55" s="41"/>
      <c r="N55" s="41"/>
      <c r="O55" s="41"/>
      <c r="P55" s="41"/>
      <c r="Q55" s="41"/>
      <c r="R55" s="41"/>
      <c r="S55" s="41"/>
    </row>
    <row r="56" spans="1:19" x14ac:dyDescent="0.2">
      <c r="A56" s="41"/>
      <c r="B56" s="41"/>
      <c r="C56" s="41"/>
      <c r="D56" s="41"/>
      <c r="E56" s="41"/>
      <c r="F56" s="41"/>
      <c r="G56" s="41"/>
      <c r="H56" s="41"/>
      <c r="I56" s="41"/>
      <c r="J56" s="41"/>
      <c r="K56" s="41"/>
      <c r="L56" s="41"/>
      <c r="M56" s="41"/>
      <c r="N56" s="41"/>
      <c r="O56" s="41"/>
      <c r="P56" s="41"/>
      <c r="Q56" s="41"/>
      <c r="R56" s="41"/>
      <c r="S56" s="41"/>
    </row>
    <row r="57" spans="1:19" x14ac:dyDescent="0.2">
      <c r="A57" s="41"/>
      <c r="B57" s="41"/>
      <c r="C57" s="41"/>
      <c r="D57" s="41"/>
      <c r="E57" s="41"/>
      <c r="F57" s="41"/>
      <c r="G57" s="41"/>
      <c r="H57" s="41"/>
      <c r="I57" s="41"/>
      <c r="J57" s="41"/>
      <c r="K57" s="41"/>
      <c r="L57" s="41"/>
      <c r="M57" s="41"/>
      <c r="N57" s="41"/>
      <c r="O57" s="41"/>
      <c r="P57" s="41"/>
      <c r="Q57" s="41"/>
      <c r="R57" s="41"/>
      <c r="S57" s="41"/>
    </row>
    <row r="66" spans="2:2" x14ac:dyDescent="0.2">
      <c r="B66" s="104"/>
    </row>
    <row r="67" spans="2:2" x14ac:dyDescent="0.2">
      <c r="B67" s="104"/>
    </row>
    <row r="68" spans="2:2" x14ac:dyDescent="0.2">
      <c r="B68" s="104"/>
    </row>
    <row r="69" spans="2:2" x14ac:dyDescent="0.2">
      <c r="B69" s="104"/>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135" spans="1:3" x14ac:dyDescent="0.2">
      <c r="A135" s="39" t="s">
        <v>9</v>
      </c>
    </row>
    <row r="136" spans="1:3" x14ac:dyDescent="0.2">
      <c r="C136" s="105">
        <v>1.46738701E-2</v>
      </c>
    </row>
  </sheetData>
  <sheetProtection sheet="1" objects="1" scenarios="1" selectLockedCells="1"/>
  <mergeCells count="3">
    <mergeCell ref="A10:I11"/>
    <mergeCell ref="J10:J11"/>
    <mergeCell ref="M8:O11"/>
  </mergeCells>
  <phoneticPr fontId="3"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mc:AlternateContent xmlns:mc="http://schemas.openxmlformats.org/markup-compatibility/2006">
          <mc:Choice Requires="x14">
            <control shapeId="51322" r:id="rId6" name="Spinner 122">
              <controlPr defaultSize="0" autoPict="0" macro="[0]!Spinner122_Change">
                <anchor>
                  <from>
                    <xdr:col>9</xdr:col>
                    <xdr:colOff>0</xdr:colOff>
                    <xdr:row>0</xdr:row>
                    <xdr:rowOff>104775</xdr:rowOff>
                  </from>
                  <to>
                    <xdr:col>9</xdr:col>
                    <xdr:colOff>381000</xdr:colOff>
                    <xdr:row>2</xdr:row>
                    <xdr:rowOff>85725</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08"/>
  <sheetViews>
    <sheetView zoomScale="85" zoomScaleNormal="85" workbookViewId="0">
      <selection activeCell="F3" sqref="F3"/>
    </sheetView>
  </sheetViews>
  <sheetFormatPr defaultColWidth="11.42578125" defaultRowHeight="12.75" x14ac:dyDescent="0.2"/>
  <cols>
    <col min="1" max="1" width="11.7109375" style="200" customWidth="1"/>
    <col min="2" max="2" width="13.85546875" style="200" customWidth="1"/>
    <col min="3" max="3" width="12" style="200" customWidth="1"/>
    <col min="4" max="4" width="11" style="200" customWidth="1"/>
    <col min="5" max="5" width="11.85546875" style="200" customWidth="1"/>
    <col min="6" max="6" width="13.42578125" style="200" customWidth="1"/>
    <col min="7" max="7" width="12" style="200" customWidth="1"/>
    <col min="8" max="8" width="13.85546875" style="200" customWidth="1"/>
    <col min="9" max="9" width="14" style="200" customWidth="1"/>
    <col min="10" max="10" width="14.5703125" style="200" customWidth="1"/>
    <col min="11" max="11" width="13.85546875" style="200" customWidth="1"/>
    <col min="12" max="12" width="14.5703125" style="200" customWidth="1"/>
    <col min="13" max="13" width="13.7109375" style="200" customWidth="1"/>
    <col min="14" max="14" width="13.28515625" style="200" customWidth="1"/>
    <col min="15" max="15" width="14.5703125" style="200" customWidth="1"/>
    <col min="16" max="16" width="12.85546875" style="200" customWidth="1"/>
    <col min="17" max="17" width="15.7109375" style="200" customWidth="1"/>
    <col min="18" max="18" width="13.42578125" style="200" customWidth="1"/>
    <col min="19" max="19" width="14" style="200" customWidth="1"/>
    <col min="20" max="20" width="15.42578125" style="200" customWidth="1"/>
    <col min="21" max="21" width="16.85546875" style="200" customWidth="1"/>
    <col min="22" max="22" width="17.5703125" style="200" customWidth="1"/>
    <col min="23" max="23" width="15.140625" style="200" customWidth="1"/>
    <col min="24" max="24" width="13.7109375" style="200" customWidth="1"/>
    <col min="25" max="25" width="13.140625" style="200" customWidth="1"/>
    <col min="26" max="26" width="12.42578125" style="200" customWidth="1"/>
    <col min="27" max="27" width="10.5703125" style="200" customWidth="1"/>
    <col min="28" max="28" width="14.85546875" style="200" customWidth="1"/>
    <col min="29" max="29" width="10.42578125" style="200" customWidth="1"/>
    <col min="30" max="30" width="13" style="200" bestFit="1" customWidth="1"/>
    <col min="31" max="31" width="12.85546875" style="200" customWidth="1"/>
    <col min="32" max="33" width="11.42578125" style="200"/>
    <col min="34" max="34" width="13" style="200" bestFit="1" customWidth="1"/>
    <col min="35" max="16384" width="11.42578125" style="200"/>
  </cols>
  <sheetData>
    <row r="1" spans="1:31" ht="19.5" customHeight="1" x14ac:dyDescent="0.25">
      <c r="A1" s="195" t="s">
        <v>160</v>
      </c>
      <c r="B1" s="196"/>
      <c r="C1" s="196"/>
      <c r="D1" s="196"/>
      <c r="E1" s="197" t="s">
        <v>15</v>
      </c>
      <c r="F1" s="198">
        <v>42055</v>
      </c>
      <c r="G1" s="199"/>
      <c r="H1" s="196"/>
      <c r="J1" s="196" t="s">
        <v>191</v>
      </c>
      <c r="K1" s="200" t="s">
        <v>36</v>
      </c>
      <c r="L1" s="201" t="s">
        <v>192</v>
      </c>
      <c r="M1" s="292" t="str">
        <f>"Lifetime = "&amp;K2&amp;" "&amp;L1&amp;" @ "&amp;J2&amp;" "&amp;L2</f>
        <v>Lifetime = 48.80 µs @ 1.0E+15 cm-3</v>
      </c>
      <c r="N1" s="292"/>
      <c r="O1" s="292"/>
      <c r="P1" s="196"/>
      <c r="Q1" s="202" t="s">
        <v>255</v>
      </c>
      <c r="R1" s="203" t="str">
        <f>IF(MAX(C9:C133)&gt;0.6,"  Saturated Reference Cell  - Data for MCD&gt; "&amp;J4&amp; " not valid ","")</f>
        <v xml:space="preserve">  Saturated Reference Cell  - Data for MCD&gt; 3.9E+16 not valid </v>
      </c>
      <c r="S1" s="201" t="s">
        <v>155</v>
      </c>
      <c r="T1" s="204" t="str">
        <f>IF(AND(PCRefRatio&gt;1000,AnalysisMode&lt;&gt;"Transient"),"Recommended Analysis Mode is Transient for this sample",IF(AND(PCRefRatio&lt;1000,AnalysisMode="Transient"),"Recommended Analysis Mode is Generalized for this sample",""))</f>
        <v/>
      </c>
      <c r="U1" s="196"/>
      <c r="V1" s="196"/>
      <c r="W1" s="201"/>
      <c r="X1" s="201"/>
      <c r="Y1" s="201"/>
      <c r="Z1" s="201"/>
    </row>
    <row r="2" spans="1:31" ht="15" x14ac:dyDescent="0.2">
      <c r="A2" s="202" t="s">
        <v>336</v>
      </c>
      <c r="B2" s="121"/>
      <c r="C2" s="205"/>
      <c r="D2" s="121"/>
      <c r="E2" s="206" t="s">
        <v>19</v>
      </c>
      <c r="F2" s="207">
        <v>0.6613310185185185</v>
      </c>
      <c r="G2" s="201"/>
      <c r="H2" s="208"/>
      <c r="I2" s="196" t="s">
        <v>190</v>
      </c>
      <c r="J2" s="208" t="str">
        <f>TEXT(SpecMCD,"0.0E+00")</f>
        <v>1.0E+15</v>
      </c>
      <c r="K2" s="201" t="str">
        <f>TEXT(MeasuredLifetime,"0.00")</f>
        <v>48.80</v>
      </c>
      <c r="L2" s="201" t="s">
        <v>349</v>
      </c>
      <c r="M2" s="201"/>
      <c r="N2" s="208"/>
      <c r="O2" s="201"/>
      <c r="P2" s="121"/>
      <c r="Q2" s="209" t="s">
        <v>256</v>
      </c>
      <c r="R2" s="203" t="str">
        <f>IF(OR(SpecMCD&gt;MaxApparentCD,SpecMCD&lt;MinApparentCD),"  Choose Specificed MCD within Data, Min MCD &lt; Spec MCD &lt; Max MCD","")</f>
        <v/>
      </c>
      <c r="S2" s="201" t="s">
        <v>317</v>
      </c>
      <c r="T2" s="196" t="str">
        <f>IF(AND(Temperature&gt;30,MobilityModel=DK),"Use Dorkel/ Leturqc mobility model for this analysis","")</f>
        <v/>
      </c>
      <c r="U2" s="196"/>
      <c r="V2" s="196"/>
      <c r="W2" s="210"/>
      <c r="X2" s="210"/>
      <c r="Y2" s="210"/>
      <c r="Z2" s="210"/>
    </row>
    <row r="3" spans="1:31" x14ac:dyDescent="0.2">
      <c r="A3" s="199"/>
      <c r="B3" s="211"/>
      <c r="C3" s="196"/>
      <c r="D3" s="196"/>
      <c r="E3" s="206" t="s">
        <v>313</v>
      </c>
      <c r="F3" s="212">
        <v>35.505602000000003</v>
      </c>
      <c r="G3" s="201"/>
      <c r="H3" s="201"/>
      <c r="I3" s="201"/>
      <c r="J3" s="196" t="s">
        <v>269</v>
      </c>
      <c r="K3" s="201"/>
      <c r="L3" s="208"/>
      <c r="M3" s="201"/>
      <c r="N3" s="208"/>
      <c r="O3" s="201"/>
      <c r="P3" s="213"/>
      <c r="Q3" s="214" t="s">
        <v>257</v>
      </c>
      <c r="R3" s="203" t="str">
        <f>IF(BiasLight=0,"",IF(MAX(M9:M133)=0,"  Choose Bias Light within data  ",""))</f>
        <v/>
      </c>
      <c r="S3" s="201"/>
      <c r="T3" s="196"/>
      <c r="U3" s="196"/>
      <c r="V3" s="196"/>
      <c r="W3" s="210"/>
      <c r="X3" s="210"/>
      <c r="Y3" s="210"/>
      <c r="Z3" s="210"/>
    </row>
    <row r="4" spans="1:31" ht="15.75" customHeight="1" x14ac:dyDescent="0.2">
      <c r="A4" s="215"/>
      <c r="B4" s="196"/>
      <c r="C4" s="201"/>
      <c r="D4" s="215"/>
      <c r="E4" s="201"/>
      <c r="F4" s="196"/>
      <c r="G4" s="201"/>
      <c r="H4" s="201"/>
      <c r="I4" s="201"/>
      <c r="J4" s="196" t="str">
        <f>TEXT(AC6,"0.0E+00")</f>
        <v>3.9E+16</v>
      </c>
      <c r="K4" s="196"/>
      <c r="L4" s="205"/>
      <c r="M4" s="201"/>
      <c r="N4" s="121"/>
      <c r="O4" s="201"/>
      <c r="P4" s="215"/>
      <c r="Q4" s="202" t="s">
        <v>163</v>
      </c>
      <c r="R4" s="216" t="str">
        <f ca="1">IF(OR(Air_Voltage&lt;-0.95,Air_Voltage&gt;-0.5,(NOW()-ZeroInstTime)&gt;0.5,AirVStdev&gt;0.01),"  Remove Sample From Stage and Re-Zero Instrument  ","")</f>
        <v/>
      </c>
      <c r="S4" s="208"/>
      <c r="T4" s="208"/>
      <c r="U4" s="215"/>
      <c r="V4" s="196"/>
      <c r="W4" s="217"/>
      <c r="X4" s="201"/>
      <c r="Y4" s="201"/>
      <c r="Z4" s="201"/>
    </row>
    <row r="5" spans="1:31" ht="43.5" customHeight="1" x14ac:dyDescent="0.25">
      <c r="A5" s="218" t="s">
        <v>173</v>
      </c>
      <c r="B5" s="219" t="s">
        <v>174</v>
      </c>
      <c r="C5" s="219" t="s">
        <v>303</v>
      </c>
      <c r="D5" s="219" t="s">
        <v>16</v>
      </c>
      <c r="E5" s="219" t="s">
        <v>296</v>
      </c>
      <c r="F5" s="219" t="s">
        <v>31</v>
      </c>
      <c r="G5" s="219" t="s">
        <v>183</v>
      </c>
      <c r="H5" s="219" t="s">
        <v>184</v>
      </c>
      <c r="I5" s="219" t="s">
        <v>186</v>
      </c>
      <c r="J5" s="219" t="s">
        <v>182</v>
      </c>
      <c r="K5" s="220" t="s">
        <v>185</v>
      </c>
      <c r="L5" s="220" t="s">
        <v>187</v>
      </c>
      <c r="M5" s="219" t="s">
        <v>3</v>
      </c>
      <c r="N5" s="219" t="s">
        <v>17</v>
      </c>
      <c r="O5" s="219" t="s">
        <v>188</v>
      </c>
      <c r="P5" s="219" t="s">
        <v>177</v>
      </c>
      <c r="Q5" s="219" t="s">
        <v>178</v>
      </c>
      <c r="R5" s="219" t="s">
        <v>350</v>
      </c>
      <c r="S5" s="219" t="s">
        <v>302</v>
      </c>
      <c r="T5" s="219" t="s">
        <v>279</v>
      </c>
      <c r="U5" s="220" t="s">
        <v>280</v>
      </c>
      <c r="V5" s="219" t="s">
        <v>314</v>
      </c>
      <c r="W5" s="219" t="s">
        <v>315</v>
      </c>
      <c r="X5" s="219" t="s">
        <v>316</v>
      </c>
      <c r="Y5" s="219" t="s">
        <v>351</v>
      </c>
      <c r="Z5" s="220" t="s">
        <v>352</v>
      </c>
      <c r="AA5" s="219" t="s">
        <v>18</v>
      </c>
      <c r="AB5" s="219" t="s">
        <v>189</v>
      </c>
      <c r="AC5" s="220" t="s">
        <v>267</v>
      </c>
      <c r="AD5" s="219" t="s">
        <v>311</v>
      </c>
      <c r="AE5" s="221" t="s">
        <v>312</v>
      </c>
    </row>
    <row r="6" spans="1:31" x14ac:dyDescent="0.2">
      <c r="A6" s="222">
        <f>B166</f>
        <v>-0.52247100000000002</v>
      </c>
      <c r="B6" s="154">
        <f>CalcDarkSheetResistance(Dark_Voltage,A_cal,B_cal,C_cal)</f>
        <v>114.34808149293035</v>
      </c>
      <c r="C6" s="223">
        <f>SheetResistance*Thickness</f>
        <v>2.2412223972614349</v>
      </c>
      <c r="D6" s="224">
        <f>calcdoping(InputResistivity,SampleType)</f>
        <v>3416264639614550.5</v>
      </c>
      <c r="E6" s="225">
        <f>SUMSQ(B9:B133)/SUMSQ(C9:C133)</f>
        <v>55.6797425336487</v>
      </c>
      <c r="F6" s="154">
        <f>MAX(E9:E133)</f>
        <v>59.001901656047217</v>
      </c>
      <c r="G6" s="226">
        <f>SpecMCD*(1-Fit_Range)</f>
        <v>700000000000000</v>
      </c>
      <c r="H6" s="226">
        <f>SpecMCD*(1+Fit_Range)</f>
        <v>1300000000000000</v>
      </c>
      <c r="I6" s="227">
        <f>MIN($I$14:$I$133)</f>
        <v>21815427621230.598</v>
      </c>
      <c r="J6" s="226">
        <f>MAX($I$9:$I$132)</f>
        <v>4.019757950596416E+16</v>
      </c>
      <c r="K6" s="227">
        <f>LOOKUP(2,1/(I9:I133=MaxApparentCD),A9:A133)</f>
        <v>4.4989999999999999E-4</v>
      </c>
      <c r="L6" s="227">
        <f>LOOKUP(2,1/(I9:I133=MaxApparentCD),H9:H133)</f>
        <v>0.13233882215968598</v>
      </c>
      <c r="M6" s="226">
        <f>IF(BiasLight=0,0,INTERCEPT($N18:$N130,$M18:$M130)+BiasLight*SLOPE($N18:$N130,$M18:$M130))</f>
        <v>0</v>
      </c>
      <c r="N6" s="226">
        <f>BiasPtCD-(BiasLight*0.038*OptConst)*MeasuredLifetimeAuger*0.000001/(1.6E-19*Thickness)</f>
        <v>0</v>
      </c>
      <c r="O6" s="227">
        <f>SpecMCD-Traps</f>
        <v>1000000000000000</v>
      </c>
      <c r="P6" s="156">
        <f>IF(MAX(R10:R131)=0,0,SLOPE(R10:R131,J10:J131))</f>
        <v>-5.348468608532625E-12</v>
      </c>
      <c r="Q6" s="154">
        <f>IF(MAX(R10:R131)=0,0,INTERCEPT(R10:R130,J10:J130))</f>
        <v>25839.559852588878</v>
      </c>
      <c r="R6" s="156">
        <f>IF(MaxSuns&gt;0.1,1000000*1/(Q6+(SpecMCD)*P6),0)</f>
        <v>48.801695726676584</v>
      </c>
      <c r="S6" s="156">
        <f>R6/1000000</f>
        <v>4.8801695726676583E-5</v>
      </c>
      <c r="T6" s="228">
        <f>IF(MAX(T10:T131)=0,0,SLOPE(T10:T131,J10:J131))</f>
        <v>-5.35175653687924E-12</v>
      </c>
      <c r="U6" s="156">
        <f>IF(MAX(T10:T131)=0,0,INTERCEPT(T10:T130,J10:J130))</f>
        <v>25841.132818931481</v>
      </c>
      <c r="V6" s="229">
        <f>IF(MaxSuns&gt;0.1,1000000*1/(FitInterceptAuger+(SpecMCD)*FitSlopeAuger),0)</f>
        <v>48.805780431488998</v>
      </c>
      <c r="W6" s="227">
        <f>MeasuredLifetimeAuger/1000000</f>
        <v>4.8805780431488997E-5</v>
      </c>
      <c r="X6" s="227">
        <f>IF(MeasuredLifetimeAuger&gt;0,1000000/MeasuredLifetimeAuger,0)</f>
        <v>20489.376282052239</v>
      </c>
      <c r="Y6" s="230">
        <f>IF(MaxSuns&gt;0.1,1000000/(FitInterceptAuger-(FitSlopeAuger*(SampleDoping-Traps))),0)</f>
        <v>22.663326382240999</v>
      </c>
      <c r="Z6" s="156" t="str">
        <f>IF(AugerModel="Richter",SLOPE(W10:W131,J10:J131),"")</f>
        <v/>
      </c>
      <c r="AA6" s="228">
        <f>IF(AugerModel="Sinton",calcjo(FitSlopeAuger,Thickness),calcJoRichter(Thickness,Z6))</f>
        <v>-1.2429989732555723E-12</v>
      </c>
      <c r="AB6" s="231">
        <f ca="1">FORECAST(1,OFFSET(X9,MATCH(1,Y9:Y133,-1)-1,0,2),OFFSET(Y9,MATCH(1,Y9:Y133,-1)-1,0,2))</f>
        <v>0.60263892676989128</v>
      </c>
      <c r="AC6" s="232">
        <f>MIN(Z9:Z133)</f>
        <v>3.9136992271831848E+16</v>
      </c>
      <c r="AD6" s="233">
        <f>1/((1/SheetResistance)-(AD9*Temperature^3+AD10*Temperature^2+AD11*Temperature+AD12))</f>
        <v>139.14849699875415</v>
      </c>
      <c r="AE6" s="234">
        <f>AD6*Thickness</f>
        <v>2.7273105411755814</v>
      </c>
    </row>
    <row r="7" spans="1:31" s="201" customFormat="1" x14ac:dyDescent="0.2">
      <c r="A7" s="235"/>
      <c r="B7" s="196"/>
      <c r="C7" s="196"/>
      <c r="D7" s="235"/>
      <c r="K7" s="236"/>
      <c r="L7" s="237"/>
      <c r="M7" s="208"/>
      <c r="O7" s="208"/>
      <c r="S7" s="238"/>
      <c r="T7" s="235"/>
      <c r="U7" s="239"/>
      <c r="V7" s="196"/>
      <c r="W7" s="240"/>
    </row>
    <row r="8" spans="1:31" ht="42" customHeight="1" x14ac:dyDescent="0.2">
      <c r="A8" s="241" t="s">
        <v>276</v>
      </c>
      <c r="B8" s="242" t="s">
        <v>55</v>
      </c>
      <c r="C8" s="219" t="s">
        <v>56</v>
      </c>
      <c r="D8" s="219" t="s">
        <v>6</v>
      </c>
      <c r="E8" s="219" t="s">
        <v>4</v>
      </c>
      <c r="F8" s="219" t="s">
        <v>10</v>
      </c>
      <c r="G8" s="219" t="s">
        <v>5</v>
      </c>
      <c r="H8" s="220" t="s">
        <v>47</v>
      </c>
      <c r="I8" s="219" t="s">
        <v>180</v>
      </c>
      <c r="J8" s="219" t="s">
        <v>175</v>
      </c>
      <c r="K8" s="219" t="s">
        <v>8</v>
      </c>
      <c r="L8" s="219" t="s">
        <v>12</v>
      </c>
      <c r="M8" s="219" t="s">
        <v>7</v>
      </c>
      <c r="N8" s="219" t="s">
        <v>179</v>
      </c>
      <c r="O8" s="219" t="s">
        <v>11</v>
      </c>
      <c r="P8" s="219" t="s">
        <v>181</v>
      </c>
      <c r="Q8" s="220" t="s">
        <v>176</v>
      </c>
      <c r="R8" s="220" t="s">
        <v>281</v>
      </c>
      <c r="S8" s="219" t="s">
        <v>299</v>
      </c>
      <c r="T8" s="220" t="s">
        <v>300</v>
      </c>
      <c r="U8" s="219" t="s">
        <v>294</v>
      </c>
      <c r="V8" s="220" t="s">
        <v>295</v>
      </c>
      <c r="W8" s="220" t="s">
        <v>332</v>
      </c>
      <c r="X8" s="219" t="s">
        <v>278</v>
      </c>
      <c r="Y8" s="220" t="s">
        <v>277</v>
      </c>
      <c r="Z8" s="220" t="s">
        <v>268</v>
      </c>
      <c r="AA8" s="220" t="s">
        <v>304</v>
      </c>
      <c r="AB8" s="220" t="s">
        <v>305</v>
      </c>
      <c r="AC8" s="220" t="s">
        <v>306</v>
      </c>
      <c r="AD8" s="220" t="s">
        <v>307</v>
      </c>
      <c r="AE8" s="243" t="s">
        <v>308</v>
      </c>
    </row>
    <row r="9" spans="1:31" x14ac:dyDescent="0.2">
      <c r="A9" s="244">
        <v>4.99E-5</v>
      </c>
      <c r="B9" s="244">
        <v>0.27443400000000001</v>
      </c>
      <c r="C9" s="245">
        <v>0.15359400000000001</v>
      </c>
      <c r="D9" s="246">
        <f>IF(CouplingMode="AC",B9-(A$11-A$10)*SUM(B$9:B9)/0.21,B9)</f>
        <v>0.27443400000000001</v>
      </c>
      <c r="E9" s="247">
        <f>IF(C9&gt;0,C9/RefCellCal,0.00001)</f>
        <v>14.594664631497526</v>
      </c>
      <c r="F9" s="247">
        <f t="shared" ref="F9:F40" si="0">E9-BiasLight</f>
        <v>14.594664631497526</v>
      </c>
      <c r="G9" s="248">
        <f t="shared" ref="G9:G40" si="1">F9*0.038*OptConst/1.602E-19</f>
        <v>2.4233338277018363E+18</v>
      </c>
      <c r="H9" s="249">
        <f>CalcConductance(B9,Dark_Voltage,A_cal,B_cal,C_cal)</f>
        <v>8.221784989293485E-3</v>
      </c>
      <c r="I9" s="248">
        <f>IF(MobilityModel=DK,CalcDeltaN(H9,SampleDoping,Thickness,AreaFrac),CalcDeltaNDL(H9,AreaFrac,Thickness,SampleType,SampleDoping,Temperature))</f>
        <v>1726185435815239.2</v>
      </c>
      <c r="J9" s="248" t="str">
        <f t="shared" ref="J9:J40" si="2">IF(AND(AND(I9&gt;=FitRangeMin,I9&lt;=FitRangeMax),A9&gt;TimeofMaxCD),I9,"")</f>
        <v/>
      </c>
      <c r="K9" s="248">
        <f>IF(I9-BiasPtCD=0,0.00001,I9-BiasPtCD)</f>
        <v>1726185435815239.2</v>
      </c>
      <c r="L9" s="250"/>
      <c r="M9" s="196" t="str">
        <f t="shared" ref="M9:M40" si="3">IF(E9&gt;0.85*BiasLight,IF( E9&lt;1.15*BiasLight,E9,""),"")</f>
        <v/>
      </c>
      <c r="N9" s="196" t="str">
        <f t="shared" ref="N9:N40" si="4">IF(E9&gt;0.85*BiasLight,IF(E9&lt;1.15*BiasLight,I9,""),"")</f>
        <v/>
      </c>
      <c r="O9" s="250">
        <f t="shared" ref="O9:O40" si="5">I9-Traps</f>
        <v>1726185435815239.2</v>
      </c>
      <c r="P9" s="248"/>
      <c r="Q9" s="250"/>
      <c r="R9" s="251"/>
      <c r="S9" s="252"/>
      <c r="T9" s="201"/>
      <c r="U9" s="252">
        <f>FitInterceptAuger+FitSlopeAuger*(I9+Traps)</f>
        <v>16603.008628941534</v>
      </c>
      <c r="V9" s="251" t="str">
        <f>IF(AugerModel="Sinton","",IF(SampleType="n-type",n_intr_boltzmann(SampleDoping,0,K9,Temperature+273.15),n_intr_boltzmann(0,SampleDoping,K9,Temperature+273.15)))</f>
        <v/>
      </c>
      <c r="W9" s="251" t="str">
        <f>IF(V9="","",IF(T9="","",(V9^2)*T9))</f>
        <v/>
      </c>
      <c r="X9" s="246" t="str">
        <f>IF(AND(A9&gt;TimeofMaxCD,I9&gt;Traps),IF(AugerModel="Sinton",CalcImpliedV(SampleDoping,O9),CalcImpliedVRichter(O9,SampleDoping,V9)),"")</f>
        <v/>
      </c>
      <c r="Y9" s="253" t="str">
        <f t="shared" ref="Y9:Y40" si="6">IF(OR(P9="",P9&lt;0,A9&lt;=TimeofMaxCD),"",(O9*Thickness*1.602E-19/(0.038*OptConst*P9)))</f>
        <v/>
      </c>
      <c r="Z9" s="200" t="str">
        <f t="shared" ref="Z9:Z40" si="7">IF(C9&gt;0.6,O9,"")</f>
        <v/>
      </c>
      <c r="AA9" s="254">
        <v>25.574943999999999</v>
      </c>
      <c r="AB9" s="254">
        <v>4293.71516748875</v>
      </c>
      <c r="AC9" s="251">
        <f>1/AB9</f>
        <v>2.328985414709906E-4</v>
      </c>
      <c r="AD9" s="251">
        <f>INDEX(LINEST(AC9:AC44,AA9:AA44^{1,2,3}),1)</f>
        <v>-1.0460341881812718E-9</v>
      </c>
      <c r="AE9" s="251">
        <f t="shared" ref="AE9:AE40" si="8">H9/(K9*AreaFrac*Thickness*1.602E-19)</f>
        <v>1516.9109419558524</v>
      </c>
    </row>
    <row r="10" spans="1:31" x14ac:dyDescent="0.2">
      <c r="A10" s="244">
        <v>1.4990000000000001E-4</v>
      </c>
      <c r="B10" s="244">
        <v>2.34911</v>
      </c>
      <c r="C10" s="245">
        <v>0.51370700000000002</v>
      </c>
      <c r="D10" s="246">
        <f>IF(CouplingMode="AC",B10-(A$11-A$10)*SUM(B$9:B10)/0.21,B10)</f>
        <v>2.34911</v>
      </c>
      <c r="E10" s="247">
        <f t="shared" ref="E10:E40" si="9">IF(C10&gt;0,C10/RefCellCal,0.00001)</f>
        <v>48.812983474958003</v>
      </c>
      <c r="F10" s="247">
        <f t="shared" si="0"/>
        <v>48.812983474958003</v>
      </c>
      <c r="G10" s="248">
        <f t="shared" si="1"/>
        <v>8.1050272186884065E+18</v>
      </c>
      <c r="H10" s="249">
        <f t="shared" ref="H10:H40" si="10">CalcConductance(B10,Dark_Voltage,A_cal,B_cal,C_cal)</f>
        <v>7.253884328570756E-2</v>
      </c>
      <c r="I10" s="248">
        <f>IF(MobilityModel=DK,CalcDeltaN(H10,SampleDoping,Thickness,AreaFrac),CalcDeltaNDL(H10,AreaFrac,Thickness,SampleType,SampleDoping,Temperature))</f>
        <v>1.893488083553198E+16</v>
      </c>
      <c r="J10" s="248" t="str">
        <f t="shared" si="2"/>
        <v/>
      </c>
      <c r="K10" s="248">
        <f t="shared" ref="K10:K40" si="11">IF(I10-BiasPtCD=0,0.00001,I10-BiasPtCD)</f>
        <v>1.893488083553198E+16</v>
      </c>
      <c r="L10" s="250"/>
      <c r="M10" s="196" t="str">
        <f t="shared" si="3"/>
        <v/>
      </c>
      <c r="N10" s="196" t="str">
        <f t="shared" si="4"/>
        <v/>
      </c>
      <c r="O10" s="250">
        <f t="shared" si="5"/>
        <v>1.893488083553198E+16</v>
      </c>
      <c r="P10" s="248"/>
      <c r="Q10" s="250"/>
      <c r="R10" s="251"/>
      <c r="S10" s="252"/>
      <c r="T10" s="201"/>
      <c r="U10" s="252">
        <f t="shared" ref="U10:U40" si="12">FitInterceptAuger+FitSlopeAuger*(I10+Traps)</f>
        <v>-75493.73946765624</v>
      </c>
      <c r="V10" s="251" t="str">
        <f>IF(AugerModel="Sinton","",IF(SampleType="n-type",n_intr_boltzmann(SampleDoping,0,K10,Temperature+273.15),n_intr_boltzmann(0,SampleDoping,K10,Temperature+273.15)))</f>
        <v/>
      </c>
      <c r="W10" s="251" t="str">
        <f t="shared" ref="W10:W73" si="13">IF(V10="","",IF(T10="","",(V10^2)*T10))</f>
        <v/>
      </c>
      <c r="X10" s="246" t="str">
        <f>IF(AND(A10&gt;TimeofMaxCD,I10&gt;Traps),IF(AugerModel="Sinton",CalcImpliedV(SampleDoping,O10),CalcImpliedVRichter(O10,SampleDoping,V10)),"")</f>
        <v/>
      </c>
      <c r="Y10" s="253" t="str">
        <f t="shared" si="6"/>
        <v/>
      </c>
      <c r="Z10" s="200" t="str">
        <f t="shared" si="7"/>
        <v/>
      </c>
      <c r="AA10" s="254">
        <v>30.514984999999999</v>
      </c>
      <c r="AB10" s="254">
        <v>950.53301340631413</v>
      </c>
      <c r="AC10" s="251">
        <f t="shared" ref="AC10:AC44" si="14">1/AB10</f>
        <v>1.0520413135535576E-3</v>
      </c>
      <c r="AD10" s="251">
        <f>INDEX(LINEST(AC9:AC44,AA9:AA44^{1,2,3}),1,2)</f>
        <v>9.461477656792033E-8</v>
      </c>
      <c r="AE10" s="251">
        <f t="shared" si="8"/>
        <v>1220.083254691066</v>
      </c>
    </row>
    <row r="11" spans="1:31" x14ac:dyDescent="0.2">
      <c r="A11" s="244">
        <v>2.499E-4</v>
      </c>
      <c r="B11" s="244">
        <v>3.5734300000000001</v>
      </c>
      <c r="C11" s="245">
        <v>0.58015399999999995</v>
      </c>
      <c r="D11" s="246">
        <f>IF(CouplingMode="AC",B11-(A$11-A$10)*SUM(B$9:B11)/0.21,B11)</f>
        <v>3.5734300000000001</v>
      </c>
      <c r="E11" s="247">
        <f t="shared" si="9"/>
        <v>55.126847823624715</v>
      </c>
      <c r="F11" s="247">
        <f t="shared" si="0"/>
        <v>55.126847823624715</v>
      </c>
      <c r="G11" s="248">
        <f t="shared" si="1"/>
        <v>9.1533967047966136E+18</v>
      </c>
      <c r="H11" s="249">
        <f t="shared" si="10"/>
        <v>0.11228552182853287</v>
      </c>
      <c r="I11" s="248">
        <f>IF(MobilityModel=DK,CalcDeltaN(H11,SampleDoping,Thickness,AreaFrac),CalcDeltaNDL(H11,AreaFrac,Thickness,SampleType,SampleDoping,Temperature))</f>
        <v>3.2505886255367408E+16</v>
      </c>
      <c r="J11" s="248" t="str">
        <f t="shared" si="2"/>
        <v/>
      </c>
      <c r="K11" s="248">
        <f t="shared" si="11"/>
        <v>3.2505886255367408E+16</v>
      </c>
      <c r="L11" s="250">
        <f t="shared" ref="L11:L42" si="15">IF(ABS(SLOPE(K9:K13,A9:A13))&lt;1000000000000,-1000000000000,(SLOPE(K9:K13,A9:A13)))</f>
        <v>9.7144899576597692E+19</v>
      </c>
      <c r="M11" s="196" t="str">
        <f t="shared" si="3"/>
        <v/>
      </c>
      <c r="N11" s="196" t="str">
        <f t="shared" si="4"/>
        <v/>
      </c>
      <c r="O11" s="250">
        <f t="shared" si="5"/>
        <v>3.2505886255367408E+16</v>
      </c>
      <c r="P11" s="248">
        <f>calclifetime(AnalysisMode,K11,Thickness,G11,L11)</f>
        <v>8.7885780674820676E-5</v>
      </c>
      <c r="Q11" s="250"/>
      <c r="R11" s="251"/>
      <c r="S11" s="252">
        <f>IF(AND(E11&gt;0.95*BiasLight,E11&lt;1.05*BiasLight),"",IF(AugerModel="Sinton",calclifetimeauger(Auger_Coefficient,I11,P11),calclifetimerichter(SampleType,I11,SampleDoping,P11)))</f>
        <v>9624.3947443095167</v>
      </c>
      <c r="T11" s="201"/>
      <c r="U11" s="252">
        <f t="shared" si="12"/>
        <v>-148122.45643528408</v>
      </c>
      <c r="V11" s="251" t="str">
        <f>IF(AugerModel="Sinton","",IF(SampleType="n-type",n_intr_boltzmann(SampleDoping,0,K11,Temperature+273.15),n_intr_boltzmann(0,SampleDoping,K11,Temperature+273.15)))</f>
        <v/>
      </c>
      <c r="W11" s="251" t="str">
        <f t="shared" si="13"/>
        <v/>
      </c>
      <c r="X11" s="246" t="str">
        <f>IF(AND(A11&gt;TimeofMaxCD,I11&gt;Traps),IF(AugerModel="Sinton",CalcImpliedV(SampleDoping,O11),CalcImpliedVRichter(O11,SampleDoping,V11)),"")</f>
        <v/>
      </c>
      <c r="Y11" s="253" t="str">
        <f t="shared" si="6"/>
        <v/>
      </c>
      <c r="Z11" s="200" t="str">
        <f t="shared" si="7"/>
        <v/>
      </c>
      <c r="AA11" s="254">
        <v>35.505572999999998</v>
      </c>
      <c r="AB11" s="254">
        <v>579.01823372252954</v>
      </c>
      <c r="AC11" s="251">
        <f t="shared" si="14"/>
        <v>1.7270613285715775E-3</v>
      </c>
      <c r="AD11" s="251">
        <f>INDEX(LINEST(AC9:AC44,AA9:AA44^{1,2,3}),1,3)</f>
        <v>1.3220590164630849E-4</v>
      </c>
      <c r="AE11" s="251">
        <f t="shared" si="8"/>
        <v>1100.1278705496993</v>
      </c>
    </row>
    <row r="12" spans="1:31" x14ac:dyDescent="0.2">
      <c r="A12" s="244">
        <v>3.4989999999999999E-4</v>
      </c>
      <c r="B12" s="244">
        <v>4.0961400000000001</v>
      </c>
      <c r="C12" s="245">
        <v>0.62093500000000001</v>
      </c>
      <c r="D12" s="246">
        <f>IF(CouplingMode="AC",B12-(A$11-A$10)*SUM(B$9:B12)/0.21,B12)</f>
        <v>4.0961400000000001</v>
      </c>
      <c r="E12" s="247">
        <f t="shared" si="9"/>
        <v>59.001901656047217</v>
      </c>
      <c r="F12" s="247">
        <f t="shared" si="0"/>
        <v>59.001901656047217</v>
      </c>
      <c r="G12" s="248">
        <f t="shared" si="1"/>
        <v>9.7968201251613983E+18</v>
      </c>
      <c r="H12" s="249">
        <f t="shared" si="10"/>
        <v>0.12965997759592904</v>
      </c>
      <c r="I12" s="248">
        <f>IF(MobilityModel=DK,CalcDeltaN(H12,SampleDoping,Thickness,AreaFrac),CalcDeltaNDL(H12,AreaFrac,Thickness,SampleType,SampleDoping,Temperature))</f>
        <v>3.9136992271831848E+16</v>
      </c>
      <c r="J12" s="248" t="str">
        <f t="shared" si="2"/>
        <v/>
      </c>
      <c r="K12" s="248">
        <f t="shared" si="11"/>
        <v>3.9136992271831848E+16</v>
      </c>
      <c r="L12" s="250">
        <f t="shared" si="15"/>
        <v>4.8363033300292297E+19</v>
      </c>
      <c r="M12" s="196" t="str">
        <f t="shared" si="3"/>
        <v/>
      </c>
      <c r="N12" s="196" t="str">
        <f t="shared" si="4"/>
        <v/>
      </c>
      <c r="O12" s="250">
        <f t="shared" si="5"/>
        <v>3.9136992271831848E+16</v>
      </c>
      <c r="P12" s="248">
        <f t="shared" ref="P12:P42" si="16">calclifetime(AnalysisMode,K12,Thickness,G12,L12)</f>
        <v>8.6687005558315708E-5</v>
      </c>
      <c r="Q12" s="250" t="str">
        <f t="shared" ref="Q12:Q43" si="17">IF($J12="","",P12)</f>
        <v/>
      </c>
      <c r="R12" s="251" t="str">
        <f t="shared" ref="R12:R43" si="18">IF(Q12="","",1/Q12)</f>
        <v/>
      </c>
      <c r="S12" s="252">
        <f>IF(AND(E12&gt;0.95*BiasLight,E12&lt;1.05*BiasLight),"",IF(AugerModel="Sinton",calclifetimeauger(Auger_Coefficient,I12,P12),calclifetimerichter(SampleType,I12,SampleDoping,P12)))</f>
        <v>8993.1254208012033</v>
      </c>
      <c r="T12" s="201" t="str">
        <f t="shared" ref="T12:T43" si="19">IF($J12="","",S12)</f>
        <v/>
      </c>
      <c r="U12" s="252">
        <f t="shared" si="12"/>
        <v>-183610.52140563692</v>
      </c>
      <c r="V12" s="251" t="str">
        <f>IF(AugerModel="Sinton","",IF(SampleType="n-type",n_intr_boltzmann(SampleDoping,0,K12,Temperature+273.15),n_intr_boltzmann(0,SampleDoping,K12,Temperature+273.15)))</f>
        <v/>
      </c>
      <c r="W12" s="251" t="str">
        <f t="shared" si="13"/>
        <v/>
      </c>
      <c r="X12" s="246" t="str">
        <f>IF(AND(A12&gt;TimeofMaxCD,I12&gt;Traps),IF(AugerModel="Sinton",CalcImpliedV(SampleDoping,O12),CalcImpliedVRichter(O12,SampleDoping,V12)),"")</f>
        <v/>
      </c>
      <c r="Y12" s="253" t="str">
        <f t="shared" si="6"/>
        <v/>
      </c>
      <c r="Z12" s="200">
        <f t="shared" si="7"/>
        <v>3.9136992271831848E+16</v>
      </c>
      <c r="AA12" s="254">
        <v>40.471617000000002</v>
      </c>
      <c r="AB12" s="254">
        <v>480.02527736007789</v>
      </c>
      <c r="AC12" s="251">
        <f t="shared" si="14"/>
        <v>2.083223628346299E-3</v>
      </c>
      <c r="AD12" s="251">
        <f>INDEX(LINEST(AC9:AC44,AA9:AA44^{1,2,3}),1,4)</f>
        <v>-3.2078448914350591E-3</v>
      </c>
      <c r="AE12" s="251">
        <f t="shared" si="8"/>
        <v>1055.1152803496175</v>
      </c>
    </row>
    <row r="13" spans="1:31" x14ac:dyDescent="0.2">
      <c r="A13" s="244">
        <v>4.4989999999999999E-4</v>
      </c>
      <c r="B13" s="244">
        <v>4.1760900000000003</v>
      </c>
      <c r="C13" s="245">
        <v>0.61662099999999997</v>
      </c>
      <c r="D13" s="246">
        <f>IF(CouplingMode="AC",B13-(A$11-A$10)*SUM(B$9:B13)/0.21,B13)</f>
        <v>4.1760900000000003</v>
      </c>
      <c r="E13" s="247">
        <f t="shared" si="9"/>
        <v>58.591980804840261</v>
      </c>
      <c r="F13" s="247">
        <f t="shared" si="0"/>
        <v>58.591980804840261</v>
      </c>
      <c r="G13" s="248">
        <f t="shared" si="1"/>
        <v>9.7287558639747236E+18</v>
      </c>
      <c r="H13" s="249">
        <f t="shared" si="10"/>
        <v>0.13233882215968598</v>
      </c>
      <c r="I13" s="248">
        <f>IF(MobilityModel=DK,CalcDeltaN(H13,SampleDoping,Thickness,AreaFrac),CalcDeltaNDL(H13,AreaFrac,Thickness,SampleType,SampleDoping,Temperature))</f>
        <v>4.019757950596416E+16</v>
      </c>
      <c r="J13" s="248" t="str">
        <f t="shared" si="2"/>
        <v/>
      </c>
      <c r="K13" s="248">
        <f t="shared" si="11"/>
        <v>4.019757950596416E+16</v>
      </c>
      <c r="L13" s="250">
        <f t="shared" si="15"/>
        <v>1.0516419509548503E+19</v>
      </c>
      <c r="M13" s="196" t="str">
        <f t="shared" si="3"/>
        <v/>
      </c>
      <c r="N13" s="196" t="str">
        <f t="shared" si="4"/>
        <v/>
      </c>
      <c r="O13" s="250">
        <f t="shared" si="5"/>
        <v>4.019757950596416E+16</v>
      </c>
      <c r="P13" s="248">
        <f t="shared" si="16"/>
        <v>8.2736830468972509E-5</v>
      </c>
      <c r="Q13" s="250" t="str">
        <f t="shared" si="17"/>
        <v/>
      </c>
      <c r="R13" s="251" t="str">
        <f t="shared" si="18"/>
        <v/>
      </c>
      <c r="S13" s="252">
        <f>IF(AND(E13&gt;0.95*BiasLight,E13&lt;1.05*BiasLight),"",IF(AugerModel="Sinton",calclifetimeauger(Auger_Coefficient,I13,P13),calclifetimerichter(SampleType,I13,SampleDoping,P13)))</f>
        <v>9404.2123338753809</v>
      </c>
      <c r="T13" s="201" t="str">
        <f t="shared" si="19"/>
        <v/>
      </c>
      <c r="U13" s="252">
        <f t="shared" si="12"/>
        <v>-189286.52606883517</v>
      </c>
      <c r="V13" s="251" t="str">
        <f>IF(AugerModel="Sinton","",IF(SampleType="n-type",n_intr_boltzmann(SampleDoping,0,K13,Temperature+273.15),n_intr_boltzmann(0,SampleDoping,K13,Temperature+273.15)))</f>
        <v/>
      </c>
      <c r="W13" s="251" t="str">
        <f t="shared" si="13"/>
        <v/>
      </c>
      <c r="X13" s="246" t="str">
        <f>IF(AND(A13&gt;TimeofMaxCD,I13&gt;Traps),IF(AugerModel="Sinton",CalcImpliedV(SampleDoping,O13),CalcImpliedVRichter(O13,SampleDoping,V13)),"")</f>
        <v/>
      </c>
      <c r="Y13" s="253" t="str">
        <f t="shared" si="6"/>
        <v/>
      </c>
      <c r="Z13" s="200">
        <f t="shared" si="7"/>
        <v>4.019757950596416E+16</v>
      </c>
      <c r="AA13" s="254">
        <v>45.471893999999999</v>
      </c>
      <c r="AB13" s="254">
        <v>370.16472897680944</v>
      </c>
      <c r="AC13" s="251">
        <f t="shared" si="14"/>
        <v>2.7014999585837076E-3</v>
      </c>
      <c r="AE13" s="251">
        <f t="shared" si="8"/>
        <v>1048.5008311147581</v>
      </c>
    </row>
    <row r="14" spans="1:31" x14ac:dyDescent="0.2">
      <c r="A14" s="244">
        <v>5.4989999999999998E-4</v>
      </c>
      <c r="B14" s="244">
        <v>4.1062599999999998</v>
      </c>
      <c r="C14" s="245">
        <v>0.595225</v>
      </c>
      <c r="D14" s="246">
        <f>IF(CouplingMode="AC",B14-(A$11-A$10)*SUM(B$9:B14)/0.21,B14)</f>
        <v>4.1062599999999998</v>
      </c>
      <c r="E14" s="247">
        <f t="shared" si="9"/>
        <v>56.558910213179644</v>
      </c>
      <c r="F14" s="247">
        <f t="shared" si="0"/>
        <v>56.558910213179644</v>
      </c>
      <c r="G14" s="248">
        <f t="shared" si="1"/>
        <v>9.3911798481309512E+18</v>
      </c>
      <c r="H14" s="249">
        <f t="shared" si="10"/>
        <v>0.12999874991278274</v>
      </c>
      <c r="I14" s="248">
        <f>IF(MobilityModel=DK,CalcDeltaN(H14,SampleDoping,Thickness,AreaFrac),CalcDeltaNDL(H14,AreaFrac,Thickness,SampleType,SampleDoping,Temperature))</f>
        <v>3.9270550860379744E+16</v>
      </c>
      <c r="J14" s="248" t="str">
        <f t="shared" si="2"/>
        <v/>
      </c>
      <c r="K14" s="248">
        <f t="shared" si="11"/>
        <v>3.9270550860379744E+16</v>
      </c>
      <c r="L14" s="250">
        <f t="shared" si="15"/>
        <v>-8.7805028603677532E+18</v>
      </c>
      <c r="M14" s="196" t="str">
        <f t="shared" si="3"/>
        <v/>
      </c>
      <c r="N14" s="196" t="str">
        <f t="shared" si="4"/>
        <v/>
      </c>
      <c r="O14" s="250">
        <f t="shared" si="5"/>
        <v>3.9270550860379744E+16</v>
      </c>
      <c r="P14" s="248">
        <f t="shared" si="16"/>
        <v>8.0485250002295246E-5</v>
      </c>
      <c r="Q14" s="250" t="str">
        <f t="shared" si="17"/>
        <v/>
      </c>
      <c r="R14" s="251" t="str">
        <f t="shared" si="18"/>
        <v/>
      </c>
      <c r="S14" s="252">
        <f>IF(AND(E14&gt;0.95*BiasLight,E14&lt;1.05*BiasLight),"",IF(AugerModel="Sinton",calclifetimeauger(Auger_Coefficient,I14,P14),calclifetimerichter(SampleType,I14,SampleDoping,P14)))</f>
        <v>9864.6243782839229</v>
      </c>
      <c r="T14" s="201" t="str">
        <f t="shared" si="19"/>
        <v/>
      </c>
      <c r="U14" s="252">
        <f t="shared" si="12"/>
        <v>-184325.29445495448</v>
      </c>
      <c r="V14" s="251" t="str">
        <f>IF(AugerModel="Sinton","",IF(SampleType="n-type",n_intr_boltzmann(SampleDoping,0,K14,Temperature+273.15),n_intr_boltzmann(0,SampleDoping,K14,Temperature+273.15)))</f>
        <v/>
      </c>
      <c r="W14" s="251" t="str">
        <f t="shared" si="13"/>
        <v/>
      </c>
      <c r="X14" s="246">
        <f>IF(AND(A14&gt;TimeofMaxCD,I14&gt;Traps),IF(AugerModel="Sinton",CalcImpliedV(SampleDoping,O14),CalcImpliedVRichter(O14,SampleDoping,V14)),"")</f>
        <v>0.79000143702411341</v>
      </c>
      <c r="Y14" s="253">
        <f t="shared" si="6"/>
        <v>57.595379256086623</v>
      </c>
      <c r="Z14" s="200" t="str">
        <f t="shared" si="7"/>
        <v/>
      </c>
      <c r="AA14" s="254">
        <v>50.503872000000001</v>
      </c>
      <c r="AB14" s="254">
        <v>277.34000992042826</v>
      </c>
      <c r="AC14" s="251">
        <f t="shared" si="14"/>
        <v>3.6056824267328411E-3</v>
      </c>
      <c r="AE14" s="251">
        <f t="shared" si="8"/>
        <v>1054.2742509993652</v>
      </c>
    </row>
    <row r="15" spans="1:31" x14ac:dyDescent="0.2">
      <c r="A15" s="244">
        <v>6.4990000000000002E-4</v>
      </c>
      <c r="B15" s="244">
        <v>3.9860799999999998</v>
      </c>
      <c r="C15" s="245">
        <v>0.56264800000000004</v>
      </c>
      <c r="D15" s="246">
        <f>IF(CouplingMode="AC",B15-(A$11-A$10)*SUM(B$9:B15)/0.21,B15)</f>
        <v>3.9860799999999998</v>
      </c>
      <c r="E15" s="247">
        <f t="shared" si="9"/>
        <v>53.463409153891561</v>
      </c>
      <c r="F15" s="247">
        <f t="shared" si="0"/>
        <v>53.463409153891561</v>
      </c>
      <c r="G15" s="248">
        <f t="shared" si="1"/>
        <v>8.8771952777372989E+18</v>
      </c>
      <c r="H15" s="249">
        <f t="shared" si="10"/>
        <v>0.12598152813802638</v>
      </c>
      <c r="I15" s="248">
        <f>IF(MobilityModel=DK,CalcDeltaN(H15,SampleDoping,Thickness,AreaFrac),CalcDeltaNDL(H15,AreaFrac,Thickness,SampleType,SampleDoping,Temperature))</f>
        <v>3.7697316715867712E+16</v>
      </c>
      <c r="J15" s="248" t="str">
        <f t="shared" si="2"/>
        <v/>
      </c>
      <c r="K15" s="248">
        <f t="shared" si="11"/>
        <v>3.7697316715867712E+16</v>
      </c>
      <c r="L15" s="250">
        <f t="shared" si="15"/>
        <v>-1.5131511673003309E+19</v>
      </c>
      <c r="M15" s="196" t="str">
        <f t="shared" si="3"/>
        <v/>
      </c>
      <c r="N15" s="196" t="str">
        <f t="shared" si="4"/>
        <v/>
      </c>
      <c r="O15" s="250">
        <f t="shared" si="5"/>
        <v>3.7697316715867712E+16</v>
      </c>
      <c r="P15" s="248">
        <f t="shared" si="16"/>
        <v>8.0541279488749988E-5</v>
      </c>
      <c r="Q15" s="250" t="str">
        <f t="shared" si="17"/>
        <v/>
      </c>
      <c r="R15" s="251" t="str">
        <f t="shared" si="18"/>
        <v/>
      </c>
      <c r="S15" s="252">
        <f>IF(AND(E15&gt;0.95*BiasLight,E15&lt;1.05*BiasLight),"",IF(AugerModel="Sinton",calclifetimeauger(Auger_Coefficient,I15,P15),calclifetimerichter(SampleType,I15,SampleDoping,P15)))</f>
        <v>10056.987906167664</v>
      </c>
      <c r="T15" s="201" t="str">
        <f t="shared" si="19"/>
        <v/>
      </c>
      <c r="U15" s="252">
        <f t="shared" si="12"/>
        <v>-175905.72833802059</v>
      </c>
      <c r="V15" s="251" t="str">
        <f>IF(AugerModel="Sinton","",IF(SampleType="n-type",n_intr_boltzmann(SampleDoping,0,K15,Temperature+273.15),n_intr_boltzmann(0,SampleDoping,K15,Temperature+273.15)))</f>
        <v/>
      </c>
      <c r="W15" s="251" t="str">
        <f t="shared" si="13"/>
        <v/>
      </c>
      <c r="X15" s="246">
        <f>IF(AND(A15&gt;TimeofMaxCD,I15&gt;Traps),IF(AugerModel="Sinton",CalcImpliedV(SampleDoping,O15),CalcImpliedVRichter(O15,SampleDoping,V15)),"")</f>
        <v>0.78798637592098109</v>
      </c>
      <c r="Y15" s="253">
        <f t="shared" si="6"/>
        <v>55.249564647586915</v>
      </c>
      <c r="Z15" s="200" t="str">
        <f t="shared" si="7"/>
        <v/>
      </c>
      <c r="AA15" s="254">
        <v>55.478293000000001</v>
      </c>
      <c r="AB15" s="254">
        <v>235.07848136567836</v>
      </c>
      <c r="AC15" s="251">
        <f t="shared" si="14"/>
        <v>4.2538985031319873E-3</v>
      </c>
      <c r="AE15" s="251">
        <f t="shared" si="8"/>
        <v>1064.3337908866572</v>
      </c>
    </row>
    <row r="16" spans="1:31" x14ac:dyDescent="0.2">
      <c r="A16" s="244">
        <v>7.4989999999999996E-4</v>
      </c>
      <c r="B16" s="244">
        <v>3.85372</v>
      </c>
      <c r="C16" s="245">
        <v>0.52906500000000001</v>
      </c>
      <c r="D16" s="246">
        <f>IF(CouplingMode="AC",B16-(A$11-A$10)*SUM(B$9:B16)/0.21,B16)</f>
        <v>3.85372</v>
      </c>
      <c r="E16" s="247">
        <f t="shared" si="9"/>
        <v>50.272316908624283</v>
      </c>
      <c r="F16" s="247">
        <f t="shared" si="0"/>
        <v>50.272316908624283</v>
      </c>
      <c r="G16" s="248">
        <f t="shared" si="1"/>
        <v>8.3473385129176392E+18</v>
      </c>
      <c r="H16" s="249">
        <f t="shared" si="10"/>
        <v>0.1215719953104596</v>
      </c>
      <c r="I16" s="248">
        <f>IF(MobilityModel=DK,CalcDeltaN(H16,SampleDoping,Thickness,AreaFrac),CalcDeltaNDL(H16,AreaFrac,Thickness,SampleType,SampleDoping,Temperature))</f>
        <v>3.5996872236696196E+16</v>
      </c>
      <c r="J16" s="248" t="str">
        <f t="shared" si="2"/>
        <v/>
      </c>
      <c r="K16" s="248">
        <f t="shared" si="11"/>
        <v>3.5996872236696196E+16</v>
      </c>
      <c r="L16" s="250">
        <f t="shared" si="15"/>
        <v>-1.6788675709876056E+19</v>
      </c>
      <c r="M16" s="196" t="str">
        <f t="shared" si="3"/>
        <v/>
      </c>
      <c r="N16" s="196" t="str">
        <f t="shared" si="4"/>
        <v/>
      </c>
      <c r="O16" s="250">
        <f t="shared" si="5"/>
        <v>3.5996872236696196E+16</v>
      </c>
      <c r="P16" s="248">
        <f t="shared" si="16"/>
        <v>8.1317018098227867E-5</v>
      </c>
      <c r="Q16" s="250" t="str">
        <f t="shared" si="17"/>
        <v/>
      </c>
      <c r="R16" s="251" t="str">
        <f t="shared" si="18"/>
        <v/>
      </c>
      <c r="S16" s="252">
        <f>IF(AND(E16&gt;0.95*BiasLight,E16&lt;1.05*BiasLight),"",IF(AugerModel="Sinton",calclifetimeauger(Auger_Coefficient,I16,P16),calclifetimerichter(SampleType,I16,SampleDoping,P16)))</f>
        <v>10146.562634525049</v>
      </c>
      <c r="T16" s="201" t="str">
        <f t="shared" si="19"/>
        <v/>
      </c>
      <c r="U16" s="252">
        <f t="shared" si="12"/>
        <v>-166805.36348101421</v>
      </c>
      <c r="V16" s="251" t="str">
        <f>IF(AugerModel="Sinton","",IF(SampleType="n-type",n_intr_boltzmann(SampleDoping,0,K16,Temperature+273.15),n_intr_boltzmann(0,SampleDoping,K16,Temperature+273.15)))</f>
        <v/>
      </c>
      <c r="W16" s="251" t="str">
        <f t="shared" si="13"/>
        <v/>
      </c>
      <c r="X16" s="246">
        <f>IF(AND(A16&gt;TimeofMaxCD,I16&gt;Traps),IF(AugerModel="Sinton",CalcImpliedV(SampleDoping,O16),CalcImpliedVRichter(O16,SampleDoping,V16)),"")</f>
        <v>0.78571547768574801</v>
      </c>
      <c r="Y16" s="253">
        <f t="shared" si="6"/>
        <v>52.254087533998494</v>
      </c>
      <c r="Z16" s="200" t="str">
        <f t="shared" si="7"/>
        <v/>
      </c>
      <c r="AA16" s="254">
        <v>60.477620000000002</v>
      </c>
      <c r="AB16" s="254">
        <v>211.94597692788435</v>
      </c>
      <c r="AC16" s="251">
        <f t="shared" si="14"/>
        <v>4.7181834470028886E-3</v>
      </c>
      <c r="AE16" s="251">
        <f t="shared" si="8"/>
        <v>1075.598517411798</v>
      </c>
    </row>
    <row r="17" spans="1:31" x14ac:dyDescent="0.2">
      <c r="A17" s="244">
        <v>8.499E-4</v>
      </c>
      <c r="B17" s="244">
        <v>3.71645</v>
      </c>
      <c r="C17" s="245">
        <v>0.498081</v>
      </c>
      <c r="D17" s="246">
        <f>IF(CouplingMode="AC",B17-(A$11-A$10)*SUM(B$9:B17)/0.21,B17)</f>
        <v>3.71645</v>
      </c>
      <c r="E17" s="247">
        <f t="shared" si="9"/>
        <v>47.328184397313166</v>
      </c>
      <c r="F17" s="247">
        <f t="shared" si="0"/>
        <v>47.328184397313166</v>
      </c>
      <c r="G17" s="248">
        <f t="shared" si="1"/>
        <v>7.8584875466200371E+18</v>
      </c>
      <c r="H17" s="249">
        <f t="shared" si="10"/>
        <v>0.11701530412898155</v>
      </c>
      <c r="I17" s="248">
        <f>IF(MobilityModel=DK,CalcDeltaN(H17,SampleDoping,Thickness,AreaFrac),CalcDeltaNDL(H17,AreaFrac,Thickness,SampleType,SampleDoping,Temperature))</f>
        <v>3.426866298130428E+16</v>
      </c>
      <c r="J17" s="248" t="str">
        <f t="shared" si="2"/>
        <v/>
      </c>
      <c r="K17" s="248">
        <f t="shared" si="11"/>
        <v>3.426866298130428E+16</v>
      </c>
      <c r="L17" s="250">
        <f t="shared" si="15"/>
        <v>-1.6921811308113904E+19</v>
      </c>
      <c r="M17" s="196" t="str">
        <f t="shared" si="3"/>
        <v/>
      </c>
      <c r="N17" s="196" t="str">
        <f t="shared" si="4"/>
        <v/>
      </c>
      <c r="O17" s="250">
        <f t="shared" si="5"/>
        <v>3.426866298130428E+16</v>
      </c>
      <c r="P17" s="248">
        <f t="shared" si="16"/>
        <v>8.2008922966157486E-5</v>
      </c>
      <c r="Q17" s="250" t="str">
        <f t="shared" si="17"/>
        <v/>
      </c>
      <c r="R17" s="251" t="str">
        <f t="shared" si="18"/>
        <v/>
      </c>
      <c r="S17" s="252">
        <f>IF(AND(E17&gt;0.95*BiasLight,E17&lt;1.05*BiasLight),"",IF(AugerModel="Sinton",calclifetimeauger(Auger_Coefficient,I17,P17),calclifetimerichter(SampleType,I17,SampleDoping,P17)))</f>
        <v>10244.388567368926</v>
      </c>
      <c r="T17" s="201" t="str">
        <f t="shared" si="19"/>
        <v/>
      </c>
      <c r="U17" s="252">
        <f t="shared" si="12"/>
        <v>-157556.40830137531</v>
      </c>
      <c r="V17" s="251" t="str">
        <f>IF(AugerModel="Sinton","",IF(SampleType="n-type",n_intr_boltzmann(SampleDoping,0,K17,Temperature+273.15),n_intr_boltzmann(0,SampleDoping,K17,Temperature+273.15)))</f>
        <v/>
      </c>
      <c r="W17" s="251" t="str">
        <f t="shared" si="13"/>
        <v/>
      </c>
      <c r="X17" s="246">
        <f>IF(AND(A17&gt;TimeofMaxCD,I17&gt;Traps),IF(AugerModel="Sinton",CalcImpliedV(SampleDoping,O17),CalcImpliedVRichter(O17,SampleDoping,V17)),"")</f>
        <v>0.78329959782281078</v>
      </c>
      <c r="Y17" s="253">
        <f t="shared" si="6"/>
        <v>49.325670628988831</v>
      </c>
      <c r="Z17" s="200" t="str">
        <f t="shared" si="7"/>
        <v/>
      </c>
      <c r="AA17" s="254">
        <v>65.476241999999999</v>
      </c>
      <c r="AB17" s="254">
        <v>177.12104469091474</v>
      </c>
      <c r="AC17" s="251">
        <f t="shared" si="14"/>
        <v>5.6458564917853272E-3</v>
      </c>
      <c r="AE17" s="251">
        <f t="shared" si="8"/>
        <v>1087.4941318987014</v>
      </c>
    </row>
    <row r="18" spans="1:31" x14ac:dyDescent="0.2">
      <c r="A18" s="244">
        <v>9.4990000000000005E-4</v>
      </c>
      <c r="B18" s="244">
        <v>3.5803699999999998</v>
      </c>
      <c r="C18" s="245">
        <v>0.46947800000000001</v>
      </c>
      <c r="D18" s="246">
        <f>IF(CouplingMode="AC",B18-(A$11-A$10)*SUM(B$9:B18)/0.21,B18)</f>
        <v>3.5803699999999998</v>
      </c>
      <c r="E18" s="247">
        <f t="shared" si="9"/>
        <v>44.610297028960737</v>
      </c>
      <c r="F18" s="247">
        <f t="shared" si="0"/>
        <v>44.610297028960737</v>
      </c>
      <c r="G18" s="248">
        <f t="shared" si="1"/>
        <v>7.4072028774678866E+18</v>
      </c>
      <c r="H18" s="249">
        <f t="shared" si="10"/>
        <v>0.11251461412167531</v>
      </c>
      <c r="I18" s="248">
        <f>IF(MobilityModel=DK,CalcDeltaN(H18,SampleDoping,Thickness,AreaFrac),CalcDeltaNDL(H18,AreaFrac,Thickness,SampleType,SampleDoping,Temperature))</f>
        <v>3.2590539872723432E+16</v>
      </c>
      <c r="J18" s="248" t="str">
        <f t="shared" si="2"/>
        <v/>
      </c>
      <c r="K18" s="248">
        <f t="shared" si="11"/>
        <v>3.2590539872723432E+16</v>
      </c>
      <c r="L18" s="250">
        <f t="shared" si="15"/>
        <v>-1.6681028777554475E+19</v>
      </c>
      <c r="M18" s="196" t="str">
        <f t="shared" si="3"/>
        <v/>
      </c>
      <c r="N18" s="196" t="str">
        <f t="shared" si="4"/>
        <v/>
      </c>
      <c r="O18" s="250">
        <f t="shared" si="5"/>
        <v>3.2590539872723432E+16</v>
      </c>
      <c r="P18" s="248">
        <f t="shared" si="16"/>
        <v>8.25914283386991E-5</v>
      </c>
      <c r="Q18" s="250" t="str">
        <f t="shared" si="17"/>
        <v/>
      </c>
      <c r="R18" s="251" t="str">
        <f t="shared" si="18"/>
        <v/>
      </c>
      <c r="S18" s="252">
        <f>IF(AND(E18&gt;0.95*BiasLight,E18&lt;1.05*BiasLight),"",IF(AugerModel="Sinton",calclifetimeauger(Auger_Coefficient,I18,P18),calclifetimerichter(SampleType,I18,SampleDoping,P18)))</f>
        <v>10344.636133993676</v>
      </c>
      <c r="T18" s="201" t="str">
        <f t="shared" si="19"/>
        <v/>
      </c>
      <c r="U18" s="252">
        <f t="shared" si="12"/>
        <v>-148575.50198533965</v>
      </c>
      <c r="V18" s="251" t="str">
        <f>IF(AugerModel="Sinton","",IF(SampleType="n-type",n_intr_boltzmann(SampleDoping,0,K18,Temperature+273.15),n_intr_boltzmann(0,SampleDoping,K18,Temperature+273.15)))</f>
        <v/>
      </c>
      <c r="W18" s="251" t="str">
        <f t="shared" si="13"/>
        <v/>
      </c>
      <c r="X18" s="246">
        <f>IF(AND(A18&gt;TimeofMaxCD,I18&gt;Traps),IF(AugerModel="Sinton",CalcImpliedV(SampleDoping,O18),CalcImpliedVRichter(O18,SampleDoping,V18)),"")</f>
        <v>0.78083948374738898</v>
      </c>
      <c r="Y18" s="253">
        <f t="shared" si="6"/>
        <v>46.579360783818586</v>
      </c>
      <c r="Z18" s="200" t="str">
        <f t="shared" si="7"/>
        <v/>
      </c>
      <c r="AA18" s="254">
        <v>70.471900000000005</v>
      </c>
      <c r="AB18" s="254">
        <v>163.55334972624357</v>
      </c>
      <c r="AC18" s="251">
        <f t="shared" si="14"/>
        <v>6.1142128955096612E-3</v>
      </c>
      <c r="AE18" s="251">
        <f t="shared" si="8"/>
        <v>1099.5090217682753</v>
      </c>
    </row>
    <row r="19" spans="1:31" x14ac:dyDescent="0.2">
      <c r="A19" s="244">
        <v>1.0499000000000001E-3</v>
      </c>
      <c r="B19" s="244">
        <v>3.44367</v>
      </c>
      <c r="C19" s="245">
        <v>0.44220999999999999</v>
      </c>
      <c r="D19" s="246">
        <f>IF(CouplingMode="AC",B19-(A$11-A$10)*SUM(B$9:B19)/0.21,B19)</f>
        <v>3.44367</v>
      </c>
      <c r="E19" s="247">
        <f t="shared" si="9"/>
        <v>42.01926277520294</v>
      </c>
      <c r="F19" s="247">
        <f t="shared" si="0"/>
        <v>42.01926277520294</v>
      </c>
      <c r="G19" s="248">
        <f t="shared" si="1"/>
        <v>6.9769812098651566E+18</v>
      </c>
      <c r="H19" s="249">
        <f t="shared" si="10"/>
        <v>0.10800995794268409</v>
      </c>
      <c r="I19" s="248">
        <f>IF(MobilityModel=DK,CalcDeltaN(H19,SampleDoping,Thickness,AreaFrac),CalcDeltaNDL(H19,AreaFrac,Thickness,SampleType,SampleDoping,Temperature))</f>
        <v>3.093957724379714E+16</v>
      </c>
      <c r="J19" s="248" t="str">
        <f t="shared" si="2"/>
        <v/>
      </c>
      <c r="K19" s="248">
        <f t="shared" si="11"/>
        <v>3.093957724379714E+16</v>
      </c>
      <c r="L19" s="250">
        <f t="shared" si="15"/>
        <v>-1.6324427694715142E+19</v>
      </c>
      <c r="M19" s="196" t="str">
        <f t="shared" si="3"/>
        <v/>
      </c>
      <c r="N19" s="196" t="str">
        <f t="shared" si="4"/>
        <v/>
      </c>
      <c r="O19" s="250">
        <f t="shared" si="5"/>
        <v>3.093957724379714E+16</v>
      </c>
      <c r="P19" s="248">
        <f t="shared" si="16"/>
        <v>8.3105481830277525E-5</v>
      </c>
      <c r="Q19" s="250" t="str">
        <f t="shared" si="17"/>
        <v/>
      </c>
      <c r="R19" s="251" t="str">
        <f t="shared" si="18"/>
        <v/>
      </c>
      <c r="S19" s="252">
        <f>IF(AND(E19&gt;0.95*BiasLight,E19&lt;1.05*BiasLight),"",IF(AugerModel="Sinton",calclifetimeauger(Auger_Coefficient,I19,P19),calclifetimerichter(SampleType,I19,SampleDoping,P19)))</f>
        <v>10443.853223340971</v>
      </c>
      <c r="T19" s="201" t="str">
        <f t="shared" si="19"/>
        <v/>
      </c>
      <c r="U19" s="252">
        <f t="shared" si="12"/>
        <v>-139739.95194384005</v>
      </c>
      <c r="V19" s="251" t="str">
        <f>IF(AugerModel="Sinton","",IF(SampleType="n-type",n_intr_boltzmann(SampleDoping,0,K19,Temperature+273.15),n_intr_boltzmann(0,SampleDoping,K19,Temperature+273.15)))</f>
        <v/>
      </c>
      <c r="W19" s="251" t="str">
        <f t="shared" si="13"/>
        <v/>
      </c>
      <c r="X19" s="246">
        <f>IF(AND(A19&gt;TimeofMaxCD,I19&gt;Traps),IF(AugerModel="Sinton",CalcImpliedV(SampleDoping,O19),CalcImpliedVRichter(O19,SampleDoping,V19)),"")</f>
        <v>0.77829818429224795</v>
      </c>
      <c r="Y19" s="253">
        <f t="shared" si="6"/>
        <v>43.946232587503303</v>
      </c>
      <c r="Z19" s="200" t="str">
        <f t="shared" si="7"/>
        <v/>
      </c>
      <c r="AA19" s="254">
        <v>75.441408999999993</v>
      </c>
      <c r="AB19" s="254">
        <v>148.09635600709825</v>
      </c>
      <c r="AC19" s="251">
        <f t="shared" si="14"/>
        <v>6.7523606046867891E-3</v>
      </c>
      <c r="AE19" s="251">
        <f t="shared" si="8"/>
        <v>1111.8106725665218</v>
      </c>
    </row>
    <row r="20" spans="1:31" x14ac:dyDescent="0.2">
      <c r="A20" s="244">
        <v>1.1498999999999999E-3</v>
      </c>
      <c r="B20" s="244">
        <v>3.3067799999999998</v>
      </c>
      <c r="C20" s="245">
        <v>0.41664400000000001</v>
      </c>
      <c r="D20" s="246">
        <f>IF(CouplingMode="AC",B20-(A$11-A$10)*SUM(B$9:B20)/0.21,B20)</f>
        <v>3.3067799999999998</v>
      </c>
      <c r="E20" s="247">
        <f t="shared" si="9"/>
        <v>39.589954364920864</v>
      </c>
      <c r="F20" s="247">
        <f t="shared" si="0"/>
        <v>39.589954364920864</v>
      </c>
      <c r="G20" s="248">
        <f t="shared" si="1"/>
        <v>6.573612897046786E+18</v>
      </c>
      <c r="H20" s="249">
        <f t="shared" si="10"/>
        <v>0.10351565250750838</v>
      </c>
      <c r="I20" s="248">
        <f>IF(MobilityModel=DK,CalcDeltaN(H20,SampleDoping,Thickness,AreaFrac),CalcDeltaNDL(H20,AreaFrac,Thickness,SampleType,SampleDoping,Temperature))</f>
        <v>2.9320900716672528E+16</v>
      </c>
      <c r="J20" s="248" t="str">
        <f t="shared" si="2"/>
        <v/>
      </c>
      <c r="K20" s="248">
        <f t="shared" si="11"/>
        <v>2.9320900716672528E+16</v>
      </c>
      <c r="L20" s="250">
        <f t="shared" si="15"/>
        <v>-1.5927806110298098E+19</v>
      </c>
      <c r="M20" s="196" t="str">
        <f t="shared" si="3"/>
        <v/>
      </c>
      <c r="N20" s="196" t="str">
        <f t="shared" si="4"/>
        <v/>
      </c>
      <c r="O20" s="250">
        <f t="shared" si="5"/>
        <v>2.9320900716672528E+16</v>
      </c>
      <c r="P20" s="248">
        <f t="shared" si="16"/>
        <v>8.346013964672618E-5</v>
      </c>
      <c r="Q20" s="250" t="str">
        <f t="shared" si="17"/>
        <v/>
      </c>
      <c r="R20" s="251" t="str">
        <f t="shared" si="18"/>
        <v/>
      </c>
      <c r="S20" s="252">
        <f>IF(AND(E20&gt;0.95*BiasLight,E20&lt;1.05*BiasLight),"",IF(AugerModel="Sinton",calclifetimeauger(Auger_Coefficient,I20,P20),calclifetimerichter(SampleType,I20,SampleDoping,P20)))</f>
        <v>10554.640371350524</v>
      </c>
      <c r="T20" s="201" t="str">
        <f t="shared" si="19"/>
        <v/>
      </c>
      <c r="U20" s="252">
        <f t="shared" si="12"/>
        <v>-131077.18925870792</v>
      </c>
      <c r="V20" s="251" t="str">
        <f>IF(AugerModel="Sinton","",IF(SampleType="n-type",n_intr_boltzmann(SampleDoping,0,K20,Temperature+273.15),n_intr_boltzmann(0,SampleDoping,K20,Temperature+273.15)))</f>
        <v/>
      </c>
      <c r="W20" s="251" t="str">
        <f t="shared" si="13"/>
        <v/>
      </c>
      <c r="X20" s="246">
        <f>IF(AND(A20&gt;TimeofMaxCD,I20&gt;Traps),IF(AugerModel="Sinton",CalcImpliedV(SampleDoping,O20),CalcImpliedVRichter(O20,SampleDoping,V20)),"")</f>
        <v>0.77567788982990094</v>
      </c>
      <c r="Y20" s="253">
        <f t="shared" si="6"/>
        <v>41.470106130403842</v>
      </c>
      <c r="Z20" s="200" t="str">
        <f t="shared" si="7"/>
        <v/>
      </c>
      <c r="AA20" s="254">
        <v>80.439930000000004</v>
      </c>
      <c r="AB20" s="254">
        <v>134.50246490751914</v>
      </c>
      <c r="AC20" s="251">
        <f t="shared" si="14"/>
        <v>7.4348079842817558E-3</v>
      </c>
      <c r="AE20" s="251">
        <f t="shared" si="8"/>
        <v>1124.3722889730593</v>
      </c>
    </row>
    <row r="21" spans="1:31" x14ac:dyDescent="0.2">
      <c r="A21" s="244">
        <v>1.2499E-3</v>
      </c>
      <c r="B21" s="244">
        <v>3.1703100000000002</v>
      </c>
      <c r="C21" s="245">
        <v>0.39245400000000003</v>
      </c>
      <c r="D21" s="246">
        <f>IF(CouplingMode="AC",B21-(A$11-A$10)*SUM(B$9:B21)/0.21,B21)</f>
        <v>3.1703100000000002</v>
      </c>
      <c r="E21" s="247">
        <f t="shared" si="9"/>
        <v>37.291394932677903</v>
      </c>
      <c r="F21" s="247">
        <f t="shared" si="0"/>
        <v>37.291394932677903</v>
      </c>
      <c r="G21" s="248">
        <f t="shared" si="1"/>
        <v>6.1919544644771041E+18</v>
      </c>
      <c r="H21" s="249">
        <f t="shared" si="10"/>
        <v>9.9051683204324253E-2</v>
      </c>
      <c r="I21" s="248">
        <f>IF(MobilityModel=DK,CalcDeltaN(H21,SampleDoping,Thickness,AreaFrac),CalcDeltaNDL(H21,AreaFrac,Thickness,SampleType,SampleDoping,Temperature))</f>
        <v>2.7741268711972164E+16</v>
      </c>
      <c r="J21" s="248" t="str">
        <f t="shared" si="2"/>
        <v/>
      </c>
      <c r="K21" s="248">
        <f t="shared" si="11"/>
        <v>2.7741268711972164E+16</v>
      </c>
      <c r="L21" s="250">
        <f t="shared" si="15"/>
        <v>-1.5433203025063555E+19</v>
      </c>
      <c r="M21" s="196" t="str">
        <f t="shared" si="3"/>
        <v/>
      </c>
      <c r="N21" s="196" t="str">
        <f t="shared" si="4"/>
        <v/>
      </c>
      <c r="O21" s="250">
        <f t="shared" si="5"/>
        <v>2.7741268711972164E+16</v>
      </c>
      <c r="P21" s="248">
        <f t="shared" si="16"/>
        <v>8.3722141976080478E-5</v>
      </c>
      <c r="Q21" s="250" t="str">
        <f t="shared" si="17"/>
        <v/>
      </c>
      <c r="R21" s="251" t="str">
        <f t="shared" si="18"/>
        <v/>
      </c>
      <c r="S21" s="252">
        <f>IF(AND(E21&gt;0.95*BiasLight,E21&lt;1.05*BiasLight),"",IF(AugerModel="Sinton",calclifetimeauger(Auger_Coefficient,I21,P21),calclifetimerichter(SampleType,I21,SampleDoping,P21)))</f>
        <v>10666.772104812711</v>
      </c>
      <c r="T21" s="201" t="str">
        <f t="shared" si="19"/>
        <v/>
      </c>
      <c r="U21" s="252">
        <f t="shared" si="12"/>
        <v>-122623.38335168909</v>
      </c>
      <c r="V21" s="251" t="str">
        <f>IF(AugerModel="Sinton","",IF(SampleType="n-type",n_intr_boltzmann(SampleDoping,0,K21,Temperature+273.15),n_intr_boltzmann(0,SampleDoping,K21,Temperature+273.15)))</f>
        <v/>
      </c>
      <c r="W21" s="251" t="str">
        <f t="shared" si="13"/>
        <v/>
      </c>
      <c r="X21" s="246">
        <f>IF(AND(A21&gt;TimeofMaxCD,I21&gt;Traps),IF(AugerModel="Sinton",CalcImpliedV(SampleDoping,O21),CalcImpliedVRichter(O21,SampleDoping,V21)),"")</f>
        <v>0.77298469466672792</v>
      </c>
      <c r="Y21" s="253">
        <f t="shared" si="6"/>
        <v>39.113162708710142</v>
      </c>
      <c r="Z21" s="200" t="str">
        <f t="shared" si="7"/>
        <v/>
      </c>
      <c r="AA21" s="254">
        <v>85.464177000000007</v>
      </c>
      <c r="AB21" s="254">
        <v>123.36174290106487</v>
      </c>
      <c r="AC21" s="251">
        <f t="shared" si="14"/>
        <v>8.1062408529846402E-3</v>
      </c>
      <c r="AE21" s="251">
        <f t="shared" si="8"/>
        <v>1137.1479107526645</v>
      </c>
    </row>
    <row r="22" spans="1:31" x14ac:dyDescent="0.2">
      <c r="A22" s="244">
        <v>1.3499E-3</v>
      </c>
      <c r="B22" s="244">
        <v>3.0365600000000001</v>
      </c>
      <c r="C22" s="245">
        <v>0.36984099999999998</v>
      </c>
      <c r="D22" s="246">
        <f>IF(CouplingMode="AC",B22-(A$11-A$10)*SUM(B$9:B22)/0.21,B22)</f>
        <v>3.0365600000000001</v>
      </c>
      <c r="E22" s="247">
        <f t="shared" si="9"/>
        <v>35.14268371145797</v>
      </c>
      <c r="F22" s="247">
        <f t="shared" si="0"/>
        <v>35.14268371145797</v>
      </c>
      <c r="G22" s="248">
        <f t="shared" si="1"/>
        <v>5.8351771955354675E+18</v>
      </c>
      <c r="H22" s="249">
        <f t="shared" si="10"/>
        <v>9.4692716629536156E-2</v>
      </c>
      <c r="I22" s="248">
        <f>IF(MobilityModel=DK,CalcDeltaN(H22,SampleDoping,Thickness,AreaFrac),CalcDeltaNDL(H22,AreaFrac,Thickness,SampleType,SampleDoping,Temperature))</f>
        <v>2.6225791083486872E+16</v>
      </c>
      <c r="J22" s="248" t="str">
        <f t="shared" si="2"/>
        <v/>
      </c>
      <c r="K22" s="248">
        <f t="shared" si="11"/>
        <v>2.6225791083486872E+16</v>
      </c>
      <c r="L22" s="250">
        <f t="shared" si="15"/>
        <v>-1.4844911235198896E+19</v>
      </c>
      <c r="M22" s="196" t="str">
        <f t="shared" si="3"/>
        <v/>
      </c>
      <c r="N22" s="196" t="str">
        <f t="shared" si="4"/>
        <v/>
      </c>
      <c r="O22" s="250">
        <f t="shared" si="5"/>
        <v>2.6225791083486872E+16</v>
      </c>
      <c r="P22" s="248">
        <f t="shared" si="16"/>
        <v>8.3906949354240585E-5</v>
      </c>
      <c r="Q22" s="250" t="str">
        <f t="shared" si="17"/>
        <v/>
      </c>
      <c r="R22" s="251" t="str">
        <f t="shared" si="18"/>
        <v/>
      </c>
      <c r="S22" s="252">
        <f>IF(AND(E22&gt;0.95*BiasLight,E22&lt;1.05*BiasLight),"",IF(AugerModel="Sinton",calclifetimeauger(Auger_Coefficient,I22,P22),calclifetimerichter(SampleType,I22,SampleDoping,P22)))</f>
        <v>10776.229063295112</v>
      </c>
      <c r="T22" s="201" t="str">
        <f t="shared" si="19"/>
        <v/>
      </c>
      <c r="U22" s="252">
        <f t="shared" si="12"/>
        <v>-114512.91604694867</v>
      </c>
      <c r="V22" s="251" t="str">
        <f>IF(AugerModel="Sinton","",IF(SampleType="n-type",n_intr_boltzmann(SampleDoping,0,K22,Temperature+273.15),n_intr_boltzmann(0,SampleDoping,K22,Temperature+273.15)))</f>
        <v/>
      </c>
      <c r="W22" s="251" t="str">
        <f t="shared" si="13"/>
        <v/>
      </c>
      <c r="X22" s="246">
        <f>IF(AND(A22&gt;TimeofMaxCD,I22&gt;Traps),IF(AugerModel="Sinton",CalcImpliedV(SampleDoping,O22),CalcImpliedVRichter(O22,SampleDoping,V22)),"")</f>
        <v>0.77026053391730476</v>
      </c>
      <c r="Y22" s="253">
        <f t="shared" si="6"/>
        <v>36.895008286105551</v>
      </c>
      <c r="Z22" s="200" t="str">
        <f t="shared" si="7"/>
        <v/>
      </c>
      <c r="AA22" s="254">
        <v>90.457423000000006</v>
      </c>
      <c r="AB22" s="254">
        <v>114.31083543570352</v>
      </c>
      <c r="AC22" s="251">
        <f t="shared" si="14"/>
        <v>8.7480770846300963E-3</v>
      </c>
      <c r="AE22" s="251">
        <f t="shared" si="8"/>
        <v>1149.9246820315725</v>
      </c>
    </row>
    <row r="23" spans="1:31" x14ac:dyDescent="0.2">
      <c r="A23" s="244">
        <v>1.4499000000000001E-3</v>
      </c>
      <c r="B23" s="244">
        <v>2.9053800000000001</v>
      </c>
      <c r="C23" s="245">
        <v>0.348717</v>
      </c>
      <c r="D23" s="246">
        <f>IF(CouplingMode="AC",B23-(A$11-A$10)*SUM(B$9:B23)/0.21,B23)</f>
        <v>2.9053800000000001</v>
      </c>
      <c r="E23" s="247">
        <f t="shared" si="9"/>
        <v>33.135458848014395</v>
      </c>
      <c r="F23" s="247">
        <f t="shared" si="0"/>
        <v>33.135458848014395</v>
      </c>
      <c r="G23" s="248">
        <f t="shared" si="1"/>
        <v>5.5018926676478321E+18</v>
      </c>
      <c r="H23" s="249">
        <f t="shared" si="10"/>
        <v>9.0432922381775901E-2</v>
      </c>
      <c r="I23" s="248">
        <f>IF(MobilityModel=DK,CalcDeltaN(H23,SampleDoping,Thickness,AreaFrac),CalcDeltaNDL(H23,AreaFrac,Thickness,SampleType,SampleDoping,Temperature))</f>
        <v>2.4770530547858192E+16</v>
      </c>
      <c r="J23" s="248" t="str">
        <f t="shared" si="2"/>
        <v/>
      </c>
      <c r="K23" s="248">
        <f t="shared" si="11"/>
        <v>2.4770530547858192E+16</v>
      </c>
      <c r="L23" s="250">
        <f t="shared" si="15"/>
        <v>-1.420781965225342E+19</v>
      </c>
      <c r="M23" s="196" t="str">
        <f t="shared" si="3"/>
        <v/>
      </c>
      <c r="N23" s="196" t="str">
        <f t="shared" si="4"/>
        <v/>
      </c>
      <c r="O23" s="250">
        <f t="shared" si="5"/>
        <v>2.4770530547858192E+16</v>
      </c>
      <c r="P23" s="248">
        <f t="shared" si="16"/>
        <v>8.3991637273413296E-5</v>
      </c>
      <c r="Q23" s="250" t="str">
        <f t="shared" si="17"/>
        <v/>
      </c>
      <c r="R23" s="251" t="str">
        <f t="shared" si="18"/>
        <v/>
      </c>
      <c r="S23" s="252">
        <f>IF(AND(E23&gt;0.95*BiasLight,E23&lt;1.05*BiasLight),"",IF(AugerModel="Sinton",calclifetimeauger(Auger_Coefficient,I23,P23),calclifetimerichter(SampleType,I23,SampleDoping,P23)))</f>
        <v>10887.405771631224</v>
      </c>
      <c r="T23" s="201" t="str">
        <f t="shared" si="19"/>
        <v/>
      </c>
      <c r="U23" s="252">
        <f t="shared" si="12"/>
        <v>-106724.7159625355</v>
      </c>
      <c r="V23" s="251" t="str">
        <f>IF(AugerModel="Sinton","",IF(SampleType="n-type",n_intr_boltzmann(SampleDoping,0,K23,Temperature+273.15),n_intr_boltzmann(0,SampleDoping,K23,Temperature+273.15)))</f>
        <v/>
      </c>
      <c r="W23" s="251" t="str">
        <f t="shared" si="13"/>
        <v/>
      </c>
      <c r="X23" s="246">
        <f>IF(AND(A23&gt;TimeofMaxCD,I23&gt;Traps),IF(AugerModel="Sinton",CalcImpliedV(SampleDoping,O23),CalcImpliedVRichter(O23,SampleDoping,V23)),"")</f>
        <v>0.76750067780225684</v>
      </c>
      <c r="Y23" s="253">
        <f t="shared" si="6"/>
        <v>34.81257979096565</v>
      </c>
      <c r="Z23" s="200" t="str">
        <f t="shared" si="7"/>
        <v/>
      </c>
      <c r="AA23" s="254">
        <v>95.445974000000007</v>
      </c>
      <c r="AB23" s="254">
        <v>106.56239300774862</v>
      </c>
      <c r="AC23" s="251">
        <f t="shared" si="14"/>
        <v>9.3841736448925794E-3</v>
      </c>
      <c r="AE23" s="251">
        <f t="shared" si="8"/>
        <v>1162.7133896326372</v>
      </c>
    </row>
    <row r="24" spans="1:31" x14ac:dyDescent="0.2">
      <c r="A24" s="244">
        <v>1.5499000000000001E-3</v>
      </c>
      <c r="B24" s="244">
        <v>2.7777400000000001</v>
      </c>
      <c r="C24" s="245">
        <v>0.32889400000000002</v>
      </c>
      <c r="D24" s="246">
        <f>IF(CouplingMode="AC",B24-(A$11-A$10)*SUM(B$9:B24)/0.21,B24)</f>
        <v>2.7777400000000001</v>
      </c>
      <c r="E24" s="247">
        <f t="shared" si="9"/>
        <v>31.251856383138321</v>
      </c>
      <c r="F24" s="247">
        <f t="shared" si="0"/>
        <v>31.251856383138321</v>
      </c>
      <c r="G24" s="248">
        <f t="shared" si="1"/>
        <v>5.1891347053151017E+18</v>
      </c>
      <c r="H24" s="249">
        <f t="shared" si="10"/>
        <v>8.6302735263581204E-2</v>
      </c>
      <c r="I24" s="248">
        <f>IF(MobilityModel=DK,CalcDeltaN(H24,SampleDoping,Thickness,AreaFrac),CalcDeltaNDL(H24,AreaFrac,Thickness,SampleType,SampleDoping,Temperature))</f>
        <v>2.3383814181130064E+16</v>
      </c>
      <c r="J24" s="248" t="str">
        <f t="shared" si="2"/>
        <v/>
      </c>
      <c r="K24" s="248">
        <f t="shared" si="11"/>
        <v>2.3383814181130064E+16</v>
      </c>
      <c r="L24" s="250">
        <f t="shared" si="15"/>
        <v>-1.3558974140383953E+19</v>
      </c>
      <c r="M24" s="196" t="str">
        <f t="shared" si="3"/>
        <v/>
      </c>
      <c r="N24" s="196" t="str">
        <f t="shared" si="4"/>
        <v/>
      </c>
      <c r="O24" s="250">
        <f t="shared" si="5"/>
        <v>2.3383814181130064E+16</v>
      </c>
      <c r="P24" s="248">
        <f t="shared" si="16"/>
        <v>8.4020522442555308E-5</v>
      </c>
      <c r="Q24" s="250" t="str">
        <f t="shared" si="17"/>
        <v/>
      </c>
      <c r="R24" s="251" t="str">
        <f t="shared" si="18"/>
        <v/>
      </c>
      <c r="S24" s="252">
        <f>IF(AND(E24&gt;0.95*BiasLight,E24&lt;1.05*BiasLight),"",IF(AugerModel="Sinton",calclifetimeauger(Auger_Coefficient,I24,P24),calclifetimerichter(SampleType,I24,SampleDoping,P24)))</f>
        <v>10994.161514756128</v>
      </c>
      <c r="T24" s="201" t="str">
        <f t="shared" si="19"/>
        <v/>
      </c>
      <c r="U24" s="252">
        <f t="shared" si="12"/>
        <v>-99303.347582100818</v>
      </c>
      <c r="V24" s="251" t="str">
        <f>IF(AugerModel="Sinton","",IF(SampleType="n-type",n_intr_boltzmann(SampleDoping,0,K24,Temperature+273.15),n_intr_boltzmann(0,SampleDoping,K24,Temperature+273.15)))</f>
        <v/>
      </c>
      <c r="W24" s="251" t="str">
        <f t="shared" si="13"/>
        <v/>
      </c>
      <c r="X24" s="246">
        <f>IF(AND(A24&gt;TimeofMaxCD,I24&gt;Traps),IF(AugerModel="Sinton",CalcImpliedV(SampleDoping,O24),CalcImpliedVRichter(O24,SampleDoping,V24)),"")</f>
        <v>0.76472463272044655</v>
      </c>
      <c r="Y24" s="253">
        <f t="shared" si="6"/>
        <v>32.852386235877965</v>
      </c>
      <c r="Z24" s="200" t="str">
        <f t="shared" si="7"/>
        <v/>
      </c>
      <c r="AA24" s="254">
        <v>100.439252</v>
      </c>
      <c r="AB24" s="254">
        <v>99.557426474107885</v>
      </c>
      <c r="AC24" s="251">
        <f t="shared" si="14"/>
        <v>1.0044454094643277E-2</v>
      </c>
      <c r="AE24" s="251">
        <f t="shared" si="8"/>
        <v>1175.4133690317317</v>
      </c>
    </row>
    <row r="25" spans="1:31" x14ac:dyDescent="0.2">
      <c r="A25" s="244">
        <v>1.6498999999999999E-3</v>
      </c>
      <c r="B25" s="244">
        <v>2.6532</v>
      </c>
      <c r="C25" s="245">
        <v>0.31028</v>
      </c>
      <c r="D25" s="246">
        <f>IF(CouplingMode="AC",B25-(A$11-A$10)*SUM(B$9:B25)/0.21,B25)</f>
        <v>2.6532</v>
      </c>
      <c r="E25" s="247">
        <f t="shared" si="9"/>
        <v>29.483134379344584</v>
      </c>
      <c r="F25" s="247">
        <f t="shared" si="0"/>
        <v>29.483134379344584</v>
      </c>
      <c r="G25" s="248">
        <f t="shared" si="1"/>
        <v>4.895451775846229E+18</v>
      </c>
      <c r="H25" s="249">
        <f t="shared" si="10"/>
        <v>8.2286788647668196E-2</v>
      </c>
      <c r="I25" s="248">
        <f>IF(MobilityModel=DK,CalcDeltaN(H25,SampleDoping,Thickness,AreaFrac),CalcDeltaNDL(H25,AreaFrac,Thickness,SampleType,SampleDoping,Temperature))</f>
        <v>2.205834733702386E+16</v>
      </c>
      <c r="J25" s="248" t="str">
        <f t="shared" si="2"/>
        <v/>
      </c>
      <c r="K25" s="248">
        <f t="shared" si="11"/>
        <v>2.205834733702386E+16</v>
      </c>
      <c r="L25" s="250">
        <f t="shared" si="15"/>
        <v>-1.2926716738487374E+19</v>
      </c>
      <c r="M25" s="196" t="str">
        <f t="shared" si="3"/>
        <v/>
      </c>
      <c r="N25" s="196" t="str">
        <f t="shared" si="4"/>
        <v/>
      </c>
      <c r="O25" s="250">
        <f t="shared" si="5"/>
        <v>2.205834733702386E+16</v>
      </c>
      <c r="P25" s="248">
        <f t="shared" si="16"/>
        <v>8.3969529340101735E-5</v>
      </c>
      <c r="Q25" s="250" t="str">
        <f t="shared" si="17"/>
        <v/>
      </c>
      <c r="R25" s="251" t="str">
        <f t="shared" si="18"/>
        <v/>
      </c>
      <c r="S25" s="252">
        <f>IF(AND(E25&gt;0.95*BiasLight,E25&lt;1.05*BiasLight),"",IF(AugerModel="Sinton",calclifetimeauger(Auger_Coefficient,I25,P25),calclifetimerichter(SampleType,I25,SampleDoping,P25)))</f>
        <v>11101.374535174866</v>
      </c>
      <c r="T25" s="201" t="str">
        <f t="shared" si="19"/>
        <v/>
      </c>
      <c r="U25" s="252">
        <f t="shared" si="12"/>
        <v>-92209.771734738737</v>
      </c>
      <c r="V25" s="251" t="str">
        <f>IF(AugerModel="Sinton","",IF(SampleType="n-type",n_intr_boltzmann(SampleDoping,0,K25,Temperature+273.15),n_intr_boltzmann(0,SampleDoping,K25,Temperature+273.15)))</f>
        <v/>
      </c>
      <c r="W25" s="251" t="str">
        <f t="shared" si="13"/>
        <v/>
      </c>
      <c r="X25" s="246">
        <f>IF(AND(A25&gt;TimeofMaxCD,I25&gt;Traps),IF(AugerModel="Sinton",CalcImpliedV(SampleDoping,O25),CalcImpliedVRichter(O25,SampleDoping,V25)),"")</f>
        <v>0.76192248394235773</v>
      </c>
      <c r="Y25" s="253">
        <f t="shared" si="6"/>
        <v>31.009031237296131</v>
      </c>
      <c r="Z25" s="200" t="str">
        <f t="shared" si="7"/>
        <v/>
      </c>
      <c r="AA25" s="254">
        <v>105.532697</v>
      </c>
      <c r="AB25" s="254">
        <v>93.924023141841204</v>
      </c>
      <c r="AC25" s="251">
        <f t="shared" si="14"/>
        <v>1.0646903385833786E-2</v>
      </c>
      <c r="AE25" s="251">
        <f t="shared" si="8"/>
        <v>1188.0605074683838</v>
      </c>
    </row>
    <row r="26" spans="1:31" x14ac:dyDescent="0.2">
      <c r="A26" s="244">
        <v>1.7499E-3</v>
      </c>
      <c r="B26" s="244">
        <v>2.5327799999999998</v>
      </c>
      <c r="C26" s="245">
        <v>0.29271799999999998</v>
      </c>
      <c r="D26" s="246">
        <f>IF(CouplingMode="AC",B26-(A$11-A$10)*SUM(B$9:B26)/0.21,B26)</f>
        <v>2.5327799999999998</v>
      </c>
      <c r="E26" s="247">
        <f t="shared" si="9"/>
        <v>27.814374530272616</v>
      </c>
      <c r="F26" s="247">
        <f t="shared" si="0"/>
        <v>27.814374530272616</v>
      </c>
      <c r="G26" s="248">
        <f t="shared" si="1"/>
        <v>4.618366807148886E+18</v>
      </c>
      <c r="H26" s="249">
        <f t="shared" si="10"/>
        <v>7.8416780467057315E-2</v>
      </c>
      <c r="I26" s="248">
        <f>IF(MobilityModel=DK,CalcDeltaN(H26,SampleDoping,Thickness,AreaFrac),CalcDeltaNDL(H26,AreaFrac,Thickness,SampleType,SampleDoping,Temperature))</f>
        <v>2.0802395618712064E+16</v>
      </c>
      <c r="J26" s="248" t="str">
        <f t="shared" si="2"/>
        <v/>
      </c>
      <c r="K26" s="248">
        <f t="shared" si="11"/>
        <v>2.0802395618712064E+16</v>
      </c>
      <c r="L26" s="250">
        <f t="shared" si="15"/>
        <v>-1.2312052079722842E+19</v>
      </c>
      <c r="M26" s="196" t="str">
        <f t="shared" si="3"/>
        <v/>
      </c>
      <c r="N26" s="196" t="str">
        <f t="shared" si="4"/>
        <v/>
      </c>
      <c r="O26" s="250">
        <f t="shared" si="5"/>
        <v>2.0802395618712064E+16</v>
      </c>
      <c r="P26" s="248">
        <f t="shared" si="16"/>
        <v>8.3899907007306464E-5</v>
      </c>
      <c r="Q26" s="250" t="str">
        <f t="shared" si="17"/>
        <v/>
      </c>
      <c r="R26" s="251" t="str">
        <f t="shared" si="18"/>
        <v/>
      </c>
      <c r="S26" s="252">
        <f>IF(AND(E26&gt;0.95*BiasLight,E26&lt;1.05*BiasLight),"",IF(AugerModel="Sinton",calclifetimeauger(Auger_Coefficient,I26,P26),calclifetimerichter(SampleType,I26,SampleDoping,P26)))</f>
        <v>11200.616501614368</v>
      </c>
      <c r="T26" s="201" t="str">
        <f t="shared" si="19"/>
        <v/>
      </c>
      <c r="U26" s="252">
        <f t="shared" si="12"/>
        <v>-85488.223916258867</v>
      </c>
      <c r="V26" s="251" t="str">
        <f>IF(AugerModel="Sinton","",IF(SampleType="n-type",n_intr_boltzmann(SampleDoping,0,K26,Temperature+273.15),n_intr_boltzmann(0,SampleDoping,K26,Temperature+273.15)))</f>
        <v/>
      </c>
      <c r="W26" s="251" t="str">
        <f t="shared" si="13"/>
        <v/>
      </c>
      <c r="X26" s="246">
        <f>IF(AND(A26&gt;TimeofMaxCD,I26&gt;Traps),IF(AugerModel="Sinton",CalcImpliedV(SampleDoping,O26),CalcImpliedVRichter(O26,SampleDoping,V26)),"")</f>
        <v>0.75911760178903087</v>
      </c>
      <c r="Y26" s="253">
        <f t="shared" si="6"/>
        <v>29.267715077872733</v>
      </c>
      <c r="Z26" s="200" t="str">
        <f t="shared" si="7"/>
        <v/>
      </c>
      <c r="AA26" s="254">
        <v>110.37857200000001</v>
      </c>
      <c r="AB26" s="254">
        <v>89.146194899335541</v>
      </c>
      <c r="AC26" s="251">
        <f t="shared" si="14"/>
        <v>1.1217528702478064E-2</v>
      </c>
      <c r="AE26" s="251">
        <f t="shared" si="8"/>
        <v>1200.5412119561852</v>
      </c>
    </row>
    <row r="27" spans="1:31" x14ac:dyDescent="0.2">
      <c r="A27" s="244">
        <v>1.8499E-3</v>
      </c>
      <c r="B27" s="244">
        <v>2.4149699999999998</v>
      </c>
      <c r="C27" s="245">
        <v>0.27616099999999999</v>
      </c>
      <c r="D27" s="246">
        <f>IF(CouplingMode="AC",B27-(A$11-A$10)*SUM(B$9:B27)/0.21,B27)</f>
        <v>2.4149699999999998</v>
      </c>
      <c r="E27" s="247">
        <f t="shared" si="9"/>
        <v>26.241110846120211</v>
      </c>
      <c r="F27" s="247">
        <f t="shared" si="0"/>
        <v>26.241110846120211</v>
      </c>
      <c r="G27" s="248">
        <f t="shared" si="1"/>
        <v>4.3571382553482993E+18</v>
      </c>
      <c r="H27" s="249">
        <f t="shared" si="10"/>
        <v>7.4643100059720871E-2</v>
      </c>
      <c r="I27" s="248">
        <f>IF(MobilityModel=DK,CalcDeltaN(H27,SampleDoping,Thickness,AreaFrac),CalcDeltaNDL(H27,AreaFrac,Thickness,SampleType,SampleDoping,Temperature))</f>
        <v>1.9597881459823508E+16</v>
      </c>
      <c r="J27" s="248" t="str">
        <f t="shared" si="2"/>
        <v/>
      </c>
      <c r="K27" s="248">
        <f t="shared" si="11"/>
        <v>1.9597881459823508E+16</v>
      </c>
      <c r="L27" s="250">
        <f t="shared" si="15"/>
        <v>-1.1714395814096077E+19</v>
      </c>
      <c r="M27" s="196" t="str">
        <f t="shared" si="3"/>
        <v/>
      </c>
      <c r="N27" s="196" t="str">
        <f t="shared" si="4"/>
        <v/>
      </c>
      <c r="O27" s="250">
        <f t="shared" si="5"/>
        <v>1.9597881459823508E+16</v>
      </c>
      <c r="P27" s="248">
        <f t="shared" si="16"/>
        <v>8.3745414390215547E-5</v>
      </c>
      <c r="Q27" s="250" t="str">
        <f t="shared" si="17"/>
        <v/>
      </c>
      <c r="R27" s="251" t="str">
        <f t="shared" si="18"/>
        <v/>
      </c>
      <c r="S27" s="252">
        <f>IF(AND(E27&gt;0.95*BiasLight,E27&lt;1.05*BiasLight),"",IF(AugerModel="Sinton",calclifetimeauger(Auger_Coefficient,I27,P27),calclifetimerichter(SampleType,I27,SampleDoping,P27)))</f>
        <v>11303.384567184356</v>
      </c>
      <c r="T27" s="201" t="str">
        <f t="shared" si="19"/>
        <v/>
      </c>
      <c r="U27" s="252">
        <f t="shared" si="12"/>
        <v>-79041.957392663433</v>
      </c>
      <c r="V27" s="251" t="str">
        <f>IF(AugerModel="Sinton","",IF(SampleType="n-type",n_intr_boltzmann(SampleDoping,0,K27,Temperature+273.15),n_intr_boltzmann(0,SampleDoping,K27,Temperature+273.15)))</f>
        <v/>
      </c>
      <c r="W27" s="251" t="str">
        <f t="shared" si="13"/>
        <v/>
      </c>
      <c r="X27" s="246">
        <f>IF(AND(A27&gt;TimeofMaxCD,I27&gt;Traps),IF(AugerModel="Sinton",CalcImpliedV(SampleDoping,O27),CalcImpliedVRichter(O27,SampleDoping,V27)),"")</f>
        <v>0.75627471995762918</v>
      </c>
      <c r="Y27" s="253">
        <f t="shared" si="6"/>
        <v>27.623902789902033</v>
      </c>
      <c r="Z27" s="200" t="str">
        <f t="shared" si="7"/>
        <v/>
      </c>
      <c r="AA27" s="254">
        <v>115.414168</v>
      </c>
      <c r="AB27" s="254">
        <v>84.784474294357636</v>
      </c>
      <c r="AC27" s="251">
        <f t="shared" si="14"/>
        <v>1.179461226035519E-2</v>
      </c>
      <c r="AE27" s="251">
        <f t="shared" si="8"/>
        <v>1213.0032335063099</v>
      </c>
    </row>
    <row r="28" spans="1:31" x14ac:dyDescent="0.2">
      <c r="A28" s="244">
        <v>1.9499000000000001E-3</v>
      </c>
      <c r="B28" s="244">
        <v>2.3012800000000002</v>
      </c>
      <c r="C28" s="245">
        <v>0.26062400000000002</v>
      </c>
      <c r="D28" s="246">
        <f>IF(CouplingMode="AC",B28-(A$11-A$10)*SUM(B$9:B28)/0.21,B28)</f>
        <v>2.3012800000000002</v>
      </c>
      <c r="E28" s="247">
        <f t="shared" si="9"/>
        <v>24.764768642781693</v>
      </c>
      <c r="F28" s="247">
        <f t="shared" si="0"/>
        <v>24.764768642781693</v>
      </c>
      <c r="G28" s="248">
        <f t="shared" si="1"/>
        <v>4.1120027833832269E+18</v>
      </c>
      <c r="H28" s="249">
        <f t="shared" si="10"/>
        <v>7.1013065105879125E-2</v>
      </c>
      <c r="I28" s="248">
        <f>IF(MobilityModel=DK,CalcDeltaN(H28,SampleDoping,Thickness,AreaFrac),CalcDeltaNDL(H28,AreaFrac,Thickness,SampleType,SampleDoping,Temperature))</f>
        <v>1.845802107986882E+16</v>
      </c>
      <c r="J28" s="248" t="str">
        <f t="shared" si="2"/>
        <v/>
      </c>
      <c r="K28" s="248">
        <f t="shared" si="11"/>
        <v>1.845802107986882E+16</v>
      </c>
      <c r="L28" s="250">
        <f t="shared" si="15"/>
        <v>-1.1146741248982315E+19</v>
      </c>
      <c r="M28" s="196" t="str">
        <f t="shared" si="3"/>
        <v/>
      </c>
      <c r="N28" s="196" t="str">
        <f t="shared" si="4"/>
        <v/>
      </c>
      <c r="O28" s="250">
        <f t="shared" si="5"/>
        <v>1.845802107986882E+16</v>
      </c>
      <c r="P28" s="248">
        <f t="shared" si="16"/>
        <v>8.3542079416284835E-5</v>
      </c>
      <c r="Q28" s="250" t="str">
        <f t="shared" si="17"/>
        <v/>
      </c>
      <c r="R28" s="251" t="str">
        <f t="shared" si="18"/>
        <v/>
      </c>
      <c r="S28" s="252">
        <f>IF(AND(E28&gt;0.95*BiasLight,E28&lt;1.05*BiasLight),"",IF(AugerModel="Sinton",calclifetimeauger(Auger_Coefficient,I28,P28),calclifetimerichter(SampleType,I28,SampleDoping,P28)))</f>
        <v>11404.456093356854</v>
      </c>
      <c r="T28" s="201" t="str">
        <f t="shared" si="19"/>
        <v/>
      </c>
      <c r="U28" s="252">
        <f t="shared" si="12"/>
        <v>-72941.702153111284</v>
      </c>
      <c r="V28" s="251" t="str">
        <f>IF(AugerModel="Sinton","",IF(SampleType="n-type",n_intr_boltzmann(SampleDoping,0,K28,Temperature+273.15),n_intr_boltzmann(0,SampleDoping,K28,Temperature+273.15)))</f>
        <v/>
      </c>
      <c r="W28" s="251" t="str">
        <f t="shared" si="13"/>
        <v/>
      </c>
      <c r="X28" s="246">
        <f>IF(AND(A28&gt;TimeofMaxCD,I28&gt;Traps),IF(AugerModel="Sinton",CalcImpliedV(SampleDoping,O28),CalcImpliedVRichter(O28,SampleDoping,V28)),"")</f>
        <v>0.7534303297213838</v>
      </c>
      <c r="Y28" s="253">
        <f t="shared" si="6"/>
        <v>26.080553446635243</v>
      </c>
      <c r="Z28" s="200" t="str">
        <f t="shared" si="7"/>
        <v/>
      </c>
      <c r="AA28" s="254">
        <v>120.43200899999999</v>
      </c>
      <c r="AB28" s="254">
        <v>81.005726711876193</v>
      </c>
      <c r="AC28" s="251">
        <f t="shared" si="14"/>
        <v>1.2344806232735032E-2</v>
      </c>
      <c r="AE28" s="251">
        <f t="shared" si="8"/>
        <v>1225.2777229479514</v>
      </c>
    </row>
    <row r="29" spans="1:31" x14ac:dyDescent="0.2">
      <c r="A29" s="244">
        <v>2.0498999999999999E-3</v>
      </c>
      <c r="B29" s="244">
        <v>2.1909999999999998</v>
      </c>
      <c r="C29" s="245">
        <v>0.246085</v>
      </c>
      <c r="D29" s="246">
        <f>IF(CouplingMode="AC",B29-(A$11-A$10)*SUM(B$9:B29)/0.21,B29)</f>
        <v>2.1909999999999998</v>
      </c>
      <c r="E29" s="247">
        <f t="shared" si="9"/>
        <v>23.38325745694538</v>
      </c>
      <c r="F29" s="247">
        <f t="shared" si="0"/>
        <v>23.38325745694538</v>
      </c>
      <c r="G29" s="248">
        <f t="shared" si="1"/>
        <v>3.8826132856101565E+18</v>
      </c>
      <c r="H29" s="249">
        <f t="shared" si="10"/>
        <v>6.7502864320639566E-2</v>
      </c>
      <c r="I29" s="248">
        <f>IF(MobilityModel=DK,CalcDeltaN(H29,SampleDoping,Thickness,AreaFrac),CalcDeltaNDL(H29,AreaFrac,Thickness,SampleType,SampleDoping,Temperature))</f>
        <v>1.7373336699397444E+16</v>
      </c>
      <c r="J29" s="248" t="str">
        <f t="shared" si="2"/>
        <v/>
      </c>
      <c r="K29" s="248">
        <f t="shared" si="11"/>
        <v>1.7373336699397444E+16</v>
      </c>
      <c r="L29" s="250">
        <f t="shared" si="15"/>
        <v>-1.0584289760383758E+19</v>
      </c>
      <c r="M29" s="196" t="str">
        <f t="shared" si="3"/>
        <v/>
      </c>
      <c r="N29" s="196" t="str">
        <f t="shared" si="4"/>
        <v/>
      </c>
      <c r="O29" s="250">
        <f t="shared" si="5"/>
        <v>1.7373336699397444E+16</v>
      </c>
      <c r="P29" s="248">
        <f t="shared" si="16"/>
        <v>8.3254757302729938E-5</v>
      </c>
      <c r="Q29" s="250" t="str">
        <f t="shared" si="17"/>
        <v/>
      </c>
      <c r="R29" s="251" t="str">
        <f t="shared" si="18"/>
        <v/>
      </c>
      <c r="S29" s="252">
        <f>IF(AND(E29&gt;0.95*BiasLight,E29&lt;1.05*BiasLight),"",IF(AugerModel="Sinton",calclifetimeauger(Auger_Coefficient,I29,P29),calclifetimerichter(SampleType,I29,SampleDoping,P29)))</f>
        <v>11510.283132883862</v>
      </c>
      <c r="T29" s="201" t="str">
        <f t="shared" si="19"/>
        <v/>
      </c>
      <c r="U29" s="252">
        <f t="shared" si="12"/>
        <v>-67136.735429472785</v>
      </c>
      <c r="V29" s="251" t="str">
        <f>IF(AugerModel="Sinton","",IF(SampleType="n-type",n_intr_boltzmann(SampleDoping,0,K29,Temperature+273.15),n_intr_boltzmann(0,SampleDoping,K29,Temperature+273.15)))</f>
        <v/>
      </c>
      <c r="W29" s="251" t="str">
        <f t="shared" si="13"/>
        <v/>
      </c>
      <c r="X29" s="246">
        <f>IF(AND(A29&gt;TimeofMaxCD,I29&gt;Traps),IF(AugerModel="Sinton",CalcImpliedV(SampleDoping,O29),CalcImpliedVRichter(O29,SampleDoping,V29)),"")</f>
        <v>0.75056791862161221</v>
      </c>
      <c r="Y29" s="253">
        <f t="shared" si="6"/>
        <v>24.632649302976368</v>
      </c>
      <c r="Z29" s="200" t="str">
        <f t="shared" si="7"/>
        <v/>
      </c>
      <c r="AA29" s="254">
        <v>125.43118</v>
      </c>
      <c r="AB29" s="254">
        <v>77.809397610286311</v>
      </c>
      <c r="AC29" s="251">
        <f t="shared" si="14"/>
        <v>1.2851918029343556E-2</v>
      </c>
      <c r="AE29" s="251">
        <f t="shared" si="8"/>
        <v>1237.4292624025584</v>
      </c>
    </row>
    <row r="30" spans="1:31" x14ac:dyDescent="0.2">
      <c r="A30" s="244">
        <v>2.1499000000000002E-3</v>
      </c>
      <c r="B30" s="244">
        <v>2.0840800000000002</v>
      </c>
      <c r="C30" s="245">
        <v>0.23244000000000001</v>
      </c>
      <c r="D30" s="246">
        <f>IF(CouplingMode="AC",B30-(A$11-A$10)*SUM(B$9:B30)/0.21,B30)</f>
        <v>2.0840800000000002</v>
      </c>
      <c r="E30" s="247">
        <f t="shared" si="9"/>
        <v>22.086695098410647</v>
      </c>
      <c r="F30" s="247">
        <f t="shared" si="0"/>
        <v>22.086695098410647</v>
      </c>
      <c r="G30" s="248">
        <f t="shared" si="1"/>
        <v>3.6673288989870356E+18</v>
      </c>
      <c r="H30" s="249">
        <f t="shared" si="10"/>
        <v>6.4109912597479807E-2</v>
      </c>
      <c r="I30" s="248">
        <f>IF(MobilityModel=DK,CalcDeltaN(H30,SampleDoping,Thickness,AreaFrac),CalcDeltaNDL(H30,AreaFrac,Thickness,SampleType,SampleDoping,Temperature))</f>
        <v>1.6341297374433938E+16</v>
      </c>
      <c r="J30" s="248" t="str">
        <f t="shared" si="2"/>
        <v/>
      </c>
      <c r="K30" s="248">
        <f t="shared" si="11"/>
        <v>1.6341297374433938E+16</v>
      </c>
      <c r="L30" s="250">
        <f t="shared" si="15"/>
        <v>-1.0033024487339731E+19</v>
      </c>
      <c r="M30" s="196" t="str">
        <f t="shared" si="3"/>
        <v/>
      </c>
      <c r="N30" s="196" t="str">
        <f t="shared" si="4"/>
        <v/>
      </c>
      <c r="O30" s="250">
        <f t="shared" si="5"/>
        <v>1.6341297374433938E+16</v>
      </c>
      <c r="P30" s="248">
        <f t="shared" si="16"/>
        <v>8.2891149869060904E-5</v>
      </c>
      <c r="Q30" s="250" t="str">
        <f t="shared" si="17"/>
        <v/>
      </c>
      <c r="R30" s="251" t="str">
        <f t="shared" si="18"/>
        <v/>
      </c>
      <c r="S30" s="252">
        <f>IF(AND(E30&gt;0.95*BiasLight,E30&lt;1.05*BiasLight),"",IF(AugerModel="Sinton",calclifetimeauger(Auger_Coefficient,I30,P30),calclifetimerichter(SampleType,I30,SampleDoping,P30)))</f>
        <v>11620.731010722675</v>
      </c>
      <c r="T30" s="201" t="str">
        <f t="shared" si="19"/>
        <v/>
      </c>
      <c r="U30" s="252">
        <f t="shared" si="12"/>
        <v>-61613.512225782906</v>
      </c>
      <c r="V30" s="251" t="str">
        <f>IF(AugerModel="Sinton","",IF(SampleType="n-type",n_intr_boltzmann(SampleDoping,0,K30,Temperature+273.15),n_intr_boltzmann(0,SampleDoping,K30,Temperature+273.15)))</f>
        <v/>
      </c>
      <c r="W30" s="251" t="str">
        <f t="shared" si="13"/>
        <v/>
      </c>
      <c r="X30" s="246">
        <f>IF(AND(A30&gt;TimeofMaxCD,I30&gt;Traps),IF(AugerModel="Sinton",CalcImpliedV(SampleDoping,O30),CalcImpliedVRichter(O30,SampleDoping,V30)),"")</f>
        <v>0.74768658490406137</v>
      </c>
      <c r="Y30" s="253">
        <f t="shared" si="6"/>
        <v>23.271014431053043</v>
      </c>
      <c r="Z30" s="200" t="str">
        <f t="shared" si="7"/>
        <v/>
      </c>
      <c r="AA30" s="254">
        <v>130.38081299999999</v>
      </c>
      <c r="AB30" s="254">
        <v>74.589379511139683</v>
      </c>
      <c r="AC30" s="251">
        <f t="shared" si="14"/>
        <v>1.3406734397765747E-2</v>
      </c>
      <c r="AE30" s="251">
        <f t="shared" si="8"/>
        <v>1249.4534151795187</v>
      </c>
    </row>
    <row r="31" spans="1:31" x14ac:dyDescent="0.2">
      <c r="A31" s="244">
        <v>2.2499E-3</v>
      </c>
      <c r="B31" s="244">
        <v>1.9809600000000001</v>
      </c>
      <c r="C31" s="245">
        <v>0.219643</v>
      </c>
      <c r="D31" s="246">
        <f>IF(CouplingMode="AC",B31-(A$11-A$10)*SUM(B$9:B31)/0.21,B31)</f>
        <v>1.9809600000000001</v>
      </c>
      <c r="E31" s="247">
        <f t="shared" si="9"/>
        <v>20.870710598434908</v>
      </c>
      <c r="F31" s="247">
        <f t="shared" si="0"/>
        <v>20.870710598434908</v>
      </c>
      <c r="G31" s="248">
        <f t="shared" si="1"/>
        <v>3.465423857168343E+18</v>
      </c>
      <c r="H31" s="249">
        <f t="shared" si="10"/>
        <v>6.0847155418358827E-2</v>
      </c>
      <c r="I31" s="248">
        <f>IF(MobilityModel=DK,CalcDeltaN(H31,SampleDoping,Thickness,AreaFrac),CalcDeltaNDL(H31,AreaFrac,Thickness,SampleType,SampleDoping,Temperature))</f>
        <v>1.536409843234907E+16</v>
      </c>
      <c r="J31" s="248" t="str">
        <f t="shared" si="2"/>
        <v/>
      </c>
      <c r="K31" s="248">
        <f t="shared" si="11"/>
        <v>1.536409843234907E+16</v>
      </c>
      <c r="L31" s="250">
        <f t="shared" si="15"/>
        <v>-9.4774744524537242E+18</v>
      </c>
      <c r="M31" s="196" t="str">
        <f t="shared" si="3"/>
        <v/>
      </c>
      <c r="N31" s="196" t="str">
        <f t="shared" si="4"/>
        <v/>
      </c>
      <c r="O31" s="250">
        <f t="shared" si="5"/>
        <v>1.536409843234907E+16</v>
      </c>
      <c r="P31" s="248">
        <f t="shared" si="16"/>
        <v>8.2476387064915494E-5</v>
      </c>
      <c r="Q31" s="250" t="str">
        <f t="shared" si="17"/>
        <v/>
      </c>
      <c r="R31" s="251" t="str">
        <f t="shared" si="18"/>
        <v/>
      </c>
      <c r="S31" s="252">
        <f>IF(AND(E31&gt;0.95*BiasLight,E31&lt;1.05*BiasLight),"",IF(AugerModel="Sinton",calclifetimeauger(Auger_Coefficient,I31,P31),calclifetimerichter(SampleType,I31,SampleDoping,P31)))</f>
        <v>11732.830251967465</v>
      </c>
      <c r="T31" s="201" t="str">
        <f t="shared" si="19"/>
        <v/>
      </c>
      <c r="U31" s="252">
        <f t="shared" si="12"/>
        <v>-56383.781399648738</v>
      </c>
      <c r="V31" s="251" t="str">
        <f>IF(AugerModel="Sinton","",IF(SampleType="n-type",n_intr_boltzmann(SampleDoping,0,K31,Temperature+273.15),n_intr_boltzmann(0,SampleDoping,K31,Temperature+273.15)))</f>
        <v/>
      </c>
      <c r="W31" s="251" t="str">
        <f t="shared" si="13"/>
        <v/>
      </c>
      <c r="X31" s="246">
        <f>IF(AND(A31&gt;TimeofMaxCD,I31&gt;Traps),IF(AugerModel="Sinton",CalcImpliedV(SampleDoping,O31),CalcImpliedVRichter(O31,SampleDoping,V31)),"")</f>
        <v>0.74479937658834339</v>
      </c>
      <c r="Y31" s="253">
        <f t="shared" si="6"/>
        <v>21.989451635380341</v>
      </c>
      <c r="Z31" s="200" t="str">
        <f t="shared" si="7"/>
        <v/>
      </c>
      <c r="AA31" s="254">
        <v>135.37871899999999</v>
      </c>
      <c r="AB31" s="254">
        <v>72.14800624853477</v>
      </c>
      <c r="AC31" s="251">
        <f t="shared" si="14"/>
        <v>1.3860396870222712E-2</v>
      </c>
      <c r="AE31" s="251">
        <f t="shared" si="8"/>
        <v>1261.2890226408292</v>
      </c>
    </row>
    <row r="32" spans="1:31" x14ac:dyDescent="0.2">
      <c r="A32" s="244">
        <v>2.3498999999999998E-3</v>
      </c>
      <c r="B32" s="244">
        <v>1.8823399999999999</v>
      </c>
      <c r="C32" s="245">
        <v>0.20755199999999999</v>
      </c>
      <c r="D32" s="246">
        <f>IF(CouplingMode="AC",B32-(A$11-A$10)*SUM(B$9:B32)/0.21,B32)</f>
        <v>1.8823399999999999</v>
      </c>
      <c r="E32" s="247">
        <f t="shared" si="9"/>
        <v>19.72181096655191</v>
      </c>
      <c r="F32" s="247">
        <f t="shared" si="0"/>
        <v>19.72181096655191</v>
      </c>
      <c r="G32" s="248">
        <f t="shared" si="1"/>
        <v>3.2746577510005038E+18</v>
      </c>
      <c r="H32" s="249">
        <f t="shared" si="10"/>
        <v>5.7735604731575026E-2</v>
      </c>
      <c r="I32" s="248">
        <f>IF(MobilityModel=DK,CalcDeltaN(H32,SampleDoping,Thickness,AreaFrac),CalcDeltaNDL(H32,AreaFrac,Thickness,SampleType,SampleDoping,Temperature))</f>
        <v>1.4446127969723144E+16</v>
      </c>
      <c r="J32" s="248" t="str">
        <f t="shared" si="2"/>
        <v/>
      </c>
      <c r="K32" s="248">
        <f t="shared" si="11"/>
        <v>1.4446127969723144E+16</v>
      </c>
      <c r="L32" s="250">
        <f t="shared" si="15"/>
        <v>-8.9443718220038697E+18</v>
      </c>
      <c r="M32" s="196" t="str">
        <f t="shared" si="3"/>
        <v/>
      </c>
      <c r="N32" s="196" t="str">
        <f t="shared" si="4"/>
        <v/>
      </c>
      <c r="O32" s="250">
        <f t="shared" si="5"/>
        <v>1.4446127969723144E+16</v>
      </c>
      <c r="P32" s="248">
        <f t="shared" si="16"/>
        <v>8.2071530597488724E-5</v>
      </c>
      <c r="Q32" s="250" t="str">
        <f t="shared" si="17"/>
        <v/>
      </c>
      <c r="R32" s="251" t="str">
        <f t="shared" si="18"/>
        <v/>
      </c>
      <c r="S32" s="252">
        <f>IF(AND(E32&gt;0.95*BiasLight,E32&lt;1.05*BiasLight),"",IF(AugerModel="Sinton",calclifetimeauger(Auger_Coefficient,I32,P32),calclifetimerichter(SampleType,I32,SampleDoping,P32)))</f>
        <v>11838.066702953161</v>
      </c>
      <c r="T32" s="201" t="str">
        <f t="shared" si="19"/>
        <v/>
      </c>
      <c r="U32" s="252">
        <f t="shared" si="12"/>
        <v>-51471.026975628381</v>
      </c>
      <c r="V32" s="251" t="str">
        <f>IF(AugerModel="Sinton","",IF(SampleType="n-type",n_intr_boltzmann(SampleDoping,0,K32,Temperature+273.15),n_intr_boltzmann(0,SampleDoping,K32,Temperature+273.15)))</f>
        <v/>
      </c>
      <c r="W32" s="251" t="str">
        <f t="shared" si="13"/>
        <v/>
      </c>
      <c r="X32" s="246">
        <f>IF(AND(A32&gt;TimeofMaxCD,I32&gt;Traps),IF(AugerModel="Sinton",CalcImpliedV(SampleDoping,O32),CalcImpliedVRichter(O32,SampleDoping,V32)),"")</f>
        <v>0.74192925447982261</v>
      </c>
      <c r="Y32" s="253">
        <f t="shared" si="6"/>
        <v>20.777623446677712</v>
      </c>
      <c r="Z32" s="200" t="str">
        <f t="shared" si="7"/>
        <v/>
      </c>
      <c r="AA32" s="254">
        <v>140.399551</v>
      </c>
      <c r="AB32" s="254">
        <v>69.778635882549878</v>
      </c>
      <c r="AC32" s="251">
        <f t="shared" si="14"/>
        <v>1.4331033952615263E-2</v>
      </c>
      <c r="AE32" s="251">
        <f t="shared" si="8"/>
        <v>1272.8395994657531</v>
      </c>
    </row>
    <row r="33" spans="1:31" x14ac:dyDescent="0.2">
      <c r="A33" s="244">
        <v>2.4499000000000001E-3</v>
      </c>
      <c r="B33" s="244">
        <v>1.7879</v>
      </c>
      <c r="C33" s="245">
        <v>0.19620099999999999</v>
      </c>
      <c r="D33" s="246">
        <f>IF(CouplingMode="AC",B33-(A$11-A$10)*SUM(B$9:B33)/0.21,B33)</f>
        <v>1.7879</v>
      </c>
      <c r="E33" s="247">
        <f t="shared" si="9"/>
        <v>18.643226918788791</v>
      </c>
      <c r="F33" s="247">
        <f t="shared" si="0"/>
        <v>18.643226918788791</v>
      </c>
      <c r="G33" s="248">
        <f t="shared" si="1"/>
        <v>3.095567016478039E+18</v>
      </c>
      <c r="H33" s="249">
        <f t="shared" si="10"/>
        <v>5.4764023944134703E-2</v>
      </c>
      <c r="I33" s="248">
        <f>IF(MobilityModel=DK,CalcDeltaN(H33,SampleDoping,Thickness,AreaFrac),CalcDeltaNDL(H33,AreaFrac,Thickness,SampleType,SampleDoping,Temperature))</f>
        <v>1.358218417552598E+16</v>
      </c>
      <c r="J33" s="248" t="str">
        <f t="shared" si="2"/>
        <v/>
      </c>
      <c r="K33" s="248">
        <f t="shared" si="11"/>
        <v>1.358218417552598E+16</v>
      </c>
      <c r="L33" s="250">
        <f t="shared" si="15"/>
        <v>-8.4312286072956652E+18</v>
      </c>
      <c r="M33" s="196" t="str">
        <f t="shared" si="3"/>
        <v/>
      </c>
      <c r="N33" s="196" t="str">
        <f t="shared" si="4"/>
        <v/>
      </c>
      <c r="O33" s="250">
        <f t="shared" si="5"/>
        <v>1.358218417552598E+16</v>
      </c>
      <c r="P33" s="248">
        <f t="shared" si="16"/>
        <v>8.1639245203895988E-5</v>
      </c>
      <c r="Q33" s="250" t="str">
        <f t="shared" si="17"/>
        <v/>
      </c>
      <c r="R33" s="251" t="str">
        <f t="shared" si="18"/>
        <v/>
      </c>
      <c r="S33" s="252">
        <f>IF(AND(E33&gt;0.95*BiasLight,E33&lt;1.05*BiasLight),"",IF(AugerModel="Sinton",calclifetimeauger(Auger_Coefficient,I33,P33),calclifetimerichter(SampleType,I33,SampleDoping,P33)))</f>
        <v>11942.781139684885</v>
      </c>
      <c r="T33" s="201" t="str">
        <f t="shared" si="19"/>
        <v/>
      </c>
      <c r="U33" s="252">
        <f t="shared" si="12"/>
        <v>-46847.410127537456</v>
      </c>
      <c r="V33" s="251" t="str">
        <f>IF(AugerModel="Sinton","",IF(SampleType="n-type",n_intr_boltzmann(SampleDoping,0,K33,Temperature+273.15),n_intr_boltzmann(0,SampleDoping,K33,Temperature+273.15)))</f>
        <v/>
      </c>
      <c r="W33" s="251" t="str">
        <f t="shared" si="13"/>
        <v/>
      </c>
      <c r="X33" s="246">
        <f>IF(AND(A33&gt;TimeofMaxCD,I33&gt;Traps),IF(AugerModel="Sinton",CalcImpliedV(SampleDoping,O33),CalcImpliedVRichter(O33,SampleDoping,V33)),"")</f>
        <v>0.73907142415654592</v>
      </c>
      <c r="Y33" s="253">
        <f t="shared" si="6"/>
        <v>19.638466893548937</v>
      </c>
      <c r="Z33" s="200" t="str">
        <f t="shared" si="7"/>
        <v/>
      </c>
      <c r="AA33" s="254">
        <v>145.42892699999999</v>
      </c>
      <c r="AB33" s="254">
        <v>67.451837995844173</v>
      </c>
      <c r="AC33" s="251">
        <f t="shared" si="14"/>
        <v>1.4825392898287097E-2</v>
      </c>
      <c r="AE33" s="251">
        <f t="shared" si="8"/>
        <v>1284.124562996112</v>
      </c>
    </row>
    <row r="34" spans="1:31" x14ac:dyDescent="0.2">
      <c r="A34" s="244">
        <v>2.5498999999999999E-3</v>
      </c>
      <c r="B34" s="244">
        <v>1.6964999999999999</v>
      </c>
      <c r="C34" s="245">
        <v>0.185587</v>
      </c>
      <c r="D34" s="246">
        <f>IF(CouplingMode="AC",B34-(A$11-A$10)*SUM(B$9:B34)/0.21,B34)</f>
        <v>1.6964999999999999</v>
      </c>
      <c r="E34" s="247">
        <f t="shared" si="9"/>
        <v>17.634673391966686</v>
      </c>
      <c r="F34" s="247">
        <f t="shared" si="0"/>
        <v>17.634673391966686</v>
      </c>
      <c r="G34" s="248">
        <f t="shared" si="1"/>
        <v>2.9281043210131948E+18</v>
      </c>
      <c r="H34" s="249">
        <f t="shared" si="10"/>
        <v>5.1895631672541527E-2</v>
      </c>
      <c r="I34" s="248">
        <f>IF(MobilityModel=DK,CalcDeltaN(H34,SampleDoping,Thickness,AreaFrac),CalcDeltaNDL(H34,AreaFrac,Thickness,SampleType,SampleDoping,Temperature))</f>
        <v>1.276006859184355E+16</v>
      </c>
      <c r="J34" s="248" t="str">
        <f t="shared" si="2"/>
        <v/>
      </c>
      <c r="K34" s="248">
        <f t="shared" si="11"/>
        <v>1.276006859184355E+16</v>
      </c>
      <c r="L34" s="250">
        <f t="shared" si="15"/>
        <v>-7.9558081607888742E+18</v>
      </c>
      <c r="M34" s="196" t="str">
        <f t="shared" si="3"/>
        <v/>
      </c>
      <c r="N34" s="196" t="str">
        <f t="shared" si="4"/>
        <v/>
      </c>
      <c r="O34" s="250">
        <f t="shared" si="5"/>
        <v>1.276006859184355E+16</v>
      </c>
      <c r="P34" s="248">
        <f t="shared" si="16"/>
        <v>8.1094114711572048E-5</v>
      </c>
      <c r="Q34" s="250" t="str">
        <f t="shared" si="17"/>
        <v/>
      </c>
      <c r="R34" s="251" t="str">
        <f t="shared" si="18"/>
        <v/>
      </c>
      <c r="S34" s="252">
        <f>IF(AND(E34&gt;0.95*BiasLight,E34&lt;1.05*BiasLight),"",IF(AugerModel="Sinton",calclifetimeauger(Auger_Coefficient,I34,P34),calclifetimerichter(SampleType,I34,SampleDoping,P34)))</f>
        <v>12061.070970181298</v>
      </c>
      <c r="T34" s="201" t="str">
        <f t="shared" si="19"/>
        <v/>
      </c>
      <c r="U34" s="252">
        <f t="shared" si="12"/>
        <v>-42447.647678494715</v>
      </c>
      <c r="V34" s="251" t="str">
        <f>IF(AugerModel="Sinton","",IF(SampleType="n-type",n_intr_boltzmann(SampleDoping,0,K34,Temperature+273.15),n_intr_boltzmann(0,SampleDoping,K34,Temperature+273.15)))</f>
        <v/>
      </c>
      <c r="W34" s="251" t="str">
        <f t="shared" si="13"/>
        <v/>
      </c>
      <c r="X34" s="246">
        <f>IF(AND(A34&gt;TimeofMaxCD,I34&gt;Traps),IF(AugerModel="Sinton",CalcImpliedV(SampleDoping,O34),CalcImpliedVRichter(O34,SampleDoping,V34)),"")</f>
        <v>0.73619385836240236</v>
      </c>
      <c r="Y34" s="253">
        <f t="shared" si="6"/>
        <v>18.573793736336015</v>
      </c>
      <c r="Z34" s="200" t="str">
        <f t="shared" si="7"/>
        <v/>
      </c>
      <c r="AA34" s="254">
        <v>150.45680400000001</v>
      </c>
      <c r="AB34" s="254">
        <v>65.353998089210194</v>
      </c>
      <c r="AC34" s="251">
        <f t="shared" si="14"/>
        <v>1.5301282694824113E-2</v>
      </c>
      <c r="AE34" s="251">
        <f t="shared" si="8"/>
        <v>1295.2667301146569</v>
      </c>
    </row>
    <row r="35" spans="1:31" x14ac:dyDescent="0.2">
      <c r="A35" s="244">
        <v>2.6499000000000002E-3</v>
      </c>
      <c r="B35" s="244">
        <v>1.60964</v>
      </c>
      <c r="C35" s="245">
        <v>0.17560300000000001</v>
      </c>
      <c r="D35" s="246">
        <f>IF(CouplingMode="AC",B35-(A$11-A$10)*SUM(B$9:B35)/0.21,B35)</f>
        <v>1.60964</v>
      </c>
      <c r="E35" s="247">
        <f t="shared" si="9"/>
        <v>16.685983132706095</v>
      </c>
      <c r="F35" s="247">
        <f t="shared" si="0"/>
        <v>16.685983132706095</v>
      </c>
      <c r="G35" s="248">
        <f t="shared" si="1"/>
        <v>2.7705814689761679E+18</v>
      </c>
      <c r="H35" s="249">
        <f t="shared" si="10"/>
        <v>4.9176585337200512E-2</v>
      </c>
      <c r="I35" s="248">
        <f>IF(MobilityModel=DK,CalcDeltaN(H35,SampleDoping,Thickness,AreaFrac),CalcDeltaNDL(H35,AreaFrac,Thickness,SampleType,SampleDoping,Temperature))</f>
        <v>1.1991513817641032E+16</v>
      </c>
      <c r="J35" s="248" t="str">
        <f t="shared" si="2"/>
        <v/>
      </c>
      <c r="K35" s="248">
        <f t="shared" si="11"/>
        <v>1.1991513817641032E+16</v>
      </c>
      <c r="L35" s="250">
        <f t="shared" si="15"/>
        <v>-7.5039041636045834E+18</v>
      </c>
      <c r="M35" s="196" t="str">
        <f t="shared" si="3"/>
        <v/>
      </c>
      <c r="N35" s="196" t="str">
        <f t="shared" si="4"/>
        <v/>
      </c>
      <c r="O35" s="250">
        <f t="shared" si="5"/>
        <v>1.1991513817641032E+16</v>
      </c>
      <c r="P35" s="248">
        <f t="shared" si="16"/>
        <v>8.0555593419232458E-5</v>
      </c>
      <c r="Q35" s="250" t="str">
        <f t="shared" si="17"/>
        <v/>
      </c>
      <c r="R35" s="251" t="str">
        <f t="shared" si="18"/>
        <v/>
      </c>
      <c r="S35" s="252">
        <f>IF(AND(E35&gt;0.95*BiasLight,E35&lt;1.05*BiasLight),"",IF(AugerModel="Sinton",calclifetimeauger(Auger_Coefficient,I35,P35),calclifetimerichter(SampleType,I35,SampleDoping,P35)))</f>
        <v>12175.085238532663</v>
      </c>
      <c r="T35" s="201" t="str">
        <f t="shared" si="19"/>
        <v/>
      </c>
      <c r="U35" s="252">
        <f t="shared" si="12"/>
        <v>-38334.529641706642</v>
      </c>
      <c r="V35" s="251" t="str">
        <f>IF(AugerModel="Sinton","",IF(SampleType="n-type",n_intr_boltzmann(SampleDoping,0,K35,Temperature+273.15),n_intr_boltzmann(0,SampleDoping,K35,Temperature+273.15)))</f>
        <v/>
      </c>
      <c r="W35" s="251" t="str">
        <f t="shared" si="13"/>
        <v/>
      </c>
      <c r="X35" s="246">
        <f>IF(AND(A35&gt;TimeofMaxCD,I35&gt;Traps),IF(AugerModel="Sinton",CalcImpliedV(SampleDoping,O35),CalcImpliedVRichter(O35,SampleDoping,V35)),"")</f>
        <v>0.73334745204991758</v>
      </c>
      <c r="Y35" s="253">
        <f t="shared" si="6"/>
        <v>17.571759777870955</v>
      </c>
      <c r="Z35" s="200" t="str">
        <f t="shared" si="7"/>
        <v/>
      </c>
      <c r="AA35" s="254">
        <v>155.38770099999999</v>
      </c>
      <c r="AB35" s="254">
        <v>63.892573017993726</v>
      </c>
      <c r="AC35" s="251">
        <f t="shared" si="14"/>
        <v>1.5651271388278185E-2</v>
      </c>
      <c r="AE35" s="251">
        <f t="shared" si="8"/>
        <v>1306.0679554831129</v>
      </c>
    </row>
    <row r="36" spans="1:31" x14ac:dyDescent="0.2">
      <c r="A36" s="244">
        <v>2.7499E-3</v>
      </c>
      <c r="B36" s="244">
        <v>1.5260499999999999</v>
      </c>
      <c r="C36" s="245">
        <v>0.16622899999999999</v>
      </c>
      <c r="D36" s="246">
        <f>IF(CouplingMode="AC",B36-(A$11-A$10)*SUM(B$9:B36)/0.21,B36)</f>
        <v>1.5260499999999999</v>
      </c>
      <c r="E36" s="247">
        <f t="shared" si="9"/>
        <v>15.795255719814589</v>
      </c>
      <c r="F36" s="247">
        <f t="shared" si="0"/>
        <v>15.795255719814589</v>
      </c>
      <c r="G36" s="248">
        <f t="shared" si="1"/>
        <v>2.6226829097819484E+18</v>
      </c>
      <c r="H36" s="249">
        <f t="shared" si="10"/>
        <v>4.6566222052338173E-2</v>
      </c>
      <c r="I36" s="248">
        <f>IF(MobilityModel=DK,CalcDeltaN(H36,SampleDoping,Thickness,AreaFrac),CalcDeltaNDL(H36,AreaFrac,Thickness,SampleType,SampleDoping,Temperature))</f>
        <v>1.126355906827118E+16</v>
      </c>
      <c r="J36" s="248" t="str">
        <f t="shared" si="2"/>
        <v/>
      </c>
      <c r="K36" s="248">
        <f t="shared" si="11"/>
        <v>1.126355906827118E+16</v>
      </c>
      <c r="L36" s="250">
        <f t="shared" si="15"/>
        <v>-7.05663889840721E+18</v>
      </c>
      <c r="M36" s="196" t="str">
        <f t="shared" si="3"/>
        <v/>
      </c>
      <c r="N36" s="196" t="str">
        <f t="shared" si="4"/>
        <v/>
      </c>
      <c r="O36" s="250">
        <f t="shared" si="5"/>
        <v>1.126355906827118E+16</v>
      </c>
      <c r="P36" s="248">
        <f t="shared" si="16"/>
        <v>7.9958824656267585E-5</v>
      </c>
      <c r="Q36" s="250" t="str">
        <f t="shared" si="17"/>
        <v/>
      </c>
      <c r="R36" s="251" t="str">
        <f t="shared" si="18"/>
        <v/>
      </c>
      <c r="S36" s="252">
        <f>IF(AND(E36&gt;0.95*BiasLight,E36&lt;1.05*BiasLight),"",IF(AugerModel="Sinton",calclifetimeauger(Auger_Coefficient,I36,P36),calclifetimerichter(SampleType,I36,SampleDoping,P36)))</f>
        <v>12295.836474120799</v>
      </c>
      <c r="T36" s="201" t="str">
        <f t="shared" si="19"/>
        <v/>
      </c>
      <c r="U36" s="252">
        <f t="shared" si="12"/>
        <v>-34438.693053214251</v>
      </c>
      <c r="V36" s="251" t="str">
        <f>IF(AugerModel="Sinton","",IF(SampleType="n-type",n_intr_boltzmann(SampleDoping,0,K36,Temperature+273.15),n_intr_boltzmann(0,SampleDoping,K36,Temperature+273.15)))</f>
        <v/>
      </c>
      <c r="W36" s="251" t="str">
        <f t="shared" si="13"/>
        <v/>
      </c>
      <c r="X36" s="246">
        <f>IF(AND(A36&gt;TimeofMaxCD,I36&gt;Traps),IF(AugerModel="Sinton",CalcImpliedV(SampleDoping,O36),CalcImpliedVRichter(O36,SampleDoping,V36)),"")</f>
        <v>0.73049521911306503</v>
      </c>
      <c r="Y36" s="253">
        <f t="shared" si="6"/>
        <v>16.62823623146447</v>
      </c>
      <c r="Z36" s="200" t="str">
        <f t="shared" si="7"/>
        <v/>
      </c>
      <c r="AA36" s="254">
        <v>160.34243699999999</v>
      </c>
      <c r="AB36" s="254">
        <v>62.267960240370883</v>
      </c>
      <c r="AC36" s="251">
        <f t="shared" si="14"/>
        <v>1.6059623538971474E-2</v>
      </c>
      <c r="AE36" s="251">
        <f t="shared" si="8"/>
        <v>1316.6695160337415</v>
      </c>
    </row>
    <row r="37" spans="1:31" x14ac:dyDescent="0.2">
      <c r="A37" s="244">
        <v>2.8498999999999998E-3</v>
      </c>
      <c r="B37" s="244">
        <v>1.4461599999999999</v>
      </c>
      <c r="C37" s="245">
        <v>0.15717100000000001</v>
      </c>
      <c r="D37" s="246">
        <f>IF(CouplingMode="AC",B37-(A$11-A$10)*SUM(B$9:B37)/0.21,B37)</f>
        <v>1.4461599999999999</v>
      </c>
      <c r="E37" s="247">
        <f t="shared" si="9"/>
        <v>14.934554961763464</v>
      </c>
      <c r="F37" s="247">
        <f t="shared" si="0"/>
        <v>14.934554961763464</v>
      </c>
      <c r="G37" s="248">
        <f t="shared" si="1"/>
        <v>2.4797700498308869E+18</v>
      </c>
      <c r="H37" s="249">
        <f t="shared" si="10"/>
        <v>4.4077195993626937E-2</v>
      </c>
      <c r="I37" s="248">
        <f>IF(MobilityModel=DK,CalcDeltaN(H37,SampleDoping,Thickness,AreaFrac),CalcDeltaNDL(H37,AreaFrac,Thickness,SampleType,SampleDoping,Temperature))</f>
        <v>1.0578486855509874E+16</v>
      </c>
      <c r="J37" s="248" t="str">
        <f t="shared" si="2"/>
        <v/>
      </c>
      <c r="K37" s="248">
        <f t="shared" si="11"/>
        <v>1.0578486855509874E+16</v>
      </c>
      <c r="L37" s="250">
        <f t="shared" si="15"/>
        <v>-6.6398540827284183E+18</v>
      </c>
      <c r="M37" s="196" t="str">
        <f t="shared" si="3"/>
        <v/>
      </c>
      <c r="N37" s="196" t="str">
        <f t="shared" si="4"/>
        <v/>
      </c>
      <c r="O37" s="250">
        <f t="shared" si="5"/>
        <v>1.0578486855509874E+16</v>
      </c>
      <c r="P37" s="248">
        <f t="shared" si="16"/>
        <v>7.9442681105069388E-5</v>
      </c>
      <c r="Q37" s="250" t="str">
        <f t="shared" si="17"/>
        <v/>
      </c>
      <c r="R37" s="251" t="str">
        <f t="shared" si="18"/>
        <v/>
      </c>
      <c r="S37" s="252">
        <f>IF(AND(E37&gt;0.95*BiasLight,E37&lt;1.05*BiasLight),"",IF(AugerModel="Sinton",calclifetimeauger(Auger_Coefficient,I37,P37),calclifetimerichter(SampleType,I37,SampleDoping,P37)))</f>
        <v>12401.93070462375</v>
      </c>
      <c r="T37" s="201" t="str">
        <f t="shared" si="19"/>
        <v/>
      </c>
      <c r="U37" s="252">
        <f t="shared" si="12"/>
        <v>-30772.3533603346</v>
      </c>
      <c r="V37" s="251" t="str">
        <f>IF(AugerModel="Sinton","",IF(SampleType="n-type",n_intr_boltzmann(SampleDoping,0,K37,Temperature+273.15),n_intr_boltzmann(0,SampleDoping,K37,Temperature+273.15)))</f>
        <v/>
      </c>
      <c r="W37" s="251" t="str">
        <f t="shared" si="13"/>
        <v/>
      </c>
      <c r="X37" s="246">
        <f>IF(AND(A37&gt;TimeofMaxCD,I37&gt;Traps),IF(AugerModel="Sinton",CalcImpliedV(SampleDoping,O37),CalcImpliedVRichter(O37,SampleDoping,V37)),"")</f>
        <v>0.72765539758509901</v>
      </c>
      <c r="Y37" s="253">
        <f t="shared" si="6"/>
        <v>15.718337316328896</v>
      </c>
      <c r="Z37" s="200" t="str">
        <f t="shared" si="7"/>
        <v/>
      </c>
      <c r="AA37" s="254">
        <v>165.35217</v>
      </c>
      <c r="AB37" s="254">
        <v>60.81068744931104</v>
      </c>
      <c r="AC37" s="251">
        <f t="shared" si="14"/>
        <v>1.6444477803898426E-2</v>
      </c>
      <c r="AE37" s="251">
        <f t="shared" si="8"/>
        <v>1327.0027561140953</v>
      </c>
    </row>
    <row r="38" spans="1:31" x14ac:dyDescent="0.2">
      <c r="A38" s="244">
        <v>2.9499000000000001E-3</v>
      </c>
      <c r="B38" s="244">
        <v>1.3703799999999999</v>
      </c>
      <c r="C38" s="245">
        <v>0.148697</v>
      </c>
      <c r="D38" s="246">
        <f>IF(CouplingMode="AC",B38-(A$11-A$10)*SUM(B$9:B38)/0.21,B38)</f>
        <v>1.3703799999999999</v>
      </c>
      <c r="E38" s="247">
        <f t="shared" si="9"/>
        <v>14.129346502531266</v>
      </c>
      <c r="F38" s="247">
        <f t="shared" si="0"/>
        <v>14.129346502531266</v>
      </c>
      <c r="G38" s="248">
        <f t="shared" si="1"/>
        <v>2.3460712669621202E+18</v>
      </c>
      <c r="H38" s="249">
        <f t="shared" si="10"/>
        <v>4.1721452153443347E-2</v>
      </c>
      <c r="I38" s="248">
        <f>IF(MobilityModel=DK,CalcDeltaN(H38,SampleDoping,Thickness,AreaFrac),CalcDeltaNDL(H38,AreaFrac,Thickness,SampleType,SampleDoping,Temperature))</f>
        <v>9938262623705524</v>
      </c>
      <c r="J38" s="248" t="str">
        <f t="shared" si="2"/>
        <v/>
      </c>
      <c r="K38" s="248">
        <f t="shared" si="11"/>
        <v>9938262623705524</v>
      </c>
      <c r="L38" s="250">
        <f t="shared" si="15"/>
        <v>-6.2399066848438446E+18</v>
      </c>
      <c r="M38" s="196" t="str">
        <f t="shared" si="3"/>
        <v/>
      </c>
      <c r="N38" s="196" t="str">
        <f t="shared" si="4"/>
        <v/>
      </c>
      <c r="O38" s="250">
        <f t="shared" si="5"/>
        <v>9938262623705524</v>
      </c>
      <c r="P38" s="248">
        <f t="shared" si="16"/>
        <v>7.8914294096291954E-5</v>
      </c>
      <c r="Q38" s="250" t="str">
        <f t="shared" si="17"/>
        <v/>
      </c>
      <c r="R38" s="251" t="str">
        <f t="shared" si="18"/>
        <v/>
      </c>
      <c r="S38" s="252">
        <f>IF(AND(E38&gt;0.95*BiasLight,E38&lt;1.05*BiasLight),"",IF(AugerModel="Sinton",calclifetimeauger(Auger_Coefficient,I38,P38),calclifetimerichter(SampleType,I38,SampleDoping,P38)))</f>
        <v>12508.018836208166</v>
      </c>
      <c r="T38" s="201" t="str">
        <f t="shared" si="19"/>
        <v/>
      </c>
      <c r="U38" s="252">
        <f t="shared" si="12"/>
        <v>-27346.029142707186</v>
      </c>
      <c r="V38" s="251" t="str">
        <f>IF(AugerModel="Sinton","",IF(SampleType="n-type",n_intr_boltzmann(SampleDoping,0,K38,Temperature+273.15),n_intr_boltzmann(0,SampleDoping,K38,Temperature+273.15)))</f>
        <v/>
      </c>
      <c r="W38" s="251" t="str">
        <f t="shared" si="13"/>
        <v/>
      </c>
      <c r="X38" s="246">
        <f>IF(AND(A38&gt;TimeofMaxCD,I38&gt;Traps),IF(AugerModel="Sinton",CalcImpliedV(SampleDoping,O38),CalcImpliedVRichter(O38,SampleDoping,V38)),"")</f>
        <v>0.72484858279543563</v>
      </c>
      <c r="Y38" s="253">
        <f t="shared" si="6"/>
        <v>14.865918224255887</v>
      </c>
      <c r="Z38" s="200" t="str">
        <f t="shared" si="7"/>
        <v/>
      </c>
      <c r="AA38" s="254">
        <v>170.34768399999999</v>
      </c>
      <c r="AB38" s="254">
        <v>59.644777195860506</v>
      </c>
      <c r="AC38" s="251">
        <f t="shared" si="14"/>
        <v>1.6765927328661435E-2</v>
      </c>
      <c r="AE38" s="251">
        <f t="shared" si="8"/>
        <v>1336.996788000268</v>
      </c>
    </row>
    <row r="39" spans="1:31" x14ac:dyDescent="0.2">
      <c r="A39" s="244">
        <v>3.0498999999999999E-3</v>
      </c>
      <c r="B39" s="244">
        <v>1.2978499999999999</v>
      </c>
      <c r="C39" s="245">
        <v>0.140852</v>
      </c>
      <c r="D39" s="246">
        <f>IF(CouplingMode="AC",B39-(A$11-A$10)*SUM(B$9:B39)/0.21,B39)</f>
        <v>1.2978499999999999</v>
      </c>
      <c r="E39" s="247">
        <f t="shared" si="9"/>
        <v>13.383906289800965</v>
      </c>
      <c r="F39" s="247">
        <f t="shared" si="0"/>
        <v>13.383906289800965</v>
      </c>
      <c r="G39" s="248">
        <f t="shared" si="1"/>
        <v>2.2222965499919204E+18</v>
      </c>
      <c r="H39" s="249">
        <f t="shared" si="10"/>
        <v>3.9471511072675533E-2</v>
      </c>
      <c r="I39" s="248">
        <f>IF(MobilityModel=DK,CalcDeltaN(H39,SampleDoping,Thickness,AreaFrac),CalcDeltaNDL(H39,AreaFrac,Thickness,SampleType,SampleDoping,Temperature))</f>
        <v>9334234998559652</v>
      </c>
      <c r="J39" s="248" t="str">
        <f t="shared" si="2"/>
        <v/>
      </c>
      <c r="K39" s="248">
        <f t="shared" si="11"/>
        <v>9334234998559652</v>
      </c>
      <c r="L39" s="250">
        <f t="shared" si="15"/>
        <v>-5.8678555741019904E+18</v>
      </c>
      <c r="M39" s="196" t="str">
        <f t="shared" si="3"/>
        <v/>
      </c>
      <c r="N39" s="196" t="str">
        <f t="shared" si="4"/>
        <v/>
      </c>
      <c r="O39" s="250">
        <f t="shared" si="5"/>
        <v>9334234998559652</v>
      </c>
      <c r="P39" s="248">
        <f t="shared" si="16"/>
        <v>7.8274289001221612E-5</v>
      </c>
      <c r="Q39" s="250" t="str">
        <f t="shared" si="17"/>
        <v/>
      </c>
      <c r="R39" s="251" t="str">
        <f t="shared" si="18"/>
        <v/>
      </c>
      <c r="S39" s="252">
        <f>IF(AND(E39&gt;0.95*BiasLight,E39&lt;1.05*BiasLight),"",IF(AugerModel="Sinton",calclifetimeauger(Auger_Coefficient,I39,P39),calclifetimerichter(SampleType,I39,SampleDoping,P39)))</f>
        <v>12630.954755159981</v>
      </c>
      <c r="T39" s="201" t="str">
        <f t="shared" si="19"/>
        <v/>
      </c>
      <c r="U39" s="252">
        <f t="shared" si="12"/>
        <v>-24113.420351377121</v>
      </c>
      <c r="V39" s="251" t="str">
        <f>IF(AugerModel="Sinton","",IF(SampleType="n-type",n_intr_boltzmann(SampleDoping,0,K39,Temperature+273.15),n_intr_boltzmann(0,SampleDoping,K39,Temperature+273.15)))</f>
        <v/>
      </c>
      <c r="W39" s="251" t="str">
        <f t="shared" si="13"/>
        <v/>
      </c>
      <c r="X39" s="246">
        <f>IF(AND(A39&gt;TimeofMaxCD,I39&gt;Traps),IF(AugerModel="Sinton",CalcImpliedV(SampleDoping,O39),CalcImpliedVRichter(O39,SampleDoping,V39)),"")</f>
        <v>0.72204867117769844</v>
      </c>
      <c r="Y39" s="253">
        <f t="shared" si="6"/>
        <v>14.076560315148118</v>
      </c>
      <c r="Z39" s="200" t="str">
        <f t="shared" si="7"/>
        <v/>
      </c>
      <c r="AA39" s="254">
        <v>175.25808599999999</v>
      </c>
      <c r="AB39" s="254">
        <v>58.524343925683908</v>
      </c>
      <c r="AC39" s="251">
        <f t="shared" si="14"/>
        <v>1.7086906625896261E-2</v>
      </c>
      <c r="AE39" s="251">
        <f t="shared" si="8"/>
        <v>1346.7483094612417</v>
      </c>
    </row>
    <row r="40" spans="1:31" x14ac:dyDescent="0.2">
      <c r="A40" s="244">
        <v>3.1499000000000002E-3</v>
      </c>
      <c r="B40" s="244">
        <v>1.2286300000000001</v>
      </c>
      <c r="C40" s="245">
        <v>0.13342899999999999</v>
      </c>
      <c r="D40" s="246">
        <f>IF(CouplingMode="AC",B40-(A$11-A$10)*SUM(B$9:B40)/0.21,B40)</f>
        <v>1.2286300000000001</v>
      </c>
      <c r="E40" s="247">
        <f t="shared" si="9"/>
        <v>12.678564964230915</v>
      </c>
      <c r="F40" s="247">
        <f t="shared" si="0"/>
        <v>12.678564964230915</v>
      </c>
      <c r="G40" s="248">
        <f t="shared" si="1"/>
        <v>2.1051799503654326E+18</v>
      </c>
      <c r="H40" s="249">
        <f t="shared" si="10"/>
        <v>3.7328601054242287E-2</v>
      </c>
      <c r="I40" s="248">
        <f>IF(MobilityModel=DK,CalcDeltaN(H40,SampleDoping,Thickness,AreaFrac),CalcDeltaNDL(H40,AreaFrac,Thickness,SampleType,SampleDoping,Temperature))</f>
        <v>8765731654324367</v>
      </c>
      <c r="J40" s="248" t="str">
        <f t="shared" si="2"/>
        <v/>
      </c>
      <c r="K40" s="248">
        <f t="shared" si="11"/>
        <v>8765731654324367</v>
      </c>
      <c r="L40" s="250">
        <f t="shared" si="15"/>
        <v>-5.5239304517053901E+18</v>
      </c>
      <c r="M40" s="196" t="str">
        <f t="shared" si="3"/>
        <v/>
      </c>
      <c r="N40" s="196" t="str">
        <f t="shared" si="4"/>
        <v/>
      </c>
      <c r="O40" s="250">
        <f t="shared" si="5"/>
        <v>8765731654324367</v>
      </c>
      <c r="P40" s="248">
        <f t="shared" si="16"/>
        <v>7.7620194283596459E-5</v>
      </c>
      <c r="Q40" s="250" t="str">
        <f t="shared" si="17"/>
        <v/>
      </c>
      <c r="R40" s="251" t="str">
        <f t="shared" si="18"/>
        <v/>
      </c>
      <c r="S40" s="252">
        <f>IF(AND(E40&gt;0.95*BiasLight,E40&lt;1.05*BiasLight),"",IF(AugerModel="Sinton",calclifetimeauger(Auger_Coefficient,I40,P40),calclifetimerichter(SampleType,I40,SampleDoping,P40)))</f>
        <v>12755.694093529219</v>
      </c>
      <c r="T40" s="201" t="str">
        <f t="shared" si="19"/>
        <v/>
      </c>
      <c r="U40" s="252">
        <f t="shared" si="12"/>
        <v>-21070.928862628221</v>
      </c>
      <c r="V40" s="251" t="str">
        <f>IF(AugerModel="Sinton","",IF(SampleType="n-type",n_intr_boltzmann(SampleDoping,0,K40,Temperature+273.15),n_intr_boltzmann(0,SampleDoping,K40,Temperature+273.15)))</f>
        <v/>
      </c>
      <c r="W40" s="251" t="str">
        <f t="shared" si="13"/>
        <v/>
      </c>
      <c r="X40" s="246">
        <f>IF(AND(A40&gt;TimeofMaxCD,I40&gt;Traps),IF(AugerModel="Sinton",CalcImpliedV(SampleDoping,O40),CalcImpliedVRichter(O40,SampleDoping,V40)),"")</f>
        <v>0.71926258696917378</v>
      </c>
      <c r="Y40" s="253">
        <f t="shared" si="6"/>
        <v>13.330621344077485</v>
      </c>
      <c r="Z40" s="200" t="str">
        <f t="shared" si="7"/>
        <v/>
      </c>
      <c r="AA40" s="254">
        <v>180.42495400000001</v>
      </c>
      <c r="AB40" s="254">
        <v>57.237296527056941</v>
      </c>
      <c r="AC40" s="251">
        <f t="shared" si="14"/>
        <v>1.7471125658901181E-2</v>
      </c>
      <c r="AE40" s="251">
        <f t="shared" si="8"/>
        <v>1356.2350372468766</v>
      </c>
    </row>
    <row r="41" spans="1:31" x14ac:dyDescent="0.2">
      <c r="A41" s="244">
        <v>3.2499E-3</v>
      </c>
      <c r="B41" s="244">
        <v>1.16262</v>
      </c>
      <c r="C41" s="245">
        <v>0.126475</v>
      </c>
      <c r="D41" s="246">
        <f>IF(CouplingMode="AC",B41-(A$11-A$10)*SUM(B$9:B41)/0.21,B41)</f>
        <v>1.16262</v>
      </c>
      <c r="E41" s="247">
        <f t="shared" ref="E41:E72" si="20">IF(C41&gt;0,C41/RefCellCal,0.00001)</f>
        <v>12.017788515623328</v>
      </c>
      <c r="F41" s="247">
        <f t="shared" ref="F41:F72" si="21">E41-BiasLight</f>
        <v>12.017788515623328</v>
      </c>
      <c r="G41" s="248">
        <f t="shared" ref="G41:G72" si="22">F41*0.038*OptConst/1.602E-19</f>
        <v>1.9954630119574313E+18</v>
      </c>
      <c r="H41" s="249">
        <f t="shared" ref="H41:H72" si="23">CalcConductance(B41,Dark_Voltage,A_cal,B_cal,C_cal)</f>
        <v>3.5289025468856504E-2</v>
      </c>
      <c r="I41" s="248">
        <f>IF(MobilityModel=DK,CalcDeltaN(H41,SampleDoping,Thickness,AreaFrac),CalcDeltaNDL(H41,AreaFrac,Thickness,SampleType,SampleDoping,Temperature))</f>
        <v>8230824553149456</v>
      </c>
      <c r="J41" s="248" t="str">
        <f t="shared" ref="J41:J72" si="24">IF(AND(AND(I41&gt;=FitRangeMin,I41&lt;=FitRangeMax),A41&gt;TimeofMaxCD),I41,"")</f>
        <v/>
      </c>
      <c r="K41" s="248">
        <f t="shared" ref="K41:K72" si="25">IF(I41-BiasPtCD=0,0.00001,I41-BiasPtCD)</f>
        <v>8230824553149456</v>
      </c>
      <c r="L41" s="250">
        <f t="shared" si="15"/>
        <v>-5.1918658036519414E+18</v>
      </c>
      <c r="M41" s="196" t="str">
        <f t="shared" ref="M41:M72" si="26">IF(E41&gt;0.85*BiasLight,IF( E41&lt;1.15*BiasLight,E41,""),"")</f>
        <v/>
      </c>
      <c r="N41" s="196" t="str">
        <f t="shared" ref="N41:N72" si="27">IF(E41&gt;0.85*BiasLight,IF(E41&lt;1.15*BiasLight,I41,""),"")</f>
        <v/>
      </c>
      <c r="O41" s="250">
        <f t="shared" ref="O41:O72" si="28">I41-Traps</f>
        <v>8230824553149456</v>
      </c>
      <c r="P41" s="248">
        <f t="shared" si="16"/>
        <v>7.6922729006445603E-5</v>
      </c>
      <c r="Q41" s="250" t="str">
        <f t="shared" si="17"/>
        <v/>
      </c>
      <c r="R41" s="251" t="str">
        <f t="shared" si="18"/>
        <v/>
      </c>
      <c r="S41" s="252">
        <f>IF(AND(E41&gt;0.95*BiasLight,E41&lt;1.05*BiasLight),"",IF(AugerModel="Sinton",calclifetimeauger(Auger_Coefficient,I41,P41),calclifetimerichter(SampleType,I41,SampleDoping,P41)))</f>
        <v>12887.599653287585</v>
      </c>
      <c r="T41" s="201" t="str">
        <f t="shared" si="19"/>
        <v/>
      </c>
      <c r="U41" s="252">
        <f t="shared" ref="U41:U72" si="29">FitInterceptAuger+FitSlopeAuger*(I41+Traps)</f>
        <v>-18208.236287292268</v>
      </c>
      <c r="V41" s="251" t="str">
        <f>IF(AugerModel="Sinton","",IF(SampleType="n-type",n_intr_boltzmann(SampleDoping,0,K41,Temperature+273.15),n_intr_boltzmann(0,SampleDoping,K41,Temperature+273.15)))</f>
        <v/>
      </c>
      <c r="W41" s="251" t="str">
        <f t="shared" si="13"/>
        <v/>
      </c>
      <c r="X41" s="246">
        <f>IF(AND(A41&gt;TimeofMaxCD,I41&gt;Traps),IF(AugerModel="Sinton",CalcImpliedV(SampleDoping,O41),CalcImpliedVRichter(O41,SampleDoping,V41)),"")</f>
        <v>0.71649149285567548</v>
      </c>
      <c r="Y41" s="253">
        <f t="shared" ref="Y41:Y72" si="30">IF(OR(P41="",P41&lt;0,A41&lt;=TimeofMaxCD),"",(O41*Thickness*1.602E-19/(0.038*OptConst*P41)))</f>
        <v>12.6306472853302</v>
      </c>
      <c r="Z41" s="200" t="str">
        <f t="shared" ref="Z41:Z72" si="31">IF(C41&gt;0.6,O41,"")</f>
        <v/>
      </c>
      <c r="AA41" s="254">
        <v>185.40361999999999</v>
      </c>
      <c r="AB41" s="254">
        <v>56.123379453491729</v>
      </c>
      <c r="AC41" s="251">
        <f t="shared" si="14"/>
        <v>1.7817886409151093E-2</v>
      </c>
      <c r="AE41" s="251">
        <f t="shared" ref="AE41:AE72" si="32">H41/(K41*AreaFrac*Thickness*1.602E-19)</f>
        <v>1365.4560864442358</v>
      </c>
    </row>
    <row r="42" spans="1:31" x14ac:dyDescent="0.2">
      <c r="A42" s="244">
        <v>3.3498999999999998E-3</v>
      </c>
      <c r="B42" s="244">
        <v>1.0997600000000001</v>
      </c>
      <c r="C42" s="245">
        <v>0.119935</v>
      </c>
      <c r="D42" s="246">
        <f>IF(CouplingMode="AC",B42-(A$11-A$10)*SUM(B$9:B42)/0.21,B42)</f>
        <v>1.0997600000000001</v>
      </c>
      <c r="E42" s="247">
        <f t="shared" si="20"/>
        <v>11.396350785699022</v>
      </c>
      <c r="F42" s="247">
        <f t="shared" si="21"/>
        <v>11.396350785699022</v>
      </c>
      <c r="G42" s="248">
        <f t="shared" si="22"/>
        <v>1.8922779706591383E+18</v>
      </c>
      <c r="H42" s="249">
        <f t="shared" si="23"/>
        <v>3.335037162788515E-2</v>
      </c>
      <c r="I42" s="248">
        <f>IF(MobilityModel=DK,CalcDeltaN(H42,SampleDoping,Thickness,AreaFrac),CalcDeltaNDL(H42,AreaFrac,Thickness,SampleType,SampleDoping,Temperature))</f>
        <v>7728002620557928</v>
      </c>
      <c r="J42" s="248" t="str">
        <f t="shared" si="24"/>
        <v/>
      </c>
      <c r="K42" s="248">
        <f t="shared" si="25"/>
        <v>7728002620557928</v>
      </c>
      <c r="L42" s="250">
        <f t="shared" si="15"/>
        <v>-4.8834244693579776E+18</v>
      </c>
      <c r="M42" s="196" t="str">
        <f t="shared" si="26"/>
        <v/>
      </c>
      <c r="N42" s="196" t="str">
        <f t="shared" si="27"/>
        <v/>
      </c>
      <c r="O42" s="250">
        <f t="shared" si="28"/>
        <v>7728002620557928</v>
      </c>
      <c r="P42" s="248">
        <f t="shared" si="16"/>
        <v>7.6191839954149748E-5</v>
      </c>
      <c r="Q42" s="250" t="str">
        <f t="shared" si="17"/>
        <v/>
      </c>
      <c r="R42" s="251" t="str">
        <f t="shared" si="18"/>
        <v/>
      </c>
      <c r="S42" s="252">
        <f>IF(AND(E42&gt;0.95*BiasLight,E42&lt;1.05*BiasLight),"",IF(AugerModel="Sinton",calclifetimeauger(Auger_Coefficient,I42,P42),calclifetimerichter(SampleType,I42,SampleDoping,P42)))</f>
        <v>13025.626513927884</v>
      </c>
      <c r="T42" s="201" t="str">
        <f t="shared" si="19"/>
        <v/>
      </c>
      <c r="U42" s="252">
        <f t="shared" si="29"/>
        <v>-15517.255722659305</v>
      </c>
      <c r="V42" s="251" t="str">
        <f>IF(AugerModel="Sinton","",IF(SampleType="n-type",n_intr_boltzmann(SampleDoping,0,K42,Temperature+273.15),n_intr_boltzmann(0,SampleDoping,K42,Temperature+273.15)))</f>
        <v/>
      </c>
      <c r="W42" s="251" t="str">
        <f t="shared" si="13"/>
        <v/>
      </c>
      <c r="X42" s="246">
        <f>IF(AND(A42&gt;TimeofMaxCD,I42&gt;Traps),IF(AugerModel="Sinton",CalcImpliedV(SampleDoping,O42),CalcImpliedVRichter(O42,SampleDoping,V42)),"")</f>
        <v>0.71373837679115015</v>
      </c>
      <c r="Y42" s="253">
        <f t="shared" si="30"/>
        <v>11.972800490955656</v>
      </c>
      <c r="Z42" s="200" t="str">
        <f t="shared" si="31"/>
        <v/>
      </c>
      <c r="AA42" s="254">
        <v>190.424297</v>
      </c>
      <c r="AB42" s="254">
        <v>55.128683927355013</v>
      </c>
      <c r="AC42" s="251">
        <f t="shared" si="14"/>
        <v>1.8139377339711844E-2</v>
      </c>
      <c r="AE42" s="251">
        <f t="shared" si="32"/>
        <v>1374.4053401299068</v>
      </c>
    </row>
    <row r="43" spans="1:31" x14ac:dyDescent="0.2">
      <c r="A43" s="244">
        <v>3.4499000000000001E-3</v>
      </c>
      <c r="B43" s="244">
        <v>1.04016</v>
      </c>
      <c r="C43" s="245">
        <v>0.113728</v>
      </c>
      <c r="D43" s="246">
        <f>IF(CouplingMode="AC",B43-(A$11-A$10)*SUM(B$9:B43)/0.21,B43)</f>
        <v>1.04016</v>
      </c>
      <c r="E43" s="247">
        <f t="shared" si="20"/>
        <v>10.80655506862866</v>
      </c>
      <c r="F43" s="247">
        <f t="shared" si="21"/>
        <v>10.80655506862866</v>
      </c>
      <c r="G43" s="248">
        <f t="shared" si="22"/>
        <v>1.7943468466012631E+18</v>
      </c>
      <c r="H43" s="249">
        <f t="shared" si="23"/>
        <v>3.1515496169557393E-2</v>
      </c>
      <c r="I43" s="248">
        <f>IF(MobilityModel=DK,CalcDeltaN(H43,SampleDoping,Thickness,AreaFrac),CalcDeltaNDL(H43,AreaFrac,Thickness,SampleType,SampleDoping,Temperature))</f>
        <v>7257166613616901</v>
      </c>
      <c r="J43" s="248" t="str">
        <f t="shared" si="24"/>
        <v/>
      </c>
      <c r="K43" s="248">
        <f t="shared" si="25"/>
        <v>7257166613616901</v>
      </c>
      <c r="L43" s="250">
        <f t="shared" ref="L43:L74" si="33">IF(ABS(SLOPE(K41:K45,A41:A45))&lt;1000000000000,-1000000000000,(SLOPE(K41:K45,A41:A45)))</f>
        <v>-4.5975952947013688E+18</v>
      </c>
      <c r="M43" s="196" t="str">
        <f t="shared" si="26"/>
        <v/>
      </c>
      <c r="N43" s="196" t="str">
        <f t="shared" si="27"/>
        <v/>
      </c>
      <c r="O43" s="250">
        <f t="shared" si="28"/>
        <v>7257166613616901</v>
      </c>
      <c r="P43" s="248">
        <f t="shared" ref="P43:P74" si="34">calclifetime(AnalysisMode,K43,Thickness,G43,L43)</f>
        <v>7.5480767533353622E-5</v>
      </c>
      <c r="Q43" s="250" t="str">
        <f t="shared" si="17"/>
        <v/>
      </c>
      <c r="R43" s="251" t="str">
        <f t="shared" si="18"/>
        <v/>
      </c>
      <c r="S43" s="252">
        <f>IF(AND(E43&gt;0.95*BiasLight,E43&lt;1.05*BiasLight),"",IF(AugerModel="Sinton",calclifetimeauger(Auger_Coefficient,I43,P43),calclifetimerichter(SampleType,I43,SampleDoping,P43)))</f>
        <v>13160.981605595074</v>
      </c>
      <c r="T43" s="201" t="str">
        <f t="shared" si="19"/>
        <v/>
      </c>
      <c r="U43" s="252">
        <f t="shared" si="29"/>
        <v>-12997.456044714549</v>
      </c>
      <c r="V43" s="251" t="str">
        <f>IF(AugerModel="Sinton","",IF(SampleType="n-type",n_intr_boltzmann(SampleDoping,0,K43,Temperature+273.15),n_intr_boltzmann(0,SampleDoping,K43,Temperature+273.15)))</f>
        <v/>
      </c>
      <c r="W43" s="251" t="str">
        <f t="shared" si="13"/>
        <v/>
      </c>
      <c r="X43" s="246">
        <f>IF(AND(A43&gt;TimeofMaxCD,I43&gt;Traps),IF(AugerModel="Sinton",CalcImpliedV(SampleDoping,O43),CalcImpliedVRichter(O43,SampleDoping,V43)),"")</f>
        <v>0.71101450250779985</v>
      </c>
      <c r="Y43" s="253">
        <f t="shared" si="30"/>
        <v>11.349264896363199</v>
      </c>
      <c r="Z43" s="200" t="str">
        <f t="shared" si="31"/>
        <v/>
      </c>
      <c r="AA43" s="254">
        <v>195.404594</v>
      </c>
      <c r="AB43" s="254">
        <v>54.035804574498634</v>
      </c>
      <c r="AC43" s="251">
        <f t="shared" si="14"/>
        <v>1.850624799379659E-2</v>
      </c>
      <c r="AE43" s="251">
        <f t="shared" si="32"/>
        <v>1383.051881637007</v>
      </c>
    </row>
    <row r="44" spans="1:31" x14ac:dyDescent="0.2">
      <c r="A44" s="244">
        <v>3.5498999999999999E-3</v>
      </c>
      <c r="B44" s="244">
        <v>0.98297900000000005</v>
      </c>
      <c r="C44" s="245">
        <v>0.107916</v>
      </c>
      <c r="D44" s="246">
        <f>IF(CouplingMode="AC",B44-(A$11-A$10)*SUM(B$9:B44)/0.21,B44)</f>
        <v>0.98297900000000005</v>
      </c>
      <c r="E44" s="247">
        <f t="shared" si="20"/>
        <v>10.254292670108773</v>
      </c>
      <c r="F44" s="247">
        <f t="shared" si="21"/>
        <v>10.254292670108773</v>
      </c>
      <c r="G44" s="248">
        <f t="shared" si="22"/>
        <v>1.7026478465973368E+18</v>
      </c>
      <c r="H44" s="249">
        <f t="shared" si="23"/>
        <v>2.9758055143243561E-2</v>
      </c>
      <c r="I44" s="248">
        <f>IF(MobilityModel=DK,CalcDeltaN(H44,SampleDoping,Thickness,AreaFrac),CalcDeltaNDL(H44,AreaFrac,Thickness,SampleType,SampleDoping,Temperature))</f>
        <v>6810848389411657</v>
      </c>
      <c r="J44" s="248" t="str">
        <f t="shared" si="24"/>
        <v/>
      </c>
      <c r="K44" s="248">
        <f t="shared" si="25"/>
        <v>6810848389411657</v>
      </c>
      <c r="L44" s="250">
        <f t="shared" si="33"/>
        <v>-4.3241603953537869E+18</v>
      </c>
      <c r="M44" s="196" t="str">
        <f t="shared" si="26"/>
        <v/>
      </c>
      <c r="N44" s="196" t="str">
        <f t="shared" si="27"/>
        <v/>
      </c>
      <c r="O44" s="250">
        <f t="shared" si="28"/>
        <v>6810848389411657</v>
      </c>
      <c r="P44" s="248">
        <f t="shared" si="34"/>
        <v>7.4685310839221801E-5</v>
      </c>
      <c r="Q44" s="250" t="str">
        <f t="shared" ref="Q44:Q75" si="35">IF($J44="","",P44)</f>
        <v/>
      </c>
      <c r="R44" s="251" t="str">
        <f t="shared" ref="R44:R75" si="36">IF(Q44="","",1/Q44)</f>
        <v/>
      </c>
      <c r="S44" s="252">
        <f>IF(AND(E44&gt;0.95*BiasLight,E44&lt;1.05*BiasLight),"",IF(AugerModel="Sinton",calclifetimeauger(Auger_Coefficient,I44,P44),calclifetimerichter(SampleType,I44,SampleDoping,P44)))</f>
        <v>13312.510289537495</v>
      </c>
      <c r="T44" s="201" t="str">
        <f t="shared" ref="T44:T75" si="37">IF($J44="","",S44)</f>
        <v/>
      </c>
      <c r="U44" s="252">
        <f t="shared" si="29"/>
        <v>-10608.869570795796</v>
      </c>
      <c r="V44" s="251" t="str">
        <f>IF(AugerModel="Sinton","",IF(SampleType="n-type",n_intr_boltzmann(SampleDoping,0,K44,Temperature+273.15),n_intr_boltzmann(0,SampleDoping,K44,Temperature+273.15)))</f>
        <v/>
      </c>
      <c r="W44" s="251" t="str">
        <f t="shared" si="13"/>
        <v/>
      </c>
      <c r="X44" s="246">
        <f>IF(AND(A44&gt;TimeofMaxCD,I44&gt;Traps),IF(AugerModel="Sinton",CalcImpliedV(SampleDoping,O44),CalcImpliedVRichter(O44,SampleDoping,V44)),"")</f>
        <v>0.70828653160505584</v>
      </c>
      <c r="Y44" s="253">
        <f t="shared" si="30"/>
        <v>10.764725666671904</v>
      </c>
      <c r="Z44" s="200" t="str">
        <f t="shared" si="31"/>
        <v/>
      </c>
      <c r="AA44" s="200">
        <v>200.29631699999999</v>
      </c>
      <c r="AB44" s="200">
        <v>52.927235684808402</v>
      </c>
      <c r="AC44" s="251">
        <f t="shared" si="14"/>
        <v>1.8893864133679439E-2</v>
      </c>
      <c r="AE44" s="251">
        <f t="shared" si="32"/>
        <v>1391.5049262562043</v>
      </c>
    </row>
    <row r="45" spans="1:31" x14ac:dyDescent="0.2">
      <c r="A45" s="244">
        <v>3.6499000000000002E-3</v>
      </c>
      <c r="B45" s="244">
        <v>0.92850699999999997</v>
      </c>
      <c r="C45" s="245">
        <v>0.10238899999999999</v>
      </c>
      <c r="D45" s="246">
        <f>IF(CouplingMode="AC",B45-(A$11-A$10)*SUM(B$9:B45)/0.21,B45)</f>
        <v>0.92850699999999997</v>
      </c>
      <c r="E45" s="247">
        <f t="shared" si="20"/>
        <v>9.7291112735809993</v>
      </c>
      <c r="F45" s="247">
        <f t="shared" si="21"/>
        <v>9.7291112735809993</v>
      </c>
      <c r="G45" s="248">
        <f t="shared" si="22"/>
        <v>1.6154454424298038E+18</v>
      </c>
      <c r="H45" s="249">
        <f t="shared" si="23"/>
        <v>2.8086572091904002E-2</v>
      </c>
      <c r="I45" s="248">
        <f>IF(MobilityModel=DK,CalcDeltaN(H45,SampleDoping,Thickness,AreaFrac),CalcDeltaNDL(H45,AreaFrac,Thickness,SampleType,SampleDoping,Temperature))</f>
        <v>6390604021371906</v>
      </c>
      <c r="J45" s="248" t="str">
        <f t="shared" si="24"/>
        <v/>
      </c>
      <c r="K45" s="248">
        <f t="shared" si="25"/>
        <v>6390604021371906</v>
      </c>
      <c r="L45" s="250">
        <f t="shared" si="33"/>
        <v>-4.0710261505079081E+18</v>
      </c>
      <c r="M45" s="196" t="str">
        <f t="shared" si="26"/>
        <v/>
      </c>
      <c r="N45" s="196" t="str">
        <f t="shared" si="27"/>
        <v/>
      </c>
      <c r="O45" s="250">
        <f t="shared" si="28"/>
        <v>6390604021371906</v>
      </c>
      <c r="P45" s="248">
        <f t="shared" si="34"/>
        <v>7.3886894760531025E-5</v>
      </c>
      <c r="Q45" s="250" t="str">
        <f t="shared" si="35"/>
        <v/>
      </c>
      <c r="R45" s="251" t="str">
        <f t="shared" si="36"/>
        <v/>
      </c>
      <c r="S45" s="252">
        <f>IF(AND(E45&gt;0.95*BiasLight,E45&lt;1.05*BiasLight),"",IF(AugerModel="Sinton",calclifetimeauger(Auger_Coefficient,I45,P45),calclifetimerichter(SampleType,I45,SampleDoping,P45)))</f>
        <v>13466.405749405521</v>
      </c>
      <c r="T45" s="201" t="str">
        <f t="shared" si="37"/>
        <v/>
      </c>
      <c r="U45" s="252">
        <f t="shared" si="29"/>
        <v>-8359.8240270523747</v>
      </c>
      <c r="V45" s="251" t="str">
        <f>IF(AugerModel="Sinton","",IF(SampleType="n-type",n_intr_boltzmann(SampleDoping,0,K45,Temperature+273.15),n_intr_boltzmann(0,SampleDoping,K45,Temperature+273.15)))</f>
        <v/>
      </c>
      <c r="W45" s="251" t="str">
        <f t="shared" si="13"/>
        <v/>
      </c>
      <c r="X45" s="246">
        <f>IF(AND(A45&gt;TimeofMaxCD,I45&gt;Traps),IF(AugerModel="Sinton",CalcImpliedV(SampleDoping,O45),CalcImpliedVRichter(O45,SampleDoping,V45)),"")</f>
        <v>0.70557245472300256</v>
      </c>
      <c r="Y45" s="253">
        <f t="shared" si="30"/>
        <v>10.209663770968323</v>
      </c>
      <c r="Z45" s="200" t="str">
        <f t="shared" si="31"/>
        <v/>
      </c>
      <c r="AE45" s="251">
        <f t="shared" si="32"/>
        <v>1399.7105829448753</v>
      </c>
    </row>
    <row r="46" spans="1:31" x14ac:dyDescent="0.2">
      <c r="A46" s="244">
        <v>3.7499E-3</v>
      </c>
      <c r="B46" s="244">
        <v>0.87720299999999995</v>
      </c>
      <c r="C46" s="245">
        <v>9.7207299999999996E-2</v>
      </c>
      <c r="D46" s="246">
        <f>IF(CouplingMode="AC",B46-(A$11-A$10)*SUM(B$9:B46)/0.21,B46)</f>
        <v>0.87720299999999995</v>
      </c>
      <c r="E46" s="247">
        <f t="shared" si="20"/>
        <v>9.2367406489405148</v>
      </c>
      <c r="F46" s="247">
        <f t="shared" si="21"/>
        <v>9.2367406489405148</v>
      </c>
      <c r="G46" s="248">
        <f t="shared" si="22"/>
        <v>1.5336910191124698E+18</v>
      </c>
      <c r="H46" s="249">
        <f t="shared" si="23"/>
        <v>2.6514706723661692E-2</v>
      </c>
      <c r="I46" s="248">
        <f>IF(MobilityModel=DK,CalcDeltaN(H46,SampleDoping,Thickness,AreaFrac),CalcDeltaNDL(H46,AreaFrac,Thickness,SampleType,SampleDoping,Temperature))</f>
        <v>5999203719003531</v>
      </c>
      <c r="J46" s="248" t="str">
        <f t="shared" si="24"/>
        <v/>
      </c>
      <c r="K46" s="248">
        <f t="shared" si="25"/>
        <v>5999203719003531</v>
      </c>
      <c r="L46" s="250">
        <f t="shared" si="33"/>
        <v>-3.8206565852051364E+18</v>
      </c>
      <c r="M46" s="196" t="str">
        <f t="shared" si="26"/>
        <v/>
      </c>
      <c r="N46" s="196" t="str">
        <f t="shared" si="27"/>
        <v/>
      </c>
      <c r="O46" s="250">
        <f t="shared" si="28"/>
        <v>5999203719003531</v>
      </c>
      <c r="P46" s="248">
        <f t="shared" si="34"/>
        <v>7.3098443011803644E-5</v>
      </c>
      <c r="Q46" s="250" t="str">
        <f t="shared" si="35"/>
        <v/>
      </c>
      <c r="R46" s="251" t="str">
        <f t="shared" si="36"/>
        <v/>
      </c>
      <c r="S46" s="252">
        <f>IF(AND(E46&gt;0.95*BiasLight,E46&lt;1.05*BiasLight),"",IF(AugerModel="Sinton",calclifetimeauger(Auger_Coefficient,I46,P46),calclifetimerichter(SampleType,I46,SampleDoping,P46)))</f>
        <v>13620.437801792485</v>
      </c>
      <c r="T46" s="201" t="str">
        <f t="shared" si="37"/>
        <v/>
      </c>
      <c r="U46" s="252">
        <f t="shared" si="29"/>
        <v>-6265.1449003159141</v>
      </c>
      <c r="V46" s="251" t="str">
        <f>IF(AugerModel="Sinton","",IF(SampleType="n-type",n_intr_boltzmann(SampleDoping,0,K46,Temperature+273.15),n_intr_boltzmann(0,SampleDoping,K46,Temperature+273.15)))</f>
        <v/>
      </c>
      <c r="W46" s="251" t="str">
        <f t="shared" si="13"/>
        <v/>
      </c>
      <c r="X46" s="246">
        <f>IF(AND(A46&gt;TimeofMaxCD,I46&gt;Traps),IF(AugerModel="Sinton",CalcImpliedV(SampleDoping,O46),CalcImpliedVRichter(O46,SampleDoping,V46)),"")</f>
        <v>0.70290246321981453</v>
      </c>
      <c r="Y46" s="253">
        <f t="shared" si="30"/>
        <v>9.6877389957456757</v>
      </c>
      <c r="Z46" s="200" t="str">
        <f t="shared" si="31"/>
        <v/>
      </c>
      <c r="AE46" s="251">
        <f t="shared" si="32"/>
        <v>1407.5850154483237</v>
      </c>
    </row>
    <row r="47" spans="1:31" x14ac:dyDescent="0.2">
      <c r="A47" s="244">
        <v>3.8498999999999999E-3</v>
      </c>
      <c r="B47" s="244">
        <v>0.82794999999999996</v>
      </c>
      <c r="C47" s="245">
        <v>9.2300099999999996E-2</v>
      </c>
      <c r="D47" s="246">
        <f>IF(CouplingMode="AC",B47-(A$11-A$10)*SUM(B$9:B47)/0.21,B47)</f>
        <v>0.82794999999999996</v>
      </c>
      <c r="E47" s="247">
        <f t="shared" si="20"/>
        <v>8.770453305166118</v>
      </c>
      <c r="F47" s="247">
        <f t="shared" si="21"/>
        <v>8.770453305166118</v>
      </c>
      <c r="G47" s="248">
        <f t="shared" si="22"/>
        <v>1.456267527574399E+18</v>
      </c>
      <c r="H47" s="249">
        <f t="shared" si="23"/>
        <v>2.5007877224208094E-2</v>
      </c>
      <c r="I47" s="248">
        <f>IF(MobilityModel=DK,CalcDeltaN(H47,SampleDoping,Thickness,AreaFrac),CalcDeltaNDL(H47,AreaFrac,Thickness,SampleType,SampleDoping,Temperature))</f>
        <v>5627475873567011</v>
      </c>
      <c r="J47" s="248" t="str">
        <f t="shared" si="24"/>
        <v/>
      </c>
      <c r="K47" s="248">
        <f t="shared" si="25"/>
        <v>5627475873567011</v>
      </c>
      <c r="L47" s="250">
        <f t="shared" si="33"/>
        <v>-3.58448067868286E+18</v>
      </c>
      <c r="M47" s="196" t="str">
        <f t="shared" si="26"/>
        <v/>
      </c>
      <c r="N47" s="196" t="str">
        <f t="shared" si="27"/>
        <v/>
      </c>
      <c r="O47" s="250">
        <f t="shared" si="28"/>
        <v>5627475873567011</v>
      </c>
      <c r="P47" s="248">
        <f t="shared" si="34"/>
        <v>7.2254726534700962E-5</v>
      </c>
      <c r="Q47" s="250" t="str">
        <f t="shared" si="35"/>
        <v/>
      </c>
      <c r="R47" s="251" t="str">
        <f t="shared" si="36"/>
        <v/>
      </c>
      <c r="S47" s="252">
        <f>IF(AND(E47&gt;0.95*BiasLight,E47&lt;1.05*BiasLight),"",IF(AugerModel="Sinton",calclifetimeauger(Auger_Coefficient,I47,P47),calclifetimerichter(SampleType,I47,SampleDoping,P47)))</f>
        <v>13787.355368866056</v>
      </c>
      <c r="T47" s="201" t="str">
        <f t="shared" si="37"/>
        <v/>
      </c>
      <c r="U47" s="252">
        <f t="shared" si="29"/>
        <v>-4275.7479735609813</v>
      </c>
      <c r="V47" s="251" t="str">
        <f>IF(AugerModel="Sinton","",IF(SampleType="n-type",n_intr_boltzmann(SampleDoping,0,K47,Temperature+273.15),n_intr_boltzmann(0,SampleDoping,K47,Temperature+273.15)))</f>
        <v/>
      </c>
      <c r="W47" s="251" t="str">
        <f t="shared" si="13"/>
        <v/>
      </c>
      <c r="X47" s="246">
        <f>IF(AND(A47&gt;TimeofMaxCD,I47&gt;Traps),IF(AugerModel="Sinton",CalcImpliedV(SampleDoping,O47),CalcImpliedVRichter(O47,SampleDoping,V47)),"")</f>
        <v>0.70022436331728932</v>
      </c>
      <c r="Y47" s="253">
        <f t="shared" si="30"/>
        <v>9.1935729507529551</v>
      </c>
      <c r="Z47" s="200" t="str">
        <f t="shared" si="31"/>
        <v/>
      </c>
      <c r="AE47" s="251">
        <f t="shared" si="32"/>
        <v>1415.2872807685289</v>
      </c>
    </row>
    <row r="48" spans="1:31" x14ac:dyDescent="0.2">
      <c r="A48" s="244">
        <v>3.9499000000000001E-3</v>
      </c>
      <c r="B48" s="244">
        <v>0.78171000000000002</v>
      </c>
      <c r="C48" s="245">
        <v>8.7615499999999999E-2</v>
      </c>
      <c r="D48" s="246">
        <f>IF(CouplingMode="AC",B48-(A$11-A$10)*SUM(B$9:B48)/0.21,B48)</f>
        <v>0.78171000000000002</v>
      </c>
      <c r="E48" s="247">
        <f t="shared" si="20"/>
        <v>8.3253176492634573</v>
      </c>
      <c r="F48" s="247">
        <f t="shared" si="21"/>
        <v>8.3253176492634573</v>
      </c>
      <c r="G48" s="248">
        <f t="shared" si="22"/>
        <v>1.3823561140474903E+18</v>
      </c>
      <c r="H48" s="249">
        <f t="shared" si="23"/>
        <v>2.3595184966149582E-2</v>
      </c>
      <c r="I48" s="248">
        <f>IF(MobilityModel=DK,CalcDeltaN(H48,SampleDoping,Thickness,AreaFrac),CalcDeltaNDL(H48,AreaFrac,Thickness,SampleType,SampleDoping,Temperature))</f>
        <v>5282084170711536</v>
      </c>
      <c r="J48" s="248" t="str">
        <f t="shared" si="24"/>
        <v/>
      </c>
      <c r="K48" s="248">
        <f t="shared" si="25"/>
        <v>5282084170711536</v>
      </c>
      <c r="L48" s="250">
        <f t="shared" si="33"/>
        <v>-3.3696250249378176E+18</v>
      </c>
      <c r="M48" s="196" t="str">
        <f t="shared" si="26"/>
        <v/>
      </c>
      <c r="N48" s="196" t="str">
        <f t="shared" si="27"/>
        <v/>
      </c>
      <c r="O48" s="250">
        <f t="shared" si="28"/>
        <v>5282084170711536</v>
      </c>
      <c r="P48" s="248">
        <f t="shared" si="34"/>
        <v>7.1478041354868039E-5</v>
      </c>
      <c r="Q48" s="250" t="str">
        <f t="shared" si="35"/>
        <v/>
      </c>
      <c r="R48" s="251" t="str">
        <f t="shared" si="36"/>
        <v/>
      </c>
      <c r="S48" s="252">
        <f>IF(AND(E48&gt;0.95*BiasLight,E48&lt;1.05*BiasLight),"",IF(AugerModel="Sinton",calclifetimeauger(Auger_Coefficient,I48,P48),calclifetimerichter(SampleType,I48,SampleDoping,P48)))</f>
        <v>13943.995919227415</v>
      </c>
      <c r="T48" s="201" t="str">
        <f t="shared" si="37"/>
        <v/>
      </c>
      <c r="U48" s="252">
        <f t="shared" si="29"/>
        <v>-2427.2956700203395</v>
      </c>
      <c r="V48" s="251" t="str">
        <f>IF(AugerModel="Sinton","",IF(SampleType="n-type",n_intr_boltzmann(SampleDoping,0,K48,Temperature+273.15),n_intr_boltzmann(0,SampleDoping,K48,Temperature+273.15)))</f>
        <v/>
      </c>
      <c r="W48" s="251" t="str">
        <f t="shared" si="13"/>
        <v/>
      </c>
      <c r="X48" s="246">
        <f>IF(AND(A48&gt;TimeofMaxCD,I48&gt;Traps),IF(AugerModel="Sinton",CalcImpliedV(SampleDoping,O48),CalcImpliedVRichter(O48,SampleDoping,V48)),"")</f>
        <v>0.69759679258118956</v>
      </c>
      <c r="Y48" s="253">
        <f t="shared" si="30"/>
        <v>8.7230752811545393</v>
      </c>
      <c r="Z48" s="200" t="str">
        <f t="shared" si="31"/>
        <v/>
      </c>
      <c r="AE48" s="251">
        <f t="shared" si="32"/>
        <v>1422.6546431393606</v>
      </c>
    </row>
    <row r="49" spans="1:31" x14ac:dyDescent="0.2">
      <c r="A49" s="244">
        <v>4.0499000000000004E-3</v>
      </c>
      <c r="B49" s="244">
        <v>0.73774499999999998</v>
      </c>
      <c r="C49" s="245">
        <v>8.3209199999999997E-2</v>
      </c>
      <c r="D49" s="246">
        <f>IF(CouplingMode="AC",B49-(A$11-A$10)*SUM(B$9:B49)/0.21,B49)</f>
        <v>0.73774499999999998</v>
      </c>
      <c r="E49" s="247">
        <f t="shared" si="20"/>
        <v>7.9066263542534463</v>
      </c>
      <c r="F49" s="247">
        <f t="shared" si="21"/>
        <v>7.9066263542534463</v>
      </c>
      <c r="G49" s="248">
        <f t="shared" si="22"/>
        <v>1.3128355869109967E+18</v>
      </c>
      <c r="H49" s="249">
        <f t="shared" si="23"/>
        <v>2.2253755988689429E-2</v>
      </c>
      <c r="I49" s="248">
        <f>IF(MobilityModel=DK,CalcDeltaN(H49,SampleDoping,Thickness,AreaFrac),CalcDeltaNDL(H49,AreaFrac,Thickness,SampleType,SampleDoping,Temperature))</f>
        <v>4956923456176472</v>
      </c>
      <c r="J49" s="248" t="str">
        <f t="shared" si="24"/>
        <v/>
      </c>
      <c r="K49" s="248">
        <f t="shared" si="25"/>
        <v>4956923456176472</v>
      </c>
      <c r="L49" s="250">
        <f t="shared" si="33"/>
        <v>-3.1623495420170926E+18</v>
      </c>
      <c r="M49" s="196" t="str">
        <f t="shared" si="26"/>
        <v/>
      </c>
      <c r="N49" s="196" t="str">
        <f t="shared" si="27"/>
        <v/>
      </c>
      <c r="O49" s="250">
        <f t="shared" si="28"/>
        <v>4956923456176472</v>
      </c>
      <c r="P49" s="248">
        <f t="shared" si="34"/>
        <v>7.0668063210929907E-5</v>
      </c>
      <c r="Q49" s="250" t="str">
        <f t="shared" si="35"/>
        <v/>
      </c>
      <c r="R49" s="251" t="str">
        <f t="shared" si="36"/>
        <v/>
      </c>
      <c r="S49" s="252">
        <f>IF(AND(E49&gt;0.95*BiasLight,E49&lt;1.05*BiasLight),"",IF(AugerModel="Sinton",calclifetimeauger(Auger_Coefficient,I49,P49),calclifetimerichter(SampleType,I49,SampleDoping,P49)))</f>
        <v>14109.875735233263</v>
      </c>
      <c r="T49" s="201" t="str">
        <f t="shared" si="37"/>
        <v/>
      </c>
      <c r="U49" s="252">
        <f t="shared" si="29"/>
        <v>-687.11469047098944</v>
      </c>
      <c r="V49" s="251" t="str">
        <f>IF(AugerModel="Sinton","",IF(SampleType="n-type",n_intr_boltzmann(SampleDoping,0,K49,Temperature+273.15),n_intr_boltzmann(0,SampleDoping,K49,Temperature+273.15)))</f>
        <v/>
      </c>
      <c r="W49" s="251" t="str">
        <f t="shared" si="13"/>
        <v/>
      </c>
      <c r="X49" s="246">
        <f>IF(AND(A49&gt;TimeofMaxCD,I49&gt;Traps),IF(AugerModel="Sinton",CalcImpliedV(SampleDoping,O49),CalcImpliedVRichter(O49,SampleDoping,V49)),"")</f>
        <v>0.69498581563563</v>
      </c>
      <c r="Y49" s="253">
        <f t="shared" si="30"/>
        <v>8.279916751771129</v>
      </c>
      <c r="Z49" s="200" t="str">
        <f t="shared" si="31"/>
        <v/>
      </c>
      <c r="AE49" s="251">
        <f t="shared" si="32"/>
        <v>1429.7908911304398</v>
      </c>
    </row>
    <row r="50" spans="1:31" x14ac:dyDescent="0.2">
      <c r="A50" s="244">
        <v>4.1498999999999998E-3</v>
      </c>
      <c r="B50" s="244">
        <v>0.69580200000000003</v>
      </c>
      <c r="C50" s="245">
        <v>7.9064700000000002E-2</v>
      </c>
      <c r="D50" s="246">
        <f>IF(CouplingMode="AC",B50-(A$11-A$10)*SUM(B$9:B50)/0.21,B50)</f>
        <v>0.69580200000000003</v>
      </c>
      <c r="E50" s="247">
        <f t="shared" si="20"/>
        <v>7.5128115726523328</v>
      </c>
      <c r="F50" s="247">
        <f t="shared" si="21"/>
        <v>7.5128115726523328</v>
      </c>
      <c r="G50" s="248">
        <f t="shared" si="22"/>
        <v>1.2474456169322849E+18</v>
      </c>
      <c r="H50" s="249">
        <f t="shared" si="23"/>
        <v>2.0975619068329523E-2</v>
      </c>
      <c r="I50" s="248">
        <f>IF(MobilityModel=DK,CalcDeltaN(H50,SampleDoping,Thickness,AreaFrac),CalcDeltaNDL(H50,AreaFrac,Thickness,SampleType,SampleDoping,Temperature))</f>
        <v>4649667415229892</v>
      </c>
      <c r="J50" s="248" t="str">
        <f t="shared" si="24"/>
        <v/>
      </c>
      <c r="K50" s="248">
        <f t="shared" si="25"/>
        <v>4649667415229892</v>
      </c>
      <c r="L50" s="250">
        <f t="shared" si="33"/>
        <v>-2.971030644450327E+18</v>
      </c>
      <c r="M50" s="196" t="str">
        <f t="shared" si="26"/>
        <v/>
      </c>
      <c r="N50" s="196" t="str">
        <f t="shared" si="27"/>
        <v/>
      </c>
      <c r="O50" s="250">
        <f t="shared" si="28"/>
        <v>4649667415229892</v>
      </c>
      <c r="P50" s="248">
        <f t="shared" si="34"/>
        <v>6.979783229263059E-5</v>
      </c>
      <c r="Q50" s="250" t="str">
        <f t="shared" si="35"/>
        <v/>
      </c>
      <c r="R50" s="251" t="str">
        <f t="shared" si="36"/>
        <v/>
      </c>
      <c r="S50" s="252">
        <f>IF(AND(E50&gt;0.95*BiasLight,E50&lt;1.05*BiasLight),"",IF(AugerModel="Sinton",calclifetimeauger(Auger_Coefficient,I50,P50),calclifetimerichter(SampleType,I50,SampleDoping,P50)))</f>
        <v>14291.204290621214</v>
      </c>
      <c r="T50" s="201" t="str">
        <f t="shared" si="37"/>
        <v/>
      </c>
      <c r="U50" s="252">
        <f t="shared" si="29"/>
        <v>957.24483516050532</v>
      </c>
      <c r="V50" s="251" t="str">
        <f>IF(AugerModel="Sinton","",IF(SampleType="n-type",n_intr_boltzmann(SampleDoping,0,K50,Temperature+273.15),n_intr_boltzmann(0,SampleDoping,K50,Temperature+273.15)))</f>
        <v/>
      </c>
      <c r="W50" s="251" t="str">
        <f t="shared" si="13"/>
        <v/>
      </c>
      <c r="X50" s="246">
        <f>IF(AND(A50&gt;TimeofMaxCD,I50&gt;Traps),IF(AugerModel="Sinton",CalcImpliedV(SampleDoping,O50),CalcImpliedVRichter(O50,SampleDoping,V50)),"")</f>
        <v>0.69238149140549843</v>
      </c>
      <c r="Y50" s="253">
        <f t="shared" si="30"/>
        <v>7.8635182847246048</v>
      </c>
      <c r="Z50" s="200" t="str">
        <f t="shared" si="31"/>
        <v/>
      </c>
      <c r="AE50" s="251">
        <f t="shared" si="32"/>
        <v>1436.7272029370545</v>
      </c>
    </row>
    <row r="51" spans="1:31" x14ac:dyDescent="0.2">
      <c r="A51" s="244">
        <v>4.2499E-3</v>
      </c>
      <c r="B51" s="244">
        <v>0.65624099999999996</v>
      </c>
      <c r="C51" s="245">
        <v>7.5118400000000002E-2</v>
      </c>
      <c r="D51" s="246">
        <f>IF(CouplingMode="AC",B51-(A$11-A$10)*SUM(B$9:B51)/0.21,B51)</f>
        <v>0.65624099999999996</v>
      </c>
      <c r="E51" s="247">
        <f t="shared" si="20"/>
        <v>7.1378299650681907</v>
      </c>
      <c r="F51" s="247">
        <f t="shared" si="21"/>
        <v>7.1378299650681907</v>
      </c>
      <c r="G51" s="248">
        <f t="shared" si="22"/>
        <v>1.1851827532510231E+18</v>
      </c>
      <c r="H51" s="249">
        <f t="shared" si="23"/>
        <v>1.977149946126041E-2</v>
      </c>
      <c r="I51" s="248">
        <f>IF(MobilityModel=DK,CalcDeltaN(H51,SampleDoping,Thickness,AreaFrac),CalcDeltaNDL(H51,AreaFrac,Thickness,SampleType,SampleDoping,Temperature))</f>
        <v>4362509480299287</v>
      </c>
      <c r="J51" s="248" t="str">
        <f t="shared" si="24"/>
        <v/>
      </c>
      <c r="K51" s="248">
        <f t="shared" si="25"/>
        <v>4362509480299287</v>
      </c>
      <c r="L51" s="250">
        <f t="shared" si="33"/>
        <v>-2.784359127537452E+18</v>
      </c>
      <c r="M51" s="196" t="str">
        <f t="shared" si="26"/>
        <v/>
      </c>
      <c r="N51" s="196" t="str">
        <f t="shared" si="27"/>
        <v/>
      </c>
      <c r="O51" s="250">
        <f t="shared" si="28"/>
        <v>4362509480299287</v>
      </c>
      <c r="P51" s="248">
        <f t="shared" si="34"/>
        <v>6.8969355713021033E-5</v>
      </c>
      <c r="Q51" s="250" t="str">
        <f t="shared" si="35"/>
        <v/>
      </c>
      <c r="R51" s="251" t="str">
        <f t="shared" si="36"/>
        <v/>
      </c>
      <c r="S51" s="252">
        <f>IF(AND(E51&gt;0.95*BiasLight,E51&lt;1.05*BiasLight),"",IF(AugerModel="Sinton",calclifetimeauger(Auger_Coefficient,I51,P51),calclifetimerichter(SampleType,I51,SampleDoping,P51)))</f>
        <v>14467.600734569791</v>
      </c>
      <c r="T51" s="201" t="str">
        <f t="shared" si="37"/>
        <v/>
      </c>
      <c r="U51" s="252">
        <f t="shared" si="29"/>
        <v>2494.0441905421176</v>
      </c>
      <c r="V51" s="251" t="str">
        <f>IF(AugerModel="Sinton","",IF(SampleType="n-type",n_intr_boltzmann(SampleDoping,0,K51,Temperature+273.15),n_intr_boltzmann(0,SampleDoping,K51,Temperature+273.15)))</f>
        <v/>
      </c>
      <c r="W51" s="251" t="str">
        <f t="shared" si="13"/>
        <v/>
      </c>
      <c r="X51" s="246">
        <f>IF(AND(A51&gt;TimeofMaxCD,I51&gt;Traps),IF(AugerModel="Sinton",CalcImpliedV(SampleDoping,O51),CalcImpliedVRichter(O51,SampleDoping,V51)),"")</f>
        <v>0.68981252357195122</v>
      </c>
      <c r="Y51" s="253">
        <f t="shared" si="30"/>
        <v>7.4665015782914015</v>
      </c>
      <c r="Z51" s="200" t="str">
        <f t="shared" si="31"/>
        <v/>
      </c>
      <c r="AE51" s="251">
        <f t="shared" si="32"/>
        <v>1443.3931516387838</v>
      </c>
    </row>
    <row r="52" spans="1:31" x14ac:dyDescent="0.2">
      <c r="A52" s="244">
        <v>4.3499000000000003E-3</v>
      </c>
      <c r="B52" s="244">
        <v>0.618892</v>
      </c>
      <c r="C52" s="245">
        <v>7.1430900000000006E-2</v>
      </c>
      <c r="D52" s="246">
        <f>IF(CouplingMode="AC",B52-(A$11-A$10)*SUM(B$9:B52)/0.21,B52)</f>
        <v>0.618892</v>
      </c>
      <c r="E52" s="247">
        <f t="shared" si="20"/>
        <v>6.7874398077140814</v>
      </c>
      <c r="F52" s="247">
        <f t="shared" si="21"/>
        <v>6.7874398077140814</v>
      </c>
      <c r="G52" s="248">
        <f t="shared" si="22"/>
        <v>1.1270031141397914E+18</v>
      </c>
      <c r="H52" s="249">
        <f t="shared" si="23"/>
        <v>1.8635980687186353E-2</v>
      </c>
      <c r="I52" s="248">
        <f>IF(MobilityModel=DK,CalcDeltaN(H52,SampleDoping,Thickness,AreaFrac),CalcDeltaNDL(H52,AreaFrac,Thickness,SampleType,SampleDoping,Temperature))</f>
        <v>4093775836424965</v>
      </c>
      <c r="J52" s="248" t="str">
        <f t="shared" si="24"/>
        <v/>
      </c>
      <c r="K52" s="248">
        <f t="shared" si="25"/>
        <v>4093775836424965</v>
      </c>
      <c r="L52" s="250">
        <f t="shared" si="33"/>
        <v>-2.6078773051850906E+18</v>
      </c>
      <c r="M52" s="196" t="str">
        <f t="shared" si="26"/>
        <v/>
      </c>
      <c r="N52" s="196" t="str">
        <f t="shared" si="27"/>
        <v/>
      </c>
      <c r="O52" s="250">
        <f t="shared" si="28"/>
        <v>4093775836424965</v>
      </c>
      <c r="P52" s="248">
        <f t="shared" si="34"/>
        <v>6.8106963659461596E-5</v>
      </c>
      <c r="Q52" s="250" t="str">
        <f t="shared" si="35"/>
        <v/>
      </c>
      <c r="R52" s="251" t="str">
        <f t="shared" si="36"/>
        <v/>
      </c>
      <c r="S52" s="252">
        <f>IF(AND(E52&gt;0.95*BiasLight,E52&lt;1.05*BiasLight),"",IF(AugerModel="Sinton",calclifetimeauger(Auger_Coefficient,I52,P52),calclifetimerichter(SampleType,I52,SampleDoping,P52)))</f>
        <v>14654.966462464554</v>
      </c>
      <c r="T52" s="201" t="str">
        <f t="shared" si="37"/>
        <v/>
      </c>
      <c r="U52" s="252">
        <f t="shared" si="29"/>
        <v>3932.2412258258955</v>
      </c>
      <c r="V52" s="251" t="str">
        <f>IF(AugerModel="Sinton","",IF(SampleType="n-type",n_intr_boltzmann(SampleDoping,0,K52,Temperature+273.15),n_intr_boltzmann(0,SampleDoping,K52,Temperature+273.15)))</f>
        <v/>
      </c>
      <c r="W52" s="251" t="str">
        <f t="shared" si="13"/>
        <v/>
      </c>
      <c r="X52" s="246">
        <f>IF(AND(A52&gt;TimeofMaxCD,I52&gt;Traps),IF(AugerModel="Sinton",CalcImpliedV(SampleDoping,O52),CalcImpliedVRichter(O52,SampleDoping,V52)),"")</f>
        <v>0.6872759538225327</v>
      </c>
      <c r="Y52" s="253">
        <f t="shared" si="30"/>
        <v>7.0952791350861428</v>
      </c>
      <c r="Z52" s="200" t="str">
        <f t="shared" si="31"/>
        <v/>
      </c>
      <c r="AE52" s="251">
        <f t="shared" si="32"/>
        <v>1449.8050573373951</v>
      </c>
    </row>
    <row r="53" spans="1:31" x14ac:dyDescent="0.2">
      <c r="A53" s="244">
        <v>4.4498999999999997E-3</v>
      </c>
      <c r="B53" s="244">
        <v>0.58370200000000005</v>
      </c>
      <c r="C53" s="245">
        <v>6.7912399999999998E-2</v>
      </c>
      <c r="D53" s="246">
        <f>IF(CouplingMode="AC",B53-(A$11-A$10)*SUM(B$9:B53)/0.21,B53)</f>
        <v>0.58370200000000005</v>
      </c>
      <c r="E53" s="247">
        <f t="shared" si="20"/>
        <v>6.4531082094359968</v>
      </c>
      <c r="F53" s="247">
        <f t="shared" si="21"/>
        <v>6.4531082094359968</v>
      </c>
      <c r="G53" s="248">
        <f t="shared" si="22"/>
        <v>1.0714898774718947E+18</v>
      </c>
      <c r="H53" s="249">
        <f t="shared" si="23"/>
        <v>1.7567234055597618E-2</v>
      </c>
      <c r="I53" s="248">
        <f>IF(MobilityModel=DK,CalcDeltaN(H53,SampleDoping,Thickness,AreaFrac),CalcDeltaNDL(H53,AreaFrac,Thickness,SampleType,SampleDoping,Temperature))</f>
        <v>3842689681810210.5</v>
      </c>
      <c r="J53" s="248" t="str">
        <f t="shared" si="24"/>
        <v/>
      </c>
      <c r="K53" s="248">
        <f t="shared" si="25"/>
        <v>3842689681810210.5</v>
      </c>
      <c r="L53" s="250">
        <f t="shared" si="33"/>
        <v>-2.4514702363070387E+18</v>
      </c>
      <c r="M53" s="196" t="str">
        <f t="shared" si="26"/>
        <v/>
      </c>
      <c r="N53" s="196" t="str">
        <f t="shared" si="27"/>
        <v/>
      </c>
      <c r="O53" s="250">
        <f t="shared" si="28"/>
        <v>3842689681810210.5</v>
      </c>
      <c r="P53" s="248">
        <f t="shared" si="34"/>
        <v>6.7274778585291433E-5</v>
      </c>
      <c r="Q53" s="250" t="str">
        <f t="shared" si="35"/>
        <v/>
      </c>
      <c r="R53" s="251" t="str">
        <f t="shared" si="36"/>
        <v/>
      </c>
      <c r="S53" s="252">
        <f>IF(AND(E53&gt;0.95*BiasLight,E53&lt;1.05*BiasLight),"",IF(AugerModel="Sinton",calclifetimeauger(Auger_Coefficient,I53,P53),calclifetimerichter(SampleType,I53,SampleDoping,P53)))</f>
        <v>14839.89961380615</v>
      </c>
      <c r="T53" s="201" t="str">
        <f t="shared" si="37"/>
        <v/>
      </c>
      <c r="U53" s="252">
        <f t="shared" si="29"/>
        <v>5275.9931951052786</v>
      </c>
      <c r="V53" s="251" t="str">
        <f>IF(AugerModel="Sinton","",IF(SampleType="n-type",n_intr_boltzmann(SampleDoping,0,K53,Temperature+273.15),n_intr_boltzmann(0,SampleDoping,K53,Temperature+273.15)))</f>
        <v/>
      </c>
      <c r="W53" s="251" t="str">
        <f t="shared" si="13"/>
        <v/>
      </c>
      <c r="X53" s="246">
        <f>IF(AND(A53&gt;TimeofMaxCD,I53&gt;Traps),IF(AugerModel="Sinton",CalcImpliedV(SampleDoping,O53),CalcImpliedVRichter(O53,SampleDoping,V53)),"")</f>
        <v>0.68477631060633137</v>
      </c>
      <c r="Y53" s="253">
        <f t="shared" si="30"/>
        <v>6.7424849171196515</v>
      </c>
      <c r="Z53" s="200" t="str">
        <f t="shared" si="31"/>
        <v/>
      </c>
      <c r="AE53" s="251">
        <f t="shared" si="32"/>
        <v>1455.9601563710369</v>
      </c>
    </row>
    <row r="54" spans="1:31" x14ac:dyDescent="0.2">
      <c r="A54" s="244">
        <v>4.5499E-3</v>
      </c>
      <c r="B54" s="244">
        <v>0.55021100000000001</v>
      </c>
      <c r="C54" s="245">
        <v>6.4599900000000002E-2</v>
      </c>
      <c r="D54" s="246">
        <f>IF(CouplingMode="AC",B54-(A$11-A$10)*SUM(B$9:B54)/0.21,B54)</f>
        <v>0.55021100000000001</v>
      </c>
      <c r="E54" s="247">
        <f t="shared" si="20"/>
        <v>6.1383509494399329</v>
      </c>
      <c r="F54" s="247">
        <f t="shared" si="21"/>
        <v>6.1383509494399329</v>
      </c>
      <c r="G54" s="248">
        <f t="shared" si="22"/>
        <v>1.0192268118296017E+18</v>
      </c>
      <c r="H54" s="249">
        <f t="shared" si="23"/>
        <v>1.6551107581299483E-2</v>
      </c>
      <c r="I54" s="248">
        <f>IF(MobilityModel=DK,CalcDeltaN(H54,SampleDoping,Thickness,AreaFrac),CalcDeltaNDL(H54,AreaFrac,Thickness,SampleType,SampleDoping,Temperature))</f>
        <v>3605638661881885</v>
      </c>
      <c r="J54" s="248" t="str">
        <f t="shared" si="24"/>
        <v/>
      </c>
      <c r="K54" s="248">
        <f t="shared" si="25"/>
        <v>3605638661881885</v>
      </c>
      <c r="L54" s="250">
        <f t="shared" si="33"/>
        <v>-2.3058487787217807E+18</v>
      </c>
      <c r="M54" s="196" t="str">
        <f t="shared" si="26"/>
        <v/>
      </c>
      <c r="N54" s="196" t="str">
        <f t="shared" si="27"/>
        <v/>
      </c>
      <c r="O54" s="250">
        <f t="shared" si="28"/>
        <v>3605638661881885</v>
      </c>
      <c r="P54" s="248">
        <f t="shared" si="34"/>
        <v>6.6393361307032767E-5</v>
      </c>
      <c r="Q54" s="250" t="str">
        <f t="shared" si="35"/>
        <v/>
      </c>
      <c r="R54" s="251" t="str">
        <f t="shared" si="36"/>
        <v/>
      </c>
      <c r="S54" s="252">
        <f>IF(AND(E54&gt;0.95*BiasLight,E54&lt;1.05*BiasLight),"",IF(AugerModel="Sinton",calclifetimeauger(Auger_Coefficient,I54,P54),calclifetimerichter(SampleType,I54,SampleDoping,P54)))</f>
        <v>15040.165795995066</v>
      </c>
      <c r="T54" s="201" t="str">
        <f t="shared" si="37"/>
        <v/>
      </c>
      <c r="U54" s="252">
        <f t="shared" si="29"/>
        <v>6544.6325405805874</v>
      </c>
      <c r="V54" s="251" t="str">
        <f>IF(AugerModel="Sinton","",IF(SampleType="n-type",n_intr_boltzmann(SampleDoping,0,K54,Temperature+273.15),n_intr_boltzmann(0,SampleDoping,K54,Temperature+273.15)))</f>
        <v/>
      </c>
      <c r="W54" s="251" t="str">
        <f t="shared" si="13"/>
        <v/>
      </c>
      <c r="X54" s="246">
        <f>IF(AND(A54&gt;TimeofMaxCD,I54&gt;Traps),IF(AugerModel="Sinton",CalcImpliedV(SampleDoping,O54),CalcImpliedVRichter(O54,SampleDoping,V54)),"")</f>
        <v>0.68228758869511352</v>
      </c>
      <c r="Y54" s="253">
        <f t="shared" si="30"/>
        <v>6.4105381936987333</v>
      </c>
      <c r="Z54" s="200" t="str">
        <f t="shared" si="31"/>
        <v/>
      </c>
      <c r="AE54" s="251">
        <f t="shared" si="32"/>
        <v>1461.9289845489923</v>
      </c>
    </row>
    <row r="55" spans="1:31" x14ac:dyDescent="0.2">
      <c r="A55" s="244">
        <v>4.6499000000000002E-3</v>
      </c>
      <c r="B55" s="244">
        <v>0.518204</v>
      </c>
      <c r="C55" s="245">
        <v>6.1468000000000002E-2</v>
      </c>
      <c r="D55" s="246">
        <f>IF(CouplingMode="AC",B55-(A$11-A$10)*SUM(B$9:B55)/0.21,B55)</f>
        <v>0.518204</v>
      </c>
      <c r="E55" s="247">
        <f t="shared" si="20"/>
        <v>5.8407544928115023</v>
      </c>
      <c r="F55" s="247">
        <f t="shared" si="21"/>
        <v>5.8407544928115023</v>
      </c>
      <c r="G55" s="248">
        <f t="shared" si="22"/>
        <v>9.6981316796994982E+17</v>
      </c>
      <c r="H55" s="249">
        <f t="shared" si="23"/>
        <v>1.5580935949185746E-2</v>
      </c>
      <c r="I55" s="248">
        <f>IF(MobilityModel=DK,CalcDeltaN(H55,SampleDoping,Thickness,AreaFrac),CalcDeltaNDL(H55,AreaFrac,Thickness,SampleType,SampleDoping,Temperature))</f>
        <v>3380842949417307.5</v>
      </c>
      <c r="J55" s="248" t="str">
        <f t="shared" si="24"/>
        <v/>
      </c>
      <c r="K55" s="248">
        <f t="shared" si="25"/>
        <v>3380842949417307.5</v>
      </c>
      <c r="L55" s="250">
        <f t="shared" si="33"/>
        <v>-2.1663492638834742E+18</v>
      </c>
      <c r="M55" s="196" t="str">
        <f t="shared" si="26"/>
        <v/>
      </c>
      <c r="N55" s="196" t="str">
        <f t="shared" si="27"/>
        <v/>
      </c>
      <c r="O55" s="250">
        <f t="shared" si="28"/>
        <v>3380842949417307.5</v>
      </c>
      <c r="P55" s="248">
        <f t="shared" si="34"/>
        <v>6.546107783715884E-5</v>
      </c>
      <c r="Q55" s="250" t="str">
        <f t="shared" si="35"/>
        <v/>
      </c>
      <c r="R55" s="251" t="str">
        <f t="shared" si="36"/>
        <v/>
      </c>
      <c r="S55" s="252">
        <f>IF(AND(E55&gt;0.95*BiasLight,E55&lt;1.05*BiasLight),"",IF(AugerModel="Sinton",calclifetimeauger(Auger_Coefficient,I55,P55),calclifetimerichter(SampleType,I55,SampleDoping,P55)))</f>
        <v>15257.27923885838</v>
      </c>
      <c r="T55" s="201" t="str">
        <f t="shared" si="37"/>
        <v/>
      </c>
      <c r="U55" s="252">
        <f t="shared" si="29"/>
        <v>7747.6844642253163</v>
      </c>
      <c r="V55" s="251" t="str">
        <f>IF(AugerModel="Sinton","",IF(SampleType="n-type",n_intr_boltzmann(SampleDoping,0,K55,Temperature+273.15),n_intr_boltzmann(0,SampleDoping,K55,Temperature+273.15)))</f>
        <v/>
      </c>
      <c r="W55" s="251" t="str">
        <f t="shared" si="13"/>
        <v/>
      </c>
      <c r="X55" s="246">
        <f>IF(AND(A55&gt;TimeofMaxCD,I55&gt;Traps),IF(AugerModel="Sinton",CalcImpliedV(SampleDoping,O55),CalcImpliedVRichter(O55,SampleDoping,V55)),"")</f>
        <v>0.67979794554008532</v>
      </c>
      <c r="Y55" s="253">
        <f t="shared" si="30"/>
        <v>6.0964749206556004</v>
      </c>
      <c r="Z55" s="200" t="str">
        <f t="shared" si="31"/>
        <v/>
      </c>
      <c r="AE55" s="251">
        <f t="shared" si="32"/>
        <v>1467.7428121926614</v>
      </c>
    </row>
    <row r="56" spans="1:31" x14ac:dyDescent="0.2">
      <c r="A56" s="244">
        <v>4.7498999999999996E-3</v>
      </c>
      <c r="B56" s="244">
        <v>0.48821399999999998</v>
      </c>
      <c r="C56" s="245">
        <v>5.8457299999999997E-2</v>
      </c>
      <c r="D56" s="246">
        <f>IF(CouplingMode="AC",B56-(A$11-A$10)*SUM(B$9:B56)/0.21,B56)</f>
        <v>0.48821399999999998</v>
      </c>
      <c r="E56" s="247">
        <f t="shared" si="20"/>
        <v>5.5546745886091919</v>
      </c>
      <c r="F56" s="247">
        <f t="shared" si="21"/>
        <v>5.5546745886091919</v>
      </c>
      <c r="G56" s="248">
        <f t="shared" si="22"/>
        <v>9.2231176065545882E+17</v>
      </c>
      <c r="H56" s="249">
        <f t="shared" si="23"/>
        <v>1.4672726765462859E-2</v>
      </c>
      <c r="I56" s="248">
        <f>IF(MobilityModel=DK,CalcDeltaN(H56,SampleDoping,Thickness,AreaFrac),CalcDeltaNDL(H56,AreaFrac,Thickness,SampleType,SampleDoping,Temperature))</f>
        <v>3171774813260527</v>
      </c>
      <c r="J56" s="248" t="str">
        <f t="shared" si="24"/>
        <v/>
      </c>
      <c r="K56" s="248">
        <f t="shared" si="25"/>
        <v>3171774813260527</v>
      </c>
      <c r="L56" s="250">
        <f t="shared" si="33"/>
        <v>-2.0415624506561027E+18</v>
      </c>
      <c r="M56" s="196" t="str">
        <f t="shared" si="26"/>
        <v/>
      </c>
      <c r="N56" s="196" t="str">
        <f t="shared" si="27"/>
        <v/>
      </c>
      <c r="O56" s="250">
        <f t="shared" si="28"/>
        <v>3171774813260527</v>
      </c>
      <c r="P56" s="248">
        <f t="shared" si="34"/>
        <v>6.4600521537234079E-5</v>
      </c>
      <c r="Q56" s="250" t="str">
        <f t="shared" si="35"/>
        <v/>
      </c>
      <c r="R56" s="251" t="str">
        <f t="shared" si="36"/>
        <v/>
      </c>
      <c r="S56" s="252">
        <f>IF(AND(E56&gt;0.95*BiasLight,E56&lt;1.05*BiasLight),"",IF(AugerModel="Sinton",calclifetimeauger(Auger_Coefficient,I56,P56),calclifetimerichter(SampleType,I56,SampleDoping,P56)))</f>
        <v>15463.051329749624</v>
      </c>
      <c r="T56" s="201" t="str">
        <f t="shared" si="37"/>
        <v/>
      </c>
      <c r="U56" s="252">
        <f t="shared" si="29"/>
        <v>8866.5662285555263</v>
      </c>
      <c r="V56" s="251" t="str">
        <f>IF(AugerModel="Sinton","",IF(SampleType="n-type",n_intr_boltzmann(SampleDoping,0,K56,Temperature+273.15),n_intr_boltzmann(0,SampleDoping,K56,Temperature+273.15)))</f>
        <v/>
      </c>
      <c r="W56" s="251" t="str">
        <f t="shared" si="13"/>
        <v/>
      </c>
      <c r="X56" s="246">
        <f>IF(AND(A56&gt;TimeofMaxCD,I56&gt;Traps),IF(AugerModel="Sinton",CalcImpliedV(SampleDoping,O56),CalcImpliedVRichter(O56,SampleDoping,V56)),"")</f>
        <v>0.67735546548252312</v>
      </c>
      <c r="Y56" s="253">
        <f t="shared" si="30"/>
        <v>5.7956649183108508</v>
      </c>
      <c r="Z56" s="200" t="str">
        <f t="shared" si="31"/>
        <v/>
      </c>
      <c r="AE56" s="251">
        <f t="shared" si="32"/>
        <v>1473.2956311263329</v>
      </c>
    </row>
    <row r="57" spans="1:31" x14ac:dyDescent="0.2">
      <c r="A57" s="244">
        <v>4.8498999999999999E-3</v>
      </c>
      <c r="B57" s="244">
        <v>0.45999600000000002</v>
      </c>
      <c r="C57" s="245">
        <v>5.5631100000000003E-2</v>
      </c>
      <c r="D57" s="246">
        <f>IF(CouplingMode="AC",B57-(A$11-A$10)*SUM(B$9:B57)/0.21,B57)</f>
        <v>0.45999600000000002</v>
      </c>
      <c r="E57" s="247">
        <f t="shared" si="20"/>
        <v>5.2861260699070405</v>
      </c>
      <c r="F57" s="247">
        <f t="shared" si="21"/>
        <v>5.2861260699070405</v>
      </c>
      <c r="G57" s="248">
        <f t="shared" si="22"/>
        <v>8.7772130748768576E+17</v>
      </c>
      <c r="H57" s="249">
        <f t="shared" si="23"/>
        <v>1.3818908898332623E-2</v>
      </c>
      <c r="I57" s="248">
        <f>IF(MobilityModel=DK,CalcDeltaN(H57,SampleDoping,Thickness,AreaFrac),CalcDeltaNDL(H57,AreaFrac,Thickness,SampleType,SampleDoping,Temperature))</f>
        <v>2976446974179152.5</v>
      </c>
      <c r="J57" s="248" t="str">
        <f t="shared" si="24"/>
        <v/>
      </c>
      <c r="K57" s="248">
        <f t="shared" si="25"/>
        <v>2976446974179152.5</v>
      </c>
      <c r="L57" s="250">
        <f t="shared" si="33"/>
        <v>-1.9147092414490079E+18</v>
      </c>
      <c r="M57" s="196" t="str">
        <f t="shared" si="26"/>
        <v/>
      </c>
      <c r="N57" s="196" t="str">
        <f t="shared" si="27"/>
        <v/>
      </c>
      <c r="O57" s="250">
        <f t="shared" si="28"/>
        <v>2976446974179152.5</v>
      </c>
      <c r="P57" s="248">
        <f t="shared" si="34"/>
        <v>6.3740383109114483E-5</v>
      </c>
      <c r="Q57" s="250" t="str">
        <f t="shared" si="35"/>
        <v/>
      </c>
      <c r="R57" s="251" t="str">
        <f t="shared" si="36"/>
        <v/>
      </c>
      <c r="S57" s="252">
        <f>IF(AND(E57&gt;0.95*BiasLight,E57&lt;1.05*BiasLight),"",IF(AugerModel="Sinton",calclifetimeauger(Auger_Coefficient,I57,P57),calclifetimerichter(SampleType,I57,SampleDoping,P57)))</f>
        <v>15673.934858640505</v>
      </c>
      <c r="T57" s="201" t="str">
        <f t="shared" si="37"/>
        <v/>
      </c>
      <c r="U57" s="252">
        <f t="shared" si="29"/>
        <v>9911.9132681937663</v>
      </c>
      <c r="V57" s="251" t="str">
        <f>IF(AugerModel="Sinton","",IF(SampleType="n-type",n_intr_boltzmann(SampleDoping,0,K57,Temperature+273.15),n_intr_boltzmann(0,SampleDoping,K57,Temperature+273.15)))</f>
        <v/>
      </c>
      <c r="W57" s="251" t="str">
        <f t="shared" si="13"/>
        <v/>
      </c>
      <c r="X57" s="246">
        <f>IF(AND(A57&gt;TimeofMaxCD,I57&gt;Traps),IF(AugerModel="Sinton",CalcImpliedV(SampleDoping,O57),CalcImpliedVRichter(O57,SampleDoping,V57)),"")</f>
        <v>0.6749493842591221</v>
      </c>
      <c r="Y57" s="253">
        <f t="shared" si="30"/>
        <v>5.512142379734505</v>
      </c>
      <c r="Z57" s="200" t="str">
        <f t="shared" si="31"/>
        <v/>
      </c>
      <c r="AE57" s="251">
        <f t="shared" si="32"/>
        <v>1478.6215132647424</v>
      </c>
    </row>
    <row r="58" spans="1:31" x14ac:dyDescent="0.2">
      <c r="A58" s="244">
        <v>4.9499000000000001E-3</v>
      </c>
      <c r="B58" s="244">
        <v>0.43244700000000003</v>
      </c>
      <c r="C58" s="245">
        <v>5.2927000000000002E-2</v>
      </c>
      <c r="D58" s="246">
        <f>IF(CouplingMode="AC",B58-(A$11-A$10)*SUM(B$9:B58)/0.21,B58)</f>
        <v>0.43244700000000003</v>
      </c>
      <c r="E58" s="247">
        <f t="shared" si="20"/>
        <v>5.0291796225846683</v>
      </c>
      <c r="F58" s="247">
        <f t="shared" si="21"/>
        <v>5.0291796225846683</v>
      </c>
      <c r="G58" s="248">
        <f t="shared" si="22"/>
        <v>8.350572906413993E+17</v>
      </c>
      <c r="H58" s="249">
        <f t="shared" si="23"/>
        <v>1.2986015016729935E-2</v>
      </c>
      <c r="I58" s="248">
        <f>IF(MobilityModel=DK,CalcDeltaN(H58,SampleDoping,Thickness,AreaFrac),CalcDeltaNDL(H58,AreaFrac,Thickness,SampleType,SampleDoping,Temperature))</f>
        <v>2787055424172911</v>
      </c>
      <c r="J58" s="248" t="str">
        <f t="shared" si="24"/>
        <v/>
      </c>
      <c r="K58" s="248">
        <f t="shared" si="25"/>
        <v>2787055424172911</v>
      </c>
      <c r="L58" s="250">
        <f t="shared" si="33"/>
        <v>-1.7969923902179185E+18</v>
      </c>
      <c r="M58" s="196" t="str">
        <f t="shared" si="26"/>
        <v/>
      </c>
      <c r="N58" s="196" t="str">
        <f t="shared" si="27"/>
        <v/>
      </c>
      <c r="O58" s="250">
        <f t="shared" si="28"/>
        <v>2787055424172911</v>
      </c>
      <c r="P58" s="248">
        <f t="shared" si="34"/>
        <v>6.276875306385805E-5</v>
      </c>
      <c r="Q58" s="250" t="str">
        <f t="shared" si="35"/>
        <v/>
      </c>
      <c r="R58" s="251" t="str">
        <f t="shared" si="36"/>
        <v/>
      </c>
      <c r="S58" s="252">
        <f>IF(AND(E58&gt;0.95*BiasLight,E58&lt;1.05*BiasLight),"",IF(AugerModel="Sinton",calclifetimeauger(Auger_Coefficient,I58,P58),calclifetimerichter(SampleType,I58,SampleDoping,P58)))</f>
        <v>15918.599450313064</v>
      </c>
      <c r="T58" s="201" t="str">
        <f t="shared" si="37"/>
        <v/>
      </c>
      <c r="U58" s="252">
        <f t="shared" si="29"/>
        <v>10925.490733969362</v>
      </c>
      <c r="V58" s="251" t="str">
        <f>IF(AugerModel="Sinton","",IF(SampleType="n-type",n_intr_boltzmann(SampleDoping,0,K58,Temperature+273.15),n_intr_boltzmann(0,SampleDoping,K58,Temperature+273.15)))</f>
        <v/>
      </c>
      <c r="W58" s="251" t="str">
        <f t="shared" si="13"/>
        <v/>
      </c>
      <c r="X58" s="246">
        <f>IF(AND(A58&gt;TimeofMaxCD,I58&gt;Traps),IF(AugerModel="Sinton",CalcImpliedV(SampleDoping,O58),CalcImpliedVRichter(O58,SampleDoping,V58)),"")</f>
        <v>0.67248780566214195</v>
      </c>
      <c r="Y58" s="253">
        <f t="shared" si="30"/>
        <v>5.2413003874678656</v>
      </c>
      <c r="Z58" s="200" t="str">
        <f t="shared" si="31"/>
        <v/>
      </c>
      <c r="AE58" s="251">
        <f t="shared" si="32"/>
        <v>1483.9241826697653</v>
      </c>
    </row>
    <row r="59" spans="1:31" x14ac:dyDescent="0.2">
      <c r="A59" s="244">
        <v>5.0499000000000004E-3</v>
      </c>
      <c r="B59" s="244">
        <v>0.40737899999999999</v>
      </c>
      <c r="C59" s="245">
        <v>5.0393800000000002E-2</v>
      </c>
      <c r="D59" s="246">
        <f>IF(CouplingMode="AC",B59-(A$11-A$10)*SUM(B$9:B59)/0.21,B59)</f>
        <v>0.40737899999999999</v>
      </c>
      <c r="E59" s="247">
        <f t="shared" si="20"/>
        <v>4.7884722743516024</v>
      </c>
      <c r="F59" s="247">
        <f t="shared" si="21"/>
        <v>4.7884722743516024</v>
      </c>
      <c r="G59" s="248">
        <f t="shared" si="22"/>
        <v>7.9508965354402394E+17</v>
      </c>
      <c r="H59" s="249">
        <f t="shared" si="23"/>
        <v>1.2228714701469036E-2</v>
      </c>
      <c r="I59" s="248">
        <f>IF(MobilityModel=DK,CalcDeltaN(H59,SampleDoping,Thickness,AreaFrac),CalcDeltaNDL(H59,AreaFrac,Thickness,SampleType,SampleDoping,Temperature))</f>
        <v>2615848023236610.5</v>
      </c>
      <c r="J59" s="248" t="str">
        <f t="shared" si="24"/>
        <v/>
      </c>
      <c r="K59" s="248">
        <f t="shared" si="25"/>
        <v>2615848023236610.5</v>
      </c>
      <c r="L59" s="250">
        <f t="shared" si="33"/>
        <v>-1.6905933529973722E+18</v>
      </c>
      <c r="M59" s="196" t="str">
        <f t="shared" si="26"/>
        <v/>
      </c>
      <c r="N59" s="196" t="str">
        <f t="shared" si="27"/>
        <v/>
      </c>
      <c r="O59" s="250">
        <f t="shared" si="28"/>
        <v>2615848023236610.5</v>
      </c>
      <c r="P59" s="248">
        <f t="shared" si="34"/>
        <v>6.1904197193133549E-5</v>
      </c>
      <c r="Q59" s="250" t="str">
        <f t="shared" si="35"/>
        <v/>
      </c>
      <c r="R59" s="251" t="str">
        <f t="shared" si="36"/>
        <v/>
      </c>
      <c r="S59" s="252">
        <f>IF(AND(E59&gt;0.95*BiasLight,E59&lt;1.05*BiasLight),"",IF(AugerModel="Sinton",calclifetimeauger(Auger_Coefficient,I59,P59),calclifetimerichter(SampleType,I59,SampleDoping,P59)))</f>
        <v>16142.634697790107</v>
      </c>
      <c r="T59" s="201" t="str">
        <f t="shared" si="37"/>
        <v/>
      </c>
      <c r="U59" s="252">
        <f t="shared" si="29"/>
        <v>11841.751061092313</v>
      </c>
      <c r="V59" s="251" t="str">
        <f>IF(AugerModel="Sinton","",IF(SampleType="n-type",n_intr_boltzmann(SampleDoping,0,K59,Temperature+273.15),n_intr_boltzmann(0,SampleDoping,K59,Temperature+273.15)))</f>
        <v/>
      </c>
      <c r="W59" s="251" t="str">
        <f t="shared" si="13"/>
        <v/>
      </c>
      <c r="X59" s="246">
        <f>IF(AND(A59&gt;TimeofMaxCD,I59&gt;Traps),IF(AugerModel="Sinton",CalcImpliedV(SampleDoping,O59),CalcImpliedVRichter(O59,SampleDoping,V59)),"")</f>
        <v>0.67014013444060072</v>
      </c>
      <c r="Y59" s="253">
        <f t="shared" si="30"/>
        <v>4.9880334728833144</v>
      </c>
      <c r="Z59" s="200" t="str">
        <f t="shared" si="31"/>
        <v/>
      </c>
      <c r="AE59" s="251">
        <f t="shared" si="32"/>
        <v>1488.84580395898</v>
      </c>
    </row>
    <row r="60" spans="1:31" x14ac:dyDescent="0.2">
      <c r="A60" s="244">
        <v>5.1498999999999998E-3</v>
      </c>
      <c r="B60" s="244">
        <v>0.38347199999999998</v>
      </c>
      <c r="C60" s="245">
        <v>4.7971899999999998E-2</v>
      </c>
      <c r="D60" s="246">
        <f>IF(CouplingMode="AC",B60-(A$11-A$10)*SUM(B$9:B60)/0.21,B60)</f>
        <v>0.38347199999999998</v>
      </c>
      <c r="E60" s="247">
        <f t="shared" si="20"/>
        <v>4.5583407700544036</v>
      </c>
      <c r="F60" s="247">
        <f t="shared" si="21"/>
        <v>4.5583407700544036</v>
      </c>
      <c r="G60" s="248">
        <f t="shared" si="22"/>
        <v>7.5687805545222925E+17</v>
      </c>
      <c r="H60" s="249">
        <f t="shared" si="23"/>
        <v>1.1507007343230334E-2</v>
      </c>
      <c r="I60" s="248">
        <f>IF(MobilityModel=DK,CalcDeltaN(H60,SampleDoping,Thickness,AreaFrac),CalcDeltaNDL(H60,AreaFrac,Thickness,SampleType,SampleDoping,Temperature))</f>
        <v>2453578093622838</v>
      </c>
      <c r="J60" s="248" t="str">
        <f t="shared" si="24"/>
        <v/>
      </c>
      <c r="K60" s="248">
        <f t="shared" si="25"/>
        <v>2453578093622838</v>
      </c>
      <c r="L60" s="250">
        <f t="shared" si="33"/>
        <v>-1.5778522387103642E+18</v>
      </c>
      <c r="M60" s="196" t="str">
        <f t="shared" si="26"/>
        <v/>
      </c>
      <c r="N60" s="196" t="str">
        <f t="shared" si="27"/>
        <v/>
      </c>
      <c r="O60" s="250">
        <f t="shared" si="28"/>
        <v>2453578093622838</v>
      </c>
      <c r="P60" s="248">
        <f t="shared" si="34"/>
        <v>6.104327106435017E-5</v>
      </c>
      <c r="Q60" s="250" t="str">
        <f t="shared" si="35"/>
        <v/>
      </c>
      <c r="R60" s="251" t="str">
        <f t="shared" si="36"/>
        <v/>
      </c>
      <c r="S60" s="252">
        <f>IF(AND(E60&gt;0.95*BiasLight,E60&lt;1.05*BiasLight),"",IF(AugerModel="Sinton",calclifetimeauger(Auger_Coefficient,I60,P60),calclifetimerichter(SampleType,I60,SampleDoping,P60)))</f>
        <v>16371.828710217251</v>
      </c>
      <c r="T60" s="201" t="str">
        <f t="shared" si="37"/>
        <v/>
      </c>
      <c r="U60" s="252">
        <f t="shared" si="29"/>
        <v>12710.180217641753</v>
      </c>
      <c r="V60" s="251" t="str">
        <f>IF(AugerModel="Sinton","",IF(SampleType="n-type",n_intr_boltzmann(SampleDoping,0,K60,Temperature+273.15),n_intr_boltzmann(0,SampleDoping,K60,Temperature+273.15)))</f>
        <v/>
      </c>
      <c r="W60" s="251" t="str">
        <f t="shared" si="13"/>
        <v/>
      </c>
      <c r="X60" s="246">
        <f>IF(AND(A60&gt;TimeofMaxCD,I60&gt;Traps),IF(AugerModel="Sinton",CalcImpliedV(SampleDoping,O60),CalcImpliedVRichter(O60,SampleDoping,V60)),"")</f>
        <v>0.66779437032918099</v>
      </c>
      <c r="Y60" s="253">
        <f t="shared" si="30"/>
        <v>4.7445937701059613</v>
      </c>
      <c r="Z60" s="200" t="str">
        <f t="shared" si="31"/>
        <v/>
      </c>
      <c r="AE60" s="251">
        <f t="shared" si="32"/>
        <v>1493.6330736614721</v>
      </c>
    </row>
    <row r="61" spans="1:31" x14ac:dyDescent="0.2">
      <c r="A61" s="244">
        <v>5.2499000000000001E-3</v>
      </c>
      <c r="B61" s="244">
        <v>0.36039599999999999</v>
      </c>
      <c r="C61" s="245">
        <v>4.5697500000000002E-2</v>
      </c>
      <c r="D61" s="246">
        <f>IF(CouplingMode="AC",B61-(A$11-A$10)*SUM(B$9:B61)/0.21,B61)</f>
        <v>0.36039599999999999</v>
      </c>
      <c r="E61" s="247">
        <f t="shared" si="20"/>
        <v>4.3422248720513705</v>
      </c>
      <c r="F61" s="247">
        <f t="shared" si="21"/>
        <v>4.3422248720513705</v>
      </c>
      <c r="G61" s="248">
        <f t="shared" si="22"/>
        <v>7.2099364292488422E+17</v>
      </c>
      <c r="H61" s="249">
        <f t="shared" si="23"/>
        <v>1.0810867201734844E-2</v>
      </c>
      <c r="I61" s="248">
        <f>IF(MobilityModel=DK,CalcDeltaN(H61,SampleDoping,Thickness,AreaFrac),CalcDeltaNDL(H61,AreaFrac,Thickness,SampleType,SampleDoping,Temperature))</f>
        <v>2297888962955503</v>
      </c>
      <c r="J61" s="248" t="str">
        <f t="shared" si="24"/>
        <v/>
      </c>
      <c r="K61" s="248">
        <f t="shared" si="25"/>
        <v>2297888962955503</v>
      </c>
      <c r="L61" s="250">
        <f t="shared" si="33"/>
        <v>-1.4859715585709693E+18</v>
      </c>
      <c r="M61" s="196" t="str">
        <f t="shared" si="26"/>
        <v/>
      </c>
      <c r="N61" s="196" t="str">
        <f t="shared" si="27"/>
        <v/>
      </c>
      <c r="O61" s="250">
        <f t="shared" si="28"/>
        <v>2297888962955503</v>
      </c>
      <c r="P61" s="248">
        <f t="shared" si="34"/>
        <v>6.0041996748201896E-5</v>
      </c>
      <c r="Q61" s="250" t="str">
        <f t="shared" si="35"/>
        <v/>
      </c>
      <c r="R61" s="251" t="str">
        <f t="shared" si="36"/>
        <v/>
      </c>
      <c r="S61" s="252">
        <f>IF(AND(E61&gt;0.95*BiasLight,E61&lt;1.05*BiasLight),"",IF(AugerModel="Sinton",calclifetimeauger(Auger_Coefficient,I61,P61),calclifetimerichter(SampleType,I61,SampleDoping,P61)))</f>
        <v>16646.243775449158</v>
      </c>
      <c r="T61" s="201" t="str">
        <f t="shared" si="37"/>
        <v/>
      </c>
      <c r="U61" s="252">
        <f t="shared" si="29"/>
        <v>13543.39054041171</v>
      </c>
      <c r="V61" s="251" t="str">
        <f>IF(AugerModel="Sinton","",IF(SampleType="n-type",n_intr_boltzmann(SampleDoping,0,K61,Temperature+273.15),n_intr_boltzmann(0,SampleDoping,K61,Temperature+273.15)))</f>
        <v/>
      </c>
      <c r="W61" s="251" t="str">
        <f t="shared" si="13"/>
        <v/>
      </c>
      <c r="X61" s="246">
        <f>IF(AND(A61&gt;TimeofMaxCD,I61&gt;Traps),IF(AugerModel="Sinton",CalcImpliedV(SampleDoping,O61),CalcImpliedVRichter(O61,SampleDoping,V61)),"")</f>
        <v>0.6654196328971973</v>
      </c>
      <c r="Y61" s="253">
        <f t="shared" si="30"/>
        <v>4.517632083186264</v>
      </c>
      <c r="Z61" s="200" t="str">
        <f t="shared" si="31"/>
        <v/>
      </c>
      <c r="AE61" s="251">
        <f t="shared" si="32"/>
        <v>1498.3487515619968</v>
      </c>
    </row>
    <row r="62" spans="1:31" x14ac:dyDescent="0.2">
      <c r="A62" s="244">
        <v>5.3499000000000003E-3</v>
      </c>
      <c r="B62" s="244">
        <v>0.33940999999999999</v>
      </c>
      <c r="C62" s="245">
        <v>4.3505099999999998E-2</v>
      </c>
      <c r="D62" s="246">
        <f>IF(CouplingMode="AC",B62-(A$11-A$10)*SUM(B$9:B62)/0.21,B62)</f>
        <v>0.33940999999999999</v>
      </c>
      <c r="E62" s="247">
        <f t="shared" si="20"/>
        <v>4.1339007009372954</v>
      </c>
      <c r="F62" s="247">
        <f t="shared" si="21"/>
        <v>4.1339007009372954</v>
      </c>
      <c r="G62" s="248">
        <f t="shared" si="22"/>
        <v>6.8640298779608013E+17</v>
      </c>
      <c r="H62" s="249">
        <f t="shared" si="23"/>
        <v>1.0178186820200838E-2</v>
      </c>
      <c r="I62" s="248">
        <f>IF(MobilityModel=DK,CalcDeltaN(H62,SampleDoping,Thickness,AreaFrac),CalcDeltaNDL(H62,AreaFrac,Thickness,SampleType,SampleDoping,Temperature))</f>
        <v>2157108834958282.5</v>
      </c>
      <c r="J62" s="248" t="str">
        <f t="shared" si="24"/>
        <v/>
      </c>
      <c r="K62" s="248">
        <f t="shared" si="25"/>
        <v>2157108834958282.5</v>
      </c>
      <c r="L62" s="250">
        <f t="shared" si="33"/>
        <v>-1.3939407437169795E+18</v>
      </c>
      <c r="M62" s="196" t="str">
        <f t="shared" si="26"/>
        <v/>
      </c>
      <c r="N62" s="196" t="str">
        <f t="shared" si="27"/>
        <v/>
      </c>
      <c r="O62" s="250">
        <f t="shared" si="28"/>
        <v>2157108834958282.5</v>
      </c>
      <c r="P62" s="248">
        <f t="shared" si="34"/>
        <v>5.923763213144831E-5</v>
      </c>
      <c r="Q62" s="250" t="str">
        <f t="shared" si="35"/>
        <v/>
      </c>
      <c r="R62" s="251" t="str">
        <f t="shared" si="36"/>
        <v/>
      </c>
      <c r="S62" s="252">
        <f>IF(AND(E62&gt;0.95*BiasLight,E62&lt;1.05*BiasLight),"",IF(AugerModel="Sinton",calclifetimeauger(Auger_Coefficient,I62,P62),calclifetimerichter(SampleType,I62,SampleDoping,P62)))</f>
        <v>16873.436734287548</v>
      </c>
      <c r="T62" s="201" t="str">
        <f t="shared" si="37"/>
        <v/>
      </c>
      <c r="U62" s="252">
        <f t="shared" si="29"/>
        <v>14296.81151068353</v>
      </c>
      <c r="V62" s="251" t="str">
        <f>IF(AugerModel="Sinton","",IF(SampleType="n-type",n_intr_boltzmann(SampleDoping,0,K62,Temperature+273.15),n_intr_boltzmann(0,SampleDoping,K62,Temperature+273.15)))</f>
        <v/>
      </c>
      <c r="W62" s="251" t="str">
        <f t="shared" si="13"/>
        <v/>
      </c>
      <c r="X62" s="246">
        <f>IF(AND(A62&gt;TimeofMaxCD,I62&gt;Traps),IF(AugerModel="Sinton",CalcImpliedV(SampleDoping,O62),CalcImpliedVRichter(O62,SampleDoping,V62)),"")</f>
        <v>0.66315460467386111</v>
      </c>
      <c r="Y62" s="253">
        <f t="shared" si="30"/>
        <v>4.2984444009377389</v>
      </c>
      <c r="Z62" s="200" t="str">
        <f t="shared" si="31"/>
        <v/>
      </c>
      <c r="AE62" s="251">
        <f t="shared" si="32"/>
        <v>1502.725919677209</v>
      </c>
    </row>
    <row r="63" spans="1:31" x14ac:dyDescent="0.2">
      <c r="A63" s="244">
        <v>5.4498999999999997E-3</v>
      </c>
      <c r="B63" s="244">
        <v>0.31902399999999997</v>
      </c>
      <c r="C63" s="245">
        <v>4.1424099999999998E-2</v>
      </c>
      <c r="D63" s="246">
        <f>IF(CouplingMode="AC",B63-(A$11-A$10)*SUM(B$9:B63)/0.21,B63)</f>
        <v>0.31902399999999997</v>
      </c>
      <c r="E63" s="247">
        <f t="shared" si="20"/>
        <v>3.936161875865051</v>
      </c>
      <c r="F63" s="247">
        <f t="shared" si="21"/>
        <v>3.936161875865051</v>
      </c>
      <c r="G63" s="248">
        <f t="shared" si="22"/>
        <v>6.535699494257824E+17</v>
      </c>
      <c r="H63" s="249">
        <f t="shared" si="23"/>
        <v>9.5639691760008947E-3</v>
      </c>
      <c r="I63" s="248">
        <f>IF(MobilityModel=DK,CalcDeltaN(H63,SampleDoping,Thickness,AreaFrac),CalcDeltaNDL(H63,AreaFrac,Thickness,SampleType,SampleDoping,Temperature))</f>
        <v>2021096873283404.3</v>
      </c>
      <c r="J63" s="248" t="str">
        <f t="shared" si="24"/>
        <v/>
      </c>
      <c r="K63" s="248">
        <f t="shared" si="25"/>
        <v>2021096873283404.3</v>
      </c>
      <c r="L63" s="250">
        <f t="shared" si="33"/>
        <v>-1.3085314404710472E+18</v>
      </c>
      <c r="M63" s="196" t="str">
        <f t="shared" si="26"/>
        <v/>
      </c>
      <c r="N63" s="196" t="str">
        <f t="shared" si="27"/>
        <v/>
      </c>
      <c r="O63" s="250">
        <f t="shared" si="28"/>
        <v>2021096873283404.3</v>
      </c>
      <c r="P63" s="248">
        <f t="shared" si="34"/>
        <v>5.8322287361391201E-5</v>
      </c>
      <c r="Q63" s="250" t="str">
        <f t="shared" si="35"/>
        <v/>
      </c>
      <c r="R63" s="251" t="str">
        <f t="shared" si="36"/>
        <v/>
      </c>
      <c r="S63" s="252">
        <f>IF(AND(E63&gt;0.95*BiasLight,E63&lt;1.05*BiasLight),"",IF(AugerModel="Sinton",calclifetimeauger(Auger_Coefficient,I63,P63),calclifetimerichter(SampleType,I63,SampleDoping,P63)))</f>
        <v>17139.323098780271</v>
      </c>
      <c r="T63" s="201" t="str">
        <f t="shared" si="37"/>
        <v/>
      </c>
      <c r="U63" s="252">
        <f t="shared" si="29"/>
        <v>15024.714415670829</v>
      </c>
      <c r="V63" s="251" t="str">
        <f>IF(AugerModel="Sinton","",IF(SampleType="n-type",n_intr_boltzmann(SampleDoping,0,K63,Temperature+273.15),n_intr_boltzmann(0,SampleDoping,K63,Temperature+273.15)))</f>
        <v/>
      </c>
      <c r="W63" s="251" t="str">
        <f t="shared" si="13"/>
        <v/>
      </c>
      <c r="X63" s="246">
        <f>IF(AND(A63&gt;TimeofMaxCD,I63&gt;Traps),IF(AugerModel="Sinton",CalcImpliedV(SampleDoping,O63),CalcImpliedVRichter(O63,SampleDoping,V63)),"")</f>
        <v>0.66084674233459162</v>
      </c>
      <c r="Y63" s="253">
        <f t="shared" si="30"/>
        <v>4.0906236819012856</v>
      </c>
      <c r="Z63" s="200" t="str">
        <f t="shared" si="31"/>
        <v/>
      </c>
      <c r="AE63" s="251">
        <f t="shared" si="32"/>
        <v>1507.0666327613471</v>
      </c>
    </row>
    <row r="64" spans="1:31" x14ac:dyDescent="0.2">
      <c r="A64" s="244">
        <v>5.5499E-3</v>
      </c>
      <c r="B64" s="244">
        <v>0.30002499999999999</v>
      </c>
      <c r="C64" s="245">
        <v>3.9476799999999999E-2</v>
      </c>
      <c r="D64" s="246">
        <f>IF(CouplingMode="AC",B64-(A$11-A$10)*SUM(B$9:B64)/0.21,B64)</f>
        <v>0.30002499999999999</v>
      </c>
      <c r="E64" s="247">
        <f t="shared" si="20"/>
        <v>3.7511273664641944</v>
      </c>
      <c r="F64" s="247">
        <f t="shared" si="21"/>
        <v>3.7511273664641944</v>
      </c>
      <c r="G64" s="248">
        <f t="shared" si="22"/>
        <v>6.2284636671627686E+17</v>
      </c>
      <c r="H64" s="249">
        <f t="shared" si="23"/>
        <v>8.9918728879600004E-3</v>
      </c>
      <c r="I64" s="248">
        <f>IF(MobilityModel=DK,CalcDeltaN(H64,SampleDoping,Thickness,AreaFrac),CalcDeltaNDL(H64,AreaFrac,Thickness,SampleType,SampleDoping,Temperature))</f>
        <v>1895003766600397.7</v>
      </c>
      <c r="J64" s="248" t="str">
        <f t="shared" si="24"/>
        <v/>
      </c>
      <c r="K64" s="248">
        <f t="shared" si="25"/>
        <v>1895003766600397.7</v>
      </c>
      <c r="L64" s="250">
        <f t="shared" si="33"/>
        <v>-1.2376963236050145E+18</v>
      </c>
      <c r="M64" s="196" t="str">
        <f t="shared" si="26"/>
        <v/>
      </c>
      <c r="N64" s="196" t="str">
        <f t="shared" si="27"/>
        <v/>
      </c>
      <c r="O64" s="250">
        <f t="shared" si="28"/>
        <v>1895003766600397.7</v>
      </c>
      <c r="P64" s="248">
        <f t="shared" si="34"/>
        <v>5.739727170170308E-5</v>
      </c>
      <c r="Q64" s="250" t="str">
        <f t="shared" si="35"/>
        <v/>
      </c>
      <c r="R64" s="251" t="str">
        <f t="shared" si="36"/>
        <v/>
      </c>
      <c r="S64" s="252">
        <f>IF(AND(E64&gt;0.95*BiasLight,E64&lt;1.05*BiasLight),"",IF(AugerModel="Sinton",calclifetimeauger(Auger_Coefficient,I64,P64),calclifetimerichter(SampleType,I64,SampleDoping,P64)))</f>
        <v>17416.469773558001</v>
      </c>
      <c r="T64" s="201" t="str">
        <f t="shared" si="37"/>
        <v/>
      </c>
      <c r="U64" s="252">
        <f t="shared" si="29"/>
        <v>15699.534023617021</v>
      </c>
      <c r="V64" s="251" t="str">
        <f>IF(AugerModel="Sinton","",IF(SampleType="n-type",n_intr_boltzmann(SampleDoping,0,K64,Temperature+273.15),n_intr_boltzmann(0,SampleDoping,K64,Temperature+273.15)))</f>
        <v/>
      </c>
      <c r="W64" s="251" t="str">
        <f t="shared" si="13"/>
        <v/>
      </c>
      <c r="X64" s="246">
        <f>IF(AND(A64&gt;TimeofMaxCD,I64&gt;Traps),IF(AugerModel="Sinton",CalcImpliedV(SampleDoping,O64),CalcImpliedVRichter(O64,SampleDoping,V64)),"")</f>
        <v>0.65858903336514385</v>
      </c>
      <c r="Y64" s="253">
        <f t="shared" si="30"/>
        <v>3.897227646179001</v>
      </c>
      <c r="Z64" s="200" t="str">
        <f t="shared" si="31"/>
        <v/>
      </c>
      <c r="AE64" s="251">
        <f t="shared" si="32"/>
        <v>1511.198445955074</v>
      </c>
    </row>
    <row r="65" spans="1:31" x14ac:dyDescent="0.2">
      <c r="A65" s="244">
        <v>5.6499000000000002E-3</v>
      </c>
      <c r="B65" s="244">
        <v>0.28180300000000003</v>
      </c>
      <c r="C65" s="245">
        <v>3.7581299999999998E-2</v>
      </c>
      <c r="D65" s="246">
        <f>IF(CouplingMode="AC",B65-(A$11-A$10)*SUM(B$9:B65)/0.21,B65)</f>
        <v>0.28180300000000003</v>
      </c>
      <c r="E65" s="247">
        <f t="shared" si="20"/>
        <v>3.5710149479517295</v>
      </c>
      <c r="F65" s="247">
        <f t="shared" si="21"/>
        <v>3.5710149479517295</v>
      </c>
      <c r="G65" s="248">
        <f t="shared" si="22"/>
        <v>5.9294006002194752E+17</v>
      </c>
      <c r="H65" s="249">
        <f t="shared" si="23"/>
        <v>8.4434743935839791E-3</v>
      </c>
      <c r="I65" s="248">
        <f>IF(MobilityModel=DK,CalcDeltaN(H65,SampleDoping,Thickness,AreaFrac),CalcDeltaNDL(H65,AreaFrac,Thickness,SampleType,SampleDoping,Temperature))</f>
        <v>1774675776898921.7</v>
      </c>
      <c r="J65" s="248" t="str">
        <f t="shared" si="24"/>
        <v/>
      </c>
      <c r="K65" s="248">
        <f t="shared" si="25"/>
        <v>1774675776898921.7</v>
      </c>
      <c r="L65" s="250">
        <f t="shared" si="33"/>
        <v>-1.1589223595997076E+18</v>
      </c>
      <c r="M65" s="196" t="str">
        <f t="shared" si="26"/>
        <v/>
      </c>
      <c r="N65" s="196" t="str">
        <f t="shared" si="27"/>
        <v/>
      </c>
      <c r="O65" s="250">
        <f t="shared" si="28"/>
        <v>1774675776898921.7</v>
      </c>
      <c r="P65" s="248">
        <f t="shared" si="34"/>
        <v>5.6498605087056883E-5</v>
      </c>
      <c r="Q65" s="250" t="str">
        <f t="shared" si="35"/>
        <v/>
      </c>
      <c r="R65" s="251" t="str">
        <f t="shared" si="36"/>
        <v/>
      </c>
      <c r="S65" s="252">
        <f>IF(AND(E65&gt;0.95*BiasLight,E65&lt;1.05*BiasLight),"",IF(AugerModel="Sinton",calclifetimeauger(Auger_Coefficient,I65,P65),calclifetimerichter(SampleType,I65,SampleDoping,P65)))</f>
        <v>17694.323896586484</v>
      </c>
      <c r="T65" s="201" t="str">
        <f t="shared" si="37"/>
        <v/>
      </c>
      <c r="U65" s="252">
        <f t="shared" si="29"/>
        <v>16343.500129071434</v>
      </c>
      <c r="V65" s="251" t="str">
        <f>IF(AugerModel="Sinton","",IF(SampleType="n-type",n_intr_boltzmann(SampleDoping,0,K65,Temperature+273.15),n_intr_boltzmann(0,SampleDoping,K65,Temperature+273.15)))</f>
        <v/>
      </c>
      <c r="W65" s="251" t="str">
        <f t="shared" si="13"/>
        <v/>
      </c>
      <c r="X65" s="246">
        <f>IF(AND(A65&gt;TimeofMaxCD,I65&gt;Traps),IF(AugerModel="Sinton",CalcImpliedV(SampleDoping,O65),CalcImpliedVRichter(O65,SampleDoping,V65)),"")</f>
        <v>0.65631498333155125</v>
      </c>
      <c r="Y65" s="253">
        <f t="shared" si="30"/>
        <v>3.7078165831154255</v>
      </c>
      <c r="Z65" s="200" t="str">
        <f t="shared" si="31"/>
        <v/>
      </c>
      <c r="AE65" s="251">
        <f t="shared" si="32"/>
        <v>1515.2475344309291</v>
      </c>
    </row>
    <row r="66" spans="1:31" x14ac:dyDescent="0.2">
      <c r="A66" s="244">
        <v>5.7498999999999996E-3</v>
      </c>
      <c r="B66" s="244">
        <v>0.26457599999999998</v>
      </c>
      <c r="C66" s="245">
        <v>3.5836199999999999E-2</v>
      </c>
      <c r="D66" s="246">
        <f>IF(CouplingMode="AC",B66-(A$11-A$10)*SUM(B$9:B66)/0.21,B66)</f>
        <v>0.26457599999999998</v>
      </c>
      <c r="E66" s="247">
        <f t="shared" si="20"/>
        <v>3.405193696806331</v>
      </c>
      <c r="F66" s="247">
        <f t="shared" si="21"/>
        <v>3.405193696806331</v>
      </c>
      <c r="G66" s="248">
        <f t="shared" si="22"/>
        <v>5.6540669372689389E+17</v>
      </c>
      <c r="H66" s="249">
        <f t="shared" si="23"/>
        <v>7.925291696746899E-3</v>
      </c>
      <c r="I66" s="248">
        <f>IF(MobilityModel=DK,CalcDeltaN(H66,SampleDoping,Thickness,AreaFrac),CalcDeltaNDL(H66,AreaFrac,Thickness,SampleType,SampleDoping,Temperature))</f>
        <v>1661471221348017</v>
      </c>
      <c r="J66" s="248" t="str">
        <f t="shared" si="24"/>
        <v/>
      </c>
      <c r="K66" s="248">
        <f t="shared" si="25"/>
        <v>1661471221348017</v>
      </c>
      <c r="L66" s="250">
        <f t="shared" si="33"/>
        <v>-1.0866402050168769E+18</v>
      </c>
      <c r="M66" s="196" t="str">
        <f t="shared" si="26"/>
        <v/>
      </c>
      <c r="N66" s="196" t="str">
        <f t="shared" si="27"/>
        <v/>
      </c>
      <c r="O66" s="250">
        <f t="shared" si="28"/>
        <v>1661471221348017</v>
      </c>
      <c r="P66" s="248">
        <f t="shared" si="34"/>
        <v>5.5504631326295315E-5</v>
      </c>
      <c r="Q66" s="250" t="str">
        <f t="shared" si="35"/>
        <v/>
      </c>
      <c r="R66" s="251" t="str">
        <f t="shared" si="36"/>
        <v/>
      </c>
      <c r="S66" s="252">
        <f>IF(AND(E66&gt;0.95*BiasLight,E66&lt;1.05*BiasLight),"",IF(AugerModel="Sinton",calclifetimeauger(Auger_Coefficient,I66,P66),calclifetimerichter(SampleType,I66,SampleDoping,P66)))</f>
        <v>18011.93218036028</v>
      </c>
      <c r="T66" s="201" t="str">
        <f t="shared" si="37"/>
        <v/>
      </c>
      <c r="U66" s="252">
        <f t="shared" si="29"/>
        <v>16949.343349245497</v>
      </c>
      <c r="V66" s="251" t="str">
        <f>IF(AugerModel="Sinton","",IF(SampleType="n-type",n_intr_boltzmann(SampleDoping,0,K66,Temperature+273.15),n_intr_boltzmann(0,SampleDoping,K66,Temperature+273.15)))</f>
        <v/>
      </c>
      <c r="W66" s="251" t="str">
        <f t="shared" si="13"/>
        <v/>
      </c>
      <c r="X66" s="246">
        <f>IF(AND(A66&gt;TimeofMaxCD,I66&gt;Traps),IF(AugerModel="Sinton",CalcImpliedV(SampleDoping,O66),CalcImpliedVRichter(O66,SampleDoping,V66)),"")</f>
        <v>0.65405519663544764</v>
      </c>
      <c r="Y66" s="253">
        <f t="shared" si="30"/>
        <v>3.5334629942701121</v>
      </c>
      <c r="Z66" s="200" t="str">
        <f t="shared" si="31"/>
        <v/>
      </c>
      <c r="AE66" s="251">
        <f t="shared" si="32"/>
        <v>1519.161163766915</v>
      </c>
    </row>
    <row r="67" spans="1:31" x14ac:dyDescent="0.2">
      <c r="A67" s="244">
        <v>5.8498999999999999E-3</v>
      </c>
      <c r="B67" s="244">
        <v>0.24881900000000001</v>
      </c>
      <c r="C67" s="245">
        <v>3.4086199999999997E-2</v>
      </c>
      <c r="D67" s="246">
        <f>IF(CouplingMode="AC",B67-(A$11-A$10)*SUM(B$9:B67)/0.21,B67)</f>
        <v>0.24881900000000001</v>
      </c>
      <c r="E67" s="247">
        <f t="shared" si="20"/>
        <v>3.2389068424687872</v>
      </c>
      <c r="F67" s="247">
        <f t="shared" si="21"/>
        <v>3.2389068424687872</v>
      </c>
      <c r="G67" s="248">
        <f t="shared" si="22"/>
        <v>5.377960175385127E+17</v>
      </c>
      <c r="H67" s="249">
        <f t="shared" si="23"/>
        <v>7.4515566604571818E-3</v>
      </c>
      <c r="I67" s="248">
        <f>IF(MobilityModel=DK,CalcDeltaN(H67,SampleDoping,Thickness,AreaFrac),CalcDeltaNDL(H67,AreaFrac,Thickness,SampleType,SampleDoping,Temperature))</f>
        <v>1558401966109740.7</v>
      </c>
      <c r="J67" s="248" t="str">
        <f t="shared" si="24"/>
        <v/>
      </c>
      <c r="K67" s="248">
        <f t="shared" si="25"/>
        <v>1558401966109740.7</v>
      </c>
      <c r="L67" s="250">
        <f t="shared" si="33"/>
        <v>-1.0171712692070813E+18</v>
      </c>
      <c r="M67" s="196" t="str">
        <f t="shared" si="26"/>
        <v/>
      </c>
      <c r="N67" s="196" t="str">
        <f t="shared" si="27"/>
        <v/>
      </c>
      <c r="O67" s="250">
        <f t="shared" si="28"/>
        <v>1558401966109740.7</v>
      </c>
      <c r="P67" s="248">
        <f t="shared" si="34"/>
        <v>5.4765814185751081E-5</v>
      </c>
      <c r="Q67" s="250" t="str">
        <f t="shared" si="35"/>
        <v/>
      </c>
      <c r="R67" s="251" t="str">
        <f t="shared" si="36"/>
        <v/>
      </c>
      <c r="S67" s="252">
        <f>IF(AND(E67&gt;0.95*BiasLight,E67&lt;1.05*BiasLight),"",IF(AugerModel="Sinton",calclifetimeauger(Auger_Coefficient,I67,P67),calclifetimerichter(SampleType,I67,SampleDoping,P67)))</f>
        <v>18255.534520611338</v>
      </c>
      <c r="T67" s="201" t="str">
        <f t="shared" si="37"/>
        <v/>
      </c>
      <c r="U67" s="252">
        <f t="shared" si="29"/>
        <v>17500.944909718215</v>
      </c>
      <c r="V67" s="251" t="str">
        <f>IF(AugerModel="Sinton","",IF(SampleType="n-type",n_intr_boltzmann(SampleDoping,0,K67,Temperature+273.15),n_intr_boltzmann(0,SampleDoping,K67,Temperature+273.15)))</f>
        <v/>
      </c>
      <c r="W67" s="251" t="str">
        <f t="shared" si="13"/>
        <v/>
      </c>
      <c r="X67" s="246">
        <f>IF(AND(A67&gt;TimeofMaxCD,I67&gt;Traps),IF(AugerModel="Sinton",CalcImpliedV(SampleDoping,O67),CalcImpliedVRichter(O67,SampleDoping,V67)),"")</f>
        <v>0.65188311526922404</v>
      </c>
      <c r="Y67" s="253">
        <f t="shared" si="30"/>
        <v>3.3589758804991892</v>
      </c>
      <c r="Z67" s="200" t="str">
        <f t="shared" si="31"/>
        <v/>
      </c>
      <c r="AE67" s="251">
        <f t="shared" si="32"/>
        <v>1522.8212817910489</v>
      </c>
    </row>
    <row r="68" spans="1:31" x14ac:dyDescent="0.2">
      <c r="A68" s="244">
        <v>5.9499000000000002E-3</v>
      </c>
      <c r="B68" s="244">
        <v>0.233682</v>
      </c>
      <c r="C68" s="245">
        <v>3.2461200000000003E-2</v>
      </c>
      <c r="D68" s="246">
        <f>IF(CouplingMode="AC",B68-(A$11-A$10)*SUM(B$9:B68)/0.21,B68)</f>
        <v>0.233682</v>
      </c>
      <c r="E68" s="247">
        <f t="shared" si="20"/>
        <v>3.0844976205839258</v>
      </c>
      <c r="F68" s="247">
        <f t="shared" si="21"/>
        <v>3.0844976205839258</v>
      </c>
      <c r="G68" s="248">
        <f t="shared" si="22"/>
        <v>5.1215753250644454E+17</v>
      </c>
      <c r="H68" s="249">
        <f t="shared" si="23"/>
        <v>6.9966693805770513E-3</v>
      </c>
      <c r="I68" s="248">
        <f>IF(MobilityModel=DK,CalcDeltaN(H68,SampleDoping,Thickness,AreaFrac),CalcDeltaNDL(H68,AreaFrac,Thickness,SampleType,SampleDoping,Temperature))</f>
        <v>1459820569486549.7</v>
      </c>
      <c r="J68" s="248" t="str">
        <f t="shared" si="24"/>
        <v/>
      </c>
      <c r="K68" s="248">
        <f t="shared" si="25"/>
        <v>1459820569486549.7</v>
      </c>
      <c r="L68" s="250">
        <f t="shared" si="33"/>
        <v>-9.5687931253931622E+17</v>
      </c>
      <c r="M68" s="196" t="str">
        <f t="shared" si="26"/>
        <v/>
      </c>
      <c r="N68" s="196" t="str">
        <f t="shared" si="27"/>
        <v/>
      </c>
      <c r="O68" s="250">
        <f t="shared" si="28"/>
        <v>1459820569486549.7</v>
      </c>
      <c r="P68" s="248">
        <f t="shared" si="34"/>
        <v>5.3893043256609998E-5</v>
      </c>
      <c r="Q68" s="250" t="str">
        <f t="shared" si="35"/>
        <v/>
      </c>
      <c r="R68" s="251" t="str">
        <f t="shared" si="36"/>
        <v/>
      </c>
      <c r="S68" s="252">
        <f>IF(AND(E68&gt;0.95*BiasLight,E68&lt;1.05*BiasLight),"",IF(AugerModel="Sinton",calclifetimeauger(Auger_Coefficient,I68,P68),calclifetimerichter(SampleType,I68,SampleDoping,P68)))</f>
        <v>18551.732993570015</v>
      </c>
      <c r="T68" s="201" t="str">
        <f t="shared" si="37"/>
        <v/>
      </c>
      <c r="U68" s="252">
        <f t="shared" si="29"/>
        <v>18028.528543511064</v>
      </c>
      <c r="V68" s="251" t="str">
        <f>IF(AugerModel="Sinton","",IF(SampleType="n-type",n_intr_boltzmann(SampleDoping,0,K68,Temperature+273.15),n_intr_boltzmann(0,SampleDoping,K68,Temperature+273.15)))</f>
        <v/>
      </c>
      <c r="W68" s="251" t="str">
        <f t="shared" si="13"/>
        <v/>
      </c>
      <c r="X68" s="246">
        <f>IF(AND(A68&gt;TimeofMaxCD,I68&gt;Traps),IF(AugerModel="Sinton",CalcImpliedV(SampleDoping,O68),CalcImpliedVRichter(O68,SampleDoping,V68)),"")</f>
        <v>0.64969013844436141</v>
      </c>
      <c r="Y68" s="253">
        <f t="shared" si="30"/>
        <v>3.1974496691188299</v>
      </c>
      <c r="Z68" s="200" t="str">
        <f t="shared" si="31"/>
        <v/>
      </c>
      <c r="AE68" s="251">
        <f t="shared" si="32"/>
        <v>1526.4173383147422</v>
      </c>
    </row>
    <row r="69" spans="1:31" x14ac:dyDescent="0.2">
      <c r="A69" s="244">
        <v>6.0499000000000004E-3</v>
      </c>
      <c r="B69" s="244">
        <v>0.219356</v>
      </c>
      <c r="C69" s="245">
        <v>3.0944599999999999E-2</v>
      </c>
      <c r="D69" s="246">
        <f>IF(CouplingMode="AC",B69-(A$11-A$10)*SUM(B$9:B69)/0.21,B69)</f>
        <v>0.219356</v>
      </c>
      <c r="E69" s="247">
        <f t="shared" si="20"/>
        <v>2.940388681562029</v>
      </c>
      <c r="F69" s="247">
        <f t="shared" si="21"/>
        <v>2.940388681562029</v>
      </c>
      <c r="G69" s="248">
        <f t="shared" si="22"/>
        <v>4.8822933164513082E+17</v>
      </c>
      <c r="H69" s="249">
        <f t="shared" si="23"/>
        <v>6.5663409627302084E-3</v>
      </c>
      <c r="I69" s="248">
        <f>IF(MobilityModel=DK,CalcDeltaN(H69,SampleDoping,Thickness,AreaFrac),CalcDeltaNDL(H69,AreaFrac,Thickness,SampleType,SampleDoping,Temperature))</f>
        <v>1366915468226114.2</v>
      </c>
      <c r="J69" s="248" t="str">
        <f t="shared" si="24"/>
        <v/>
      </c>
      <c r="K69" s="248">
        <f t="shared" si="25"/>
        <v>1366915468226114.2</v>
      </c>
      <c r="L69" s="250">
        <f t="shared" si="33"/>
        <v>-8.9650279140548454E+17</v>
      </c>
      <c r="M69" s="196" t="str">
        <f t="shared" si="26"/>
        <v/>
      </c>
      <c r="N69" s="196" t="str">
        <f t="shared" si="27"/>
        <v/>
      </c>
      <c r="O69" s="250">
        <f t="shared" si="28"/>
        <v>1366915468226114.2</v>
      </c>
      <c r="P69" s="248">
        <f t="shared" si="34"/>
        <v>5.2968567665173811E-5</v>
      </c>
      <c r="Q69" s="250" t="str">
        <f t="shared" si="35"/>
        <v/>
      </c>
      <c r="R69" s="251" t="str">
        <f t="shared" si="36"/>
        <v/>
      </c>
      <c r="S69" s="252">
        <f>IF(AND(E69&gt;0.95*BiasLight,E69&lt;1.05*BiasLight),"",IF(AugerModel="Sinton",calclifetimeauger(Auger_Coefficient,I69,P69),calclifetimerichter(SampleType,I69,SampleDoping,P69)))</f>
        <v>18876.019394864019</v>
      </c>
      <c r="T69" s="201" t="str">
        <f t="shared" si="37"/>
        <v/>
      </c>
      <c r="U69" s="252">
        <f t="shared" si="29"/>
        <v>18525.734026491027</v>
      </c>
      <c r="V69" s="251" t="str">
        <f>IF(AugerModel="Sinton","",IF(SampleType="n-type",n_intr_boltzmann(SampleDoping,0,K69,Temperature+273.15),n_intr_boltzmann(0,SampleDoping,K69,Temperature+273.15)))</f>
        <v/>
      </c>
      <c r="W69" s="251" t="str">
        <f t="shared" si="13"/>
        <v/>
      </c>
      <c r="X69" s="246">
        <f>IF(AND(A69&gt;TimeofMaxCD,I69&gt;Traps),IF(AugerModel="Sinton",CalcImpliedV(SampleDoping,O69),CalcImpliedVRichter(O69,SampleDoping,V69)),"")</f>
        <v>0.64750664569253336</v>
      </c>
      <c r="Y69" s="253">
        <f t="shared" si="30"/>
        <v>3.0462137584338298</v>
      </c>
      <c r="Z69" s="200" t="str">
        <f t="shared" si="31"/>
        <v/>
      </c>
      <c r="AE69" s="251">
        <f t="shared" si="32"/>
        <v>1529.9005082131102</v>
      </c>
    </row>
    <row r="70" spans="1:31" x14ac:dyDescent="0.2">
      <c r="A70" s="244">
        <v>6.1498999999999998E-3</v>
      </c>
      <c r="B70" s="244">
        <v>0.205709</v>
      </c>
      <c r="C70" s="245">
        <v>2.94524E-2</v>
      </c>
      <c r="D70" s="246">
        <f>IF(CouplingMode="AC",B70-(A$11-A$10)*SUM(B$9:B70)/0.21,B70)</f>
        <v>0.205709</v>
      </c>
      <c r="E70" s="247">
        <f t="shared" si="20"/>
        <v>2.7985982563948961</v>
      </c>
      <c r="F70" s="247">
        <f t="shared" si="21"/>
        <v>2.7985982563948961</v>
      </c>
      <c r="G70" s="248">
        <f t="shared" si="22"/>
        <v>4.6468610249752947E+17</v>
      </c>
      <c r="H70" s="249">
        <f t="shared" si="23"/>
        <v>6.1565778627184729E-3</v>
      </c>
      <c r="I70" s="248">
        <f>IF(MobilityModel=DK,CalcDeltaN(H70,SampleDoping,Thickness,AreaFrac),CalcDeltaNDL(H70,AreaFrac,Thickness,SampleType,SampleDoping,Temperature))</f>
        <v>1278774814020171.7</v>
      </c>
      <c r="J70" s="248">
        <f t="shared" si="24"/>
        <v>1278774814020171.7</v>
      </c>
      <c r="K70" s="248">
        <f t="shared" si="25"/>
        <v>1278774814020171.7</v>
      </c>
      <c r="L70" s="250">
        <f t="shared" si="33"/>
        <v>-8.3991142171121946E+17</v>
      </c>
      <c r="M70" s="196" t="str">
        <f t="shared" si="26"/>
        <v/>
      </c>
      <c r="N70" s="196" t="str">
        <f t="shared" si="27"/>
        <v/>
      </c>
      <c r="O70" s="250">
        <f t="shared" si="28"/>
        <v>1278774814020171.7</v>
      </c>
      <c r="P70" s="248">
        <f t="shared" si="34"/>
        <v>5.2092011751490293E-5</v>
      </c>
      <c r="Q70" s="250">
        <f t="shared" si="35"/>
        <v>5.2092011751490293E-5</v>
      </c>
      <c r="R70" s="251">
        <f t="shared" si="36"/>
        <v>19196.801320912531</v>
      </c>
      <c r="S70" s="252">
        <f>IF(AND(E70&gt;0.95*BiasLight,E70&lt;1.05*BiasLight),"",IF(AugerModel="Sinton",calclifetimeauger(Auger_Coefficient,I70,P70),calclifetimerichter(SampleType,I70,SampleDoping,P70)))</f>
        <v>19194.086780971076</v>
      </c>
      <c r="T70" s="201">
        <f t="shared" si="37"/>
        <v>19194.086780971076</v>
      </c>
      <c r="U70" s="252">
        <f t="shared" si="29"/>
        <v>18997.441348802491</v>
      </c>
      <c r="V70" s="251" t="str">
        <f>IF(AugerModel="Sinton","",IF(SampleType="n-type",n_intr_boltzmann(SampleDoping,0,K70,Temperature+273.15),n_intr_boltzmann(0,SampleDoping,K70,Temperature+273.15)))</f>
        <v/>
      </c>
      <c r="W70" s="251" t="str">
        <f t="shared" si="13"/>
        <v/>
      </c>
      <c r="X70" s="246">
        <f>IF(AND(A70&gt;TimeofMaxCD,I70&gt;Traps),IF(AugerModel="Sinton",CalcImpliedV(SampleDoping,O70),CalcImpliedVRichter(O70,SampleDoping,V70)),"")</f>
        <v>0.64531648637931205</v>
      </c>
      <c r="Y70" s="253">
        <f t="shared" si="30"/>
        <v>2.8977431688482596</v>
      </c>
      <c r="Z70" s="200" t="str">
        <f t="shared" si="31"/>
        <v/>
      </c>
      <c r="AE70" s="251">
        <f t="shared" si="32"/>
        <v>1533.2985296593181</v>
      </c>
    </row>
    <row r="71" spans="1:31" x14ac:dyDescent="0.2">
      <c r="A71" s="244">
        <v>6.2499000000000001E-3</v>
      </c>
      <c r="B71" s="244">
        <v>0.19356999999999999</v>
      </c>
      <c r="C71" s="245">
        <v>2.8016900000000001E-2</v>
      </c>
      <c r="D71" s="246">
        <f>IF(CouplingMode="AC",B71-(A$11-A$10)*SUM(B$9:B71)/0.21,B71)</f>
        <v>0.19356999999999999</v>
      </c>
      <c r="E71" s="247">
        <f t="shared" si="20"/>
        <v>2.6621955253083001</v>
      </c>
      <c r="F71" s="247">
        <f t="shared" si="21"/>
        <v>2.6621955253083001</v>
      </c>
      <c r="G71" s="248">
        <f t="shared" si="22"/>
        <v>4.4203745925843174E+17</v>
      </c>
      <c r="H71" s="249">
        <f t="shared" si="23"/>
        <v>5.79223261937418E-3</v>
      </c>
      <c r="I71" s="248">
        <f>IF(MobilityModel=DK,CalcDeltaN(H71,SampleDoping,Thickness,AreaFrac),CalcDeltaNDL(H71,AreaFrac,Thickness,SampleType,SampleDoping,Temperature))</f>
        <v>1200673448140187.5</v>
      </c>
      <c r="J71" s="248">
        <f t="shared" si="24"/>
        <v>1200673448140187.5</v>
      </c>
      <c r="K71" s="248">
        <f t="shared" si="25"/>
        <v>1200673448140187.5</v>
      </c>
      <c r="L71" s="250">
        <f t="shared" si="33"/>
        <v>-7.8693167470619622E+17</v>
      </c>
      <c r="M71" s="196" t="str">
        <f t="shared" si="26"/>
        <v/>
      </c>
      <c r="N71" s="196" t="str">
        <f t="shared" si="27"/>
        <v/>
      </c>
      <c r="O71" s="250">
        <f t="shared" si="28"/>
        <v>1200673448140187.5</v>
      </c>
      <c r="P71" s="248">
        <f t="shared" si="34"/>
        <v>5.144303693106712E-5</v>
      </c>
      <c r="Q71" s="250">
        <f t="shared" si="35"/>
        <v>5.144303693106712E-5</v>
      </c>
      <c r="R71" s="251">
        <f t="shared" si="36"/>
        <v>19438.976772308069</v>
      </c>
      <c r="S71" s="252">
        <f>IF(AND(E71&gt;0.95*BiasLight,E71&lt;1.05*BiasLight),"",IF(AugerModel="Sinton",calclifetimeauger(Auger_Coefficient,I71,P71),calclifetimerichter(SampleType,I71,SampleDoping,P71)))</f>
        <v>19436.583688537816</v>
      </c>
      <c r="T71" s="201">
        <f t="shared" si="37"/>
        <v>19436.583688537816</v>
      </c>
      <c r="U71" s="252">
        <f t="shared" si="29"/>
        <v>19415.420844189895</v>
      </c>
      <c r="V71" s="251" t="str">
        <f>IF(AugerModel="Sinton","",IF(SampleType="n-type",n_intr_boltzmann(SampleDoping,0,K71,Temperature+273.15),n_intr_boltzmann(0,SampleDoping,K71,Temperature+273.15)))</f>
        <v/>
      </c>
      <c r="W71" s="251" t="str">
        <f t="shared" si="13"/>
        <v/>
      </c>
      <c r="X71" s="246">
        <f>IF(AND(A71&gt;TimeofMaxCD,I71&gt;Traps),IF(AugerModel="Sinton",CalcImpliedV(SampleDoping,O71),CalcImpliedVRichter(O71,SampleDoping,V71)),"")</f>
        <v>0.64326656261757531</v>
      </c>
      <c r="Y71" s="253">
        <f t="shared" si="30"/>
        <v>2.7550865968888818</v>
      </c>
      <c r="Z71" s="200" t="str">
        <f t="shared" si="31"/>
        <v/>
      </c>
      <c r="AE71" s="251">
        <f t="shared" si="32"/>
        <v>1536.3936561002522</v>
      </c>
    </row>
    <row r="72" spans="1:31" x14ac:dyDescent="0.2">
      <c r="A72" s="244">
        <v>6.3499000000000003E-3</v>
      </c>
      <c r="B72" s="244">
        <v>0.181451</v>
      </c>
      <c r="C72" s="245">
        <v>2.6706299999999999E-2</v>
      </c>
      <c r="D72" s="246">
        <f>IF(CouplingMode="AC",B72-(A$11-A$10)*SUM(B$9:B72)/0.21,B72)</f>
        <v>0.181451</v>
      </c>
      <c r="E72" s="247">
        <f t="shared" si="20"/>
        <v>2.537660924568423</v>
      </c>
      <c r="F72" s="247">
        <f t="shared" si="21"/>
        <v>2.537660924568423</v>
      </c>
      <c r="G72" s="248">
        <f t="shared" si="22"/>
        <v>4.2135942942272192E+17</v>
      </c>
      <c r="H72" s="249">
        <f t="shared" si="23"/>
        <v>5.4286180613378893E-3</v>
      </c>
      <c r="I72" s="248">
        <f>IF(MobilityModel=DK,CalcDeltaN(H72,SampleDoping,Thickness,AreaFrac),CalcDeltaNDL(H72,AreaFrac,Thickness,SampleType,SampleDoping,Temperature))</f>
        <v>1122985868673903.4</v>
      </c>
      <c r="J72" s="248">
        <f t="shared" si="24"/>
        <v>1122985868673903.4</v>
      </c>
      <c r="K72" s="248">
        <f t="shared" si="25"/>
        <v>1122985868673903.4</v>
      </c>
      <c r="L72" s="250">
        <f t="shared" si="33"/>
        <v>-7.2872028709391974E+17</v>
      </c>
      <c r="M72" s="196" t="str">
        <f t="shared" si="26"/>
        <v/>
      </c>
      <c r="N72" s="196" t="str">
        <f t="shared" si="27"/>
        <v/>
      </c>
      <c r="O72" s="250">
        <f t="shared" si="28"/>
        <v>1122985868673903.4</v>
      </c>
      <c r="P72" s="248">
        <f t="shared" si="34"/>
        <v>5.0524296306516493E-5</v>
      </c>
      <c r="Q72" s="250">
        <f t="shared" si="35"/>
        <v>5.0524296306516493E-5</v>
      </c>
      <c r="R72" s="251">
        <f t="shared" si="36"/>
        <v>19792.457750094833</v>
      </c>
      <c r="S72" s="252">
        <f>IF(AND(E72&gt;0.95*BiasLight,E72&lt;1.05*BiasLight),"",IF(AugerModel="Sinton",calclifetimeauger(Auger_Coefficient,I72,P72),calclifetimerichter(SampleType,I72,SampleDoping,P72)))</f>
        <v>19790.364328641172</v>
      </c>
      <c r="T72" s="201">
        <f t="shared" si="37"/>
        <v>19790.364328641172</v>
      </c>
      <c r="U72" s="252">
        <f t="shared" si="29"/>
        <v>19831.185855432908</v>
      </c>
      <c r="V72" s="251" t="str">
        <f>IF(AugerModel="Sinton","",IF(SampleType="n-type",n_intr_boltzmann(SampleDoping,0,K72,Temperature+273.15),n_intr_boltzmann(0,SampleDoping,K72,Temperature+273.15)))</f>
        <v/>
      </c>
      <c r="W72" s="251" t="str">
        <f t="shared" si="13"/>
        <v/>
      </c>
      <c r="X72" s="246">
        <f>IF(AND(A72&gt;TimeofMaxCD,I72&gt;Traps),IF(AugerModel="Sinton",CalcImpliedV(SampleDoping,O72),CalcImpliedVRichter(O72,SampleDoping,V72)),"")</f>
        <v>0.64111216490355161</v>
      </c>
      <c r="Y72" s="253">
        <f t="shared" si="30"/>
        <v>2.6236806014049621</v>
      </c>
      <c r="Z72" s="200" t="str">
        <f t="shared" si="31"/>
        <v/>
      </c>
      <c r="AE72" s="251">
        <f t="shared" si="32"/>
        <v>1539.5592695539151</v>
      </c>
    </row>
    <row r="73" spans="1:31" x14ac:dyDescent="0.2">
      <c r="A73" s="244">
        <v>6.4498999999999997E-3</v>
      </c>
      <c r="B73" s="244">
        <v>0.170235</v>
      </c>
      <c r="C73" s="245">
        <v>2.54436E-2</v>
      </c>
      <c r="D73" s="246">
        <f>IF(CouplingMode="AC",B73-(A$11-A$10)*SUM(B$9:B73)/0.21,B73)</f>
        <v>0.170235</v>
      </c>
      <c r="E73" s="247">
        <f t="shared" ref="E73:E104" si="38">IF(C73&gt;0,C73/RefCellCal,0.00001)</f>
        <v>2.4176778325844137</v>
      </c>
      <c r="F73" s="247">
        <f t="shared" ref="F73:F104" si="39">E73-BiasLight</f>
        <v>2.4176778325844137</v>
      </c>
      <c r="G73" s="248">
        <f t="shared" ref="G73:G104" si="40">F73*0.038*OptConst/1.602E-19</f>
        <v>4.0143714323811117E+17</v>
      </c>
      <c r="H73" s="249">
        <f t="shared" ref="H73:H104" si="41">CalcConductance(B73,Dark_Voltage,A_cal,B_cal,C_cal)</f>
        <v>5.0922129121453216E-3</v>
      </c>
      <c r="I73" s="248">
        <f>IF(MobilityModel=DK,CalcDeltaN(H73,SampleDoping,Thickness,AreaFrac),CalcDeltaNDL(H73,AreaFrac,Thickness,SampleType,SampleDoping,Temperature))</f>
        <v>1051344103546150.6</v>
      </c>
      <c r="J73" s="248">
        <f t="shared" ref="J73:J104" si="42">IF(AND(AND(I73&gt;=FitRangeMin,I73&lt;=FitRangeMax),A73&gt;TimeofMaxCD),I73,"")</f>
        <v>1051344103546150.6</v>
      </c>
      <c r="K73" s="248">
        <f t="shared" ref="K73:K104" si="43">IF(I73-BiasPtCD=0,0.00001,I73-BiasPtCD)</f>
        <v>1051344103546150.6</v>
      </c>
      <c r="L73" s="250">
        <f t="shared" si="33"/>
        <v>-6.8408903616454848E+17</v>
      </c>
      <c r="M73" s="196" t="str">
        <f t="shared" ref="M73:M104" si="44">IF(E73&gt;0.85*BiasLight,IF( E73&lt;1.15*BiasLight,E73,""),"")</f>
        <v/>
      </c>
      <c r="N73" s="196" t="str">
        <f t="shared" ref="N73:N104" si="45">IF(E73&gt;0.85*BiasLight,IF(E73&lt;1.15*BiasLight,I73,""),"")</f>
        <v/>
      </c>
      <c r="O73" s="250">
        <f t="shared" ref="O73:O104" si="46">I73-Traps</f>
        <v>1051344103546150.6</v>
      </c>
      <c r="P73" s="248">
        <f t="shared" si="34"/>
        <v>4.9672359813018784E-5</v>
      </c>
      <c r="Q73" s="250">
        <f t="shared" si="35"/>
        <v>4.9672359813018784E-5</v>
      </c>
      <c r="R73" s="251">
        <f t="shared" si="36"/>
        <v>20131.920524096116</v>
      </c>
      <c r="S73" s="252">
        <f>IF(AND(E73&gt;0.95*BiasLight,E73&lt;1.05*BiasLight),"",IF(AugerModel="Sinton",calclifetimeauger(Auger_Coefficient,I73,P73),calclifetimerichter(SampleType,I73,SampleDoping,P73)))</f>
        <v>20130.085685552174</v>
      </c>
      <c r="T73" s="201">
        <f t="shared" si="37"/>
        <v>20130.085685552174</v>
      </c>
      <c r="U73" s="252">
        <f t="shared" ref="U73:U104" si="47">FitInterceptAuger+FitSlopeAuger*(I73+Traps)</f>
        <v>20214.595140268924</v>
      </c>
      <c r="V73" s="251" t="str">
        <f>IF(AugerModel="Sinton","",IF(SampleType="n-type",n_intr_boltzmann(SampleDoping,0,K73,Temperature+273.15),n_intr_boltzmann(0,SampleDoping,K73,Temperature+273.15)))</f>
        <v/>
      </c>
      <c r="W73" s="251" t="str">
        <f t="shared" si="13"/>
        <v/>
      </c>
      <c r="X73" s="246">
        <f>IF(AND(A73&gt;TimeofMaxCD,I73&gt;Traps),IF(AugerModel="Sinton",CalcImpliedV(SampleDoping,O73),CalcImpliedVRichter(O73,SampleDoping,V73)),"")</f>
        <v>0.63900994574463044</v>
      </c>
      <c r="Y73" s="253">
        <f t="shared" ref="Y73:Y104" si="48">IF(OR(P73="",P73&lt;0,A73&lt;=TimeofMaxCD),"",(O73*Thickness*1.602E-19/(0.038*OptConst*P73)))</f>
        <v>2.4984291426007221</v>
      </c>
      <c r="Z73" s="200" t="str">
        <f t="shared" ref="Z73:Z104" si="49">IF(C73&gt;0.6,O73,"")</f>
        <v/>
      </c>
      <c r="AE73" s="251">
        <f t="shared" ref="AE73:AE104" si="50">H73/(K73*AreaFrac*Thickness*1.602E-19)</f>
        <v>1542.5636295090749</v>
      </c>
    </row>
    <row r="74" spans="1:31" x14ac:dyDescent="0.2">
      <c r="A74" s="244">
        <v>6.5499E-3</v>
      </c>
      <c r="B74" s="244">
        <v>0.16045499999999999</v>
      </c>
      <c r="C74" s="245">
        <v>2.42688E-2</v>
      </c>
      <c r="D74" s="246">
        <f>IF(CouplingMode="AC",B74-(A$11-A$10)*SUM(B$9:B74)/0.21,B74)</f>
        <v>0.16045499999999999</v>
      </c>
      <c r="E74" s="247">
        <f t="shared" si="38"/>
        <v>2.3060470917411302</v>
      </c>
      <c r="F74" s="247">
        <f t="shared" si="39"/>
        <v>2.3060470917411302</v>
      </c>
      <c r="G74" s="248">
        <f t="shared" si="40"/>
        <v>3.8290170187461958E+17</v>
      </c>
      <c r="H74" s="249">
        <f t="shared" si="41"/>
        <v>4.7989692590336922E-3</v>
      </c>
      <c r="I74" s="248">
        <f>IF(MobilityModel=DK,CalcDeltaN(H74,SampleDoping,Thickness,AreaFrac),CalcDeltaNDL(H74,AreaFrac,Thickness,SampleType,SampleDoping,Temperature))</f>
        <v>989079342770230.37</v>
      </c>
      <c r="J74" s="248">
        <f t="shared" si="42"/>
        <v>989079342770230.37</v>
      </c>
      <c r="K74" s="248">
        <f t="shared" si="43"/>
        <v>989079342770230.37</v>
      </c>
      <c r="L74" s="250">
        <f t="shared" si="33"/>
        <v>-6.3981317817148109E+17</v>
      </c>
      <c r="M74" s="196" t="str">
        <f t="shared" si="44"/>
        <v/>
      </c>
      <c r="N74" s="196" t="str">
        <f t="shared" si="45"/>
        <v/>
      </c>
      <c r="O74" s="250">
        <f t="shared" si="46"/>
        <v>989079342770230.37</v>
      </c>
      <c r="P74" s="248">
        <f t="shared" si="34"/>
        <v>4.9023505720636952E-5</v>
      </c>
      <c r="Q74" s="250">
        <f t="shared" si="35"/>
        <v>4.9023505720636952E-5</v>
      </c>
      <c r="R74" s="251">
        <f t="shared" si="36"/>
        <v>20398.377988276749</v>
      </c>
      <c r="S74" s="252">
        <f>IF(AND(E74&gt;0.95*BiasLight,E74&lt;1.05*BiasLight),"",IF(AugerModel="Sinton",calclifetimeauger(Auger_Coefficient,I74,P74),calclifetimerichter(SampleType,I74,SampleDoping,P74)))</f>
        <v>20396.754046885901</v>
      </c>
      <c r="T74" s="201">
        <f t="shared" si="37"/>
        <v>20396.754046885901</v>
      </c>
      <c r="U74" s="252">
        <f t="shared" si="47"/>
        <v>20547.82098076868</v>
      </c>
      <c r="V74" s="251" t="str">
        <f>IF(AugerModel="Sinton","",IF(SampleType="n-type",n_intr_boltzmann(SampleDoping,0,K74,Temperature+273.15),n_intr_boltzmann(0,SampleDoping,K74,Temperature+273.15)))</f>
        <v/>
      </c>
      <c r="W74" s="251" t="str">
        <f t="shared" ref="W74:W134" si="51">IF(V74="","",IF(T74="","",(V74^2)*T74))</f>
        <v/>
      </c>
      <c r="X74" s="246">
        <f>IF(AND(A74&gt;TimeofMaxCD,I74&gt;Traps),IF(AugerModel="Sinton",CalcImpliedV(SampleDoping,O74),CalcImpliedVRichter(O74,SampleDoping,V74)),"")</f>
        <v>0.63708100868382811</v>
      </c>
      <c r="Y74" s="253">
        <f t="shared" si="48"/>
        <v>2.3815719862676037</v>
      </c>
      <c r="Z74" s="200" t="str">
        <f t="shared" si="49"/>
        <v/>
      </c>
      <c r="AE74" s="251">
        <f t="shared" si="50"/>
        <v>1545.2482245653121</v>
      </c>
    </row>
    <row r="75" spans="1:31" x14ac:dyDescent="0.2">
      <c r="A75" s="244">
        <v>6.6499000000000003E-3</v>
      </c>
      <c r="B75" s="244">
        <v>0.15045</v>
      </c>
      <c r="C75" s="245">
        <v>2.3118400000000001E-2</v>
      </c>
      <c r="D75" s="246">
        <f>IF(CouplingMode="AC",B75-(A$11-A$10)*SUM(B$9:B75)/0.21,B75)</f>
        <v>0.15045</v>
      </c>
      <c r="E75" s="247">
        <f t="shared" si="38"/>
        <v>2.1967348647526102</v>
      </c>
      <c r="F75" s="247">
        <f t="shared" si="39"/>
        <v>2.1967348647526102</v>
      </c>
      <c r="G75" s="248">
        <f t="shared" si="40"/>
        <v>3.6475123222484032E+17</v>
      </c>
      <c r="H75" s="249">
        <f t="shared" si="41"/>
        <v>4.499067003477528E-3</v>
      </c>
      <c r="I75" s="248">
        <f>IF(MobilityModel=DK,CalcDeltaN(H75,SampleDoping,Thickness,AreaFrac),CalcDeltaNDL(H75,AreaFrac,Thickness,SampleType,SampleDoping,Temperature))</f>
        <v>925582193009749.75</v>
      </c>
      <c r="J75" s="248">
        <f t="shared" si="42"/>
        <v>925582193009749.75</v>
      </c>
      <c r="K75" s="248">
        <f t="shared" si="43"/>
        <v>925582193009749.75</v>
      </c>
      <c r="L75" s="250">
        <f t="shared" ref="L75:L106" si="52">IF(ABS(SLOPE(K73:K77,A73:A77))&lt;1000000000000,-1000000000000,(SLOPE(K73:K77,A73:A77)))</f>
        <v>-6.0439693491398912E+17</v>
      </c>
      <c r="M75" s="196" t="str">
        <f t="shared" si="44"/>
        <v/>
      </c>
      <c r="N75" s="196" t="str">
        <f t="shared" si="45"/>
        <v/>
      </c>
      <c r="O75" s="250">
        <f t="shared" si="46"/>
        <v>925582193009749.75</v>
      </c>
      <c r="P75" s="248">
        <f t="shared" ref="P75:P106" si="53">calclifetime(AnalysisMode,K75,Thickness,G75,L75)</f>
        <v>4.8171894967260264E-5</v>
      </c>
      <c r="Q75" s="250">
        <f t="shared" si="35"/>
        <v>4.8171894967260264E-5</v>
      </c>
      <c r="R75" s="251">
        <f t="shared" si="36"/>
        <v>20758.992368468043</v>
      </c>
      <c r="S75" s="252">
        <f>IF(AND(E75&gt;0.95*BiasLight,E75&lt;1.05*BiasLight),"",IF(AugerModel="Sinton",calclifetimeauger(Auger_Coefficient,I75,P75),calclifetimerichter(SampleType,I75,SampleDoping,P75)))</f>
        <v>20757.570242490656</v>
      </c>
      <c r="T75" s="201">
        <f t="shared" si="37"/>
        <v>20757.570242490656</v>
      </c>
      <c r="U75" s="252">
        <f t="shared" si="47"/>
        <v>20887.64226707253</v>
      </c>
      <c r="V75" s="251" t="str">
        <f>IF(AugerModel="Sinton","",IF(SampleType="n-type",n_intr_boltzmann(SampleDoping,0,K75,Temperature+273.15),n_intr_boltzmann(0,SampleDoping,K75,Temperature+273.15)))</f>
        <v/>
      </c>
      <c r="W75" s="251" t="str">
        <f t="shared" si="51"/>
        <v/>
      </c>
      <c r="X75" s="246">
        <f>IF(AND(A75&gt;TimeofMaxCD,I75&gt;Traps),IF(AugerModel="Sinton",CalcImpliedV(SampleDoping,O75),CalcImpliedVRichter(O75,SampleDoping,V75)),"")</f>
        <v>0.63500345410314762</v>
      </c>
      <c r="Y75" s="253">
        <f t="shared" si="48"/>
        <v>2.2680791513644567</v>
      </c>
      <c r="Z75" s="200" t="str">
        <f t="shared" si="49"/>
        <v/>
      </c>
      <c r="AE75" s="251">
        <f t="shared" si="50"/>
        <v>1548.0639140169569</v>
      </c>
    </row>
    <row r="76" spans="1:31" x14ac:dyDescent="0.2">
      <c r="A76" s="244">
        <v>6.7498999999999997E-3</v>
      </c>
      <c r="B76" s="244">
        <v>0.14102600000000001</v>
      </c>
      <c r="C76" s="245">
        <v>2.2033500000000001E-2</v>
      </c>
      <c r="D76" s="246">
        <f>IF(CouplingMode="AC",B76-(A$11-A$10)*SUM(B$9:B76)/0.21,B76)</f>
        <v>0.14102600000000001</v>
      </c>
      <c r="E76" s="247">
        <f t="shared" si="38"/>
        <v>2.0936465171692951</v>
      </c>
      <c r="F76" s="247">
        <f t="shared" si="39"/>
        <v>2.0936465171692951</v>
      </c>
      <c r="G76" s="248">
        <f t="shared" si="40"/>
        <v>3.4763419074096909E+17</v>
      </c>
      <c r="H76" s="249">
        <f t="shared" si="41"/>
        <v>4.2166615750221254E-3</v>
      </c>
      <c r="I76" s="248">
        <f>IF(MobilityModel=DK,CalcDeltaN(H76,SampleDoping,Thickness,AreaFrac),CalcDeltaNDL(H76,AreaFrac,Thickness,SampleType,SampleDoping,Temperature))</f>
        <v>865960234856363.5</v>
      </c>
      <c r="J76" s="248">
        <f t="shared" si="42"/>
        <v>865960234856363.5</v>
      </c>
      <c r="K76" s="248">
        <f t="shared" si="43"/>
        <v>865960234856363.5</v>
      </c>
      <c r="L76" s="250">
        <f t="shared" si="52"/>
        <v>-5.7413541765759475E+17</v>
      </c>
      <c r="M76" s="196" t="str">
        <f t="shared" si="44"/>
        <v/>
      </c>
      <c r="N76" s="196" t="str">
        <f t="shared" si="45"/>
        <v/>
      </c>
      <c r="O76" s="250">
        <f t="shared" si="46"/>
        <v>865960234856363.5</v>
      </c>
      <c r="P76" s="248">
        <f t="shared" si="53"/>
        <v>4.72929056217486E-5</v>
      </c>
      <c r="Q76" s="250">
        <f t="shared" ref="Q76:Q107" si="54">IF($J76="","",P76)</f>
        <v>4.72929056217486E-5</v>
      </c>
      <c r="R76" s="251">
        <f t="shared" ref="R76" si="55">IF(Q76="","",1/Q76)</f>
        <v>21144.820493755615</v>
      </c>
      <c r="S76" s="252">
        <f>IF(AND(E76&gt;0.95*BiasLight,E76&lt;1.05*BiasLight),"",IF(AugerModel="Sinton",calclifetimeauger(Auger_Coefficient,I76,P76),calclifetimerichter(SampleType,I76,SampleDoping,P76)))</f>
        <v>21143.575681122551</v>
      </c>
      <c r="T76" s="201">
        <f t="shared" ref="T76:T107" si="56">IF($J76="","",S76)</f>
        <v>21143.575681122551</v>
      </c>
      <c r="U76" s="252">
        <f t="shared" si="47"/>
        <v>21206.724471361456</v>
      </c>
      <c r="V76" s="251" t="str">
        <f>IF(AugerModel="Sinton","",IF(SampleType="n-type",n_intr_boltzmann(SampleDoping,0,K76,Temperature+273.15),n_intr_boltzmann(0,SampleDoping,K76,Temperature+273.15)))</f>
        <v/>
      </c>
      <c r="W76" s="251" t="str">
        <f t="shared" si="51"/>
        <v/>
      </c>
      <c r="X76" s="246">
        <f>IF(AND(A76&gt;TimeofMaxCD,I76&gt;Traps),IF(AugerModel="Sinton",CalcImpliedV(SampleDoping,O76),CalcImpliedVRichter(O76,SampleDoping,V76)),"")</f>
        <v>0.63293769453435711</v>
      </c>
      <c r="Y76" s="253">
        <f t="shared" si="48"/>
        <v>2.1614186705757401</v>
      </c>
      <c r="Z76" s="200" t="str">
        <f t="shared" si="49"/>
        <v/>
      </c>
      <c r="AE76" s="251">
        <f t="shared" si="50"/>
        <v>1550.7872213839123</v>
      </c>
    </row>
    <row r="77" spans="1:31" x14ac:dyDescent="0.2">
      <c r="A77" s="244">
        <v>6.8498999999999999E-3</v>
      </c>
      <c r="B77" s="244">
        <v>0.13226599999999999</v>
      </c>
      <c r="C77" s="245">
        <v>2.09915E-2</v>
      </c>
      <c r="D77" s="246">
        <f>IF(CouplingMode="AC",B77-(A$11-A$10)*SUM(B$9:B77)/0.21,B77)</f>
        <v>0.13226599999999999</v>
      </c>
      <c r="E77" s="247">
        <f t="shared" si="38"/>
        <v>1.9946345730437407</v>
      </c>
      <c r="F77" s="247">
        <f t="shared" si="39"/>
        <v>1.9946345730437407</v>
      </c>
      <c r="G77" s="248">
        <f t="shared" si="40"/>
        <v>3.3119400526194445E+17</v>
      </c>
      <c r="H77" s="249">
        <f t="shared" si="41"/>
        <v>3.9542246365528427E-3</v>
      </c>
      <c r="I77" s="248">
        <f>IF(MobilityModel=DK,CalcDeltaN(H77,SampleDoping,Thickness,AreaFrac),CalcDeltaNDL(H77,AreaFrac,Thickness,SampleType,SampleDoping,Temperature))</f>
        <v>810705190046089.5</v>
      </c>
      <c r="J77" s="248">
        <f t="shared" si="42"/>
        <v>810705190046089.5</v>
      </c>
      <c r="K77" s="248">
        <f t="shared" si="43"/>
        <v>810705190046089.5</v>
      </c>
      <c r="L77" s="250">
        <f t="shared" si="52"/>
        <v>-5.3568628470041254E+17</v>
      </c>
      <c r="M77" s="196" t="str">
        <f t="shared" si="44"/>
        <v/>
      </c>
      <c r="N77" s="196" t="str">
        <f t="shared" si="45"/>
        <v/>
      </c>
      <c r="O77" s="250">
        <f t="shared" si="46"/>
        <v>810705190046089.5</v>
      </c>
      <c r="P77" s="248">
        <f t="shared" si="53"/>
        <v>4.6503149022396228E-5</v>
      </c>
      <c r="Q77" s="250">
        <f t="shared" si="54"/>
        <v>4.6503149022396228E-5</v>
      </c>
      <c r="R77" s="251">
        <f t="shared" ref="R77:R108" si="57">IF(Q77="","",1/Q77)</f>
        <v>21503.920079012139</v>
      </c>
      <c r="S77" s="252">
        <f>IF(AND(E77&gt;0.95*BiasLight,E77&lt;1.05*BiasLight),"",IF(AugerModel="Sinton",calclifetimeauger(Auger_Coefficient,I77,P77),calclifetimerichter(SampleType,I77,SampleDoping,P77)))</f>
        <v>21502.82905578956</v>
      </c>
      <c r="T77" s="201">
        <f t="shared" si="56"/>
        <v>21502.82905578956</v>
      </c>
      <c r="U77" s="252">
        <f t="shared" si="47"/>
        <v>21502.436018620396</v>
      </c>
      <c r="V77" s="251" t="str">
        <f>IF(AugerModel="Sinton","",IF(SampleType="n-type",n_intr_boltzmann(SampleDoping,0,K77,Temperature+273.15),n_intr_boltzmann(0,SampleDoping,K77,Temperature+273.15)))</f>
        <v/>
      </c>
      <c r="W77" s="251" t="str">
        <f t="shared" si="51"/>
        <v/>
      </c>
      <c r="X77" s="246">
        <f>IF(AND(A77&gt;TimeofMaxCD,I77&gt;Traps),IF(AugerModel="Sinton",CalcImpliedV(SampleDoping,O77),CalcImpliedVRichter(O77,SampleDoping,V77)),"")</f>
        <v>0.6309101925570656</v>
      </c>
      <c r="Y77" s="253">
        <f t="shared" si="48"/>
        <v>2.0578681098503768</v>
      </c>
      <c r="Z77" s="200" t="str">
        <f t="shared" si="49"/>
        <v/>
      </c>
      <c r="AE77" s="251">
        <f t="shared" si="50"/>
        <v>1553.3874824450374</v>
      </c>
    </row>
    <row r="78" spans="1:31" x14ac:dyDescent="0.2">
      <c r="A78" s="244">
        <v>6.9499000000000002E-3</v>
      </c>
      <c r="B78" s="244">
        <v>0.12411700000000001</v>
      </c>
      <c r="C78" s="245">
        <v>1.9988499999999999E-2</v>
      </c>
      <c r="D78" s="246">
        <f>IF(CouplingMode="AC",B78-(A$11-A$10)*SUM(B$9:B78)/0.21,B78)</f>
        <v>0.12411700000000001</v>
      </c>
      <c r="E78" s="247">
        <f t="shared" si="38"/>
        <v>1.8993284502434227</v>
      </c>
      <c r="F78" s="247">
        <f t="shared" si="39"/>
        <v>1.8993284502434227</v>
      </c>
      <c r="G78" s="248">
        <f t="shared" si="40"/>
        <v>3.1536914342368941E+17</v>
      </c>
      <c r="H78" s="249">
        <f t="shared" si="41"/>
        <v>3.7101534926089648E-3</v>
      </c>
      <c r="I78" s="248">
        <f>IF(MobilityModel=DK,CalcDeltaN(H78,SampleDoping,Thickness,AreaFrac),CalcDeltaNDL(H78,AreaFrac,Thickness,SampleType,SampleDoping,Temperature))</f>
        <v>759450135423263.12</v>
      </c>
      <c r="J78" s="248">
        <f t="shared" si="42"/>
        <v>759450135423263.12</v>
      </c>
      <c r="K78" s="248">
        <f t="shared" si="43"/>
        <v>759450135423263.12</v>
      </c>
      <c r="L78" s="250">
        <f t="shared" si="52"/>
        <v>-4.995084780470311E+17</v>
      </c>
      <c r="M78" s="196" t="str">
        <f t="shared" si="44"/>
        <v/>
      </c>
      <c r="N78" s="196" t="str">
        <f t="shared" si="45"/>
        <v/>
      </c>
      <c r="O78" s="250">
        <f t="shared" si="46"/>
        <v>759450135423263.12</v>
      </c>
      <c r="P78" s="248">
        <f t="shared" si="53"/>
        <v>4.5778217198410917E-5</v>
      </c>
      <c r="Q78" s="250">
        <f t="shared" si="54"/>
        <v>4.5778217198410917E-5</v>
      </c>
      <c r="R78" s="251">
        <f t="shared" si="57"/>
        <v>21844.450509416358</v>
      </c>
      <c r="S78" s="252">
        <f>IF(AND(E78&gt;0.95*BiasLight,E78&lt;1.05*BiasLight),"",IF(AugerModel="Sinton",calclifetimeauger(Auger_Coefficient,I78,P78),calclifetimerichter(SampleType,I78,SampleDoping,P78)))</f>
        <v>21843.493080332755</v>
      </c>
      <c r="T78" s="201">
        <f t="shared" si="56"/>
        <v>21843.493080332755</v>
      </c>
      <c r="U78" s="252">
        <f t="shared" si="47"/>
        <v>21776.740592246209</v>
      </c>
      <c r="V78" s="251" t="str">
        <f>IF(AugerModel="Sinton","",IF(SampleType="n-type",n_intr_boltzmann(SampleDoping,0,K78,Temperature+273.15),n_intr_boltzmann(0,SampleDoping,K78,Temperature+273.15)))</f>
        <v/>
      </c>
      <c r="W78" s="251" t="str">
        <f t="shared" si="51"/>
        <v/>
      </c>
      <c r="X78" s="246">
        <f>IF(AND(A78&gt;TimeofMaxCD,I78&gt;Traps),IF(AugerModel="Sinton",CalcImpliedV(SampleDoping,O78),CalcImpliedVRichter(O78,SampleDoping,V78)),"")</f>
        <v>0.62891896976978323</v>
      </c>
      <c r="Y78" s="253">
        <f t="shared" si="48"/>
        <v>1.9582914825888904</v>
      </c>
      <c r="Z78" s="200" t="str">
        <f t="shared" si="49"/>
        <v/>
      </c>
      <c r="AE78" s="251">
        <f t="shared" si="50"/>
        <v>1555.8725911765482</v>
      </c>
    </row>
    <row r="79" spans="1:31" x14ac:dyDescent="0.2">
      <c r="A79" s="244">
        <v>7.0498999999999996E-3</v>
      </c>
      <c r="B79" s="244">
        <v>0.116392</v>
      </c>
      <c r="C79" s="245">
        <v>1.90501E-2</v>
      </c>
      <c r="D79" s="246">
        <f>IF(CouplingMode="AC",B79-(A$11-A$10)*SUM(B$9:B79)/0.21,B79)</f>
        <v>0.116392</v>
      </c>
      <c r="E79" s="247">
        <f t="shared" si="38"/>
        <v>1.8101606878946508</v>
      </c>
      <c r="F79" s="247">
        <f t="shared" si="39"/>
        <v>1.8101606878946508</v>
      </c>
      <c r="G79" s="248">
        <f t="shared" si="40"/>
        <v>3.005635099750169E+17</v>
      </c>
      <c r="H79" s="249">
        <f t="shared" si="41"/>
        <v>3.4788359870970859E-3</v>
      </c>
      <c r="I79" s="248">
        <f>IF(MobilityModel=DK,CalcDeltaN(H79,SampleDoping,Thickness,AreaFrac),CalcDeltaNDL(H79,AreaFrac,Thickness,SampleType,SampleDoping,Temperature))</f>
        <v>710994100376093.87</v>
      </c>
      <c r="J79" s="248">
        <f t="shared" si="42"/>
        <v>710994100376093.87</v>
      </c>
      <c r="K79" s="248">
        <f t="shared" si="43"/>
        <v>710994100376093.87</v>
      </c>
      <c r="L79" s="250">
        <f t="shared" si="52"/>
        <v>-4.6453191025557133E+17</v>
      </c>
      <c r="M79" s="196" t="str">
        <f t="shared" si="44"/>
        <v/>
      </c>
      <c r="N79" s="196" t="str">
        <f t="shared" si="45"/>
        <v/>
      </c>
      <c r="O79" s="250">
        <f t="shared" si="46"/>
        <v>710994100376093.87</v>
      </c>
      <c r="P79" s="248">
        <f t="shared" si="53"/>
        <v>4.5001321651597716E-5</v>
      </c>
      <c r="Q79" s="250">
        <f t="shared" si="54"/>
        <v>4.5001321651597716E-5</v>
      </c>
      <c r="R79" s="251">
        <f t="shared" si="57"/>
        <v>22221.569573934863</v>
      </c>
      <c r="S79" s="252">
        <f>IF(AND(E79&gt;0.95*BiasLight,E79&lt;1.05*BiasLight),"",IF(AugerModel="Sinton",calclifetimeauger(Auger_Coefficient,I79,P79),calclifetimerichter(SampleType,I79,SampleDoping,P79)))</f>
        <v>22220.730423000987</v>
      </c>
      <c r="T79" s="201">
        <f t="shared" si="56"/>
        <v>22220.730423000987</v>
      </c>
      <c r="U79" s="252">
        <f t="shared" si="47"/>
        <v>22036.065494561146</v>
      </c>
      <c r="V79" s="251" t="str">
        <f>IF(AugerModel="Sinton","",IF(SampleType="n-type",n_intr_boltzmann(SampleDoping,0,K79,Temperature+273.15),n_intr_boltzmann(0,SampleDoping,K79,Temperature+273.15)))</f>
        <v/>
      </c>
      <c r="W79" s="251" t="str">
        <f t="shared" si="51"/>
        <v/>
      </c>
      <c r="X79" s="246">
        <f>IF(AND(A79&gt;TimeofMaxCD,I79&gt;Traps),IF(AugerModel="Sinton",CalcImpliedV(SampleDoping,O79),CalcImpliedVRichter(O79,SampleDoping,V79)),"")</f>
        <v>0.62692535801825888</v>
      </c>
      <c r="Y79" s="253">
        <f t="shared" si="48"/>
        <v>1.8649950125431347</v>
      </c>
      <c r="Z79" s="200" t="str">
        <f t="shared" si="49"/>
        <v/>
      </c>
      <c r="AE79" s="251">
        <f t="shared" si="50"/>
        <v>1558.2939115232277</v>
      </c>
    </row>
    <row r="80" spans="1:31" x14ac:dyDescent="0.2">
      <c r="A80" s="244">
        <v>7.1498999999999998E-3</v>
      </c>
      <c r="B80" s="244">
        <v>0.10921</v>
      </c>
      <c r="C80" s="245">
        <v>1.8173100000000001E-2</v>
      </c>
      <c r="D80" s="246">
        <f>IF(CouplingMode="AC",B80-(A$11-A$10)*SUM(B$9:B80)/0.21,B80)</f>
        <v>0.10921</v>
      </c>
      <c r="E80" s="247">
        <f t="shared" si="38"/>
        <v>1.7268272186066362</v>
      </c>
      <c r="F80" s="247">
        <f t="shared" si="39"/>
        <v>1.7268272186066362</v>
      </c>
      <c r="G80" s="248">
        <f t="shared" si="40"/>
        <v>2.8672661682232534E+17</v>
      </c>
      <c r="H80" s="249">
        <f t="shared" si="41"/>
        <v>3.2638255685859836E-3</v>
      </c>
      <c r="I80" s="248">
        <f>IF(MobilityModel=DK,CalcDeltaN(H80,SampleDoping,Thickness,AreaFrac),CalcDeltaNDL(H80,AreaFrac,Thickness,SampleType,SampleDoping,Temperature))</f>
        <v>666061540667845.75</v>
      </c>
      <c r="J80" s="248" t="str">
        <f t="shared" si="42"/>
        <v/>
      </c>
      <c r="K80" s="248">
        <f t="shared" si="43"/>
        <v>666061540667845.75</v>
      </c>
      <c r="L80" s="250">
        <f t="shared" si="52"/>
        <v>-4.3766631383466643E+17</v>
      </c>
      <c r="M80" s="196" t="str">
        <f t="shared" si="44"/>
        <v/>
      </c>
      <c r="N80" s="196" t="str">
        <f t="shared" si="45"/>
        <v/>
      </c>
      <c r="O80" s="250">
        <f t="shared" si="46"/>
        <v>666061540667845.75</v>
      </c>
      <c r="P80" s="248">
        <f t="shared" si="53"/>
        <v>4.4207892360494653E-5</v>
      </c>
      <c r="Q80" s="250" t="str">
        <f t="shared" si="54"/>
        <v/>
      </c>
      <c r="R80" s="251" t="str">
        <f t="shared" si="57"/>
        <v/>
      </c>
      <c r="S80" s="252">
        <f>IF(AND(E80&gt;0.95*BiasLight,E80&lt;1.05*BiasLight),"",IF(AugerModel="Sinton",calclifetimeauger(Auger_Coefficient,I80,P80),calclifetimerichter(SampleType,I80,SampleDoping,P80)))</f>
        <v>22619.658847970397</v>
      </c>
      <c r="T80" s="201" t="str">
        <f t="shared" si="56"/>
        <v/>
      </c>
      <c r="U80" s="252">
        <f t="shared" si="47"/>
        <v>22276.533614698481</v>
      </c>
      <c r="V80" s="251" t="str">
        <f>IF(AugerModel="Sinton","",IF(SampleType="n-type",n_intr_boltzmann(SampleDoping,0,K80,Temperature+273.15),n_intr_boltzmann(0,SampleDoping,K80,Temperature+273.15)))</f>
        <v/>
      </c>
      <c r="W80" s="251" t="str">
        <f t="shared" si="51"/>
        <v/>
      </c>
      <c r="X80" s="246">
        <f>IF(AND(A80&gt;TimeofMaxCD,I80&gt;Traps),IF(AugerModel="Sinton",CalcImpliedV(SampleDoping,O80),CalcImpliedVRichter(O80,SampleDoping,V80)),"")</f>
        <v>0.62496704688909066</v>
      </c>
      <c r="Y80" s="253">
        <f t="shared" si="48"/>
        <v>1.7784902716944462</v>
      </c>
      <c r="Z80" s="200" t="str">
        <f t="shared" si="49"/>
        <v/>
      </c>
      <c r="AE80" s="251">
        <f t="shared" si="50"/>
        <v>1560.6086135889345</v>
      </c>
    </row>
    <row r="81" spans="1:31" x14ac:dyDescent="0.2">
      <c r="A81" s="244">
        <v>7.2499000000000001E-3</v>
      </c>
      <c r="B81" s="244">
        <v>0.10265199999999999</v>
      </c>
      <c r="C81" s="245">
        <v>1.73128E-2</v>
      </c>
      <c r="D81" s="246">
        <f>IF(CouplingMode="AC",B81-(A$11-A$10)*SUM(B$9:B81)/0.21,B81)</f>
        <v>0.10265199999999999</v>
      </c>
      <c r="E81" s="247">
        <f t="shared" si="38"/>
        <v>1.6450806010142998</v>
      </c>
      <c r="F81" s="247">
        <f t="shared" si="39"/>
        <v>1.6450806010142998</v>
      </c>
      <c r="G81" s="248">
        <f t="shared" si="40"/>
        <v>2.7315320840811718E+17</v>
      </c>
      <c r="H81" s="249">
        <f t="shared" si="41"/>
        <v>3.0675360557861631E-3</v>
      </c>
      <c r="I81" s="248">
        <f>IF(MobilityModel=DK,CalcDeltaN(H81,SampleDoping,Thickness,AreaFrac),CalcDeltaNDL(H81,AreaFrac,Thickness,SampleType,SampleDoping,Temperature))</f>
        <v>625133532296012.5</v>
      </c>
      <c r="J81" s="248" t="str">
        <f t="shared" si="42"/>
        <v/>
      </c>
      <c r="K81" s="248">
        <f t="shared" si="43"/>
        <v>625133532296012.5</v>
      </c>
      <c r="L81" s="250">
        <f t="shared" si="52"/>
        <v>-4.0904551177245882E+17</v>
      </c>
      <c r="M81" s="196" t="str">
        <f t="shared" si="44"/>
        <v/>
      </c>
      <c r="N81" s="196" t="str">
        <f t="shared" si="45"/>
        <v/>
      </c>
      <c r="O81" s="250">
        <f t="shared" si="46"/>
        <v>625133532296012.5</v>
      </c>
      <c r="P81" s="248">
        <f t="shared" si="53"/>
        <v>4.3577179020834967E-5</v>
      </c>
      <c r="Q81" s="250" t="str">
        <f t="shared" si="54"/>
        <v/>
      </c>
      <c r="R81" s="251" t="str">
        <f t="shared" si="57"/>
        <v/>
      </c>
      <c r="S81" s="252">
        <f>IF(AND(E81&gt;0.95*BiasLight,E81&lt;1.05*BiasLight),"",IF(AugerModel="Sinton",calclifetimeauger(Auger_Coefficient,I81,P81),calclifetimerichter(SampleType,I81,SampleDoping,P81)))</f>
        <v>22947.142364797004</v>
      </c>
      <c r="T81" s="201" t="str">
        <f t="shared" si="56"/>
        <v/>
      </c>
      <c r="U81" s="252">
        <f t="shared" si="47"/>
        <v>22495.570351043887</v>
      </c>
      <c r="V81" s="251" t="str">
        <f>IF(AugerModel="Sinton","",IF(SampleType="n-type",n_intr_boltzmann(SampleDoping,0,K81,Temperature+273.15),n_intr_boltzmann(0,SampleDoping,K81,Temperature+273.15)))</f>
        <v/>
      </c>
      <c r="W81" s="251" t="str">
        <f t="shared" si="51"/>
        <v/>
      </c>
      <c r="X81" s="246">
        <f>IF(AND(A81&gt;TimeofMaxCD,I81&gt;Traps),IF(AugerModel="Sinton",CalcImpliedV(SampleDoping,O81),CalcImpliedVRichter(O81,SampleDoping,V81)),"")</f>
        <v>0.623079010562959</v>
      </c>
      <c r="Y81" s="253">
        <f t="shared" si="48"/>
        <v>1.6933651943723667</v>
      </c>
      <c r="Z81" s="200" t="str">
        <f t="shared" si="49"/>
        <v/>
      </c>
      <c r="AE81" s="251">
        <f t="shared" si="50"/>
        <v>1562.7816309042159</v>
      </c>
    </row>
    <row r="82" spans="1:31" x14ac:dyDescent="0.2">
      <c r="A82" s="244">
        <v>7.3499000000000004E-3</v>
      </c>
      <c r="B82" s="244">
        <v>9.5972399999999999E-2</v>
      </c>
      <c r="C82" s="245">
        <v>1.6481699999999998E-2</v>
      </c>
      <c r="D82" s="246">
        <f>IF(CouplingMode="AC",B82-(A$11-A$10)*SUM(B$9:B82)/0.21,B82)</f>
        <v>9.5972399999999999E-2</v>
      </c>
      <c r="E82" s="247">
        <f t="shared" si="38"/>
        <v>1.5661085983629095</v>
      </c>
      <c r="F82" s="247">
        <f t="shared" si="39"/>
        <v>1.5661085983629095</v>
      </c>
      <c r="G82" s="248">
        <f t="shared" si="40"/>
        <v>2.6004050384802365E+17</v>
      </c>
      <c r="H82" s="249">
        <f t="shared" si="41"/>
        <v>2.8676461157154404E-3</v>
      </c>
      <c r="I82" s="248">
        <f>IF(MobilityModel=DK,CalcDeltaN(H82,SampleDoping,Thickness,AreaFrac),CalcDeltaNDL(H82,AreaFrac,Thickness,SampleType,SampleDoping,Temperature))</f>
        <v>583547262545970.37</v>
      </c>
      <c r="J82" s="248" t="str">
        <f t="shared" si="42"/>
        <v/>
      </c>
      <c r="K82" s="248">
        <f t="shared" si="43"/>
        <v>583547262545970.37</v>
      </c>
      <c r="L82" s="250">
        <f t="shared" si="52"/>
        <v>-3.8506708383636563E+17</v>
      </c>
      <c r="M82" s="196" t="str">
        <f t="shared" si="44"/>
        <v/>
      </c>
      <c r="N82" s="196" t="str">
        <f t="shared" si="45"/>
        <v/>
      </c>
      <c r="O82" s="250">
        <f t="shared" si="46"/>
        <v>583547262545970.37</v>
      </c>
      <c r="P82" s="248">
        <f t="shared" si="53"/>
        <v>4.2743075532520336E-5</v>
      </c>
      <c r="Q82" s="250" t="str">
        <f t="shared" si="54"/>
        <v/>
      </c>
      <c r="R82" s="251" t="str">
        <f t="shared" si="57"/>
        <v/>
      </c>
      <c r="S82" s="252">
        <f>IF(AND(E82&gt;0.95*BiasLight,E82&lt;1.05*BiasLight),"",IF(AugerModel="Sinton",calclifetimeauger(Auger_Coefficient,I82,P82),calclifetimerichter(SampleType,I82,SampleDoping,P82)))</f>
        <v>23395.037112524464</v>
      </c>
      <c r="T82" s="201" t="str">
        <f t="shared" si="56"/>
        <v/>
      </c>
      <c r="U82" s="252">
        <f t="shared" si="47"/>
        <v>22718.129942023097</v>
      </c>
      <c r="V82" s="251" t="str">
        <f>IF(AugerModel="Sinton","",IF(SampleType="n-type",n_intr_boltzmann(SampleDoping,0,K82,Temperature+273.15),n_intr_boltzmann(0,SampleDoping,K82,Temperature+273.15)))</f>
        <v/>
      </c>
      <c r="W82" s="251" t="str">
        <f t="shared" si="51"/>
        <v/>
      </c>
      <c r="X82" s="246">
        <f>IF(AND(A82&gt;TimeofMaxCD,I82&gt;Traps),IF(AugerModel="Sinton",CalcImpliedV(SampleDoping,O82),CalcImpliedVRichter(O82,SampleDoping,V82)),"")</f>
        <v>0.6210447938857141</v>
      </c>
      <c r="Y82" s="253">
        <f t="shared" si="48"/>
        <v>1.611562727606499</v>
      </c>
      <c r="Z82" s="200" t="str">
        <f t="shared" si="49"/>
        <v/>
      </c>
      <c r="AE82" s="251">
        <f t="shared" si="50"/>
        <v>1565.0598010427736</v>
      </c>
    </row>
    <row r="83" spans="1:31" x14ac:dyDescent="0.2">
      <c r="A83" s="244">
        <v>7.4498999999999998E-3</v>
      </c>
      <c r="B83" s="244">
        <v>9.0205800000000003E-2</v>
      </c>
      <c r="C83" s="245">
        <v>1.5720999999999999E-2</v>
      </c>
      <c r="D83" s="246">
        <f>IF(CouplingMode="AC",B83-(A$11-A$10)*SUM(B$9:B83)/0.21,B83)</f>
        <v>9.0205800000000003E-2</v>
      </c>
      <c r="E83" s="247">
        <f t="shared" si="38"/>
        <v>1.4938260783088699</v>
      </c>
      <c r="F83" s="247">
        <f t="shared" si="39"/>
        <v>1.4938260783088699</v>
      </c>
      <c r="G83" s="248">
        <f t="shared" si="40"/>
        <v>2.4803853734716566E+17</v>
      </c>
      <c r="H83" s="249">
        <f t="shared" si="41"/>
        <v>2.6951099331267384E-3</v>
      </c>
      <c r="I83" s="248">
        <f>IF(MobilityModel=DK,CalcDeltaN(H83,SampleDoping,Thickness,AreaFrac),CalcDeltaNDL(H83,AreaFrac,Thickness,SampleType,SampleDoping,Temperature))</f>
        <v>547728483550801.94</v>
      </c>
      <c r="J83" s="248" t="str">
        <f t="shared" si="42"/>
        <v/>
      </c>
      <c r="K83" s="248">
        <f t="shared" si="43"/>
        <v>547728483550801.94</v>
      </c>
      <c r="L83" s="250">
        <f t="shared" si="52"/>
        <v>-3.6337512665996179E+17</v>
      </c>
      <c r="M83" s="196" t="str">
        <f t="shared" si="44"/>
        <v/>
      </c>
      <c r="N83" s="196" t="str">
        <f t="shared" si="45"/>
        <v/>
      </c>
      <c r="O83" s="250">
        <f t="shared" si="46"/>
        <v>547728483550801.94</v>
      </c>
      <c r="P83" s="248">
        <f t="shared" si="53"/>
        <v>4.2073401999190306E-5</v>
      </c>
      <c r="Q83" s="250" t="str">
        <f t="shared" si="54"/>
        <v/>
      </c>
      <c r="R83" s="251" t="str">
        <f t="shared" si="57"/>
        <v/>
      </c>
      <c r="S83" s="252">
        <f>IF(AND(E83&gt;0.95*BiasLight,E83&lt;1.05*BiasLight),"",IF(AugerModel="Sinton",calclifetimeauger(Auger_Coefficient,I83,P83),calclifetimerichter(SampleType,I83,SampleDoping,P83)))</f>
        <v>23767.487283573053</v>
      </c>
      <c r="T83" s="201" t="str">
        <f t="shared" si="56"/>
        <v/>
      </c>
      <c r="U83" s="252">
        <f t="shared" si="47"/>
        <v>22909.823326653524</v>
      </c>
      <c r="V83" s="251" t="str">
        <f>IF(AugerModel="Sinton","",IF(SampleType="n-type",n_intr_boltzmann(SampleDoping,0,K83,Temperature+273.15),n_intr_boltzmann(0,SampleDoping,K83,Temperature+273.15)))</f>
        <v/>
      </c>
      <c r="W83" s="251" t="str">
        <f t="shared" si="51"/>
        <v/>
      </c>
      <c r="X83" s="246">
        <f>IF(AND(A83&gt;TimeofMaxCD,I83&gt;Traps),IF(AugerModel="Sinton",CalcImpliedV(SampleDoping,O83),CalcImpliedVRichter(O83,SampleDoping,V83)),"")</f>
        <v>0.61918634834130359</v>
      </c>
      <c r="Y83" s="253">
        <f t="shared" si="48"/>
        <v>1.5367196432600785</v>
      </c>
      <c r="Z83" s="200" t="str">
        <f t="shared" si="49"/>
        <v/>
      </c>
      <c r="AE83" s="251">
        <f t="shared" si="50"/>
        <v>1567.0850787685636</v>
      </c>
    </row>
    <row r="84" spans="1:31" x14ac:dyDescent="0.2">
      <c r="A84" s="244">
        <v>7.5499E-3</v>
      </c>
      <c r="B84" s="244">
        <v>8.4478300000000006E-2</v>
      </c>
      <c r="C84" s="245">
        <v>1.49739E-2</v>
      </c>
      <c r="D84" s="246">
        <f>IF(CouplingMode="AC",B84-(A$11-A$10)*SUM(B$9:B84)/0.21,B84)</f>
        <v>8.4478300000000006E-2</v>
      </c>
      <c r="E84" s="247">
        <f t="shared" si="38"/>
        <v>1.4228358446656821</v>
      </c>
      <c r="F84" s="247">
        <f t="shared" si="39"/>
        <v>1.4228358446656821</v>
      </c>
      <c r="G84" s="248">
        <f t="shared" si="40"/>
        <v>2.362511452441145E+17</v>
      </c>
      <c r="H84" s="249">
        <f t="shared" si="41"/>
        <v>2.5237728193300297E-3</v>
      </c>
      <c r="I84" s="248">
        <f>IF(MobilityModel=DK,CalcDeltaN(H84,SampleDoping,Thickness,AreaFrac),CalcDeltaNDL(H84,AreaFrac,Thickness,SampleType,SampleDoping,Temperature))</f>
        <v>512230523122268.25</v>
      </c>
      <c r="J84" s="248" t="str">
        <f t="shared" si="42"/>
        <v/>
      </c>
      <c r="K84" s="248">
        <f t="shared" si="43"/>
        <v>512230523122268.25</v>
      </c>
      <c r="L84" s="250">
        <f t="shared" si="52"/>
        <v>-3.3988956487070342E+17</v>
      </c>
      <c r="M84" s="196" t="str">
        <f t="shared" si="44"/>
        <v/>
      </c>
      <c r="N84" s="196" t="str">
        <f t="shared" si="45"/>
        <v/>
      </c>
      <c r="O84" s="250">
        <f t="shared" si="46"/>
        <v>512230523122268.25</v>
      </c>
      <c r="P84" s="248">
        <f t="shared" si="53"/>
        <v>4.1330513600471891E-5</v>
      </c>
      <c r="Q84" s="250" t="str">
        <f t="shared" si="54"/>
        <v/>
      </c>
      <c r="R84" s="251" t="str">
        <f t="shared" si="57"/>
        <v/>
      </c>
      <c r="S84" s="252">
        <f>IF(AND(E84&gt;0.95*BiasLight,E84&lt;1.05*BiasLight),"",IF(AugerModel="Sinton",calclifetimeauger(Auger_Coefficient,I84,P84),calclifetimerichter(SampleType,I84,SampleDoping,P84)))</f>
        <v>24194.763416703678</v>
      </c>
      <c r="T84" s="201" t="str">
        <f t="shared" si="56"/>
        <v/>
      </c>
      <c r="U84" s="252">
        <f t="shared" si="47"/>
        <v>23099.79976842281</v>
      </c>
      <c r="V84" s="251" t="str">
        <f>IF(AugerModel="Sinton","",IF(SampleType="n-type",n_intr_boltzmann(SampleDoping,0,K84,Temperature+273.15),n_intr_boltzmann(0,SampleDoping,K84,Temperature+273.15)))</f>
        <v/>
      </c>
      <c r="W84" s="251" t="str">
        <f t="shared" si="51"/>
        <v/>
      </c>
      <c r="X84" s="246">
        <f>IF(AND(A84&gt;TimeofMaxCD,I84&gt;Traps),IF(AugerModel="Sinton",CalcImpliedV(SampleDoping,O84),CalcImpliedVRichter(O84,SampleDoping,V84)),"")</f>
        <v>0.61723389880152024</v>
      </c>
      <c r="Y84" s="253">
        <f t="shared" si="48"/>
        <v>1.4629571244599986</v>
      </c>
      <c r="Z84" s="200" t="str">
        <f t="shared" si="49"/>
        <v/>
      </c>
      <c r="AE84" s="251">
        <f t="shared" si="50"/>
        <v>1569.156361145449</v>
      </c>
    </row>
    <row r="85" spans="1:31" x14ac:dyDescent="0.2">
      <c r="A85" s="244">
        <v>7.6499000000000003E-3</v>
      </c>
      <c r="B85" s="244">
        <v>7.9121899999999995E-2</v>
      </c>
      <c r="C85" s="245">
        <v>1.426E-2</v>
      </c>
      <c r="D85" s="246">
        <f>IF(CouplingMode="AC",B85-(A$11-A$10)*SUM(B$9:B85)/0.21,B85)</f>
        <v>7.9121899999999995E-2</v>
      </c>
      <c r="E85" s="247">
        <f t="shared" si="38"/>
        <v>1.3550003102019266</v>
      </c>
      <c r="F85" s="247">
        <f t="shared" si="39"/>
        <v>1.3550003102019266</v>
      </c>
      <c r="G85" s="248">
        <f t="shared" si="40"/>
        <v>2.2498756711218006E+17</v>
      </c>
      <c r="H85" s="249">
        <f t="shared" si="41"/>
        <v>2.3635634276723168E-3</v>
      </c>
      <c r="I85" s="248">
        <f>IF(MobilityModel=DK,CalcDeltaN(H85,SampleDoping,Thickness,AreaFrac),CalcDeltaNDL(H85,AreaFrac,Thickness,SampleType,SampleDoping,Temperature))</f>
        <v>479104338677882.62</v>
      </c>
      <c r="J85" s="248" t="str">
        <f t="shared" si="42"/>
        <v/>
      </c>
      <c r="K85" s="248">
        <f t="shared" si="43"/>
        <v>479104338677882.62</v>
      </c>
      <c r="L85" s="250">
        <f t="shared" si="52"/>
        <v>-3.1717855506445459E+17</v>
      </c>
      <c r="M85" s="196" t="str">
        <f t="shared" si="44"/>
        <v/>
      </c>
      <c r="N85" s="196" t="str">
        <f t="shared" si="45"/>
        <v/>
      </c>
      <c r="O85" s="250">
        <f t="shared" si="46"/>
        <v>479104338677882.62</v>
      </c>
      <c r="P85" s="248">
        <f t="shared" si="53"/>
        <v>4.0615362200720557E-5</v>
      </c>
      <c r="Q85" s="250" t="str">
        <f t="shared" si="54"/>
        <v/>
      </c>
      <c r="R85" s="251" t="str">
        <f t="shared" si="57"/>
        <v/>
      </c>
      <c r="S85" s="252">
        <f>IF(AND(E85&gt;0.95*BiasLight,E85&lt;1.05*BiasLight),"",IF(AugerModel="Sinton",calclifetimeauger(Auger_Coefficient,I85,P85),calclifetimerichter(SampleType,I85,SampleDoping,P85)))</f>
        <v>24620.844671074781</v>
      </c>
      <c r="T85" s="201" t="str">
        <f t="shared" si="56"/>
        <v/>
      </c>
      <c r="U85" s="252">
        <f t="shared" si="47"/>
        <v>23277.083042564918</v>
      </c>
      <c r="V85" s="251" t="str">
        <f>IF(AugerModel="Sinton","",IF(SampleType="n-type",n_intr_boltzmann(SampleDoping,0,K85,Temperature+273.15),n_intr_boltzmann(0,SampleDoping,K85,Temperature+273.15)))</f>
        <v/>
      </c>
      <c r="W85" s="251" t="str">
        <f t="shared" si="51"/>
        <v/>
      </c>
      <c r="X85" s="246">
        <f>IF(AND(A85&gt;TimeofMaxCD,I85&gt;Traps),IF(AugerModel="Sinton",CalcImpliedV(SampleDoping,O85),CalcImpliedVRichter(O85,SampleDoping,V85)),"")</f>
        <v>0.61529881494889704</v>
      </c>
      <c r="Y85" s="253">
        <f t="shared" si="48"/>
        <v>1.3924407345860612</v>
      </c>
      <c r="Z85" s="200" t="str">
        <f t="shared" si="49"/>
        <v/>
      </c>
      <c r="AE85" s="251">
        <f t="shared" si="50"/>
        <v>1571.1533454156415</v>
      </c>
    </row>
    <row r="86" spans="1:31" x14ac:dyDescent="0.2">
      <c r="A86" s="244">
        <v>7.7498999999999997E-3</v>
      </c>
      <c r="B86" s="244">
        <v>7.4068099999999998E-2</v>
      </c>
      <c r="C86" s="245">
        <v>1.3564700000000001E-2</v>
      </c>
      <c r="D86" s="246">
        <f>IF(CouplingMode="AC",B86-(A$11-A$10)*SUM(B$9:B86)/0.21,B86)</f>
        <v>7.4068099999999998E-2</v>
      </c>
      <c r="E86" s="247">
        <f t="shared" si="38"/>
        <v>1.2889321674471301</v>
      </c>
      <c r="F86" s="247">
        <f t="shared" si="39"/>
        <v>1.2889321674471301</v>
      </c>
      <c r="G86" s="248">
        <f t="shared" si="40"/>
        <v>2.1401745102430496E+17</v>
      </c>
      <c r="H86" s="249">
        <f t="shared" si="41"/>
        <v>2.2124281076793661E-3</v>
      </c>
      <c r="I86" s="248">
        <f>IF(MobilityModel=DK,CalcDeltaN(H86,SampleDoping,Thickness,AreaFrac),CalcDeltaNDL(H86,AreaFrac,Thickness,SampleType,SampleDoping,Temperature))</f>
        <v>447914552547078.44</v>
      </c>
      <c r="J86" s="248" t="str">
        <f t="shared" si="42"/>
        <v/>
      </c>
      <c r="K86" s="248">
        <f t="shared" si="43"/>
        <v>447914552547078.44</v>
      </c>
      <c r="L86" s="250">
        <f t="shared" si="52"/>
        <v>-2.9839179251245024E+17</v>
      </c>
      <c r="M86" s="196" t="str">
        <f t="shared" si="44"/>
        <v/>
      </c>
      <c r="N86" s="196" t="str">
        <f t="shared" si="45"/>
        <v/>
      </c>
      <c r="O86" s="250">
        <f t="shared" si="46"/>
        <v>447914552547078.44</v>
      </c>
      <c r="P86" s="248">
        <f t="shared" si="53"/>
        <v>3.9929448021491519E-5</v>
      </c>
      <c r="Q86" s="250" t="str">
        <f t="shared" si="54"/>
        <v/>
      </c>
      <c r="R86" s="251" t="str">
        <f t="shared" si="57"/>
        <v/>
      </c>
      <c r="S86" s="252">
        <f>IF(AND(E86&gt;0.95*BiasLight,E86&lt;1.05*BiasLight),"",IF(AugerModel="Sinton",calclifetimeauger(Auger_Coefficient,I86,P86),calclifetimerichter(SampleType,I86,SampleDoping,P86)))</f>
        <v>25043.839857141804</v>
      </c>
      <c r="T86" s="201" t="str">
        <f t="shared" si="56"/>
        <v/>
      </c>
      <c r="U86" s="252">
        <f t="shared" si="47"/>
        <v>23444.003184374313</v>
      </c>
      <c r="V86" s="251" t="str">
        <f>IF(AugerModel="Sinton","",IF(SampleType="n-type",n_intr_boltzmann(SampleDoping,0,K86,Temperature+273.15),n_intr_boltzmann(0,SampleDoping,K86,Temperature+273.15)))</f>
        <v/>
      </c>
      <c r="W86" s="251" t="str">
        <f t="shared" si="51"/>
        <v/>
      </c>
      <c r="X86" s="246">
        <f>IF(AND(A86&gt;TimeofMaxCD,I86&gt;Traps),IF(AugerModel="Sinton",CalcImpliedV(SampleDoping,O86),CalcImpliedVRichter(O86,SampleDoping,V86)),"")</f>
        <v>0.61336294416435289</v>
      </c>
      <c r="Y86" s="253">
        <f t="shared" si="48"/>
        <v>1.3241549628285469</v>
      </c>
      <c r="Z86" s="200" t="str">
        <f t="shared" si="49"/>
        <v/>
      </c>
      <c r="AE86" s="251">
        <f t="shared" si="50"/>
        <v>1573.096669142298</v>
      </c>
    </row>
    <row r="87" spans="1:31" x14ac:dyDescent="0.2">
      <c r="A87" s="244">
        <v>7.8498999999999999E-3</v>
      </c>
      <c r="B87" s="244">
        <v>6.9746900000000001E-2</v>
      </c>
      <c r="C87" s="245">
        <v>1.2937799999999999E-2</v>
      </c>
      <c r="D87" s="246">
        <f>IF(CouplingMode="AC",B87-(A$11-A$10)*SUM(B$9:B87)/0.21,B87)</f>
        <v>6.9746900000000001E-2</v>
      </c>
      <c r="E87" s="247">
        <f t="shared" si="38"/>
        <v>1.2293634651704406</v>
      </c>
      <c r="F87" s="247">
        <f t="shared" si="39"/>
        <v>1.2293634651704406</v>
      </c>
      <c r="G87" s="248">
        <f t="shared" si="40"/>
        <v>2.0412651793716426E+17</v>
      </c>
      <c r="H87" s="249">
        <f t="shared" si="41"/>
        <v>2.0832193669645845E-3</v>
      </c>
      <c r="I87" s="248">
        <f>IF(MobilityModel=DK,CalcDeltaN(H87,SampleDoping,Thickness,AreaFrac),CalcDeltaNDL(H87,AreaFrac,Thickness,SampleType,SampleDoping,Temperature))</f>
        <v>421297191306169.56</v>
      </c>
      <c r="J87" s="248" t="str">
        <f t="shared" si="42"/>
        <v/>
      </c>
      <c r="K87" s="248">
        <f t="shared" si="43"/>
        <v>421297191306169.56</v>
      </c>
      <c r="L87" s="250">
        <f t="shared" si="52"/>
        <v>-2.7699240627328886E+17</v>
      </c>
      <c r="M87" s="196" t="str">
        <f t="shared" si="44"/>
        <v/>
      </c>
      <c r="N87" s="196" t="str">
        <f t="shared" si="45"/>
        <v/>
      </c>
      <c r="O87" s="250">
        <f t="shared" si="46"/>
        <v>421297191306169.56</v>
      </c>
      <c r="P87" s="248">
        <f t="shared" si="53"/>
        <v>3.940446433879178E-5</v>
      </c>
      <c r="Q87" s="250" t="str">
        <f t="shared" si="54"/>
        <v/>
      </c>
      <c r="R87" s="251" t="str">
        <f t="shared" si="57"/>
        <v/>
      </c>
      <c r="S87" s="252">
        <f>IF(AND(E87&gt;0.95*BiasLight,E87&lt;1.05*BiasLight),"",IF(AugerModel="Sinton",calclifetimeauger(Auger_Coefficient,I87,P87),calclifetimerichter(SampleType,I87,SampleDoping,P87)))</f>
        <v>25377.540510243431</v>
      </c>
      <c r="T87" s="201" t="str">
        <f t="shared" si="56"/>
        <v/>
      </c>
      <c r="U87" s="252">
        <f t="shared" si="47"/>
        <v>23586.452821389823</v>
      </c>
      <c r="V87" s="251" t="str">
        <f>IF(AugerModel="Sinton","",IF(SampleType="n-type",n_intr_boltzmann(SampleDoping,0,K87,Temperature+273.15),n_intr_boltzmann(0,SampleDoping,K87,Temperature+273.15)))</f>
        <v/>
      </c>
      <c r="W87" s="251" t="str">
        <f t="shared" si="51"/>
        <v/>
      </c>
      <c r="X87" s="246">
        <f>IF(AND(A87&gt;TimeofMaxCD,I87&gt;Traps),IF(AugerModel="Sinton",CalcImpliedV(SampleDoping,O87),CalcImpliedVRichter(O87,SampleDoping,V87)),"")</f>
        <v>0.61161150154125921</v>
      </c>
      <c r="Y87" s="253">
        <f t="shared" si="48"/>
        <v>1.2620602319488474</v>
      </c>
      <c r="Z87" s="200" t="str">
        <f t="shared" si="49"/>
        <v/>
      </c>
      <c r="AE87" s="251">
        <f t="shared" si="50"/>
        <v>1574.8088889858657</v>
      </c>
    </row>
    <row r="88" spans="1:31" x14ac:dyDescent="0.2">
      <c r="A88" s="244">
        <v>7.9498999999999993E-3</v>
      </c>
      <c r="B88" s="244">
        <v>6.4971500000000001E-2</v>
      </c>
      <c r="C88" s="245">
        <v>1.23255E-2</v>
      </c>
      <c r="D88" s="246">
        <f>IF(CouplingMode="AC",B88-(A$11-A$10)*SUM(B$9:B88)/0.21,B88)</f>
        <v>6.4971500000000001E-2</v>
      </c>
      <c r="E88" s="247">
        <f t="shared" si="38"/>
        <v>1.1711820703642248</v>
      </c>
      <c r="F88" s="247">
        <f t="shared" si="39"/>
        <v>1.1711820703642248</v>
      </c>
      <c r="G88" s="248">
        <f t="shared" si="40"/>
        <v>1.9446593677708099E+17</v>
      </c>
      <c r="H88" s="249">
        <f t="shared" si="41"/>
        <v>1.9404488031925012E-3</v>
      </c>
      <c r="I88" s="248">
        <f>IF(MobilityModel=DK,CalcDeltaN(H88,SampleDoping,Thickness,AreaFrac),CalcDeltaNDL(H88,AreaFrac,Thickness,SampleType,SampleDoping,Temperature))</f>
        <v>391938200551899.94</v>
      </c>
      <c r="J88" s="248" t="str">
        <f t="shared" si="42"/>
        <v/>
      </c>
      <c r="K88" s="248">
        <f t="shared" si="43"/>
        <v>391938200551899.94</v>
      </c>
      <c r="L88" s="250">
        <f t="shared" si="52"/>
        <v>-2.5824274477243037E+17</v>
      </c>
      <c r="M88" s="196" t="str">
        <f t="shared" si="44"/>
        <v/>
      </c>
      <c r="N88" s="196" t="str">
        <f t="shared" si="45"/>
        <v/>
      </c>
      <c r="O88" s="250">
        <f t="shared" si="46"/>
        <v>391938200551899.94</v>
      </c>
      <c r="P88" s="248">
        <f t="shared" si="53"/>
        <v>3.8500903082027508E-5</v>
      </c>
      <c r="Q88" s="250" t="str">
        <f t="shared" si="54"/>
        <v/>
      </c>
      <c r="R88" s="251" t="str">
        <f t="shared" si="57"/>
        <v/>
      </c>
      <c r="S88" s="252">
        <f>IF(AND(E88&gt;0.95*BiasLight,E88&lt;1.05*BiasLight),"",IF(AugerModel="Sinton",calclifetimeauger(Auger_Coefficient,I88,P88),calclifetimerichter(SampleType,I88,SampleDoping,P88)))</f>
        <v>25973.161722186182</v>
      </c>
      <c r="T88" s="201" t="str">
        <f t="shared" si="56"/>
        <v/>
      </c>
      <c r="U88" s="252">
        <f t="shared" si="47"/>
        <v>23743.574992075162</v>
      </c>
      <c r="V88" s="251" t="str">
        <f>IF(AugerModel="Sinton","",IF(SampleType="n-type",n_intr_boltzmann(SampleDoping,0,K88,Temperature+273.15),n_intr_boltzmann(0,SampleDoping,K88,Temperature+273.15)))</f>
        <v/>
      </c>
      <c r="W88" s="251" t="str">
        <f t="shared" si="51"/>
        <v/>
      </c>
      <c r="X88" s="246">
        <f>IF(AND(A88&gt;TimeofMaxCD,I88&gt;Traps),IF(AugerModel="Sinton",CalcImpliedV(SampleDoping,O88),CalcImpliedVRichter(O88,SampleDoping,V88)),"")</f>
        <v>0.60955850653354982</v>
      </c>
      <c r="Y88" s="253">
        <f t="shared" si="48"/>
        <v>1.2016655876260987</v>
      </c>
      <c r="Z88" s="200" t="str">
        <f t="shared" si="49"/>
        <v/>
      </c>
      <c r="AE88" s="251">
        <f t="shared" si="50"/>
        <v>1576.7615150390097</v>
      </c>
    </row>
    <row r="89" spans="1:31" x14ac:dyDescent="0.2">
      <c r="A89" s="244">
        <v>8.0499000000000005E-3</v>
      </c>
      <c r="B89" s="244">
        <v>6.1167800000000001E-2</v>
      </c>
      <c r="C89" s="245">
        <v>1.1728799999999999E-2</v>
      </c>
      <c r="D89" s="246">
        <f>IF(CouplingMode="AC",B89-(A$11-A$10)*SUM(B$9:B89)/0.21,B89)</f>
        <v>6.1167800000000001E-2</v>
      </c>
      <c r="E89" s="247">
        <f t="shared" si="38"/>
        <v>1.1144830040881035</v>
      </c>
      <c r="F89" s="247">
        <f t="shared" si="39"/>
        <v>1.1144830040881035</v>
      </c>
      <c r="G89" s="248">
        <f t="shared" si="40"/>
        <v>1.8505148507330557E+17</v>
      </c>
      <c r="H89" s="249">
        <f t="shared" si="41"/>
        <v>1.8267437159393534E-3</v>
      </c>
      <c r="I89" s="248">
        <f>IF(MobilityModel=DK,CalcDeltaN(H89,SampleDoping,Thickness,AreaFrac),CalcDeltaNDL(H89,AreaFrac,Thickness,SampleType,SampleDoping,Temperature))</f>
        <v>368596311538827.44</v>
      </c>
      <c r="J89" s="248" t="str">
        <f t="shared" si="42"/>
        <v/>
      </c>
      <c r="K89" s="248">
        <f t="shared" si="43"/>
        <v>368596311538827.44</v>
      </c>
      <c r="L89" s="250">
        <f t="shared" si="52"/>
        <v>-2.4526834700740618E+17</v>
      </c>
      <c r="M89" s="196" t="str">
        <f t="shared" si="44"/>
        <v/>
      </c>
      <c r="N89" s="196" t="str">
        <f t="shared" si="45"/>
        <v/>
      </c>
      <c r="O89" s="250">
        <f t="shared" si="46"/>
        <v>368596311538827.44</v>
      </c>
      <c r="P89" s="248">
        <f t="shared" si="53"/>
        <v>3.805190916299999E-5</v>
      </c>
      <c r="Q89" s="250" t="str">
        <f t="shared" si="54"/>
        <v/>
      </c>
      <c r="R89" s="251" t="str">
        <f t="shared" si="57"/>
        <v/>
      </c>
      <c r="S89" s="252">
        <f>IF(AND(E89&gt;0.95*BiasLight,E89&lt;1.05*BiasLight),"",IF(AugerModel="Sinton",calclifetimeauger(Auger_Coefficient,I89,P89),calclifetimerichter(SampleType,I89,SampleDoping,P89)))</f>
        <v>26279.664806198081</v>
      </c>
      <c r="T89" s="201" t="str">
        <f t="shared" si="56"/>
        <v/>
      </c>
      <c r="U89" s="252">
        <f t="shared" si="47"/>
        <v>23868.495099183983</v>
      </c>
      <c r="V89" s="251" t="str">
        <f>IF(AugerModel="Sinton","",IF(SampleType="n-type",n_intr_boltzmann(SampleDoping,0,K89,Temperature+273.15),n_intr_boltzmann(0,SampleDoping,K89,Temperature+273.15)))</f>
        <v/>
      </c>
      <c r="W89" s="251" t="str">
        <f t="shared" si="51"/>
        <v/>
      </c>
      <c r="X89" s="246">
        <f>IF(AND(A89&gt;TimeofMaxCD,I89&gt;Traps),IF(AugerModel="Sinton",CalcImpliedV(SampleDoping,O89),CalcImpliedVRichter(O89,SampleDoping,V89)),"")</f>
        <v>0.60782313752408668</v>
      </c>
      <c r="Y89" s="253">
        <f t="shared" si="48"/>
        <v>1.1434349961232726</v>
      </c>
      <c r="Z89" s="200" t="str">
        <f t="shared" si="49"/>
        <v/>
      </c>
      <c r="AE89" s="251">
        <f t="shared" si="50"/>
        <v>1578.3672241062375</v>
      </c>
    </row>
    <row r="90" spans="1:31" x14ac:dyDescent="0.2">
      <c r="A90" s="244">
        <v>8.1498999999999999E-3</v>
      </c>
      <c r="B90" s="244">
        <v>5.7339599999999998E-2</v>
      </c>
      <c r="C90" s="245">
        <v>1.11614E-2</v>
      </c>
      <c r="D90" s="246">
        <f>IF(CouplingMode="AC",B90-(A$11-A$10)*SUM(B$9:B90)/0.21,B90)</f>
        <v>5.7339599999999998E-2</v>
      </c>
      <c r="E90" s="247">
        <f t="shared" si="38"/>
        <v>1.0605680548588909</v>
      </c>
      <c r="F90" s="247">
        <f t="shared" si="39"/>
        <v>1.0605680548588909</v>
      </c>
      <c r="G90" s="248">
        <f t="shared" si="40"/>
        <v>1.7609931497656989E+17</v>
      </c>
      <c r="H90" s="249">
        <f t="shared" si="41"/>
        <v>1.7123192022162181E-3</v>
      </c>
      <c r="I90" s="248">
        <f>IF(MobilityModel=DK,CalcDeltaN(H90,SampleDoping,Thickness,AreaFrac),CalcDeltaNDL(H90,AreaFrac,Thickness,SampleType,SampleDoping,Temperature))</f>
        <v>345143620044534.19</v>
      </c>
      <c r="J90" s="248" t="str">
        <f t="shared" si="42"/>
        <v/>
      </c>
      <c r="K90" s="248">
        <f t="shared" si="43"/>
        <v>345143620044534.19</v>
      </c>
      <c r="L90" s="250">
        <f t="shared" si="52"/>
        <v>-2.3005449782095533E+17</v>
      </c>
      <c r="M90" s="196" t="str">
        <f t="shared" si="44"/>
        <v/>
      </c>
      <c r="N90" s="196" t="str">
        <f t="shared" si="45"/>
        <v/>
      </c>
      <c r="O90" s="250">
        <f t="shared" si="46"/>
        <v>345143620044534.19</v>
      </c>
      <c r="P90" s="248">
        <f t="shared" si="53"/>
        <v>3.7455708508607963E-5</v>
      </c>
      <c r="Q90" s="250" t="str">
        <f t="shared" si="54"/>
        <v/>
      </c>
      <c r="R90" s="251" t="str">
        <f t="shared" si="57"/>
        <v/>
      </c>
      <c r="S90" s="252">
        <f>IF(AND(E90&gt;0.95*BiasLight,E90&lt;1.05*BiasLight),"",IF(AugerModel="Sinton",calclifetimeauger(Auger_Coefficient,I90,P90),calclifetimerichter(SampleType,I90,SampleDoping,P90)))</f>
        <v>26698.00233660718</v>
      </c>
      <c r="T90" s="201" t="str">
        <f t="shared" si="56"/>
        <v/>
      </c>
      <c r="U90" s="252">
        <f t="shared" si="47"/>
        <v>23994.00819419598</v>
      </c>
      <c r="V90" s="251" t="str">
        <f>IF(AugerModel="Sinton","",IF(SampleType="n-type",n_intr_boltzmann(SampleDoping,0,K90,Temperature+273.15),n_intr_boltzmann(0,SampleDoping,K90,Temperature+273.15)))</f>
        <v/>
      </c>
      <c r="W90" s="251" t="str">
        <f t="shared" si="51"/>
        <v/>
      </c>
      <c r="X90" s="246">
        <f>IF(AND(A90&gt;TimeofMaxCD,I90&gt;Traps),IF(AugerModel="Sinton",CalcImpliedV(SampleDoping,O90),CalcImpliedVRichter(O90,SampleDoping,V90)),"")</f>
        <v>0.60597455851802351</v>
      </c>
      <c r="Y90" s="253">
        <f t="shared" si="48"/>
        <v>1.0877241721069351</v>
      </c>
      <c r="Z90" s="200" t="str">
        <f t="shared" si="49"/>
        <v/>
      </c>
      <c r="AE90" s="251">
        <f t="shared" si="50"/>
        <v>1580.0334961913168</v>
      </c>
    </row>
    <row r="91" spans="1:31" x14ac:dyDescent="0.2">
      <c r="A91" s="244">
        <v>8.2498999999999992E-3</v>
      </c>
      <c r="B91" s="244">
        <v>5.35652E-2</v>
      </c>
      <c r="C91" s="245">
        <v>1.06409E-2</v>
      </c>
      <c r="D91" s="246">
        <f>IF(CouplingMode="AC",B91-(A$11-A$10)*SUM(B$9:B91)/0.21,B91)</f>
        <v>5.35652E-2</v>
      </c>
      <c r="E91" s="247">
        <f t="shared" si="38"/>
        <v>1.0111095933259242</v>
      </c>
      <c r="F91" s="247">
        <f t="shared" si="39"/>
        <v>1.0111095933259242</v>
      </c>
      <c r="G91" s="248">
        <f t="shared" si="40"/>
        <v>1.6788711100168278E+17</v>
      </c>
      <c r="H91" s="249">
        <f t="shared" si="41"/>
        <v>1.5995154929262234E-3</v>
      </c>
      <c r="I91" s="248">
        <f>IF(MobilityModel=DK,CalcDeltaN(H91,SampleDoping,Thickness,AreaFrac),CalcDeltaNDL(H91,AreaFrac,Thickness,SampleType,SampleDoping,Temperature))</f>
        <v>322060308056149.44</v>
      </c>
      <c r="J91" s="248" t="str">
        <f t="shared" si="42"/>
        <v/>
      </c>
      <c r="K91" s="248">
        <f t="shared" si="43"/>
        <v>322060308056149.44</v>
      </c>
      <c r="L91" s="250">
        <f t="shared" si="52"/>
        <v>-2.2251268370356867E+17</v>
      </c>
      <c r="M91" s="196" t="str">
        <f t="shared" si="44"/>
        <v/>
      </c>
      <c r="N91" s="196" t="str">
        <f t="shared" si="45"/>
        <v/>
      </c>
      <c r="O91" s="250">
        <f t="shared" si="46"/>
        <v>322060308056149.44</v>
      </c>
      <c r="P91" s="248">
        <f t="shared" si="53"/>
        <v>3.6646979120590935E-5</v>
      </c>
      <c r="Q91" s="250" t="str">
        <f t="shared" si="54"/>
        <v/>
      </c>
      <c r="R91" s="251" t="str">
        <f t="shared" si="57"/>
        <v/>
      </c>
      <c r="S91" s="252">
        <f>IF(AND(E91&gt;0.95*BiasLight,E91&lt;1.05*BiasLight),"",IF(AugerModel="Sinton",calclifetimeauger(Auger_Coefficient,I91,P91),calclifetimerichter(SampleType,I91,SampleDoping,P91)))</f>
        <v>27287.206588994937</v>
      </c>
      <c r="T91" s="201" t="str">
        <f t="shared" si="56"/>
        <v/>
      </c>
      <c r="U91" s="252">
        <f t="shared" si="47"/>
        <v>24117.54446002264</v>
      </c>
      <c r="V91" s="251" t="str">
        <f>IF(AugerModel="Sinton","",IF(SampleType="n-type",n_intr_boltzmann(SampleDoping,0,K91,Temperature+273.15),n_intr_boltzmann(0,SampleDoping,K91,Temperature+273.15)))</f>
        <v/>
      </c>
      <c r="W91" s="251" t="str">
        <f t="shared" si="51"/>
        <v/>
      </c>
      <c r="X91" s="246">
        <f>IF(AND(A91&gt;TimeofMaxCD,I91&gt;Traps),IF(AugerModel="Sinton",CalcImpliedV(SampleDoping,O91),CalcImpliedVRichter(O91,SampleDoping,V91)),"")</f>
        <v>0.6040381082678884</v>
      </c>
      <c r="Y91" s="253">
        <f t="shared" si="48"/>
        <v>1.0373754589580488</v>
      </c>
      <c r="Z91" s="200" t="str">
        <f t="shared" si="49"/>
        <v/>
      </c>
      <c r="AE91" s="251">
        <f t="shared" si="50"/>
        <v>1581.7311368069122</v>
      </c>
    </row>
    <row r="92" spans="1:31" x14ac:dyDescent="0.2">
      <c r="A92" s="244">
        <v>8.3499000000000004E-3</v>
      </c>
      <c r="B92" s="244">
        <v>4.9981200000000003E-2</v>
      </c>
      <c r="C92" s="245">
        <v>1.0110600000000001E-2</v>
      </c>
      <c r="D92" s="246">
        <f>IF(CouplingMode="AC",B92-(A$11-A$10)*SUM(B$9:B92)/0.21,B92)</f>
        <v>4.9981200000000003E-2</v>
      </c>
      <c r="E92" s="247">
        <f t="shared" si="38"/>
        <v>0.96071992540866757</v>
      </c>
      <c r="F92" s="247">
        <f t="shared" si="39"/>
        <v>0.96071992540866757</v>
      </c>
      <c r="G92" s="248">
        <f t="shared" si="40"/>
        <v>1.595202872401408E+17</v>
      </c>
      <c r="H92" s="249">
        <f t="shared" si="41"/>
        <v>1.4924138760413225E-3</v>
      </c>
      <c r="I92" s="248">
        <f>IF(MobilityModel=DK,CalcDeltaN(H92,SampleDoping,Thickness,AreaFrac),CalcDeltaNDL(H92,AreaFrac,Thickness,SampleType,SampleDoping,Temperature))</f>
        <v>300178953382761.19</v>
      </c>
      <c r="J92" s="248" t="str">
        <f t="shared" si="42"/>
        <v/>
      </c>
      <c r="K92" s="248">
        <f t="shared" si="43"/>
        <v>300178953382761.19</v>
      </c>
      <c r="L92" s="250">
        <f t="shared" si="52"/>
        <v>-2.0622366286729907E+17</v>
      </c>
      <c r="M92" s="196" t="str">
        <f t="shared" si="44"/>
        <v/>
      </c>
      <c r="N92" s="196" t="str">
        <f t="shared" si="45"/>
        <v/>
      </c>
      <c r="O92" s="250">
        <f t="shared" si="46"/>
        <v>300178953382761.19</v>
      </c>
      <c r="P92" s="248">
        <f t="shared" si="53"/>
        <v>3.5971055238887092E-5</v>
      </c>
      <c r="Q92" s="250" t="str">
        <f t="shared" si="54"/>
        <v/>
      </c>
      <c r="R92" s="251" t="str">
        <f t="shared" si="57"/>
        <v/>
      </c>
      <c r="S92" s="252">
        <f>IF(AND(E92&gt;0.95*BiasLight,E92&lt;1.05*BiasLight),"",IF(AugerModel="Sinton",calclifetimeauger(Auger_Coefficient,I92,P92),calclifetimerichter(SampleType,I92,SampleDoping,P92)))</f>
        <v>27799.980091492598</v>
      </c>
      <c r="T92" s="201" t="str">
        <f t="shared" si="56"/>
        <v/>
      </c>
      <c r="U92" s="252">
        <f t="shared" si="47"/>
        <v>24234.648142931721</v>
      </c>
      <c r="V92" s="251" t="str">
        <f>IF(AugerModel="Sinton","",IF(SampleType="n-type",n_intr_boltzmann(SampleDoping,0,K92,Temperature+273.15),n_intr_boltzmann(0,SampleDoping,K92,Temperature+273.15)))</f>
        <v/>
      </c>
      <c r="W92" s="251" t="str">
        <f t="shared" si="51"/>
        <v/>
      </c>
      <c r="X92" s="246">
        <f>IF(AND(A92&gt;TimeofMaxCD,I92&gt;Traps),IF(AugerModel="Sinton",CalcImpliedV(SampleDoping,O92),CalcImpliedVRichter(O92,SampleDoping,V92)),"")</f>
        <v>0.60207974773640849</v>
      </c>
      <c r="Y92" s="253">
        <f t="shared" si="48"/>
        <v>0.98506300072860309</v>
      </c>
      <c r="Z92" s="200" t="str">
        <f t="shared" si="49"/>
        <v/>
      </c>
      <c r="AE92" s="251">
        <f t="shared" si="50"/>
        <v>1583.399327645961</v>
      </c>
    </row>
    <row r="93" spans="1:31" x14ac:dyDescent="0.2">
      <c r="A93" s="244">
        <v>8.4498999999999998E-3</v>
      </c>
      <c r="B93" s="244">
        <v>4.66414E-2</v>
      </c>
      <c r="C93" s="245">
        <v>9.63112E-3</v>
      </c>
      <c r="D93" s="246">
        <f>IF(CouplingMode="AC",B93-(A$11-A$10)*SUM(B$9:B93)/0.21,B93)</f>
        <v>4.66414E-2</v>
      </c>
      <c r="E93" s="247">
        <f t="shared" si="38"/>
        <v>0.91515922774137304</v>
      </c>
      <c r="F93" s="247">
        <f t="shared" si="39"/>
        <v>0.91515922774137304</v>
      </c>
      <c r="G93" s="248">
        <f t="shared" si="40"/>
        <v>1.5195527751510938E+17</v>
      </c>
      <c r="H93" s="249">
        <f t="shared" si="41"/>
        <v>1.3926200088784924E-3</v>
      </c>
      <c r="I93" s="248">
        <f>IF(MobilityModel=DK,CalcDeltaN(H93,SampleDoping,Thickness,AreaFrac),CalcDeltaNDL(H93,AreaFrac,Thickness,SampleType,SampleDoping,Temperature))</f>
        <v>279822303017929.69</v>
      </c>
      <c r="J93" s="248" t="str">
        <f t="shared" si="42"/>
        <v/>
      </c>
      <c r="K93" s="248">
        <f t="shared" si="43"/>
        <v>279822303017929.69</v>
      </c>
      <c r="L93" s="250">
        <f t="shared" si="52"/>
        <v>-1.8826180058468608E+17</v>
      </c>
      <c r="M93" s="196" t="str">
        <f t="shared" si="44"/>
        <v/>
      </c>
      <c r="N93" s="196" t="str">
        <f t="shared" si="45"/>
        <v/>
      </c>
      <c r="O93" s="250">
        <f t="shared" si="46"/>
        <v>279822303017929.69</v>
      </c>
      <c r="P93" s="248">
        <f t="shared" si="53"/>
        <v>3.523730143192137E-5</v>
      </c>
      <c r="Q93" s="250" t="str">
        <f t="shared" si="54"/>
        <v/>
      </c>
      <c r="R93" s="251" t="str">
        <f t="shared" si="57"/>
        <v/>
      </c>
      <c r="S93" s="252">
        <f>IF(AND(E93&gt;0.95*BiasLight,E93&lt;1.05*BiasLight),"",IF(AugerModel="Sinton",calclifetimeauger(Auger_Coefficient,I93,P93),calclifetimerichter(SampleType,I93,SampleDoping,P93)))</f>
        <v>28378.887691713266</v>
      </c>
      <c r="T93" s="201" t="str">
        <f t="shared" si="56"/>
        <v/>
      </c>
      <c r="U93" s="252">
        <f t="shared" si="47"/>
        <v>24343.591979590674</v>
      </c>
      <c r="V93" s="251" t="str">
        <f>IF(AugerModel="Sinton","",IF(SampleType="n-type",n_intr_boltzmann(SampleDoping,0,K93,Temperature+273.15),n_intr_boltzmann(0,SampleDoping,K93,Temperature+273.15)))</f>
        <v/>
      </c>
      <c r="W93" s="251" t="str">
        <f t="shared" si="51"/>
        <v/>
      </c>
      <c r="X93" s="246">
        <f>IF(AND(A93&gt;TimeofMaxCD,I93&gt;Traps),IF(AugerModel="Sinton",CalcImpliedV(SampleDoping,O93),CalcImpliedVRichter(O93,SampleDoping,V93)),"")</f>
        <v>0.60013458958908394</v>
      </c>
      <c r="Y93" s="253">
        <f t="shared" si="48"/>
        <v>0.93738204702302208</v>
      </c>
      <c r="Z93" s="200" t="str">
        <f t="shared" si="49"/>
        <v/>
      </c>
      <c r="AE93" s="251">
        <f t="shared" si="50"/>
        <v>1585.0089577516499</v>
      </c>
    </row>
    <row r="94" spans="1:31" x14ac:dyDescent="0.2">
      <c r="A94" s="244">
        <v>8.5498999999999992E-3</v>
      </c>
      <c r="B94" s="244">
        <v>4.3902099999999999E-2</v>
      </c>
      <c r="C94" s="245">
        <v>9.1672500000000001E-3</v>
      </c>
      <c r="D94" s="246">
        <f>IF(CouplingMode="AC",B94-(A$11-A$10)*SUM(B$9:B94)/0.21,B94)</f>
        <v>4.3902099999999999E-2</v>
      </c>
      <c r="E94" s="247">
        <f t="shared" si="38"/>
        <v>0.87108180881476938</v>
      </c>
      <c r="F94" s="247">
        <f t="shared" si="39"/>
        <v>0.87108180881476938</v>
      </c>
      <c r="G94" s="248">
        <f t="shared" si="40"/>
        <v>1.446365550216783E+17</v>
      </c>
      <c r="H94" s="249">
        <f t="shared" si="41"/>
        <v>1.3107765835953088E-3</v>
      </c>
      <c r="I94" s="248">
        <f>IF(MobilityModel=DK,CalcDeltaN(H94,SampleDoping,Thickness,AreaFrac),CalcDeltaNDL(H94,AreaFrac,Thickness,SampleType,SampleDoping,Temperature))</f>
        <v>263150791129994.62</v>
      </c>
      <c r="J94" s="248" t="str">
        <f t="shared" si="42"/>
        <v/>
      </c>
      <c r="K94" s="248">
        <f t="shared" si="43"/>
        <v>263150791129994.62</v>
      </c>
      <c r="L94" s="250">
        <f t="shared" si="52"/>
        <v>-1.7403943190566022E+17</v>
      </c>
      <c r="M94" s="196" t="str">
        <f t="shared" si="44"/>
        <v/>
      </c>
      <c r="N94" s="196" t="str">
        <f t="shared" si="45"/>
        <v/>
      </c>
      <c r="O94" s="250">
        <f t="shared" si="46"/>
        <v>263150791129994.62</v>
      </c>
      <c r="P94" s="248">
        <f t="shared" si="53"/>
        <v>3.4838464458459114E-5</v>
      </c>
      <c r="Q94" s="250" t="str">
        <f t="shared" si="54"/>
        <v/>
      </c>
      <c r="R94" s="251" t="str">
        <f t="shared" si="57"/>
        <v/>
      </c>
      <c r="S94" s="252">
        <f>IF(AND(E94&gt;0.95*BiasLight,E94&lt;1.05*BiasLight),"",IF(AugerModel="Sinton",calclifetimeauger(Auger_Coefficient,I94,P94),calclifetimerichter(SampleType,I94,SampleDoping,P94)))</f>
        <v>28703.790789423718</v>
      </c>
      <c r="T94" s="201" t="str">
        <f t="shared" si="56"/>
        <v/>
      </c>
      <c r="U94" s="252">
        <f t="shared" si="47"/>
        <v>24432.813852316587</v>
      </c>
      <c r="V94" s="251" t="str">
        <f>IF(AugerModel="Sinton","",IF(SampleType="n-type",n_intr_boltzmann(SampleDoping,0,K94,Temperature+273.15),n_intr_boltzmann(0,SampleDoping,K94,Temperature+273.15)))</f>
        <v/>
      </c>
      <c r="W94" s="251" t="str">
        <f t="shared" si="51"/>
        <v/>
      </c>
      <c r="X94" s="246">
        <f>IF(AND(A94&gt;TimeofMaxCD,I94&gt;Traps),IF(AugerModel="Sinton",CalcImpliedV(SampleDoping,O94),CalcImpliedVRichter(O94,SampleDoping,V94)),"")</f>
        <v>0.59844037675587169</v>
      </c>
      <c r="Y94" s="253">
        <f t="shared" si="48"/>
        <v>0.8916257897557176</v>
      </c>
      <c r="Z94" s="200" t="str">
        <f t="shared" si="49"/>
        <v/>
      </c>
      <c r="AE94" s="251">
        <f t="shared" si="50"/>
        <v>1586.3733711747959</v>
      </c>
    </row>
    <row r="95" spans="1:31" x14ac:dyDescent="0.2">
      <c r="A95" s="244">
        <v>8.6499000000000003E-3</v>
      </c>
      <c r="B95" s="244">
        <v>4.1153099999999998E-2</v>
      </c>
      <c r="C95" s="245">
        <v>8.7082700000000006E-3</v>
      </c>
      <c r="D95" s="246">
        <f>IF(CouplingMode="AC",B95-(A$11-A$10)*SUM(B$9:B95)/0.21,B95)</f>
        <v>4.1153099999999998E-2</v>
      </c>
      <c r="E95" s="247">
        <f t="shared" si="38"/>
        <v>0.82746904286971468</v>
      </c>
      <c r="F95" s="247">
        <f t="shared" si="39"/>
        <v>0.82746904286971468</v>
      </c>
      <c r="G95" s="248">
        <f t="shared" si="40"/>
        <v>1.3739498464628221E+17</v>
      </c>
      <c r="H95" s="249">
        <f t="shared" si="41"/>
        <v>1.2286500386157456E-3</v>
      </c>
      <c r="I95" s="248">
        <f>IF(MobilityModel=DK,CalcDeltaN(H95,SampleDoping,Thickness,AreaFrac),CalcDeltaNDL(H95,AreaFrac,Thickness,SampleType,SampleDoping,Temperature))</f>
        <v>246443488890189.59</v>
      </c>
      <c r="J95" s="248" t="str">
        <f t="shared" si="42"/>
        <v/>
      </c>
      <c r="K95" s="248">
        <f t="shared" si="43"/>
        <v>246443488890189.59</v>
      </c>
      <c r="L95" s="250">
        <f t="shared" si="52"/>
        <v>-1.6118575286301094E+17</v>
      </c>
      <c r="M95" s="196" t="str">
        <f t="shared" si="44"/>
        <v/>
      </c>
      <c r="N95" s="196" t="str">
        <f t="shared" si="45"/>
        <v/>
      </c>
      <c r="O95" s="250">
        <f t="shared" si="46"/>
        <v>246443488890189.59</v>
      </c>
      <c r="P95" s="248">
        <f t="shared" si="53"/>
        <v>3.4366041777960902E-5</v>
      </c>
      <c r="Q95" s="250" t="str">
        <f t="shared" si="54"/>
        <v/>
      </c>
      <c r="R95" s="251" t="str">
        <f t="shared" si="57"/>
        <v/>
      </c>
      <c r="S95" s="252">
        <f>IF(AND(E95&gt;0.95*BiasLight,E95&lt;1.05*BiasLight),"",IF(AugerModel="Sinton",calclifetimeauger(Auger_Coefficient,I95,P95),calclifetimerichter(SampleType,I95,SampleDoping,P95)))</f>
        <v>29098.391421037883</v>
      </c>
      <c r="T95" s="201" t="str">
        <f t="shared" si="56"/>
        <v/>
      </c>
      <c r="U95" s="252">
        <f t="shared" si="47"/>
        <v>24522.22726629208</v>
      </c>
      <c r="V95" s="251" t="str">
        <f>IF(AugerModel="Sinton","",IF(SampleType="n-type",n_intr_boltzmann(SampleDoping,0,K95,Temperature+273.15),n_intr_boltzmann(0,SampleDoping,K95,Temperature+273.15)))</f>
        <v/>
      </c>
      <c r="W95" s="251" t="str">
        <f t="shared" si="51"/>
        <v/>
      </c>
      <c r="X95" s="246">
        <f>IF(AND(A95&gt;TimeofMaxCD,I95&gt;Traps),IF(AugerModel="Sinton",CalcImpliedV(SampleDoping,O95),CalcImpliedVRichter(O95,SampleDoping,V95)),"")</f>
        <v>0.59663833643131381</v>
      </c>
      <c r="Y95" s="253">
        <f t="shared" si="48"/>
        <v>0.84649574847609144</v>
      </c>
      <c r="Z95" s="200" t="str">
        <f t="shared" si="49"/>
        <v/>
      </c>
      <c r="AE95" s="251">
        <f t="shared" si="50"/>
        <v>1587.7870922813411</v>
      </c>
    </row>
    <row r="96" spans="1:31" x14ac:dyDescent="0.2">
      <c r="A96" s="244">
        <v>8.7498999999999997E-3</v>
      </c>
      <c r="B96" s="244">
        <v>3.84187E-2</v>
      </c>
      <c r="C96" s="245">
        <v>8.2639299999999992E-3</v>
      </c>
      <c r="D96" s="246">
        <f>IF(CouplingMode="AC",B96-(A$11-A$10)*SUM(B$9:B96)/0.21,B96)</f>
        <v>3.84187E-2</v>
      </c>
      <c r="E96" s="247">
        <f t="shared" si="38"/>
        <v>0.78524738523751791</v>
      </c>
      <c r="F96" s="247">
        <f t="shared" si="39"/>
        <v>0.78524738523751791</v>
      </c>
      <c r="G96" s="248">
        <f t="shared" si="40"/>
        <v>1.3038439729911347E+17</v>
      </c>
      <c r="H96" s="249">
        <f t="shared" si="41"/>
        <v>1.1469663200711043E-3</v>
      </c>
      <c r="I96" s="248">
        <f>IF(MobilityModel=DK,CalcDeltaN(H96,SampleDoping,Thickness,AreaFrac),CalcDeltaNDL(H96,AreaFrac,Thickness,SampleType,SampleDoping,Temperature))</f>
        <v>229848644493801.19</v>
      </c>
      <c r="J96" s="248" t="str">
        <f t="shared" si="42"/>
        <v/>
      </c>
      <c r="K96" s="248">
        <f t="shared" si="43"/>
        <v>229848644493801.19</v>
      </c>
      <c r="L96" s="250">
        <f t="shared" si="52"/>
        <v>-1.5702054043547946E+17</v>
      </c>
      <c r="M96" s="196" t="str">
        <f t="shared" si="44"/>
        <v/>
      </c>
      <c r="N96" s="196" t="str">
        <f t="shared" si="45"/>
        <v/>
      </c>
      <c r="O96" s="250">
        <f t="shared" si="46"/>
        <v>229848644493801.19</v>
      </c>
      <c r="P96" s="248">
        <f t="shared" si="53"/>
        <v>3.3755177022192943E-5</v>
      </c>
      <c r="Q96" s="250" t="str">
        <f t="shared" si="54"/>
        <v/>
      </c>
      <c r="R96" s="251" t="str">
        <f t="shared" si="57"/>
        <v/>
      </c>
      <c r="S96" s="252">
        <f>IF(AND(E96&gt;0.95*BiasLight,E96&lt;1.05*BiasLight),"",IF(AugerModel="Sinton",calclifetimeauger(Auger_Coefficient,I96,P96),calclifetimerichter(SampleType,I96,SampleDoping,P96)))</f>
        <v>29624.997643039827</v>
      </c>
      <c r="T96" s="201" t="str">
        <f t="shared" si="56"/>
        <v/>
      </c>
      <c r="U96" s="252">
        <f t="shared" si="47"/>
        <v>24611.038833268947</v>
      </c>
      <c r="V96" s="251" t="str">
        <f>IF(AugerModel="Sinton","",IF(SampleType="n-type",n_intr_boltzmann(SampleDoping,0,K96,Temperature+273.15),n_intr_boltzmann(0,SampleDoping,K96,Temperature+273.15)))</f>
        <v/>
      </c>
      <c r="W96" s="251" t="str">
        <f t="shared" si="51"/>
        <v/>
      </c>
      <c r="X96" s="246">
        <f>IF(AND(A96&gt;TimeofMaxCD,I96&gt;Traps),IF(AugerModel="Sinton",CalcImpliedV(SampleDoping,O96),CalcImpliedVRichter(O96,SampleDoping,V96)),"")</f>
        <v>0.59473078350527631</v>
      </c>
      <c r="Y96" s="253">
        <f t="shared" si="48"/>
        <v>0.80378242040008074</v>
      </c>
      <c r="Z96" s="200" t="str">
        <f t="shared" si="49"/>
        <v/>
      </c>
      <c r="AE96" s="251">
        <f t="shared" si="50"/>
        <v>1589.2423709772554</v>
      </c>
    </row>
    <row r="97" spans="1:31" x14ac:dyDescent="0.2">
      <c r="A97" s="244">
        <v>8.8499000000000008E-3</v>
      </c>
      <c r="B97" s="244">
        <v>3.6114E-2</v>
      </c>
      <c r="C97" s="245">
        <v>7.8645199999999998E-3</v>
      </c>
      <c r="D97" s="246">
        <f>IF(CouplingMode="AC",B97-(A$11-A$10)*SUM(B$9:B97)/0.21,B97)</f>
        <v>3.6114E-2</v>
      </c>
      <c r="E97" s="247">
        <f t="shared" si="38"/>
        <v>0.74729502381411328</v>
      </c>
      <c r="F97" s="247">
        <f t="shared" si="39"/>
        <v>0.74729502381411328</v>
      </c>
      <c r="G97" s="248">
        <f t="shared" si="40"/>
        <v>1.2408269434116987E+17</v>
      </c>
      <c r="H97" s="249">
        <f t="shared" si="41"/>
        <v>1.0781240217319511E-3</v>
      </c>
      <c r="I97" s="248">
        <f>IF(MobilityModel=DK,CalcDeltaN(H97,SampleDoping,Thickness,AreaFrac),CalcDeltaNDL(H97,AreaFrac,Thickness,SampleType,SampleDoping,Temperature))</f>
        <v>215880499904520.72</v>
      </c>
      <c r="J97" s="248" t="str">
        <f t="shared" si="42"/>
        <v/>
      </c>
      <c r="K97" s="248">
        <f t="shared" si="43"/>
        <v>215880499904520.72</v>
      </c>
      <c r="L97" s="250">
        <f t="shared" si="52"/>
        <v>-1.4132914940434106E+17</v>
      </c>
      <c r="M97" s="196" t="str">
        <f t="shared" si="44"/>
        <v/>
      </c>
      <c r="N97" s="196" t="str">
        <f t="shared" si="45"/>
        <v/>
      </c>
      <c r="O97" s="250">
        <f t="shared" si="46"/>
        <v>215880499904520.72</v>
      </c>
      <c r="P97" s="248">
        <f t="shared" si="53"/>
        <v>3.335566586120904E-5</v>
      </c>
      <c r="Q97" s="250" t="str">
        <f t="shared" si="54"/>
        <v/>
      </c>
      <c r="R97" s="251" t="str">
        <f t="shared" si="57"/>
        <v/>
      </c>
      <c r="S97" s="252">
        <f>IF(AND(E97&gt;0.95*BiasLight,E97&lt;1.05*BiasLight),"",IF(AugerModel="Sinton",calclifetimeauger(Auger_Coefficient,I97,P97),calclifetimerichter(SampleType,I97,SampleDoping,P97)))</f>
        <v>29979.836818636828</v>
      </c>
      <c r="T97" s="201" t="str">
        <f t="shared" si="56"/>
        <v/>
      </c>
      <c r="U97" s="252">
        <f t="shared" si="47"/>
        <v>24685.792942382704</v>
      </c>
      <c r="V97" s="251" t="str">
        <f>IF(AugerModel="Sinton","",IF(SampleType="n-type",n_intr_boltzmann(SampleDoping,0,K97,Temperature+273.15),n_intr_boltzmann(0,SampleDoping,K97,Temperature+273.15)))</f>
        <v/>
      </c>
      <c r="W97" s="251" t="str">
        <f t="shared" si="51"/>
        <v/>
      </c>
      <c r="X97" s="246">
        <f>IF(AND(A97&gt;TimeofMaxCD,I97&gt;Traps),IF(AugerModel="Sinton",CalcImpliedV(SampleDoping,O97),CalcImpliedVRichter(O97,SampleDoping,V97)),"")</f>
        <v>0.59302151639338396</v>
      </c>
      <c r="Y97" s="253">
        <f t="shared" si="48"/>
        <v>0.76397781414485311</v>
      </c>
      <c r="Z97" s="200" t="str">
        <f t="shared" si="49"/>
        <v/>
      </c>
      <c r="AE97" s="251">
        <f t="shared" si="50"/>
        <v>1590.5111738386688</v>
      </c>
    </row>
    <row r="98" spans="1:31" x14ac:dyDescent="0.2">
      <c r="A98" s="244">
        <v>8.9499000000000002E-3</v>
      </c>
      <c r="B98" s="244">
        <v>3.3477300000000002E-2</v>
      </c>
      <c r="C98" s="245">
        <v>7.47585E-3</v>
      </c>
      <c r="D98" s="246">
        <f>IF(CouplingMode="AC",B98-(A$11-A$10)*SUM(B$9:B98)/0.21,B98)</f>
        <v>3.3477300000000002E-2</v>
      </c>
      <c r="E98" s="247">
        <f t="shared" si="38"/>
        <v>0.71036318857104297</v>
      </c>
      <c r="F98" s="247">
        <f t="shared" si="39"/>
        <v>0.71036318857104297</v>
      </c>
      <c r="G98" s="248">
        <f t="shared" si="40"/>
        <v>1.1795044204737667E+17</v>
      </c>
      <c r="H98" s="249">
        <f t="shared" si="41"/>
        <v>9.9937053143208873E-4</v>
      </c>
      <c r="I98" s="248">
        <f>IF(MobilityModel=DK,CalcDeltaN(H98,SampleDoping,Thickness,AreaFrac),CalcDeltaNDL(H98,AreaFrac,Thickness,SampleType,SampleDoping,Temperature))</f>
        <v>199922015405089.12</v>
      </c>
      <c r="J98" s="248" t="str">
        <f t="shared" si="42"/>
        <v/>
      </c>
      <c r="K98" s="248">
        <f t="shared" si="43"/>
        <v>199922015405089.12</v>
      </c>
      <c r="L98" s="250">
        <f t="shared" si="52"/>
        <v>-1.3507448361798675E+17</v>
      </c>
      <c r="M98" s="196" t="str">
        <f t="shared" si="44"/>
        <v/>
      </c>
      <c r="N98" s="196" t="str">
        <f t="shared" si="45"/>
        <v/>
      </c>
      <c r="O98" s="250">
        <f t="shared" si="46"/>
        <v>199922015405089.12</v>
      </c>
      <c r="P98" s="248">
        <f t="shared" si="53"/>
        <v>3.2492037086472368E-5</v>
      </c>
      <c r="Q98" s="250" t="str">
        <f t="shared" si="54"/>
        <v/>
      </c>
      <c r="R98" s="251" t="str">
        <f t="shared" si="57"/>
        <v/>
      </c>
      <c r="S98" s="252">
        <f>IF(AND(E98&gt;0.95*BiasLight,E98&lt;1.05*BiasLight),"",IF(AugerModel="Sinton",calclifetimeauger(Auger_Coefficient,I98,P98),calclifetimerichter(SampleType,I98,SampleDoping,P98)))</f>
        <v>30776.705121613955</v>
      </c>
      <c r="T98" s="201" t="str">
        <f t="shared" si="56"/>
        <v/>
      </c>
      <c r="U98" s="252">
        <f t="shared" si="47"/>
        <v>24771.198866121224</v>
      </c>
      <c r="V98" s="251" t="str">
        <f>IF(AugerModel="Sinton","",IF(SampleType="n-type",n_intr_boltzmann(SampleDoping,0,K98,Temperature+273.15),n_intr_boltzmann(0,SampleDoping,K98,Temperature+273.15)))</f>
        <v/>
      </c>
      <c r="W98" s="251" t="str">
        <f t="shared" si="51"/>
        <v/>
      </c>
      <c r="X98" s="246">
        <f>IF(AND(A98&gt;TimeofMaxCD,I98&gt;Traps),IF(AugerModel="Sinton",CalcImpliedV(SampleDoping,O98),CalcImpliedVRichter(O98,SampleDoping,V98)),"")</f>
        <v>0.59093546253024365</v>
      </c>
      <c r="Y98" s="253">
        <f t="shared" si="48"/>
        <v>0.72630766498464405</v>
      </c>
      <c r="Z98" s="200" t="str">
        <f t="shared" si="49"/>
        <v/>
      </c>
      <c r="AE98" s="251">
        <f t="shared" si="50"/>
        <v>1592.0156579879076</v>
      </c>
    </row>
    <row r="99" spans="1:31" x14ac:dyDescent="0.2">
      <c r="A99" s="244">
        <v>9.0498999999999996E-3</v>
      </c>
      <c r="B99" s="244">
        <v>3.1958800000000002E-2</v>
      </c>
      <c r="C99" s="245">
        <v>7.1086600000000002E-3</v>
      </c>
      <c r="D99" s="246">
        <f>IF(CouplingMode="AC",B99-(A$11-A$10)*SUM(B$9:B99)/0.21,B99)</f>
        <v>3.1958800000000002E-2</v>
      </c>
      <c r="E99" s="247">
        <f t="shared" si="38"/>
        <v>0.67547240568864142</v>
      </c>
      <c r="F99" s="247">
        <f t="shared" si="39"/>
        <v>0.67547240568864142</v>
      </c>
      <c r="G99" s="248">
        <f t="shared" si="40"/>
        <v>1.1215709108188427E+17</v>
      </c>
      <c r="H99" s="249">
        <f t="shared" si="41"/>
        <v>9.5401846416000129E-4</v>
      </c>
      <c r="I99" s="248">
        <f>IF(MobilityModel=DK,CalcDeltaN(H99,SampleDoping,Thickness,AreaFrac),CalcDeltaNDL(H99,AreaFrac,Thickness,SampleType,SampleDoping,Temperature))</f>
        <v>190742228732375.16</v>
      </c>
      <c r="J99" s="248" t="str">
        <f t="shared" si="42"/>
        <v/>
      </c>
      <c r="K99" s="248">
        <f t="shared" si="43"/>
        <v>190742228732375.16</v>
      </c>
      <c r="L99" s="250">
        <f t="shared" si="52"/>
        <v>-1.1811524740560282E+17</v>
      </c>
      <c r="M99" s="196" t="str">
        <f t="shared" si="44"/>
        <v/>
      </c>
      <c r="N99" s="196" t="str">
        <f t="shared" si="45"/>
        <v/>
      </c>
      <c r="O99" s="250">
        <f t="shared" si="46"/>
        <v>190742228732375.16</v>
      </c>
      <c r="P99" s="248">
        <f t="shared" si="53"/>
        <v>3.265901518759726E-5</v>
      </c>
      <c r="Q99" s="250" t="str">
        <f t="shared" si="54"/>
        <v/>
      </c>
      <c r="R99" s="251" t="str">
        <f t="shared" si="57"/>
        <v/>
      </c>
      <c r="S99" s="252">
        <f>IF(AND(E99&gt;0.95*BiasLight,E99&lt;1.05*BiasLight),"",IF(AugerModel="Sinton",calclifetimeauger(Auger_Coefficient,I99,P99),calclifetimerichter(SampleType,I99,SampleDoping,P99)))</f>
        <v>30619.356456739431</v>
      </c>
      <c r="T99" s="201" t="str">
        <f t="shared" si="56"/>
        <v/>
      </c>
      <c r="U99" s="252">
        <f t="shared" si="47"/>
        <v>24820.326849454075</v>
      </c>
      <c r="V99" s="251" t="str">
        <f>IF(AugerModel="Sinton","",IF(SampleType="n-type",n_intr_boltzmann(SampleDoping,0,K99,Temperature+273.15),n_intr_boltzmann(0,SampleDoping,K99,Temperature+273.15)))</f>
        <v/>
      </c>
      <c r="W99" s="251" t="str">
        <f t="shared" si="51"/>
        <v/>
      </c>
      <c r="X99" s="246">
        <f>IF(AND(A99&gt;TimeofMaxCD,I99&gt;Traps),IF(AugerModel="Sinton",CalcImpliedV(SampleDoping,O99),CalcImpliedVRichter(O99,SampleDoping,V99)),"")</f>
        <v>0.58966262082965948</v>
      </c>
      <c r="Y99" s="253">
        <f t="shared" si="48"/>
        <v>0.68941497815607744</v>
      </c>
      <c r="Z99" s="200" t="str">
        <f t="shared" si="49"/>
        <v/>
      </c>
      <c r="AE99" s="251">
        <f t="shared" si="50"/>
        <v>1592.9103869765834</v>
      </c>
    </row>
    <row r="100" spans="1:31" x14ac:dyDescent="0.2">
      <c r="A100" s="244">
        <v>9.1499000000000007E-3</v>
      </c>
      <c r="B100" s="244">
        <v>2.9331800000000002E-2</v>
      </c>
      <c r="C100" s="245">
        <v>6.7571000000000003E-3</v>
      </c>
      <c r="D100" s="246">
        <f>IF(CouplingMode="AC",B100-(A$11-A$10)*SUM(B$9:B100)/0.21,B100)</f>
        <v>2.9331800000000002E-2</v>
      </c>
      <c r="E100" s="247">
        <f t="shared" si="38"/>
        <v>0.64206680196812327</v>
      </c>
      <c r="F100" s="247">
        <f t="shared" si="39"/>
        <v>0.64206680196812327</v>
      </c>
      <c r="G100" s="248">
        <f t="shared" si="40"/>
        <v>1.0661034289857726E+17</v>
      </c>
      <c r="H100" s="249">
        <f t="shared" si="41"/>
        <v>8.7556436749241205E-4</v>
      </c>
      <c r="I100" s="248">
        <f>IF(MobilityModel=DK,CalcDeltaN(H100,SampleDoping,Thickness,AreaFrac),CalcDeltaNDL(H100,AreaFrac,Thickness,SampleType,SampleDoping,Temperature))</f>
        <v>174880538270880.53</v>
      </c>
      <c r="J100" s="248" t="str">
        <f t="shared" si="42"/>
        <v/>
      </c>
      <c r="K100" s="248">
        <f t="shared" si="43"/>
        <v>174880538270880.53</v>
      </c>
      <c r="L100" s="250">
        <f t="shared" si="52"/>
        <v>-1.1079885779999518E+17</v>
      </c>
      <c r="M100" s="196" t="str">
        <f t="shared" si="44"/>
        <v/>
      </c>
      <c r="N100" s="196" t="str">
        <f t="shared" si="45"/>
        <v/>
      </c>
      <c r="O100" s="250">
        <f t="shared" si="46"/>
        <v>174880538270880.53</v>
      </c>
      <c r="P100" s="248">
        <f t="shared" si="53"/>
        <v>3.1509427423595228E-5</v>
      </c>
      <c r="Q100" s="250" t="str">
        <f t="shared" si="54"/>
        <v/>
      </c>
      <c r="R100" s="251" t="str">
        <f t="shared" si="57"/>
        <v/>
      </c>
      <c r="S100" s="252">
        <f>IF(AND(E100&gt;0.95*BiasLight,E100&lt;1.05*BiasLight),"",IF(AugerModel="Sinton",calclifetimeauger(Auger_Coefficient,I100,P100),calclifetimerichter(SampleType,I100,SampleDoping,P100)))</f>
        <v>31736.482763786767</v>
      </c>
      <c r="T100" s="201" t="str">
        <f t="shared" si="56"/>
        <v/>
      </c>
      <c r="U100" s="252">
        <f t="shared" si="47"/>
        <v>24905.214755067336</v>
      </c>
      <c r="V100" s="251" t="str">
        <f>IF(AugerModel="Sinton","",IF(SampleType="n-type",n_intr_boltzmann(SampleDoping,0,K100,Temperature+273.15),n_intr_boltzmann(0,SampleDoping,K100,Temperature+273.15)))</f>
        <v/>
      </c>
      <c r="W100" s="251" t="str">
        <f t="shared" si="51"/>
        <v/>
      </c>
      <c r="X100" s="246">
        <f>IF(AND(A100&gt;TimeofMaxCD,I100&gt;Traps),IF(AugerModel="Sinton",CalcImpliedV(SampleDoping,O100),CalcImpliedVRichter(O100,SampleDoping,V100)),"")</f>
        <v>0.58731899946221355</v>
      </c>
      <c r="Y100" s="253">
        <f t="shared" si="48"/>
        <v>0.65514573240358787</v>
      </c>
      <c r="Z100" s="200" t="str">
        <f t="shared" si="49"/>
        <v/>
      </c>
      <c r="AE100" s="251">
        <f t="shared" si="50"/>
        <v>1594.5128168588744</v>
      </c>
    </row>
    <row r="101" spans="1:31" x14ac:dyDescent="0.2">
      <c r="A101" s="244">
        <v>9.2499000000000001E-3</v>
      </c>
      <c r="B101" s="244">
        <v>2.8413799999999999E-2</v>
      </c>
      <c r="C101" s="245">
        <v>6.4094399999999998E-3</v>
      </c>
      <c r="D101" s="246">
        <f>IF(CouplingMode="AC",B101-(A$11-A$10)*SUM(B$9:B101)/0.21,B101)</f>
        <v>2.8413799999999999E-2</v>
      </c>
      <c r="E101" s="247">
        <f t="shared" si="38"/>
        <v>0.60903178038012873</v>
      </c>
      <c r="F101" s="247">
        <f t="shared" si="39"/>
        <v>0.60903178038012873</v>
      </c>
      <c r="G101" s="248">
        <f t="shared" si="40"/>
        <v>1.011251270793472E+17</v>
      </c>
      <c r="H101" s="249">
        <f t="shared" si="41"/>
        <v>8.4815018066952338E-4</v>
      </c>
      <c r="I101" s="248">
        <f>IF(MobilityModel=DK,CalcDeltaN(H101,SampleDoping,Thickness,AreaFrac),CalcDeltaNDL(H101,AreaFrac,Thickness,SampleType,SampleDoping,Temperature))</f>
        <v>169343614768823.66</v>
      </c>
      <c r="J101" s="248" t="str">
        <f t="shared" si="42"/>
        <v/>
      </c>
      <c r="K101" s="248">
        <f t="shared" si="43"/>
        <v>169343614768823.66</v>
      </c>
      <c r="L101" s="250">
        <f t="shared" si="52"/>
        <v>-1.086823363036876E+17</v>
      </c>
      <c r="M101" s="196" t="str">
        <f t="shared" si="44"/>
        <v/>
      </c>
      <c r="N101" s="196" t="str">
        <f t="shared" si="45"/>
        <v/>
      </c>
      <c r="O101" s="250">
        <f t="shared" si="46"/>
        <v>169343614768823.66</v>
      </c>
      <c r="P101" s="248">
        <f t="shared" si="53"/>
        <v>3.2144934172618136E-5</v>
      </c>
      <c r="Q101" s="250" t="str">
        <f t="shared" si="54"/>
        <v/>
      </c>
      <c r="R101" s="251" t="str">
        <f t="shared" si="57"/>
        <v/>
      </c>
      <c r="S101" s="252">
        <f>IF(AND(E101&gt;0.95*BiasLight,E101&lt;1.05*BiasLight),"",IF(AugerModel="Sinton",calclifetimeauger(Auger_Coefficient,I101,P101),calclifetimerichter(SampleType,I101,SampleDoping,P101)))</f>
        <v>31109.053277088282</v>
      </c>
      <c r="T101" s="201" t="str">
        <f t="shared" si="56"/>
        <v/>
      </c>
      <c r="U101" s="252">
        <f t="shared" si="47"/>
        <v>24934.84702161367</v>
      </c>
      <c r="V101" s="251" t="str">
        <f>IF(AugerModel="Sinton","",IF(SampleType="n-type",n_intr_boltzmann(SampleDoping,0,K101,Temperature+273.15),n_intr_boltzmann(0,SampleDoping,K101,Temperature+273.15)))</f>
        <v/>
      </c>
      <c r="W101" s="251" t="str">
        <f t="shared" si="51"/>
        <v/>
      </c>
      <c r="X101" s="246">
        <f>IF(AND(A101&gt;TimeofMaxCD,I101&gt;Traps),IF(AugerModel="Sinton",CalcImpliedV(SampleDoping,O101),CalcImpliedVRichter(O101,SampleDoping,V101)),"")</f>
        <v>0.58645282913599683</v>
      </c>
      <c r="Y101" s="253">
        <f t="shared" si="48"/>
        <v>0.62186087216233432</v>
      </c>
      <c r="Z101" s="200" t="str">
        <f t="shared" si="49"/>
        <v/>
      </c>
      <c r="AE101" s="251">
        <f t="shared" si="50"/>
        <v>1595.0905788360067</v>
      </c>
    </row>
    <row r="102" spans="1:31" x14ac:dyDescent="0.2">
      <c r="A102" s="244">
        <v>9.3498999999999995E-3</v>
      </c>
      <c r="B102" s="244">
        <v>2.6070099999999999E-2</v>
      </c>
      <c r="C102" s="245">
        <v>6.06764E-3</v>
      </c>
      <c r="D102" s="246">
        <f>IF(CouplingMode="AC",B102-(A$11-A$10)*SUM(B$9:B102)/0.21,B102)</f>
        <v>2.6070099999999999E-2</v>
      </c>
      <c r="E102" s="247">
        <f t="shared" si="38"/>
        <v>0.57655358220151598</v>
      </c>
      <c r="F102" s="247">
        <f t="shared" si="39"/>
        <v>0.57655358220151598</v>
      </c>
      <c r="G102" s="248">
        <f t="shared" si="40"/>
        <v>9.5732367581525136E+16</v>
      </c>
      <c r="H102" s="249">
        <f t="shared" si="41"/>
        <v>7.7816377872358053E-4</v>
      </c>
      <c r="I102" s="248">
        <f>IF(MobilityModel=DK,CalcDeltaN(H102,SampleDoping,Thickness,AreaFrac),CalcDeltaNDL(H102,AreaFrac,Thickness,SampleType,SampleDoping,Temperature))</f>
        <v>155221893486867.34</v>
      </c>
      <c r="J102" s="248" t="str">
        <f t="shared" si="42"/>
        <v/>
      </c>
      <c r="K102" s="248">
        <f t="shared" si="43"/>
        <v>155221893486867.34</v>
      </c>
      <c r="L102" s="250">
        <f t="shared" si="52"/>
        <v>-9.9611833330572736E+16</v>
      </c>
      <c r="M102" s="196" t="str">
        <f t="shared" si="44"/>
        <v/>
      </c>
      <c r="N102" s="196" t="str">
        <f t="shared" si="45"/>
        <v/>
      </c>
      <c r="O102" s="250">
        <f t="shared" si="46"/>
        <v>155221893486867.34</v>
      </c>
      <c r="P102" s="248">
        <f t="shared" si="53"/>
        <v>3.114456264676092E-5</v>
      </c>
      <c r="Q102" s="250" t="str">
        <f t="shared" si="54"/>
        <v/>
      </c>
      <c r="R102" s="251" t="str">
        <f t="shared" si="57"/>
        <v/>
      </c>
      <c r="S102" s="252">
        <f>IF(AND(E102&gt;0.95*BiasLight,E102&lt;1.05*BiasLight),"",IF(AugerModel="Sinton",calclifetimeauger(Auger_Coefficient,I102,P102),calclifetimerichter(SampleType,I102,SampleDoping,P102)))</f>
        <v>32108.293370216757</v>
      </c>
      <c r="T102" s="201" t="str">
        <f t="shared" si="56"/>
        <v/>
      </c>
      <c r="U102" s="252">
        <f t="shared" si="47"/>
        <v>25010.423035796364</v>
      </c>
      <c r="V102" s="251" t="str">
        <f>IF(AugerModel="Sinton","",IF(SampleType="n-type",n_intr_boltzmann(SampleDoping,0,K102,Temperature+273.15),n_intr_boltzmann(0,SampleDoping,K102,Temperature+273.15)))</f>
        <v/>
      </c>
      <c r="W102" s="251" t="str">
        <f t="shared" si="51"/>
        <v/>
      </c>
      <c r="X102" s="246">
        <f>IF(AND(A102&gt;TimeofMaxCD,I102&gt;Traps),IF(AugerModel="Sinton",CalcImpliedV(SampleDoping,O102),CalcImpliedVRichter(O102,SampleDoping,V102)),"")</f>
        <v>0.58411451425514871</v>
      </c>
      <c r="Y102" s="253">
        <f t="shared" si="48"/>
        <v>0.58831197271697977</v>
      </c>
      <c r="Z102" s="200" t="str">
        <f t="shared" si="49"/>
        <v/>
      </c>
      <c r="AE102" s="251">
        <f t="shared" si="50"/>
        <v>1596.6122305172657</v>
      </c>
    </row>
    <row r="103" spans="1:31" x14ac:dyDescent="0.2">
      <c r="A103" s="244">
        <v>9.4499000000000007E-3</v>
      </c>
      <c r="B103" s="244">
        <v>2.4576000000000001E-2</v>
      </c>
      <c r="C103" s="245">
        <v>5.77467E-3</v>
      </c>
      <c r="D103" s="246">
        <f>IF(CouplingMode="AC",B103-(A$11-A$10)*SUM(B$9:B103)/0.21,B103)</f>
        <v>2.4576000000000001E-2</v>
      </c>
      <c r="E103" s="247">
        <f t="shared" si="38"/>
        <v>0.54871526236421875</v>
      </c>
      <c r="F103" s="247">
        <f t="shared" si="39"/>
        <v>0.54871526236421875</v>
      </c>
      <c r="G103" s="248">
        <f t="shared" si="40"/>
        <v>9.1110024837005104E+16</v>
      </c>
      <c r="H103" s="249">
        <f t="shared" si="41"/>
        <v>7.3355025212293833E-4</v>
      </c>
      <c r="I103" s="248">
        <f>IF(MobilityModel=DK,CalcDeltaN(H103,SampleDoping,Thickness,AreaFrac),CalcDeltaNDL(H103,AreaFrac,Thickness,SampleType,SampleDoping,Temperature))</f>
        <v>146230382972537.91</v>
      </c>
      <c r="J103" s="248" t="str">
        <f t="shared" si="42"/>
        <v/>
      </c>
      <c r="K103" s="248">
        <f t="shared" si="43"/>
        <v>146230382972537.91</v>
      </c>
      <c r="L103" s="250">
        <f t="shared" si="52"/>
        <v>-1.0120001996223659E+17</v>
      </c>
      <c r="M103" s="196" t="str">
        <f t="shared" si="44"/>
        <v/>
      </c>
      <c r="N103" s="196" t="str">
        <f t="shared" si="45"/>
        <v/>
      </c>
      <c r="O103" s="250">
        <f t="shared" si="46"/>
        <v>146230382972537.91</v>
      </c>
      <c r="P103" s="248">
        <f t="shared" si="53"/>
        <v>3.0787478328750295E-5</v>
      </c>
      <c r="Q103" s="250" t="str">
        <f t="shared" si="54"/>
        <v/>
      </c>
      <c r="R103" s="251" t="str">
        <f t="shared" si="57"/>
        <v/>
      </c>
      <c r="S103" s="252">
        <f>IF(AND(E103&gt;0.95*BiasLight,E103&lt;1.05*BiasLight),"",IF(AugerModel="Sinton",calclifetimeauger(Auger_Coefficient,I103,P103),calclifetimerichter(SampleType,I103,SampleDoping,P103)))</f>
        <v>32480.701942516927</v>
      </c>
      <c r="T103" s="201" t="str">
        <f t="shared" si="56"/>
        <v/>
      </c>
      <c r="U103" s="252">
        <f t="shared" si="47"/>
        <v>25058.543410967846</v>
      </c>
      <c r="V103" s="251" t="str">
        <f>IF(AugerModel="Sinton","",IF(SampleType="n-type",n_intr_boltzmann(SampleDoping,0,K103,Temperature+273.15),n_intr_boltzmann(0,SampleDoping,K103,Temperature+273.15)))</f>
        <v/>
      </c>
      <c r="W103" s="251" t="str">
        <f t="shared" si="51"/>
        <v/>
      </c>
      <c r="X103" s="246">
        <f>IF(AND(A103&gt;TimeofMaxCD,I103&gt;Traps),IF(AugerModel="Sinton",CalcImpliedV(SampleDoping,O103),CalcImpliedVRichter(O103,SampleDoping,V103)),"")</f>
        <v>0.58251677410671687</v>
      </c>
      <c r="Y103" s="253">
        <f t="shared" si="48"/>
        <v>0.56066112577323479</v>
      </c>
      <c r="Z103" s="200" t="str">
        <f t="shared" si="49"/>
        <v/>
      </c>
      <c r="AE103" s="251">
        <f t="shared" si="50"/>
        <v>1597.6206677829816</v>
      </c>
    </row>
    <row r="104" spans="1:31" x14ac:dyDescent="0.2">
      <c r="A104" s="244">
        <v>9.5499000000000001E-3</v>
      </c>
      <c r="B104" s="244">
        <v>2.2979300000000001E-2</v>
      </c>
      <c r="C104" s="245">
        <v>5.4787799999999999E-3</v>
      </c>
      <c r="D104" s="246">
        <f>IF(CouplingMode="AC",B104-(A$11-A$10)*SUM(B$9:B104)/0.21,B104)</f>
        <v>2.2979300000000001E-2</v>
      </c>
      <c r="E104" s="247">
        <f t="shared" si="38"/>
        <v>0.52059948103282683</v>
      </c>
      <c r="F104" s="247">
        <f t="shared" si="39"/>
        <v>0.52059948103282683</v>
      </c>
      <c r="G104" s="248">
        <f t="shared" si="40"/>
        <v>8.6441611707073616E+16</v>
      </c>
      <c r="H104" s="249">
        <f t="shared" si="41"/>
        <v>6.8587529904625202E-4</v>
      </c>
      <c r="I104" s="248">
        <f>IF(MobilityModel=DK,CalcDeltaN(H104,SampleDoping,Thickness,AreaFrac),CalcDeltaNDL(H104,AreaFrac,Thickness,SampleType,SampleDoping,Temperature))</f>
        <v>136631237503737.08</v>
      </c>
      <c r="J104" s="248" t="str">
        <f t="shared" si="42"/>
        <v/>
      </c>
      <c r="K104" s="248">
        <f t="shared" si="43"/>
        <v>136631237503737.08</v>
      </c>
      <c r="L104" s="250">
        <f t="shared" si="52"/>
        <v>-8.861168303911792E+16</v>
      </c>
      <c r="M104" s="196" t="str">
        <f t="shared" si="44"/>
        <v/>
      </c>
      <c r="N104" s="196" t="str">
        <f t="shared" si="45"/>
        <v/>
      </c>
      <c r="O104" s="250">
        <f t="shared" si="46"/>
        <v>136631237503737.08</v>
      </c>
      <c r="P104" s="248">
        <f t="shared" si="53"/>
        <v>3.0369934518851165E-5</v>
      </c>
      <c r="Q104" s="250" t="str">
        <f t="shared" si="54"/>
        <v/>
      </c>
      <c r="R104" s="251" t="str">
        <f t="shared" si="57"/>
        <v/>
      </c>
      <c r="S104" s="252">
        <f>IF(AND(E104&gt;0.95*BiasLight,E104&lt;1.05*BiasLight),"",IF(AugerModel="Sinton",calclifetimeauger(Auger_Coefficient,I104,P104),calclifetimerichter(SampleType,I104,SampleDoping,P104)))</f>
        <v>32927.270825830514</v>
      </c>
      <c r="T104" s="201" t="str">
        <f t="shared" si="56"/>
        <v/>
      </c>
      <c r="U104" s="252">
        <f t="shared" si="47"/>
        <v>25109.915700478956</v>
      </c>
      <c r="V104" s="251" t="str">
        <f>IF(AugerModel="Sinton","",IF(SampleType="n-type",n_intr_boltzmann(SampleDoping,0,K104,Temperature+273.15),n_intr_boltzmann(0,SampleDoping,K104,Temperature+273.15)))</f>
        <v/>
      </c>
      <c r="W104" s="251" t="str">
        <f t="shared" si="51"/>
        <v/>
      </c>
      <c r="X104" s="246">
        <f>IF(AND(A104&gt;TimeofMaxCD,I104&gt;Traps),IF(AugerModel="Sinton",CalcImpliedV(SampleDoping,O104),CalcImpliedVRichter(O104,SampleDoping,V104)),"")</f>
        <v>0.58070316591383231</v>
      </c>
      <c r="Y104" s="253">
        <f t="shared" si="48"/>
        <v>0.53105939064967589</v>
      </c>
      <c r="Z104" s="200" t="str">
        <f t="shared" si="49"/>
        <v/>
      </c>
      <c r="AE104" s="251">
        <f t="shared" si="50"/>
        <v>1598.735349028884</v>
      </c>
    </row>
    <row r="105" spans="1:31" x14ac:dyDescent="0.2">
      <c r="A105" s="244">
        <v>9.6498999999999995E-3</v>
      </c>
      <c r="B105" s="244">
        <v>2.1548600000000001E-2</v>
      </c>
      <c r="C105" s="245">
        <v>5.2160799999999997E-3</v>
      </c>
      <c r="D105" s="246">
        <f>IF(CouplingMode="AC",B105-(A$11-A$10)*SUM(B$9:B105)/0.21,B105)</f>
        <v>2.1548600000000001E-2</v>
      </c>
      <c r="E105" s="247">
        <f t="shared" ref="E105:E133" si="58">IF(C105&gt;0,C105/RefCellCal,0.00001)</f>
        <v>0.49563744867027099</v>
      </c>
      <c r="F105" s="247">
        <f t="shared" ref="F105:F133" si="59">E105-BiasLight</f>
        <v>0.49563744867027099</v>
      </c>
      <c r="G105" s="248">
        <f t="shared" ref="G105:G133" si="60">F105*0.038*OptConst/1.602E-19</f>
        <v>8.2296854772966336E+16</v>
      </c>
      <c r="H105" s="249">
        <f t="shared" ref="H105:H133" si="61">CalcConductance(B105,Dark_Voltage,A_cal,B_cal,C_cal)</f>
        <v>6.4315876628757464E-4</v>
      </c>
      <c r="I105" s="248">
        <f>IF(MobilityModel=DK,CalcDeltaN(H105,SampleDoping,Thickness,AreaFrac),CalcDeltaNDL(H105,AreaFrac,Thickness,SampleType,SampleDoping,Temperature))</f>
        <v>128038932779270.53</v>
      </c>
      <c r="J105" s="248" t="str">
        <f t="shared" ref="J105:J133" si="62">IF(AND(AND(I105&gt;=FitRangeMin,I105&lt;=FitRangeMax),A105&gt;TimeofMaxCD),I105,"")</f>
        <v/>
      </c>
      <c r="K105" s="248">
        <f t="shared" ref="K105:K133" si="63">IF(I105-BiasPtCD=0,0.00001,I105-BiasPtCD)</f>
        <v>128038932779270.53</v>
      </c>
      <c r="L105" s="250">
        <f t="shared" si="52"/>
        <v>-8.591373312605816E+16</v>
      </c>
      <c r="M105" s="196" t="str">
        <f t="shared" ref="M105:M133" si="64">IF(E105&gt;0.85*BiasLight,IF( E105&lt;1.15*BiasLight,E105,""),"")</f>
        <v/>
      </c>
      <c r="N105" s="196" t="str">
        <f t="shared" ref="N105:N133" si="65">IF(E105&gt;0.85*BiasLight,IF(E105&lt;1.15*BiasLight,I105,""),"")</f>
        <v/>
      </c>
      <c r="O105" s="250">
        <f t="shared" ref="O105:O133" si="66">I105-Traps</f>
        <v>128038932779270.53</v>
      </c>
      <c r="P105" s="248">
        <f t="shared" si="53"/>
        <v>2.9882594116431334E-5</v>
      </c>
      <c r="Q105" s="250" t="str">
        <f t="shared" si="54"/>
        <v/>
      </c>
      <c r="R105" s="251" t="str">
        <f t="shared" si="57"/>
        <v/>
      </c>
      <c r="S105" s="252">
        <f>IF(AND(E105&gt;0.95*BiasLight,E105&lt;1.05*BiasLight),"",IF(AugerModel="Sinton",calclifetimeauger(Auger_Coefficient,I105,P105),calclifetimerichter(SampleType,I105,SampleDoping,P105)))</f>
        <v>33464.269630647555</v>
      </c>
      <c r="T105" s="201" t="str">
        <f t="shared" si="56"/>
        <v/>
      </c>
      <c r="U105" s="252">
        <f t="shared" ref="U105:U133" si="67">FitInterceptAuger+FitSlopeAuger*(I105+Traps)</f>
        <v>25155.899623454978</v>
      </c>
      <c r="V105" s="251" t="str">
        <f>IF(AugerModel="Sinton","",IF(SampleType="n-type",n_intr_boltzmann(SampleDoping,0,K105,Temperature+273.15),n_intr_boltzmann(0,SampleDoping,K105,Temperature+273.15)))</f>
        <v/>
      </c>
      <c r="W105" s="251" t="str">
        <f t="shared" si="51"/>
        <v/>
      </c>
      <c r="X105" s="246">
        <f>IF(AND(A105&gt;TimeofMaxCD,I105&gt;Traps),IF(AugerModel="Sinton",CalcImpliedV(SampleDoping,O105),CalcImpliedVRichter(O105,SampleDoping,V105)),"")</f>
        <v>0.57897236527333062</v>
      </c>
      <c r="Y105" s="253">
        <f t="shared" ref="Y105:Y133" si="68">IF(OR(P105="",P105&lt;0,A105&lt;=TimeofMaxCD),"",(O105*Thickness*1.602E-19/(0.038*OptConst*P105)))</f>
        <v>0.505778886599488</v>
      </c>
      <c r="Z105" s="200" t="str">
        <f t="shared" ref="Z105:Z133" si="69">IF(C105&gt;0.6,O105,"")</f>
        <v/>
      </c>
      <c r="AE105" s="251">
        <f t="shared" ref="AE105:AE133" si="70">H105/(K105*AreaFrac*Thickness*1.602E-19)</f>
        <v>1599.7700605654568</v>
      </c>
    </row>
    <row r="106" spans="1:31" x14ac:dyDescent="0.2">
      <c r="A106" s="244">
        <v>9.7499000000000006E-3</v>
      </c>
      <c r="B106" s="244">
        <v>2.0210700000000002E-2</v>
      </c>
      <c r="C106" s="245">
        <v>4.9279900000000001E-3</v>
      </c>
      <c r="D106" s="246">
        <f>IF(CouplingMode="AC",B106-(A$11-A$10)*SUM(B$9:B106)/0.21,B106)</f>
        <v>2.0210700000000002E-2</v>
      </c>
      <c r="E106" s="247">
        <f t="shared" si="58"/>
        <v>0.46826283160392651</v>
      </c>
      <c r="F106" s="247">
        <f t="shared" si="59"/>
        <v>0.46826283160392651</v>
      </c>
      <c r="G106" s="248">
        <f t="shared" si="60"/>
        <v>7.77515063711888E+16</v>
      </c>
      <c r="H106" s="249">
        <f t="shared" si="61"/>
        <v>6.032146140628504E-4</v>
      </c>
      <c r="I106" s="248">
        <f>IF(MobilityModel=DK,CalcDeltaN(H106,SampleDoping,Thickness,AreaFrac),CalcDeltaNDL(H106,AreaFrac,Thickness,SampleType,SampleDoping,Temperature))</f>
        <v>120011777063942.03</v>
      </c>
      <c r="J106" s="248" t="str">
        <f t="shared" si="62"/>
        <v/>
      </c>
      <c r="K106" s="248">
        <f t="shared" si="63"/>
        <v>120011777063942.03</v>
      </c>
      <c r="L106" s="250">
        <f t="shared" si="52"/>
        <v>-8.683981055691248E+16</v>
      </c>
      <c r="M106" s="196" t="str">
        <f t="shared" si="64"/>
        <v/>
      </c>
      <c r="N106" s="196" t="str">
        <f t="shared" si="65"/>
        <v/>
      </c>
      <c r="O106" s="250">
        <f t="shared" si="66"/>
        <v>120011777063942.03</v>
      </c>
      <c r="P106" s="248">
        <f t="shared" si="53"/>
        <v>2.9605100556091088E-5</v>
      </c>
      <c r="Q106" s="250" t="str">
        <f t="shared" si="54"/>
        <v/>
      </c>
      <c r="R106" s="251" t="str">
        <f t="shared" si="57"/>
        <v/>
      </c>
      <c r="S106" s="252">
        <f>IF(AND(E106&gt;0.95*BiasLight,E106&lt;1.05*BiasLight),"",IF(AugerModel="Sinton",calclifetimeauger(Auger_Coefficient,I106,P106),calclifetimerichter(SampleType,I106,SampleDoping,P106)))</f>
        <v>33777.93938872531</v>
      </c>
      <c r="T106" s="201" t="str">
        <f t="shared" si="56"/>
        <v/>
      </c>
      <c r="U106" s="252">
        <f t="shared" si="67"/>
        <v>25198.859006527036</v>
      </c>
      <c r="V106" s="251" t="str">
        <f>IF(AugerModel="Sinton","",IF(SampleType="n-type",n_intr_boltzmann(SampleDoping,0,K106,Temperature+273.15),n_intr_boltzmann(0,SampleDoping,K106,Temperature+273.15)))</f>
        <v/>
      </c>
      <c r="W106" s="251" t="str">
        <f t="shared" si="51"/>
        <v/>
      </c>
      <c r="X106" s="246">
        <f>IF(AND(A106&gt;TimeofMaxCD,I106&gt;Traps),IF(AugerModel="Sinton",CalcImpliedV(SampleDoping,O106),CalcImpliedVRichter(O106,SampleDoping,V106)),"")</f>
        <v>0.57725083025120516</v>
      </c>
      <c r="Y106" s="253">
        <f t="shared" si="68"/>
        <v>0.47851358566271834</v>
      </c>
      <c r="Z106" s="200" t="str">
        <f t="shared" si="69"/>
        <v/>
      </c>
      <c r="AE106" s="251">
        <f t="shared" si="70"/>
        <v>1600.7717263055879</v>
      </c>
    </row>
    <row r="107" spans="1:31" x14ac:dyDescent="0.2">
      <c r="A107" s="244">
        <v>9.8499E-3</v>
      </c>
      <c r="B107" s="244">
        <v>1.8804499999999998E-2</v>
      </c>
      <c r="C107" s="245">
        <v>4.6799500000000004E-3</v>
      </c>
      <c r="D107" s="246">
        <f>IF(CouplingMode="AC",B107-(A$11-A$10)*SUM(B$9:B107)/0.21,B107)</f>
        <v>1.8804499999999998E-2</v>
      </c>
      <c r="E107" s="247">
        <f t="shared" si="58"/>
        <v>0.44469380797542124</v>
      </c>
      <c r="F107" s="247">
        <f t="shared" si="59"/>
        <v>0.44469380797542124</v>
      </c>
      <c r="G107" s="248">
        <f t="shared" si="60"/>
        <v>7.3838048015893904E+16</v>
      </c>
      <c r="H107" s="249">
        <f t="shared" si="61"/>
        <v>5.6123301830393775E-4</v>
      </c>
      <c r="I107" s="248">
        <f>IF(MobilityModel=DK,CalcDeltaN(H107,SampleDoping,Thickness,AreaFrac),CalcDeltaNDL(H107,AreaFrac,Thickness,SampleType,SampleDoping,Temperature))</f>
        <v>111583246629406.37</v>
      </c>
      <c r="J107" s="248" t="str">
        <f t="shared" si="62"/>
        <v/>
      </c>
      <c r="K107" s="248">
        <f t="shared" si="63"/>
        <v>111583246629406.37</v>
      </c>
      <c r="L107" s="250">
        <f t="shared" ref="L107:L131" si="71">IF(ABS(SLOPE(K105:K109,A105:A109))&lt;1000000000000,-1000000000000,(SLOPE(K105:K109,A105:A109)))</f>
        <v>-7.9949694414018256E+16</v>
      </c>
      <c r="M107" s="196" t="str">
        <f t="shared" si="64"/>
        <v/>
      </c>
      <c r="N107" s="196" t="str">
        <f t="shared" si="65"/>
        <v/>
      </c>
      <c r="O107" s="250">
        <f t="shared" si="66"/>
        <v>111583246629406.37</v>
      </c>
      <c r="P107" s="248">
        <f t="shared" ref="P107:P131" si="72">calclifetime(AnalysisMode,K107,Thickness,G107,L107)</f>
        <v>2.9003777401183148E-5</v>
      </c>
      <c r="Q107" s="250" t="str">
        <f t="shared" si="54"/>
        <v/>
      </c>
      <c r="R107" s="251" t="str">
        <f t="shared" si="57"/>
        <v/>
      </c>
      <c r="S107" s="252">
        <f>IF(AND(E107&gt;0.95*BiasLight,E107&lt;1.05*BiasLight),"",IF(AugerModel="Sinton",calclifetimeauger(Auger_Coefficient,I107,P107),calclifetimerichter(SampleType,I107,SampleDoping,P107)))</f>
        <v>34478.246978223426</v>
      </c>
      <c r="T107" s="201" t="str">
        <f t="shared" si="56"/>
        <v/>
      </c>
      <c r="U107" s="252">
        <f t="shared" si="67"/>
        <v>25243.966449376348</v>
      </c>
      <c r="V107" s="251" t="str">
        <f>IF(AugerModel="Sinton","",IF(SampleType="n-type",n_intr_boltzmann(SampleDoping,0,K107,Temperature+273.15),n_intr_boltzmann(0,SampleDoping,K107,Temperature+273.15)))</f>
        <v/>
      </c>
      <c r="W107" s="251" t="str">
        <f t="shared" si="51"/>
        <v/>
      </c>
      <c r="X107" s="246">
        <f>IF(AND(A107&gt;TimeofMaxCD,I107&gt;Traps),IF(AugerModel="Sinton",CalcImpliedV(SampleDoping,O107),CalcImpliedVRichter(O107,SampleDoping,V107)),"")</f>
        <v>0.57531880727382079</v>
      </c>
      <c r="Y107" s="253">
        <f t="shared" si="68"/>
        <v>0.45413123821919804</v>
      </c>
      <c r="Z107" s="200" t="str">
        <f t="shared" si="69"/>
        <v/>
      </c>
      <c r="AE107" s="251">
        <f t="shared" si="70"/>
        <v>1601.8639835983297</v>
      </c>
    </row>
    <row r="108" spans="1:31" x14ac:dyDescent="0.2">
      <c r="A108" s="244">
        <v>9.9498999999999994E-3</v>
      </c>
      <c r="B108" s="244">
        <v>1.71101E-2</v>
      </c>
      <c r="C108" s="245">
        <v>4.4270200000000003E-3</v>
      </c>
      <c r="D108" s="246">
        <f>IF(CouplingMode="AC",B108-(A$11-A$10)*SUM(B$9:B108)/0.21,B108)</f>
        <v>1.71101E-2</v>
      </c>
      <c r="E108" s="247">
        <f t="shared" si="58"/>
        <v>0.42066013136536701</v>
      </c>
      <c r="F108" s="247">
        <f t="shared" si="59"/>
        <v>0.42066013136536701</v>
      </c>
      <c r="G108" s="248">
        <f t="shared" si="60"/>
        <v>6.9847437542564056E+16</v>
      </c>
      <c r="H108" s="249">
        <f t="shared" si="61"/>
        <v>5.106496453632179E-4</v>
      </c>
      <c r="I108" s="248">
        <f>IF(MobilityModel=DK,CalcDeltaN(H108,SampleDoping,Thickness,AreaFrac),CalcDeltaNDL(H108,AreaFrac,Thickness,SampleType,SampleDoping,Temperature))</f>
        <v>101439175300212.94</v>
      </c>
      <c r="J108" s="248" t="str">
        <f t="shared" si="62"/>
        <v/>
      </c>
      <c r="K108" s="248">
        <f t="shared" si="63"/>
        <v>101439175300212.94</v>
      </c>
      <c r="L108" s="250">
        <f t="shared" si="71"/>
        <v>-7.0120233248555168E+16</v>
      </c>
      <c r="M108" s="196" t="str">
        <f t="shared" si="64"/>
        <v/>
      </c>
      <c r="N108" s="196" t="str">
        <f t="shared" si="65"/>
        <v/>
      </c>
      <c r="O108" s="250">
        <f t="shared" si="66"/>
        <v>101439175300212.94</v>
      </c>
      <c r="P108" s="248">
        <f t="shared" si="72"/>
        <v>2.791572243596111E-5</v>
      </c>
      <c r="Q108" s="250" t="str">
        <f t="shared" ref="Q108:Q133" si="73">IF($J108="","",P108)</f>
        <v/>
      </c>
      <c r="R108" s="251" t="str">
        <f t="shared" si="57"/>
        <v/>
      </c>
      <c r="S108" s="252">
        <f>IF(AND(E108&gt;0.95*BiasLight,E108&lt;1.05*BiasLight),"",IF(AugerModel="Sinton",calclifetimeauger(Auger_Coefficient,I108,P108),calclifetimerichter(SampleType,I108,SampleDoping,P108)))</f>
        <v>35822.090059060029</v>
      </c>
      <c r="T108" s="201" t="str">
        <f t="shared" ref="T108:T133" si="74">IF($J108="","",S108)</f>
        <v/>
      </c>
      <c r="U108" s="252">
        <f t="shared" si="67"/>
        <v>25298.255049422929</v>
      </c>
      <c r="V108" s="251" t="str">
        <f>IF(AugerModel="Sinton","",IF(SampleType="n-type",n_intr_boltzmann(SampleDoping,0,K108,Temperature+273.15),n_intr_boltzmann(0,SampleDoping,K108,Temperature+273.15)))</f>
        <v/>
      </c>
      <c r="W108" s="251" t="str">
        <f t="shared" si="51"/>
        <v/>
      </c>
      <c r="X108" s="246">
        <f>IF(AND(A108&gt;TimeofMaxCD,I108&gt;Traps),IF(AugerModel="Sinton",CalcImpliedV(SampleDoping,O108),CalcImpliedVRichter(O108,SampleDoping,V108)),"")</f>
        <v>0.57279627720148618</v>
      </c>
      <c r="Y108" s="253">
        <f t="shared" si="68"/>
        <v>0.42893727131957016</v>
      </c>
      <c r="Z108" s="200" t="str">
        <f t="shared" si="69"/>
        <v/>
      </c>
      <c r="AE108" s="251">
        <f t="shared" si="70"/>
        <v>1603.2407458727159</v>
      </c>
    </row>
    <row r="109" spans="1:31" x14ac:dyDescent="0.2">
      <c r="A109" s="244">
        <v>1.00499E-2</v>
      </c>
      <c r="B109" s="244">
        <v>1.64265E-2</v>
      </c>
      <c r="C109" s="245">
        <v>4.1916699999999998E-3</v>
      </c>
      <c r="D109" s="246">
        <f>IF(CouplingMode="AC",B109-(A$11-A$10)*SUM(B$9:B109)/0.21,B109)</f>
        <v>1.64265E-2</v>
      </c>
      <c r="E109" s="247">
        <f t="shared" si="58"/>
        <v>0.39829692498345787</v>
      </c>
      <c r="F109" s="247">
        <f t="shared" si="59"/>
        <v>0.39829692498345787</v>
      </c>
      <c r="G109" s="248">
        <f t="shared" si="60"/>
        <v>6.613419603345804E+16</v>
      </c>
      <c r="H109" s="249">
        <f t="shared" si="61"/>
        <v>4.9024267415512246E-4</v>
      </c>
      <c r="I109" s="248">
        <f>IF(MobilityModel=DK,CalcDeltaN(H109,SampleDoping,Thickness,AreaFrac),CalcDeltaNDL(H109,AreaFrac,Thickness,SampleType,SampleDoping,Temperature))</f>
        <v>97350386454125.906</v>
      </c>
      <c r="J109" s="248" t="str">
        <f t="shared" si="62"/>
        <v/>
      </c>
      <c r="K109" s="248">
        <f t="shared" si="63"/>
        <v>97350386454125.906</v>
      </c>
      <c r="L109" s="250">
        <f t="shared" si="71"/>
        <v>-5.890213023027424E+16</v>
      </c>
      <c r="M109" s="196" t="str">
        <f t="shared" si="64"/>
        <v/>
      </c>
      <c r="N109" s="196" t="str">
        <f t="shared" si="65"/>
        <v/>
      </c>
      <c r="O109" s="250">
        <f t="shared" si="66"/>
        <v>97350386454125.906</v>
      </c>
      <c r="P109" s="248">
        <f t="shared" si="72"/>
        <v>2.8356443272224147E-5</v>
      </c>
      <c r="Q109" s="250" t="str">
        <f t="shared" si="73"/>
        <v/>
      </c>
      <c r="R109" s="251" t="str">
        <f t="shared" ref="R109:R133" si="75">IF(Q109="","",1/Q109)</f>
        <v/>
      </c>
      <c r="S109" s="252">
        <f>IF(AND(E109&gt;0.95*BiasLight,E109&lt;1.05*BiasLight),"",IF(AugerModel="Sinton",calclifetimeauger(Auger_Coefficient,I109,P109),calclifetimerichter(SampleType,I109,SampleDoping,P109)))</f>
        <v>35265.337909160931</v>
      </c>
      <c r="T109" s="201" t="str">
        <f t="shared" si="74"/>
        <v/>
      </c>
      <c r="U109" s="252">
        <f t="shared" si="67"/>
        <v>25320.137251857894</v>
      </c>
      <c r="V109" s="251" t="str">
        <f>IF(AugerModel="Sinton","",IF(SampleType="n-type",n_intr_boltzmann(SampleDoping,0,K109,Temperature+273.15),n_intr_boltzmann(0,SampleDoping,K109,Temperature+273.15)))</f>
        <v/>
      </c>
      <c r="W109" s="251" t="str">
        <f t="shared" si="51"/>
        <v/>
      </c>
      <c r="X109" s="246">
        <f>IF(AND(A109&gt;TimeofMaxCD,I109&gt;Traps),IF(AugerModel="Sinton",CalcImpliedV(SampleDoping,O109),CalcImpliedVRichter(O109,SampleDoping,V109)),"")</f>
        <v>0.57170944425157855</v>
      </c>
      <c r="Y109" s="253">
        <f t="shared" si="68"/>
        <v>0.40524985644032413</v>
      </c>
      <c r="Z109" s="200" t="str">
        <f t="shared" si="69"/>
        <v/>
      </c>
      <c r="AE109" s="251">
        <f t="shared" si="70"/>
        <v>1603.8171367842535</v>
      </c>
    </row>
    <row r="110" spans="1:31" x14ac:dyDescent="0.2">
      <c r="A110" s="244">
        <v>1.01499E-2</v>
      </c>
      <c r="B110" s="244">
        <v>1.5542800000000001E-2</v>
      </c>
      <c r="C110" s="245">
        <v>3.9436200000000001E-3</v>
      </c>
      <c r="D110" s="246">
        <f>IF(CouplingMode="AC",B110-(A$11-A$10)*SUM(B$9:B110)/0.21,B110)</f>
        <v>1.5542800000000001E-2</v>
      </c>
      <c r="E110" s="247">
        <f t="shared" si="58"/>
        <v>0.37472695114435639</v>
      </c>
      <c r="F110" s="247">
        <f t="shared" si="59"/>
        <v>0.37472695114435639</v>
      </c>
      <c r="G110" s="248">
        <f t="shared" si="60"/>
        <v>6.2220579902870656E+16</v>
      </c>
      <c r="H110" s="249">
        <f t="shared" si="61"/>
        <v>4.6386288992325206E-4</v>
      </c>
      <c r="I110" s="248">
        <f>IF(MobilityModel=DK,CalcDeltaN(H110,SampleDoping,Thickness,AreaFrac),CalcDeltaNDL(H110,AreaFrac,Thickness,SampleType,SampleDoping,Temperature))</f>
        <v>92068090527304.703</v>
      </c>
      <c r="J110" s="248" t="str">
        <f t="shared" si="62"/>
        <v/>
      </c>
      <c r="K110" s="248">
        <f t="shared" si="63"/>
        <v>92068090527304.703</v>
      </c>
      <c r="L110" s="250">
        <f t="shared" si="71"/>
        <v>-5.032450814341552E+16</v>
      </c>
      <c r="M110" s="196" t="str">
        <f t="shared" si="64"/>
        <v/>
      </c>
      <c r="N110" s="196" t="str">
        <f t="shared" si="65"/>
        <v/>
      </c>
      <c r="O110" s="250">
        <f t="shared" si="66"/>
        <v>92068090527304.703</v>
      </c>
      <c r="P110" s="248">
        <f t="shared" si="72"/>
        <v>2.8549627095401554E-5</v>
      </c>
      <c r="Q110" s="250" t="str">
        <f t="shared" si="73"/>
        <v/>
      </c>
      <c r="R110" s="251" t="str">
        <f t="shared" si="75"/>
        <v/>
      </c>
      <c r="S110" s="252">
        <f>IF(AND(E110&gt;0.95*BiasLight,E110&lt;1.05*BiasLight),"",IF(AugerModel="Sinton",calclifetimeauger(Auger_Coefficient,I110,P110),calclifetimerichter(SampleType,I110,SampleDoping,P110)))</f>
        <v>35026.713131323988</v>
      </c>
      <c r="T110" s="201" t="str">
        <f t="shared" si="74"/>
        <v/>
      </c>
      <c r="U110" s="252">
        <f t="shared" si="67"/>
        <v>25348.406813613987</v>
      </c>
      <c r="V110" s="251" t="str">
        <f>IF(AugerModel="Sinton","",IF(SampleType="n-type",n_intr_boltzmann(SampleDoping,0,K110,Temperature+273.15),n_intr_boltzmann(0,SampleDoping,K110,Temperature+273.15)))</f>
        <v/>
      </c>
      <c r="W110" s="251" t="str">
        <f t="shared" si="51"/>
        <v/>
      </c>
      <c r="X110" s="246">
        <f>IF(AND(A110&gt;TimeofMaxCD,I110&gt;Traps),IF(AugerModel="Sinton",CalcImpliedV(SampleDoping,O110),CalcImpliedVRichter(O110,SampleDoping,V110)),"")</f>
        <v>0.57023759236645599</v>
      </c>
      <c r="Y110" s="253">
        <f t="shared" si="68"/>
        <v>0.38066736203193813</v>
      </c>
      <c r="Z110" s="200" t="str">
        <f t="shared" si="69"/>
        <v/>
      </c>
      <c r="AE110" s="251">
        <f t="shared" si="70"/>
        <v>1604.5819784391138</v>
      </c>
    </row>
    <row r="111" spans="1:31" x14ac:dyDescent="0.2">
      <c r="A111" s="244">
        <v>1.0249899999999999E-2</v>
      </c>
      <c r="B111" s="244">
        <v>1.4663799999999999E-2</v>
      </c>
      <c r="C111" s="245">
        <v>3.7649099999999998E-3</v>
      </c>
      <c r="D111" s="246">
        <f>IF(CouplingMode="AC",B111-(A$11-A$10)*SUM(B$9:B111)/0.21,B111)</f>
        <v>1.4663799999999999E-2</v>
      </c>
      <c r="E111" s="247">
        <f t="shared" si="58"/>
        <v>0.35774573757940636</v>
      </c>
      <c r="F111" s="247">
        <f t="shared" si="59"/>
        <v>0.35774573757940636</v>
      </c>
      <c r="G111" s="248">
        <f t="shared" si="60"/>
        <v>5.9400977650513168E+16</v>
      </c>
      <c r="H111" s="249">
        <f t="shared" si="61"/>
        <v>4.3762409505933297E-4</v>
      </c>
      <c r="I111" s="248">
        <f>IF(MobilityModel=DK,CalcDeltaN(H111,SampleDoping,Thickness,AreaFrac),CalcDeltaNDL(H111,AreaFrac,Thickness,SampleType,SampleDoping,Temperature))</f>
        <v>86817723900723.391</v>
      </c>
      <c r="J111" s="248" t="str">
        <f t="shared" si="62"/>
        <v/>
      </c>
      <c r="K111" s="248">
        <f t="shared" si="63"/>
        <v>86817723900723.391</v>
      </c>
      <c r="L111" s="250">
        <f t="shared" si="71"/>
        <v>-5.9724544177292216E+16</v>
      </c>
      <c r="M111" s="196" t="str">
        <f t="shared" si="64"/>
        <v/>
      </c>
      <c r="N111" s="196" t="str">
        <f t="shared" si="65"/>
        <v/>
      </c>
      <c r="O111" s="250">
        <f t="shared" si="66"/>
        <v>86817723900723.391</v>
      </c>
      <c r="P111" s="248">
        <f t="shared" si="72"/>
        <v>2.8092835361310969E-5</v>
      </c>
      <c r="Q111" s="250" t="str">
        <f t="shared" si="73"/>
        <v/>
      </c>
      <c r="R111" s="251" t="str">
        <f t="shared" si="75"/>
        <v/>
      </c>
      <c r="S111" s="252">
        <f>IF(AND(E111&gt;0.95*BiasLight,E111&lt;1.05*BiasLight),"",IF(AugerModel="Sinton",calclifetimeauger(Auger_Coefficient,I111,P111),calclifetimerichter(SampleType,I111,SampleDoping,P111)))</f>
        <v>35596.252056534344</v>
      </c>
      <c r="T111" s="201" t="str">
        <f t="shared" si="74"/>
        <v/>
      </c>
      <c r="U111" s="252">
        <f t="shared" si="67"/>
        <v>25376.505497528808</v>
      </c>
      <c r="V111" s="251" t="str">
        <f>IF(AugerModel="Sinton","",IF(SampleType="n-type",n_intr_boltzmann(SampleDoping,0,K111,Temperature+273.15),n_intr_boltzmann(0,SampleDoping,K111,Temperature+273.15)))</f>
        <v/>
      </c>
      <c r="W111" s="251" t="str">
        <f t="shared" si="51"/>
        <v/>
      </c>
      <c r="X111" s="246">
        <f>IF(AND(A111&gt;TimeofMaxCD,I111&gt;Traps),IF(AugerModel="Sinton",CalcImpliedV(SampleDoping,O111),CalcImpliedVRichter(O111,SampleDoping,V111)),"")</f>
        <v>0.56869066163698057</v>
      </c>
      <c r="Y111" s="253">
        <f t="shared" si="68"/>
        <v>0.36479574850997648</v>
      </c>
      <c r="Z111" s="200" t="str">
        <f t="shared" si="69"/>
        <v/>
      </c>
      <c r="AE111" s="251">
        <f t="shared" si="70"/>
        <v>1605.3666876490347</v>
      </c>
    </row>
    <row r="112" spans="1:31" x14ac:dyDescent="0.2">
      <c r="A112" s="244">
        <v>1.03499E-2</v>
      </c>
      <c r="B112" s="244">
        <v>1.37801E-2</v>
      </c>
      <c r="C112" s="245">
        <v>3.5451800000000002E-3</v>
      </c>
      <c r="D112" s="246">
        <f>IF(CouplingMode="AC",B112-(A$11-A$10)*SUM(B$9:B112)/0.21,B112)</f>
        <v>1.37801E-2</v>
      </c>
      <c r="E112" s="247">
        <f t="shared" si="58"/>
        <v>0.33686676014878447</v>
      </c>
      <c r="F112" s="247">
        <f t="shared" si="59"/>
        <v>0.33686676014878447</v>
      </c>
      <c r="G112" s="248">
        <f t="shared" si="60"/>
        <v>5.593418114830004E+16</v>
      </c>
      <c r="H112" s="249">
        <f t="shared" si="61"/>
        <v>4.112456926672059E-4</v>
      </c>
      <c r="I112" s="248">
        <f>IF(MobilityModel=DK,CalcDeltaN(H112,SampleDoping,Thickness,AreaFrac),CalcDeltaNDL(H112,AreaFrac,Thickness,SampleType,SampleDoping,Temperature))</f>
        <v>81543252505206.406</v>
      </c>
      <c r="J112" s="248" t="str">
        <f t="shared" si="62"/>
        <v/>
      </c>
      <c r="K112" s="248">
        <f t="shared" si="63"/>
        <v>81543252505206.406</v>
      </c>
      <c r="L112" s="250">
        <f t="shared" si="71"/>
        <v>-6.1542602656118144E+16</v>
      </c>
      <c r="M112" s="196" t="str">
        <f t="shared" si="64"/>
        <v/>
      </c>
      <c r="N112" s="196" t="str">
        <f t="shared" si="65"/>
        <v/>
      </c>
      <c r="O112" s="250">
        <f t="shared" si="66"/>
        <v>81543252505206.406</v>
      </c>
      <c r="P112" s="248">
        <f t="shared" si="72"/>
        <v>2.7970530431852167E-5</v>
      </c>
      <c r="Q112" s="250" t="str">
        <f t="shared" si="73"/>
        <v/>
      </c>
      <c r="R112" s="251" t="str">
        <f t="shared" si="75"/>
        <v/>
      </c>
      <c r="S112" s="252">
        <f>IF(AND(E112&gt;0.95*BiasLight,E112&lt;1.05*BiasLight),"",IF(AugerModel="Sinton",calclifetimeauger(Auger_Coefficient,I112,P112),calclifetimerichter(SampleType,I112,SampleDoping,P112)))</f>
        <v>35751.903014572315</v>
      </c>
      <c r="T112" s="201" t="str">
        <f t="shared" si="74"/>
        <v/>
      </c>
      <c r="U112" s="252">
        <f t="shared" si="67"/>
        <v>25404.733184298348</v>
      </c>
      <c r="V112" s="251" t="str">
        <f>IF(AugerModel="Sinton","",IF(SampleType="n-type",n_intr_boltzmann(SampleDoping,0,K112,Temperature+273.15),n_intr_boltzmann(0,SampleDoping,K112,Temperature+273.15)))</f>
        <v/>
      </c>
      <c r="W112" s="251" t="str">
        <f t="shared" si="51"/>
        <v/>
      </c>
      <c r="X112" s="246">
        <f>IF(AND(A112&gt;TimeofMaxCD,I112&gt;Traps),IF(AugerModel="Sinton",CalcImpliedV(SampleDoping,O112),CalcImpliedVRichter(O112,SampleDoping,V112)),"")</f>
        <v>0.56704177445483328</v>
      </c>
      <c r="Y112" s="253">
        <f t="shared" si="68"/>
        <v>0.34413137852968662</v>
      </c>
      <c r="Z112" s="200" t="str">
        <f t="shared" si="69"/>
        <v/>
      </c>
      <c r="AE112" s="251">
        <f t="shared" si="70"/>
        <v>1606.1819794182402</v>
      </c>
    </row>
    <row r="113" spans="1:31" x14ac:dyDescent="0.2">
      <c r="A113" s="244">
        <v>1.04499E-2</v>
      </c>
      <c r="B113" s="244">
        <v>1.2305399999999999E-2</v>
      </c>
      <c r="C113" s="245">
        <v>3.3469400000000001E-3</v>
      </c>
      <c r="D113" s="246">
        <f>IF(CouplingMode="AC",B113-(A$11-A$10)*SUM(B$9:B113)/0.21,B113)</f>
        <v>1.2305399999999999E-2</v>
      </c>
      <c r="E113" s="247">
        <f t="shared" si="58"/>
        <v>0.31802978528942749</v>
      </c>
      <c r="F113" s="247">
        <f t="shared" si="59"/>
        <v>0.31802978528942749</v>
      </c>
      <c r="G113" s="248">
        <f t="shared" si="60"/>
        <v>5.2806443749680216E+16</v>
      </c>
      <c r="H113" s="249">
        <f t="shared" si="61"/>
        <v>3.672275114138257E-4</v>
      </c>
      <c r="I113" s="248">
        <f>IF(MobilityModel=DK,CalcDeltaN(H113,SampleDoping,Thickness,AreaFrac),CalcDeltaNDL(H113,AreaFrac,Thickness,SampleType,SampleDoping,Temperature))</f>
        <v>72750533376528.969</v>
      </c>
      <c r="J113" s="248" t="str">
        <f t="shared" si="62"/>
        <v/>
      </c>
      <c r="K113" s="248">
        <f t="shared" si="63"/>
        <v>72750533376528.969</v>
      </c>
      <c r="L113" s="250">
        <f t="shared" si="71"/>
        <v>-5.5013044039013344E+16</v>
      </c>
      <c r="M113" s="196" t="str">
        <f t="shared" si="64"/>
        <v/>
      </c>
      <c r="N113" s="196" t="str">
        <f t="shared" si="65"/>
        <v/>
      </c>
      <c r="O113" s="250">
        <f t="shared" si="66"/>
        <v>72750533376528.969</v>
      </c>
      <c r="P113" s="248">
        <f t="shared" si="72"/>
        <v>2.6462251246038563E-5</v>
      </c>
      <c r="Q113" s="250" t="str">
        <f t="shared" si="73"/>
        <v/>
      </c>
      <c r="R113" s="251" t="str">
        <f t="shared" si="75"/>
        <v/>
      </c>
      <c r="S113" s="252">
        <f>IF(AND(E113&gt;0.95*BiasLight,E113&lt;1.05*BiasLight),"",IF(AugerModel="Sinton",calclifetimeauger(Auger_Coefficient,I113,P113),calclifetimerichter(SampleType,I113,SampleDoping,P113)))</f>
        <v>37789.670962258562</v>
      </c>
      <c r="T113" s="201" t="str">
        <f t="shared" si="74"/>
        <v/>
      </c>
      <c r="U113" s="252">
        <f t="shared" si="67"/>
        <v>25451.789676372191</v>
      </c>
      <c r="V113" s="251" t="str">
        <f>IF(AugerModel="Sinton","",IF(SampleType="n-type",n_intr_boltzmann(SampleDoping,0,K113,Temperature+273.15),n_intr_boltzmann(0,SampleDoping,K113,Temperature+273.15)))</f>
        <v/>
      </c>
      <c r="W113" s="251" t="str">
        <f t="shared" si="51"/>
        <v/>
      </c>
      <c r="X113" s="246">
        <f>IF(AND(A113&gt;TimeofMaxCD,I113&gt;Traps),IF(AugerModel="Sinton",CalcImpliedV(SampleDoping,O113),CalcImpliedVRichter(O113,SampleDoping,V113)),"")</f>
        <v>0.56404595328991725</v>
      </c>
      <c r="Y113" s="253">
        <f t="shared" si="68"/>
        <v>0.32452364082472746</v>
      </c>
      <c r="Z113" s="200" t="str">
        <f t="shared" si="69"/>
        <v/>
      </c>
      <c r="AE113" s="251">
        <f t="shared" si="70"/>
        <v>1607.609058768551</v>
      </c>
    </row>
    <row r="114" spans="1:31" x14ac:dyDescent="0.2">
      <c r="A114" s="244">
        <v>1.0549899999999999E-2</v>
      </c>
      <c r="B114" s="244">
        <v>1.15633E-2</v>
      </c>
      <c r="C114" s="245">
        <v>3.1750599999999999E-3</v>
      </c>
      <c r="D114" s="246">
        <f>IF(CouplingMode="AC",B114-(A$11-A$10)*SUM(B$9:B114)/0.21,B114)</f>
        <v>1.15633E-2</v>
      </c>
      <c r="E114" s="247">
        <f t="shared" si="58"/>
        <v>0.30169756556169208</v>
      </c>
      <c r="F114" s="247">
        <f t="shared" si="59"/>
        <v>0.30169756556169208</v>
      </c>
      <c r="G114" s="248">
        <f t="shared" si="60"/>
        <v>5.009460202210368E+16</v>
      </c>
      <c r="H114" s="249">
        <f t="shared" si="61"/>
        <v>3.4507736816655893E-4</v>
      </c>
      <c r="I114" s="248">
        <f>IF(MobilityModel=DK,CalcDeltaN(H114,SampleDoping,Thickness,AreaFrac),CalcDeltaNDL(H114,AreaFrac,Thickness,SampleType,SampleDoping,Temperature))</f>
        <v>68330384461342.867</v>
      </c>
      <c r="J114" s="248" t="str">
        <f t="shared" si="62"/>
        <v/>
      </c>
      <c r="K114" s="248">
        <f t="shared" si="63"/>
        <v>68330384461342.867</v>
      </c>
      <c r="L114" s="250">
        <f t="shared" si="71"/>
        <v>-4.743792176939332E+16</v>
      </c>
      <c r="M114" s="196" t="str">
        <f t="shared" si="64"/>
        <v/>
      </c>
      <c r="N114" s="196" t="str">
        <f t="shared" si="65"/>
        <v/>
      </c>
      <c r="O114" s="250">
        <f t="shared" si="66"/>
        <v>68330384461342.867</v>
      </c>
      <c r="P114" s="248">
        <f t="shared" si="72"/>
        <v>2.624775443863545E-5</v>
      </c>
      <c r="Q114" s="250" t="str">
        <f t="shared" si="73"/>
        <v/>
      </c>
      <c r="R114" s="251" t="str">
        <f t="shared" si="75"/>
        <v/>
      </c>
      <c r="S114" s="252">
        <f>IF(AND(E114&gt;0.95*BiasLight,E114&lt;1.05*BiasLight),"",IF(AugerModel="Sinton",calclifetimeauger(Auger_Coefficient,I114,P114),calclifetimerichter(SampleType,I114,SampleDoping,P114)))</f>
        <v>38098.48948799869</v>
      </c>
      <c r="T114" s="201" t="str">
        <f t="shared" si="74"/>
        <v/>
      </c>
      <c r="U114" s="252">
        <f t="shared" si="67"/>
        <v>25475.445237223019</v>
      </c>
      <c r="V114" s="251" t="str">
        <f>IF(AugerModel="Sinton","",IF(SampleType="n-type",n_intr_boltzmann(SampleDoping,0,K114,Temperature+273.15),n_intr_boltzmann(0,SampleDoping,K114,Temperature+273.15)))</f>
        <v/>
      </c>
      <c r="W114" s="251" t="str">
        <f t="shared" si="51"/>
        <v/>
      </c>
      <c r="X114" s="246">
        <f>IF(AND(A114&gt;TimeofMaxCD,I114&gt;Traps),IF(AugerModel="Sinton",CalcImpliedV(SampleDoping,O114),CalcImpliedVRichter(O114,SampleDoping,V114)),"")</f>
        <v>0.5624030936838269</v>
      </c>
      <c r="Y114" s="253">
        <f t="shared" si="68"/>
        <v>0.30729723771666029</v>
      </c>
      <c r="Z114" s="200" t="str">
        <f t="shared" si="69"/>
        <v/>
      </c>
      <c r="AE114" s="251">
        <f t="shared" si="70"/>
        <v>1608.3628370616379</v>
      </c>
    </row>
    <row r="115" spans="1:31" x14ac:dyDescent="0.2">
      <c r="A115" s="244">
        <v>1.06499E-2</v>
      </c>
      <c r="B115" s="244">
        <v>1.1158E-2</v>
      </c>
      <c r="C115" s="245">
        <v>2.98073E-3</v>
      </c>
      <c r="D115" s="246">
        <f>IF(CouplingMode="AC",B115-(A$11-A$10)*SUM(B$9:B115)/0.21,B115)</f>
        <v>1.1158E-2</v>
      </c>
      <c r="E115" s="247">
        <f t="shared" si="58"/>
        <v>0.28323212304545503</v>
      </c>
      <c r="F115" s="247">
        <f t="shared" si="59"/>
        <v>0.28323212304545503</v>
      </c>
      <c r="G115" s="248">
        <f t="shared" si="60"/>
        <v>4.7028554762853328E+16</v>
      </c>
      <c r="H115" s="249">
        <f t="shared" si="61"/>
        <v>3.3298021146905242E-4</v>
      </c>
      <c r="I115" s="248">
        <f>IF(MobilityModel=DK,CalcDeltaN(H115,SampleDoping,Thickness,AreaFrac),CalcDeltaNDL(H115,AreaFrac,Thickness,SampleType,SampleDoping,Temperature))</f>
        <v>65917635903148.453</v>
      </c>
      <c r="J115" s="248" t="str">
        <f t="shared" si="62"/>
        <v/>
      </c>
      <c r="K115" s="248">
        <f t="shared" si="63"/>
        <v>65917635903148.453</v>
      </c>
      <c r="L115" s="250">
        <f t="shared" si="71"/>
        <v>-4.1197184574389328E+16</v>
      </c>
      <c r="M115" s="196" t="str">
        <f t="shared" si="64"/>
        <v/>
      </c>
      <c r="N115" s="196" t="str">
        <f t="shared" si="65"/>
        <v/>
      </c>
      <c r="O115" s="250">
        <f t="shared" si="66"/>
        <v>65917635903148.453</v>
      </c>
      <c r="P115" s="248">
        <f t="shared" si="72"/>
        <v>2.7008636484212648E-5</v>
      </c>
      <c r="Q115" s="250" t="str">
        <f t="shared" si="73"/>
        <v/>
      </c>
      <c r="R115" s="251" t="str">
        <f t="shared" si="75"/>
        <v/>
      </c>
      <c r="S115" s="252">
        <f>IF(AND(E115&gt;0.95*BiasLight,E115&lt;1.05*BiasLight),"",IF(AugerModel="Sinton",calclifetimeauger(Auger_Coefficient,I115,P115),calclifetimerichter(SampleType,I115,SampleDoping,P115)))</f>
        <v>37025.186583310009</v>
      </c>
      <c r="T115" s="201" t="str">
        <f t="shared" si="74"/>
        <v/>
      </c>
      <c r="U115" s="252">
        <f t="shared" si="67"/>
        <v>25488.35768009118</v>
      </c>
      <c r="V115" s="251" t="str">
        <f>IF(AugerModel="Sinton","",IF(SampleType="n-type",n_intr_boltzmann(SampleDoping,0,K115,Temperature+273.15),n_intr_boltzmann(0,SampleDoping,K115,Temperature+273.15)))</f>
        <v/>
      </c>
      <c r="W115" s="251" t="str">
        <f t="shared" si="51"/>
        <v/>
      </c>
      <c r="X115" s="246">
        <f>IF(AND(A115&gt;TimeofMaxCD,I115&gt;Traps),IF(AugerModel="Sinton",CalcImpliedV(SampleDoping,O115),CalcImpliedVRichter(O115,SampleDoping,V115)),"")</f>
        <v>0.5614617823452569</v>
      </c>
      <c r="Y115" s="253">
        <f t="shared" si="68"/>
        <v>0.28809512544353083</v>
      </c>
      <c r="Z115" s="200" t="str">
        <f t="shared" si="69"/>
        <v/>
      </c>
      <c r="AE115" s="251">
        <f t="shared" si="70"/>
        <v>1608.7857782604724</v>
      </c>
    </row>
    <row r="116" spans="1:31" x14ac:dyDescent="0.2">
      <c r="A116" s="244">
        <v>1.07499E-2</v>
      </c>
      <c r="B116" s="244">
        <v>1.03719E-2</v>
      </c>
      <c r="C116" s="245">
        <v>2.8362000000000001E-3</v>
      </c>
      <c r="D116" s="246">
        <f>IF(CouplingMode="AC",B116-(A$11-A$10)*SUM(B$9:B116)/0.21,B116)</f>
        <v>1.03719E-2</v>
      </c>
      <c r="E116" s="247">
        <f t="shared" si="58"/>
        <v>0.26949872929836638</v>
      </c>
      <c r="F116" s="247">
        <f t="shared" si="59"/>
        <v>0.26949872929836638</v>
      </c>
      <c r="G116" s="248">
        <f t="shared" si="60"/>
        <v>4.4748228460278056E+16</v>
      </c>
      <c r="H116" s="249">
        <f t="shared" si="61"/>
        <v>3.0951757511789475E-4</v>
      </c>
      <c r="I116" s="248">
        <f>IF(MobilityModel=DK,CalcDeltaN(H116,SampleDoping,Thickness,AreaFrac),CalcDeltaNDL(H116,AreaFrac,Thickness,SampleType,SampleDoping,Temperature))</f>
        <v>61240740357200.008</v>
      </c>
      <c r="J116" s="248" t="str">
        <f t="shared" si="62"/>
        <v/>
      </c>
      <c r="K116" s="248">
        <f t="shared" si="63"/>
        <v>61240740357200.008</v>
      </c>
      <c r="L116" s="250">
        <f t="shared" si="71"/>
        <v>-4.0070789251037424E+16</v>
      </c>
      <c r="M116" s="196" t="str">
        <f t="shared" si="64"/>
        <v/>
      </c>
      <c r="N116" s="196" t="str">
        <f t="shared" si="65"/>
        <v/>
      </c>
      <c r="O116" s="250">
        <f t="shared" si="66"/>
        <v>61240740357200.008</v>
      </c>
      <c r="P116" s="248">
        <f t="shared" si="72"/>
        <v>2.6361150690447856E-5</v>
      </c>
      <c r="Q116" s="250" t="str">
        <f t="shared" si="73"/>
        <v/>
      </c>
      <c r="R116" s="251" t="str">
        <f t="shared" si="75"/>
        <v/>
      </c>
      <c r="S116" s="252">
        <f>IF(AND(E116&gt;0.95*BiasLight,E116&lt;1.05*BiasLight),"",IF(AugerModel="Sinton",calclifetimeauger(Auger_Coefficient,I116,P116),calclifetimerichter(SampleType,I116,SampleDoping,P116)))</f>
        <v>37934.604889818125</v>
      </c>
      <c r="T116" s="201" t="str">
        <f t="shared" si="74"/>
        <v/>
      </c>
      <c r="U116" s="252">
        <f t="shared" si="67"/>
        <v>25513.38728640151</v>
      </c>
      <c r="V116" s="251" t="str">
        <f>IF(AugerModel="Sinton","",IF(SampleType="n-type",n_intr_boltzmann(SampleDoping,0,K116,Temperature+273.15),n_intr_boltzmann(0,SampleDoping,K116,Temperature+273.15)))</f>
        <v/>
      </c>
      <c r="W116" s="251" t="str">
        <f t="shared" si="51"/>
        <v/>
      </c>
      <c r="X116" s="246">
        <f>IF(AND(A116&gt;TimeofMaxCD,I116&gt;Traps),IF(AugerModel="Sinton",CalcImpliedV(SampleDoping,O116),CalcImpliedVRichter(O116,SampleDoping,V116)),"")</f>
        <v>0.55953664162588346</v>
      </c>
      <c r="Y116" s="253">
        <f t="shared" si="68"/>
        <v>0.27422876962111514</v>
      </c>
      <c r="Z116" s="200" t="str">
        <f t="shared" si="69"/>
        <v/>
      </c>
      <c r="AE116" s="251">
        <f t="shared" si="70"/>
        <v>1609.630893452435</v>
      </c>
    </row>
    <row r="117" spans="1:31" x14ac:dyDescent="0.2">
      <c r="A117" s="244">
        <v>1.0849900000000001E-2</v>
      </c>
      <c r="B117" s="244">
        <v>9.4392399999999998E-3</v>
      </c>
      <c r="C117" s="245">
        <v>2.68483E-3</v>
      </c>
      <c r="D117" s="246">
        <f>IF(CouplingMode="AC",B117-(A$11-A$10)*SUM(B$9:B117)/0.21,B117)</f>
        <v>9.4392399999999998E-3</v>
      </c>
      <c r="E117" s="247">
        <f t="shared" si="58"/>
        <v>0.25511539150346696</v>
      </c>
      <c r="F117" s="247">
        <f t="shared" si="59"/>
        <v>0.25511539150346696</v>
      </c>
      <c r="G117" s="248">
        <f t="shared" si="60"/>
        <v>4.2359983857629344E+16</v>
      </c>
      <c r="H117" s="249">
        <f t="shared" si="61"/>
        <v>2.8168129031327926E-4</v>
      </c>
      <c r="I117" s="248">
        <f>IF(MobilityModel=DK,CalcDeltaN(H117,SampleDoping,Thickness,AreaFrac),CalcDeltaNDL(H117,AreaFrac,Thickness,SampleType,SampleDoping,Temperature))</f>
        <v>55696763141405.68</v>
      </c>
      <c r="J117" s="248" t="str">
        <f t="shared" si="62"/>
        <v/>
      </c>
      <c r="K117" s="248">
        <f t="shared" si="63"/>
        <v>55696763141405.68</v>
      </c>
      <c r="L117" s="250">
        <f t="shared" si="71"/>
        <v>-3.4947398077553144E+16</v>
      </c>
      <c r="M117" s="196" t="str">
        <f t="shared" si="64"/>
        <v/>
      </c>
      <c r="N117" s="196" t="str">
        <f t="shared" si="65"/>
        <v/>
      </c>
      <c r="O117" s="250">
        <f t="shared" si="66"/>
        <v>55696763141405.68</v>
      </c>
      <c r="P117" s="248">
        <f t="shared" si="72"/>
        <v>2.5360849183023939E-5</v>
      </c>
      <c r="Q117" s="250" t="str">
        <f t="shared" si="73"/>
        <v/>
      </c>
      <c r="R117" s="251" t="str">
        <f t="shared" si="75"/>
        <v/>
      </c>
      <c r="S117" s="252">
        <f>IF(AND(E117&gt;0.95*BiasLight,E117&lt;1.05*BiasLight),"",IF(AugerModel="Sinton",calclifetimeauger(Auger_Coefficient,I117,P117),calclifetimerichter(SampleType,I117,SampleDoping,P117)))</f>
        <v>39430.851159069389</v>
      </c>
      <c r="T117" s="201" t="str">
        <f t="shared" si="74"/>
        <v/>
      </c>
      <c r="U117" s="252">
        <f t="shared" si="67"/>
        <v>25543.057302706449</v>
      </c>
      <c r="V117" s="251" t="str">
        <f>IF(AugerModel="Sinton","",IF(SampleType="n-type",n_intr_boltzmann(SampleDoping,0,K117,Temperature+273.15),n_intr_boltzmann(0,SampleDoping,K117,Temperature+273.15)))</f>
        <v/>
      </c>
      <c r="W117" s="251" t="str">
        <f t="shared" si="51"/>
        <v/>
      </c>
      <c r="X117" s="246">
        <f>IF(AND(A117&gt;TimeofMaxCD,I117&gt;Traps),IF(AugerModel="Sinton",CalcImpliedV(SampleDoping,O117),CalcImpliedVRichter(O117,SampleDoping,V117)),"")</f>
        <v>0.5570579127111559</v>
      </c>
      <c r="Y117" s="253">
        <f t="shared" si="68"/>
        <v>0.25924065594601092</v>
      </c>
      <c r="Z117" s="200" t="str">
        <f t="shared" si="69"/>
        <v/>
      </c>
      <c r="AE117" s="251">
        <f t="shared" si="70"/>
        <v>1610.6807260412834</v>
      </c>
    </row>
    <row r="118" spans="1:31" x14ac:dyDescent="0.2">
      <c r="A118" s="244">
        <v>1.09499E-2</v>
      </c>
      <c r="B118" s="244">
        <v>9.0535000000000008E-3</v>
      </c>
      <c r="C118" s="245">
        <v>2.5481100000000001E-3</v>
      </c>
      <c r="D118" s="246">
        <f>IF(CouplingMode="AC",B118-(A$11-A$10)*SUM(B$9:B118)/0.21,B118)</f>
        <v>9.0535000000000008E-3</v>
      </c>
      <c r="E118" s="247">
        <f t="shared" si="58"/>
        <v>0.24212411223202182</v>
      </c>
      <c r="F118" s="247">
        <f t="shared" si="59"/>
        <v>0.24212411223202182</v>
      </c>
      <c r="G118" s="248">
        <f t="shared" si="60"/>
        <v>4.0202880058500496E+16</v>
      </c>
      <c r="H118" s="249">
        <f t="shared" si="61"/>
        <v>2.7016867251256418E-4</v>
      </c>
      <c r="I118" s="248">
        <f>IF(MobilityModel=DK,CalcDeltaN(H118,SampleDoping,Thickness,AreaFrac),CalcDeltaNDL(H118,AreaFrac,Thickness,SampleType,SampleDoping,Temperature))</f>
        <v>53405426216695.492</v>
      </c>
      <c r="J118" s="248" t="str">
        <f t="shared" si="62"/>
        <v/>
      </c>
      <c r="K118" s="248">
        <f t="shared" si="63"/>
        <v>53405426216695.492</v>
      </c>
      <c r="L118" s="250">
        <f t="shared" si="71"/>
        <v>-3.4074172939486088E+16</v>
      </c>
      <c r="M118" s="196" t="str">
        <f t="shared" si="64"/>
        <v/>
      </c>
      <c r="N118" s="196" t="str">
        <f t="shared" si="65"/>
        <v/>
      </c>
      <c r="O118" s="250">
        <f t="shared" si="66"/>
        <v>53405426216695.492</v>
      </c>
      <c r="P118" s="248">
        <f t="shared" si="72"/>
        <v>2.5611146541610809E-5</v>
      </c>
      <c r="Q118" s="250" t="str">
        <f t="shared" si="73"/>
        <v/>
      </c>
      <c r="R118" s="251" t="str">
        <f t="shared" si="75"/>
        <v/>
      </c>
      <c r="S118" s="252">
        <f>IF(AND(E118&gt;0.95*BiasLight,E118&lt;1.05*BiasLight),"",IF(AugerModel="Sinton",calclifetimeauger(Auger_Coefficient,I118,P118),calclifetimerichter(SampleType,I118,SampleDoping,P118)))</f>
        <v>39045.494395106027</v>
      </c>
      <c r="T118" s="201" t="str">
        <f t="shared" si="74"/>
        <v/>
      </c>
      <c r="U118" s="252">
        <f t="shared" si="67"/>
        <v>25555.319980071457</v>
      </c>
      <c r="V118" s="251" t="str">
        <f>IF(AugerModel="Sinton","",IF(SampleType="n-type",n_intr_boltzmann(SampleDoping,0,K118,Temperature+273.15),n_intr_boltzmann(0,SampleDoping,K118,Temperature+273.15)))</f>
        <v/>
      </c>
      <c r="W118" s="251" t="str">
        <f t="shared" si="51"/>
        <v/>
      </c>
      <c r="X118" s="246">
        <f>IF(AND(A118&gt;TimeofMaxCD,I118&gt;Traps),IF(AugerModel="Sinton",CalcImpliedV(SampleDoping,O118),CalcImpliedVRichter(O118,SampleDoping,V118)),"")</f>
        <v>0.55596172426447954</v>
      </c>
      <c r="Y118" s="253">
        <f t="shared" si="68"/>
        <v>0.24614629934089965</v>
      </c>
      <c r="Z118" s="200" t="str">
        <f t="shared" si="69"/>
        <v/>
      </c>
      <c r="AE118" s="251">
        <f t="shared" si="70"/>
        <v>1611.131616865182</v>
      </c>
    </row>
    <row r="119" spans="1:31" x14ac:dyDescent="0.2">
      <c r="A119" s="244">
        <v>1.10499E-2</v>
      </c>
      <c r="B119" s="244">
        <v>8.8777200000000004E-3</v>
      </c>
      <c r="C119" s="245">
        <v>2.3967400000000001E-3</v>
      </c>
      <c r="D119" s="246">
        <f>IF(CouplingMode="AC",B119-(A$11-A$10)*SUM(B$9:B119)/0.21,B119)</f>
        <v>8.8777200000000004E-3</v>
      </c>
      <c r="E119" s="247">
        <f t="shared" si="58"/>
        <v>0.2277407744371224</v>
      </c>
      <c r="F119" s="247">
        <f t="shared" si="59"/>
        <v>0.2277407744371224</v>
      </c>
      <c r="G119" s="248">
        <f t="shared" si="60"/>
        <v>3.7814635455851776E+16</v>
      </c>
      <c r="H119" s="249">
        <f t="shared" si="61"/>
        <v>2.649224676357486E-4</v>
      </c>
      <c r="I119" s="248">
        <f>IF(MobilityModel=DK,CalcDeltaN(H119,SampleDoping,Thickness,AreaFrac),CalcDeltaNDL(H119,AreaFrac,Thickness,SampleType,SampleDoping,Temperature))</f>
        <v>52361593934624.164</v>
      </c>
      <c r="J119" s="248" t="str">
        <f t="shared" si="62"/>
        <v/>
      </c>
      <c r="K119" s="248">
        <f t="shared" si="63"/>
        <v>52361593934624.164</v>
      </c>
      <c r="L119" s="250">
        <f t="shared" si="71"/>
        <v>-3.7256912616070904E+16</v>
      </c>
      <c r="M119" s="196" t="str">
        <f t="shared" si="64"/>
        <v/>
      </c>
      <c r="N119" s="196" t="str">
        <f t="shared" si="65"/>
        <v/>
      </c>
      <c r="O119" s="250">
        <f t="shared" si="66"/>
        <v>52361593934624.164</v>
      </c>
      <c r="P119" s="248">
        <f t="shared" si="72"/>
        <v>2.662577966943845E-5</v>
      </c>
      <c r="Q119" s="250" t="str">
        <f t="shared" si="73"/>
        <v/>
      </c>
      <c r="R119" s="251" t="str">
        <f t="shared" si="75"/>
        <v/>
      </c>
      <c r="S119" s="252">
        <f>IF(AND(E119&gt;0.95*BiasLight,E119&lt;1.05*BiasLight),"",IF(AugerModel="Sinton",calclifetimeauger(Auger_Coefficient,I119,P119),calclifetimerichter(SampleType,I119,SampleDoping,P119)))</f>
        <v>37557.581082456316</v>
      </c>
      <c r="T119" s="201" t="str">
        <f t="shared" si="74"/>
        <v/>
      </c>
      <c r="U119" s="252">
        <f t="shared" si="67"/>
        <v>25560.90631631044</v>
      </c>
      <c r="V119" s="251" t="str">
        <f>IF(AugerModel="Sinton","",IF(SampleType="n-type",n_intr_boltzmann(SampleDoping,0,K119,Temperature+273.15),n_intr_boltzmann(0,SampleDoping,K119,Temperature+273.15)))</f>
        <v/>
      </c>
      <c r="W119" s="251" t="str">
        <f t="shared" si="51"/>
        <v/>
      </c>
      <c r="X119" s="246">
        <f>IF(AND(A119&gt;TimeofMaxCD,I119&gt;Traps),IF(AugerModel="Sinton",CalcImpliedV(SampleDoping,O119),CalcImpliedVRichter(O119,SampleDoping,V119)),"")</f>
        <v>0.5554469001834984</v>
      </c>
      <c r="Y119" s="253">
        <f t="shared" si="68"/>
        <v>0.23213865883792889</v>
      </c>
      <c r="Z119" s="200" t="str">
        <f t="shared" si="69"/>
        <v/>
      </c>
      <c r="AE119" s="251">
        <f t="shared" si="70"/>
        <v>1611.3406009472731</v>
      </c>
    </row>
    <row r="120" spans="1:31" x14ac:dyDescent="0.2">
      <c r="A120" s="244">
        <v>1.1149900000000001E-2</v>
      </c>
      <c r="B120" s="244">
        <v>7.7839700000000003E-3</v>
      </c>
      <c r="C120" s="245">
        <v>2.2395200000000001E-3</v>
      </c>
      <c r="D120" s="246">
        <f>IF(CouplingMode="AC",B120-(A$11-A$10)*SUM(B$9:B120)/0.21,B120)</f>
        <v>7.7839700000000003E-3</v>
      </c>
      <c r="E120" s="247">
        <f t="shared" si="58"/>
        <v>0.21280156344343748</v>
      </c>
      <c r="F120" s="247">
        <f t="shared" si="59"/>
        <v>0.21280156344343748</v>
      </c>
      <c r="G120" s="248">
        <f t="shared" si="60"/>
        <v>3.5334092307087616E+16</v>
      </c>
      <c r="H120" s="249">
        <f t="shared" si="61"/>
        <v>2.322797988321551E-4</v>
      </c>
      <c r="I120" s="248">
        <f>IF(MobilityModel=DK,CalcDeltaN(H120,SampleDoping,Thickness,AreaFrac),CalcDeltaNDL(H120,AreaFrac,Thickness,SampleType,SampleDoping,Temperature))</f>
        <v>45871238490847.719</v>
      </c>
      <c r="J120" s="248" t="str">
        <f t="shared" si="62"/>
        <v/>
      </c>
      <c r="K120" s="248">
        <f t="shared" si="63"/>
        <v>45871238490847.719</v>
      </c>
      <c r="L120" s="250">
        <f t="shared" si="71"/>
        <v>-3.498838259626886E+16</v>
      </c>
      <c r="M120" s="196" t="str">
        <f t="shared" si="64"/>
        <v/>
      </c>
      <c r="N120" s="196" t="str">
        <f t="shared" si="65"/>
        <v/>
      </c>
      <c r="O120" s="250">
        <f t="shared" si="66"/>
        <v>45871238490847.719</v>
      </c>
      <c r="P120" s="248">
        <f t="shared" si="72"/>
        <v>2.4960567849316368E-5</v>
      </c>
      <c r="Q120" s="250" t="str">
        <f t="shared" si="73"/>
        <v/>
      </c>
      <c r="R120" s="251" t="str">
        <f t="shared" si="75"/>
        <v/>
      </c>
      <c r="S120" s="252">
        <f>IF(AND(E120&gt;0.95*BiasLight,E120&lt;1.05*BiasLight),"",IF(AugerModel="Sinton",calclifetimeauger(Auger_Coefficient,I120,P120),calclifetimerichter(SampleType,I120,SampleDoping,P120)))</f>
        <v>40063.187618628042</v>
      </c>
      <c r="T120" s="201" t="str">
        <f t="shared" si="74"/>
        <v/>
      </c>
      <c r="U120" s="252">
        <f t="shared" si="67"/>
        <v>25595.641118483341</v>
      </c>
      <c r="V120" s="251" t="str">
        <f>IF(AugerModel="Sinton","",IF(SampleType="n-type",n_intr_boltzmann(SampleDoping,0,K120,Temperature+273.15),n_intr_boltzmann(0,SampleDoping,K120,Temperature+273.15)))</f>
        <v/>
      </c>
      <c r="W120" s="251" t="str">
        <f t="shared" si="51"/>
        <v/>
      </c>
      <c r="X120" s="246">
        <f>IF(AND(A120&gt;TimeofMaxCD,I120&gt;Traps),IF(AugerModel="Sinton",CalcImpliedV(SampleDoping,O120),CalcImpliedVRichter(O120,SampleDoping,V120)),"")</f>
        <v>0.55199909699270966</v>
      </c>
      <c r="Y120" s="253">
        <f t="shared" si="68"/>
        <v>0.21693166578485382</v>
      </c>
      <c r="Z120" s="200" t="str">
        <f t="shared" si="69"/>
        <v/>
      </c>
      <c r="AE120" s="251">
        <f t="shared" si="70"/>
        <v>1612.6955671613825</v>
      </c>
    </row>
    <row r="121" spans="1:31" x14ac:dyDescent="0.2">
      <c r="A121" s="244">
        <v>1.12499E-2</v>
      </c>
      <c r="B121" s="244">
        <v>6.9343599999999997E-3</v>
      </c>
      <c r="C121" s="245">
        <v>2.11159E-3</v>
      </c>
      <c r="D121" s="246">
        <f>IF(CouplingMode="AC",B121-(A$11-A$10)*SUM(B$9:B121)/0.21,B121)</f>
        <v>6.9343599999999997E-3</v>
      </c>
      <c r="E121" s="247">
        <f t="shared" si="58"/>
        <v>0.20064551928606494</v>
      </c>
      <c r="F121" s="247">
        <f t="shared" si="59"/>
        <v>0.20064551928606494</v>
      </c>
      <c r="G121" s="248">
        <f t="shared" si="60"/>
        <v>3.3315672990070704E+16</v>
      </c>
      <c r="H121" s="249">
        <f t="shared" si="61"/>
        <v>2.0692415372407236E-4</v>
      </c>
      <c r="I121" s="248">
        <f>IF(MobilityModel=DK,CalcDeltaN(H121,SampleDoping,Thickness,AreaFrac),CalcDeltaNDL(H121,AreaFrac,Thickness,SampleType,SampleDoping,Temperature))</f>
        <v>40835400696294.141</v>
      </c>
      <c r="J121" s="248" t="str">
        <f t="shared" si="62"/>
        <v/>
      </c>
      <c r="K121" s="248">
        <f t="shared" si="63"/>
        <v>40835400696294.141</v>
      </c>
      <c r="L121" s="250">
        <f t="shared" si="71"/>
        <v>-2.9158325915181356E+16</v>
      </c>
      <c r="M121" s="196" t="str">
        <f t="shared" si="64"/>
        <v/>
      </c>
      <c r="N121" s="196" t="str">
        <f t="shared" si="65"/>
        <v/>
      </c>
      <c r="O121" s="250">
        <f t="shared" si="66"/>
        <v>40835400696294.141</v>
      </c>
      <c r="P121" s="248">
        <f t="shared" si="72"/>
        <v>2.361878279391079E-5</v>
      </c>
      <c r="Q121" s="250" t="str">
        <f t="shared" si="73"/>
        <v/>
      </c>
      <c r="R121" s="251" t="str">
        <f t="shared" si="75"/>
        <v/>
      </c>
      <c r="S121" s="252">
        <f>IF(AND(E121&gt;0.95*BiasLight,E121&lt;1.05*BiasLight),"",IF(AugerModel="Sinton",calclifetimeauger(Auger_Coefficient,I121,P121),calclifetimerichter(SampleType,I121,SampleDoping,P121)))</f>
        <v>42339.1816312679</v>
      </c>
      <c r="T121" s="201" t="str">
        <f t="shared" si="74"/>
        <v/>
      </c>
      <c r="U121" s="252">
        <f t="shared" si="67"/>
        <v>25622.591696319007</v>
      </c>
      <c r="V121" s="251" t="str">
        <f>IF(AugerModel="Sinton","",IF(SampleType="n-type",n_intr_boltzmann(SampleDoping,0,K121,Temperature+273.15),n_intr_boltzmann(0,SampleDoping,K121,Temperature+273.15)))</f>
        <v/>
      </c>
      <c r="W121" s="251" t="str">
        <f t="shared" si="51"/>
        <v/>
      </c>
      <c r="X121" s="246">
        <f>IF(AND(A121&gt;TimeofMaxCD,I121&gt;Traps),IF(AugerModel="Sinton",CalcImpliedV(SampleDoping,O121),CalcImpliedVRichter(O121,SampleDoping,V121)),"")</f>
        <v>0.54897423964810077</v>
      </c>
      <c r="Y121" s="253">
        <f t="shared" si="68"/>
        <v>0.20408742946304223</v>
      </c>
      <c r="Z121" s="200" t="str">
        <f t="shared" si="69"/>
        <v/>
      </c>
      <c r="AE121" s="251">
        <f t="shared" si="70"/>
        <v>1613.8225632424089</v>
      </c>
    </row>
    <row r="122" spans="1:31" x14ac:dyDescent="0.2">
      <c r="A122" s="244">
        <v>1.13499E-2</v>
      </c>
      <c r="B122" s="244">
        <v>7.0759600000000001E-3</v>
      </c>
      <c r="C122" s="245">
        <v>1.9924500000000002E-3</v>
      </c>
      <c r="D122" s="246">
        <f>IF(CouplingMode="AC",B122-(A$11-A$10)*SUM(B$9:B122)/0.21,B122)</f>
        <v>7.0759600000000001E-3</v>
      </c>
      <c r="E122" s="247">
        <f t="shared" si="58"/>
        <v>0.18932471024276501</v>
      </c>
      <c r="F122" s="247">
        <f t="shared" si="59"/>
        <v>0.18932471024276501</v>
      </c>
      <c r="G122" s="248">
        <f t="shared" si="60"/>
        <v>3.1435938155165724E+16</v>
      </c>
      <c r="H122" s="249">
        <f t="shared" si="61"/>
        <v>2.1115000036769915E-4</v>
      </c>
      <c r="I122" s="248">
        <f>IF(MobilityModel=DK,CalcDeltaN(H122,SampleDoping,Thickness,AreaFrac),CalcDeltaNDL(H122,AreaFrac,Thickness,SampleType,SampleDoping,Temperature))</f>
        <v>41674331537726.102</v>
      </c>
      <c r="J122" s="248" t="str">
        <f t="shared" si="62"/>
        <v/>
      </c>
      <c r="K122" s="248">
        <f t="shared" si="63"/>
        <v>41674331537726.102</v>
      </c>
      <c r="L122" s="250">
        <f t="shared" si="71"/>
        <v>-2.0393624032642408E+16</v>
      </c>
      <c r="M122" s="196" t="str">
        <f t="shared" si="64"/>
        <v/>
      </c>
      <c r="N122" s="196" t="str">
        <f t="shared" si="65"/>
        <v/>
      </c>
      <c r="O122" s="250">
        <f t="shared" si="66"/>
        <v>41674331537726.102</v>
      </c>
      <c r="P122" s="248">
        <f t="shared" si="72"/>
        <v>2.5657299800381062E-5</v>
      </c>
      <c r="Q122" s="250" t="str">
        <f t="shared" si="73"/>
        <v/>
      </c>
      <c r="R122" s="251" t="str">
        <f t="shared" si="75"/>
        <v/>
      </c>
      <c r="S122" s="252">
        <f>IF(AND(E122&gt;0.95*BiasLight,E122&lt;1.05*BiasLight),"",IF(AugerModel="Sinton",calclifetimeauger(Auger_Coefficient,I122,P122),calclifetimerichter(SampleType,I122,SampleDoping,P122)))</f>
        <v>38975.259821184627</v>
      </c>
      <c r="T122" s="201" t="str">
        <f t="shared" si="74"/>
        <v/>
      </c>
      <c r="U122" s="252">
        <f t="shared" si="67"/>
        <v>25618.101942704383</v>
      </c>
      <c r="V122" s="251" t="str">
        <f>IF(AugerModel="Sinton","",IF(SampleType="n-type",n_intr_boltzmann(SampleDoping,0,K122,Temperature+273.15),n_intr_boltzmann(0,SampleDoping,K122,Temperature+273.15)))</f>
        <v/>
      </c>
      <c r="W122" s="251" t="str">
        <f t="shared" si="51"/>
        <v/>
      </c>
      <c r="X122" s="246">
        <f>IF(AND(A122&gt;TimeofMaxCD,I122&gt;Traps),IF(AugerModel="Sinton",CalcImpliedV(SampleDoping,O122),CalcImpliedVRichter(O122,SampleDoping,V122)),"")</f>
        <v>0.54950290539271263</v>
      </c>
      <c r="Y122" s="253">
        <f t="shared" si="68"/>
        <v>0.19173201655752348</v>
      </c>
      <c r="Z122" s="200" t="str">
        <f t="shared" si="69"/>
        <v/>
      </c>
      <c r="AE122" s="251">
        <f t="shared" si="70"/>
        <v>1613.6296339607334</v>
      </c>
    </row>
    <row r="123" spans="1:31" x14ac:dyDescent="0.2">
      <c r="A123" s="244">
        <v>1.1449900000000001E-2</v>
      </c>
      <c r="B123" s="244">
        <v>6.7732199999999999E-3</v>
      </c>
      <c r="C123" s="245">
        <v>1.87721E-3</v>
      </c>
      <c r="D123" s="246">
        <f>IF(CouplingMode="AC",B123-(A$11-A$10)*SUM(B$9:B123)/0.21,B123)</f>
        <v>6.7732199999999999E-3</v>
      </c>
      <c r="E123" s="247">
        <f t="shared" si="58"/>
        <v>0.17837448333198869</v>
      </c>
      <c r="F123" s="247">
        <f t="shared" si="59"/>
        <v>0.17837448333198869</v>
      </c>
      <c r="G123" s="248">
        <f t="shared" si="60"/>
        <v>2.9617735684337696E+16</v>
      </c>
      <c r="H123" s="249">
        <f t="shared" si="61"/>
        <v>2.0211518575648582E-4</v>
      </c>
      <c r="I123" s="248">
        <f>IF(MobilityModel=DK,CalcDeltaN(H123,SampleDoping,Thickness,AreaFrac),CalcDeltaNDL(H123,AreaFrac,Thickness,SampleType,SampleDoping,Temperature))</f>
        <v>39880884453594.289</v>
      </c>
      <c r="J123" s="248" t="str">
        <f t="shared" si="62"/>
        <v/>
      </c>
      <c r="K123" s="248">
        <f t="shared" si="63"/>
        <v>39880884453594.289</v>
      </c>
      <c r="L123" s="250">
        <f t="shared" si="71"/>
        <v>-2.4362930018030752E+16</v>
      </c>
      <c r="M123" s="196" t="str">
        <f t="shared" si="64"/>
        <v/>
      </c>
      <c r="N123" s="196" t="str">
        <f t="shared" si="65"/>
        <v/>
      </c>
      <c r="O123" s="250">
        <f t="shared" si="66"/>
        <v>39880884453594.289</v>
      </c>
      <c r="P123" s="248">
        <f t="shared" si="72"/>
        <v>2.5973047518680329E-5</v>
      </c>
      <c r="Q123" s="250" t="str">
        <f t="shared" si="73"/>
        <v/>
      </c>
      <c r="R123" s="251" t="str">
        <f t="shared" si="75"/>
        <v/>
      </c>
      <c r="S123" s="252">
        <f>IF(AND(E123&gt;0.95*BiasLight,E123&lt;1.05*BiasLight),"",IF(AugerModel="Sinton",calclifetimeauger(Auger_Coefficient,I123,P123),calclifetimerichter(SampleType,I123,SampleDoping,P123)))</f>
        <v>38501.447729867286</v>
      </c>
      <c r="T123" s="201" t="str">
        <f t="shared" si="74"/>
        <v/>
      </c>
      <c r="U123" s="252">
        <f t="shared" si="67"/>
        <v>25627.700034860431</v>
      </c>
      <c r="V123" s="251" t="str">
        <f>IF(AugerModel="Sinton","",IF(SampleType="n-type",n_intr_boltzmann(SampleDoping,0,K123,Temperature+273.15),n_intr_boltzmann(0,SampleDoping,K123,Temperature+273.15)))</f>
        <v/>
      </c>
      <c r="W123" s="251" t="str">
        <f t="shared" si="51"/>
        <v/>
      </c>
      <c r="X123" s="246">
        <f>IF(AND(A123&gt;TimeofMaxCD,I123&gt;Traps),IF(AugerModel="Sinton",CalcImpliedV(SampleDoping,O123),CalcImpliedVRichter(O123,SampleDoping,V123)),"")</f>
        <v>0.548359519363116</v>
      </c>
      <c r="Y123" s="253">
        <f t="shared" si="68"/>
        <v>0.18125033488169603</v>
      </c>
      <c r="Z123" s="200" t="str">
        <f t="shared" si="69"/>
        <v/>
      </c>
      <c r="AE123" s="251">
        <f t="shared" si="70"/>
        <v>1614.0447841882135</v>
      </c>
    </row>
    <row r="124" spans="1:31" x14ac:dyDescent="0.2">
      <c r="A124" s="244">
        <v>1.15499E-2</v>
      </c>
      <c r="B124" s="244">
        <v>6.1433399999999997E-3</v>
      </c>
      <c r="C124" s="245">
        <v>1.7785800000000001E-3</v>
      </c>
      <c r="D124" s="246">
        <f>IF(CouplingMode="AC",B124-(A$11-A$10)*SUM(B$9:B124)/0.21,B124)</f>
        <v>6.1433399999999997E-3</v>
      </c>
      <c r="E124" s="247">
        <f t="shared" si="58"/>
        <v>0.16900255622152474</v>
      </c>
      <c r="F124" s="247">
        <f t="shared" si="59"/>
        <v>0.16900255622152474</v>
      </c>
      <c r="G124" s="248">
        <f t="shared" si="60"/>
        <v>2.8061597974360536E+16</v>
      </c>
      <c r="H124" s="249">
        <f t="shared" si="61"/>
        <v>1.8331763622382417E-4</v>
      </c>
      <c r="I124" s="248">
        <f>IF(MobilityModel=DK,CalcDeltaN(H124,SampleDoping,Thickness,AreaFrac),CalcDeltaNDL(H124,AreaFrac,Thickness,SampleType,SampleDoping,Temperature))</f>
        <v>36151684595876.445</v>
      </c>
      <c r="J124" s="248" t="str">
        <f t="shared" si="62"/>
        <v/>
      </c>
      <c r="K124" s="248">
        <f t="shared" si="63"/>
        <v>36151684595876.445</v>
      </c>
      <c r="L124" s="250">
        <f t="shared" si="71"/>
        <v>-2.8637353499379384E+16</v>
      </c>
      <c r="M124" s="196" t="str">
        <f t="shared" si="64"/>
        <v/>
      </c>
      <c r="N124" s="196" t="str">
        <f t="shared" si="65"/>
        <v/>
      </c>
      <c r="O124" s="250">
        <f t="shared" si="66"/>
        <v>36151684595876.445</v>
      </c>
      <c r="P124" s="248">
        <f t="shared" si="72"/>
        <v>2.4755467233764421E-5</v>
      </c>
      <c r="Q124" s="250" t="str">
        <f t="shared" si="73"/>
        <v/>
      </c>
      <c r="R124" s="251" t="str">
        <f t="shared" si="75"/>
        <v/>
      </c>
      <c r="S124" s="252">
        <f>IF(AND(E124&gt;0.95*BiasLight,E124&lt;1.05*BiasLight),"",IF(AugerModel="Sinton",calclifetimeauger(Auger_Coefficient,I124,P124),calclifetimerichter(SampleType,I124,SampleDoping,P124)))</f>
        <v>40395.115020427264</v>
      </c>
      <c r="T124" s="201" t="str">
        <f t="shared" si="74"/>
        <v/>
      </c>
      <c r="U124" s="252">
        <f t="shared" si="67"/>
        <v>25647.657804576302</v>
      </c>
      <c r="V124" s="251" t="str">
        <f>IF(AugerModel="Sinton","",IF(SampleType="n-type",n_intr_boltzmann(SampleDoping,0,K124,Temperature+273.15),n_intr_boltzmann(0,SampleDoping,K124,Temperature+273.15)))</f>
        <v/>
      </c>
      <c r="W124" s="251" t="str">
        <f t="shared" si="51"/>
        <v/>
      </c>
      <c r="X124" s="246">
        <f>IF(AND(A124&gt;TimeofMaxCD,I124&gt;Traps),IF(AugerModel="Sinton",CalcImpliedV(SampleDoping,O124),CalcImpliedVRichter(O124,SampleDoping,V124)),"")</f>
        <v>0.54580970560473552</v>
      </c>
      <c r="Y124" s="253">
        <f t="shared" si="68"/>
        <v>0.17238296971775677</v>
      </c>
      <c r="Z124" s="200" t="str">
        <f t="shared" si="69"/>
        <v/>
      </c>
      <c r="AE124" s="251">
        <f t="shared" si="70"/>
        <v>1614.9427315821879</v>
      </c>
    </row>
    <row r="125" spans="1:31" x14ac:dyDescent="0.2">
      <c r="A125" s="244">
        <v>1.1649899999999999E-2</v>
      </c>
      <c r="B125" s="244">
        <v>5.3425599999999997E-3</v>
      </c>
      <c r="C125" s="245">
        <v>1.6379599999999999E-3</v>
      </c>
      <c r="D125" s="246">
        <f>IF(CouplingMode="AC",B125-(A$11-A$10)*SUM(B$9:B125)/0.21,B125)</f>
        <v>5.3425599999999997E-3</v>
      </c>
      <c r="E125" s="247">
        <f t="shared" si="58"/>
        <v>0.15564069481755594</v>
      </c>
      <c r="F125" s="247">
        <f t="shared" si="59"/>
        <v>0.15564069481755594</v>
      </c>
      <c r="G125" s="248">
        <f t="shared" si="60"/>
        <v>2.5842961811154728E+16</v>
      </c>
      <c r="H125" s="249">
        <f t="shared" si="61"/>
        <v>1.5942041510287608E-4</v>
      </c>
      <c r="I125" s="248">
        <f>IF(MobilityModel=DK,CalcDeltaN(H125,SampleDoping,Thickness,AreaFrac),CalcDeltaNDL(H125,AreaFrac,Thickness,SampleType,SampleDoping,Temperature))</f>
        <v>31415259158203.598</v>
      </c>
      <c r="J125" s="248" t="str">
        <f t="shared" si="62"/>
        <v/>
      </c>
      <c r="K125" s="248">
        <f t="shared" si="63"/>
        <v>31415259158203.598</v>
      </c>
      <c r="L125" s="250">
        <f t="shared" si="71"/>
        <v>-2.6746111100382812E+16</v>
      </c>
      <c r="M125" s="196" t="str">
        <f t="shared" si="64"/>
        <v/>
      </c>
      <c r="N125" s="196" t="str">
        <f t="shared" si="65"/>
        <v/>
      </c>
      <c r="O125" s="250">
        <f t="shared" si="66"/>
        <v>31415259158203.598</v>
      </c>
      <c r="P125" s="248">
        <f t="shared" si="72"/>
        <v>2.3352476411595266E-5</v>
      </c>
      <c r="Q125" s="250" t="str">
        <f t="shared" si="73"/>
        <v/>
      </c>
      <c r="R125" s="251" t="str">
        <f t="shared" si="75"/>
        <v/>
      </c>
      <c r="S125" s="252">
        <f>IF(AND(E125&gt;0.95*BiasLight,E125&lt;1.05*BiasLight),"",IF(AugerModel="Sinton",calclifetimeauger(Auger_Coefficient,I125,P125),calclifetimerichter(SampleType,I125,SampleDoping,P125)))</f>
        <v>42822.009285724489</v>
      </c>
      <c r="T125" s="201" t="str">
        <f t="shared" si="74"/>
        <v/>
      </c>
      <c r="U125" s="252">
        <f t="shared" si="67"/>
        <v>25673.006000373811</v>
      </c>
      <c r="V125" s="251" t="str">
        <f>IF(AugerModel="Sinton","",IF(SampleType="n-type",n_intr_boltzmann(SampleDoping,0,K125,Temperature+273.15),n_intr_boltzmann(0,SampleDoping,K125,Temperature+273.15)))</f>
        <v/>
      </c>
      <c r="W125" s="251" t="str">
        <f t="shared" si="51"/>
        <v/>
      </c>
      <c r="X125" s="246">
        <f>IF(AND(A125&gt;TimeofMaxCD,I125&gt;Traps),IF(AugerModel="Sinton",CalcImpliedV(SampleDoping,O125),CalcImpliedVRichter(O125,SampleDoping,V125)),"")</f>
        <v>0.54216679500306764</v>
      </c>
      <c r="Y125" s="253">
        <f t="shared" si="68"/>
        <v>0.15879786207944743</v>
      </c>
      <c r="Z125" s="200" t="str">
        <f t="shared" si="69"/>
        <v/>
      </c>
      <c r="AE125" s="251">
        <f t="shared" si="70"/>
        <v>1616.16130992231</v>
      </c>
    </row>
    <row r="126" spans="1:31" x14ac:dyDescent="0.2">
      <c r="A126" s="244">
        <v>1.1749900000000001E-2</v>
      </c>
      <c r="B126" s="244">
        <v>5.37186E-3</v>
      </c>
      <c r="C126" s="245">
        <v>1.5598299999999999E-3</v>
      </c>
      <c r="D126" s="246">
        <f>IF(CouplingMode="AC",B126-(A$11-A$10)*SUM(B$9:B126)/0.21,B126)</f>
        <v>5.37186E-3</v>
      </c>
      <c r="E126" s="247">
        <f t="shared" si="58"/>
        <v>0.14821669942933177</v>
      </c>
      <c r="F126" s="247">
        <f t="shared" si="59"/>
        <v>0.14821669942933177</v>
      </c>
      <c r="G126" s="248">
        <f t="shared" si="60"/>
        <v>2.4610263450812892E+16</v>
      </c>
      <c r="H126" s="249">
        <f t="shared" si="61"/>
        <v>1.6029478827660378E-4</v>
      </c>
      <c r="I126" s="248">
        <f>IF(MobilityModel=DK,CalcDeltaN(H126,SampleDoping,Thickness,AreaFrac),CalcDeltaNDL(H126,AreaFrac,Thickness,SampleType,SampleDoping,Temperature))</f>
        <v>31588467435731.73</v>
      </c>
      <c r="J126" s="248" t="str">
        <f t="shared" si="62"/>
        <v/>
      </c>
      <c r="K126" s="248">
        <f t="shared" si="63"/>
        <v>31588467435731.73</v>
      </c>
      <c r="L126" s="250">
        <f t="shared" si="71"/>
        <v>-2.2886615105240372E+16</v>
      </c>
      <c r="M126" s="196" t="str">
        <f t="shared" si="64"/>
        <v/>
      </c>
      <c r="N126" s="196" t="str">
        <f t="shared" si="65"/>
        <v/>
      </c>
      <c r="O126" s="250">
        <f t="shared" si="66"/>
        <v>31588467435731.73</v>
      </c>
      <c r="P126" s="248">
        <f t="shared" si="72"/>
        <v>2.4707206494496065E-5</v>
      </c>
      <c r="Q126" s="250" t="str">
        <f t="shared" si="73"/>
        <v/>
      </c>
      <c r="R126" s="251" t="str">
        <f t="shared" si="75"/>
        <v/>
      </c>
      <c r="S126" s="252">
        <f>IF(AND(E126&gt;0.95*BiasLight,E126&lt;1.05*BiasLight),"",IF(AugerModel="Sinton",calclifetimeauger(Auger_Coefficient,I126,P126),calclifetimerichter(SampleType,I126,SampleDoping,P126)))</f>
        <v>40474.019565819857</v>
      </c>
      <c r="T126" s="201" t="str">
        <f t="shared" si="74"/>
        <v/>
      </c>
      <c r="U126" s="252">
        <f t="shared" si="67"/>
        <v>25672.079031842306</v>
      </c>
      <c r="V126" s="251" t="str">
        <f>IF(AugerModel="Sinton","",IF(SampleType="n-type",n_intr_boltzmann(SampleDoping,0,K126,Temperature+273.15),n_intr_boltzmann(0,SampleDoping,K126,Temperature+273.15)))</f>
        <v/>
      </c>
      <c r="W126" s="251" t="str">
        <f t="shared" si="51"/>
        <v/>
      </c>
      <c r="X126" s="246">
        <f>IF(AND(A126&gt;TimeofMaxCD,I126&gt;Traps),IF(AugerModel="Sinton",CalcImpliedV(SampleDoping,O126),CalcImpliedVRichter(O126,SampleDoping,V126)),"")</f>
        <v>0.54230933858615127</v>
      </c>
      <c r="Y126" s="253">
        <f t="shared" si="68"/>
        <v>0.15091828365870197</v>
      </c>
      <c r="Z126" s="200" t="str">
        <f t="shared" si="69"/>
        <v/>
      </c>
      <c r="AE126" s="251">
        <f t="shared" si="70"/>
        <v>1616.1150073358617</v>
      </c>
    </row>
    <row r="127" spans="1:31" x14ac:dyDescent="0.2">
      <c r="A127" s="244">
        <v>1.18499E-2</v>
      </c>
      <c r="B127" s="244">
        <v>4.89822E-3</v>
      </c>
      <c r="C127" s="245">
        <v>1.44948E-3</v>
      </c>
      <c r="D127" s="246">
        <f>IF(CouplingMode="AC",B127-(A$11-A$10)*SUM(B$9:B127)/0.21,B127)</f>
        <v>4.89822E-3</v>
      </c>
      <c r="E127" s="247">
        <f t="shared" si="58"/>
        <v>0.13773112550010438</v>
      </c>
      <c r="F127" s="247">
        <f t="shared" si="59"/>
        <v>0.13773112550010438</v>
      </c>
      <c r="G127" s="248">
        <f t="shared" si="60"/>
        <v>2.2869213098019828E+16</v>
      </c>
      <c r="H127" s="249">
        <f t="shared" si="61"/>
        <v>1.4616047514051482E-4</v>
      </c>
      <c r="I127" s="248">
        <f>IF(MobilityModel=DK,CalcDeltaN(H127,SampleDoping,Thickness,AreaFrac),CalcDeltaNDL(H127,AreaFrac,Thickness,SampleType,SampleDoping,Temperature))</f>
        <v>28789437483475.242</v>
      </c>
      <c r="J127" s="248" t="str">
        <f t="shared" si="62"/>
        <v/>
      </c>
      <c r="K127" s="248">
        <f t="shared" si="63"/>
        <v>28789437483475.242</v>
      </c>
      <c r="L127" s="250">
        <f t="shared" si="71"/>
        <v>-1.57209722709951E+16</v>
      </c>
      <c r="M127" s="196" t="str">
        <f t="shared" si="64"/>
        <v/>
      </c>
      <c r="N127" s="196" t="str">
        <f t="shared" si="65"/>
        <v/>
      </c>
      <c r="O127" s="250">
        <f t="shared" si="66"/>
        <v>28789437483475.242</v>
      </c>
      <c r="P127" s="248">
        <f t="shared" si="72"/>
        <v>2.4345885832039796E-5</v>
      </c>
      <c r="Q127" s="250" t="str">
        <f t="shared" si="73"/>
        <v/>
      </c>
      <c r="R127" s="251" t="str">
        <f t="shared" si="75"/>
        <v/>
      </c>
      <c r="S127" s="252">
        <f>IF(AND(E127&gt;0.95*BiasLight,E127&lt;1.05*BiasLight),"",IF(AugerModel="Sinton",calclifetimeauger(Auger_Coefficient,I127,P127),calclifetimerichter(SampleType,I127,SampleDoping,P127)))</f>
        <v>41074.700399170892</v>
      </c>
      <c r="T127" s="201" t="str">
        <f t="shared" si="74"/>
        <v/>
      </c>
      <c r="U127" s="252">
        <f t="shared" si="67"/>
        <v>25687.058758686217</v>
      </c>
      <c r="V127" s="251" t="str">
        <f>IF(AugerModel="Sinton","",IF(SampleType="n-type",n_intr_boltzmann(SampleDoping,0,K127,Temperature+273.15),n_intr_boltzmann(0,SampleDoping,K127,Temperature+273.15)))</f>
        <v/>
      </c>
      <c r="W127" s="251" t="str">
        <f t="shared" si="51"/>
        <v/>
      </c>
      <c r="X127" s="246">
        <f>IF(AND(A127&gt;TimeofMaxCD,I127&gt;Traps),IF(AugerModel="Sinton",CalcImpliedV(SampleDoping,O127),CalcImpliedVRichter(O127,SampleDoping,V127)),"")</f>
        <v>0.5399048655282318</v>
      </c>
      <c r="Y127" s="253">
        <f t="shared" si="68"/>
        <v>0.13958686216375638</v>
      </c>
      <c r="Z127" s="200" t="str">
        <f t="shared" si="69"/>
        <v/>
      </c>
      <c r="AE127" s="251">
        <f t="shared" si="70"/>
        <v>1616.8814694807925</v>
      </c>
    </row>
    <row r="128" spans="1:31" x14ac:dyDescent="0.2">
      <c r="A128" s="244">
        <v>1.1949899999999999E-2</v>
      </c>
      <c r="B128" s="244">
        <v>4.4294699999999996E-3</v>
      </c>
      <c r="C128" s="245">
        <v>1.3567099999999999E-3</v>
      </c>
      <c r="D128" s="246">
        <f>IF(CouplingMode="AC",B128-(A$11-A$10)*SUM(B$9:B128)/0.21,B128)</f>
        <v>4.4294699999999996E-3</v>
      </c>
      <c r="E128" s="247">
        <f t="shared" si="58"/>
        <v>0.12891602179902215</v>
      </c>
      <c r="F128" s="247">
        <f t="shared" si="59"/>
        <v>0.12891602179902215</v>
      </c>
      <c r="G128" s="248">
        <f t="shared" si="60"/>
        <v>2.1405531709450616E+16</v>
      </c>
      <c r="H128" s="249">
        <f t="shared" si="61"/>
        <v>1.3217228478717459E-4</v>
      </c>
      <c r="I128" s="248">
        <f>IF(MobilityModel=DK,CalcDeltaN(H128,SampleDoping,Thickness,AreaFrac),CalcDeltaNDL(H128,AreaFrac,Thickness,SampleType,SampleDoping,Temperature))</f>
        <v>26021287880620.437</v>
      </c>
      <c r="J128" s="248" t="str">
        <f t="shared" si="62"/>
        <v/>
      </c>
      <c r="K128" s="248">
        <f t="shared" si="63"/>
        <v>26021287880620.437</v>
      </c>
      <c r="L128" s="250">
        <f t="shared" si="71"/>
        <v>-1.5890981068546342E+16</v>
      </c>
      <c r="M128" s="196" t="str">
        <f t="shared" si="64"/>
        <v/>
      </c>
      <c r="N128" s="196" t="str">
        <f t="shared" si="65"/>
        <v/>
      </c>
      <c r="O128" s="250">
        <f t="shared" si="66"/>
        <v>26021287880620.437</v>
      </c>
      <c r="P128" s="248">
        <f t="shared" si="72"/>
        <v>2.3484706051963288E-5</v>
      </c>
      <c r="Q128" s="250" t="str">
        <f t="shared" si="73"/>
        <v/>
      </c>
      <c r="R128" s="251" t="str">
        <f t="shared" si="75"/>
        <v/>
      </c>
      <c r="S128" s="252">
        <f>IF(AND(E128&gt;0.95*BiasLight,E128&lt;1.05*BiasLight),"",IF(AugerModel="Sinton",calclifetimeauger(Auger_Coefficient,I128,P128),calclifetimerichter(SampleType,I128,SampleDoping,P128)))</f>
        <v>42580.902285537923</v>
      </c>
      <c r="T128" s="201" t="str">
        <f t="shared" si="74"/>
        <v/>
      </c>
      <c r="U128" s="252">
        <f t="shared" si="67"/>
        <v>25701.873221418355</v>
      </c>
      <c r="V128" s="251" t="str">
        <f>IF(AugerModel="Sinton","",IF(SampleType="n-type",n_intr_boltzmann(SampleDoping,0,K128,Temperature+273.15),n_intr_boltzmann(0,SampleDoping,K128,Temperature+273.15)))</f>
        <v/>
      </c>
      <c r="W128" s="251" t="str">
        <f t="shared" si="51"/>
        <v/>
      </c>
      <c r="X128" s="246">
        <f>IF(AND(A128&gt;TimeofMaxCD,I128&gt;Traps),IF(AugerModel="Sinton",CalcImpliedV(SampleDoping,O128),CalcImpliedVRichter(O128,SampleDoping,V128)),"")</f>
        <v>0.53728712041583393</v>
      </c>
      <c r="Y128" s="253">
        <f t="shared" si="68"/>
        <v>0.13079182665905034</v>
      </c>
      <c r="Z128" s="200" t="str">
        <f t="shared" si="69"/>
        <v/>
      </c>
      <c r="AE128" s="251">
        <f t="shared" si="70"/>
        <v>1617.6815299395305</v>
      </c>
    </row>
    <row r="129" spans="1:31" x14ac:dyDescent="0.2">
      <c r="A129" s="244">
        <v>1.2049900000000001E-2</v>
      </c>
      <c r="B129" s="244">
        <v>4.4831799999999998E-3</v>
      </c>
      <c r="C129" s="245">
        <v>1.26881E-3</v>
      </c>
      <c r="D129" s="246">
        <f>IF(CouplingMode="AC",B129-(A$11-A$10)*SUM(B$9:B129)/0.21,B129)</f>
        <v>4.4831799999999998E-3</v>
      </c>
      <c r="E129" s="247">
        <f t="shared" si="58"/>
        <v>0.12056367065829639</v>
      </c>
      <c r="F129" s="247">
        <f t="shared" si="59"/>
        <v>0.12056367065829639</v>
      </c>
      <c r="G129" s="248">
        <f t="shared" si="60"/>
        <v>2.001868688833136E+16</v>
      </c>
      <c r="H129" s="249">
        <f t="shared" si="61"/>
        <v>1.3377506040121098E-4</v>
      </c>
      <c r="I129" s="248">
        <f>IF(MobilityModel=DK,CalcDeltaN(H129,SampleDoping,Thickness,AreaFrac),CalcDeltaNDL(H129,AreaFrac,Thickness,SampleType,SampleDoping,Temperature))</f>
        <v>26338362800261.676</v>
      </c>
      <c r="J129" s="248" t="str">
        <f t="shared" si="62"/>
        <v/>
      </c>
      <c r="K129" s="248">
        <f t="shared" si="63"/>
        <v>26338362800261.676</v>
      </c>
      <c r="L129" s="250">
        <f t="shared" si="71"/>
        <v>-1.129942786236112E+16</v>
      </c>
      <c r="M129" s="196" t="str">
        <f t="shared" si="64"/>
        <v/>
      </c>
      <c r="N129" s="196" t="str">
        <f t="shared" si="65"/>
        <v/>
      </c>
      <c r="O129" s="250">
        <f t="shared" si="66"/>
        <v>26338362800261.676</v>
      </c>
      <c r="P129" s="248">
        <f t="shared" si="72"/>
        <v>2.5505333021583794E-5</v>
      </c>
      <c r="Q129" s="250" t="str">
        <f t="shared" si="73"/>
        <v/>
      </c>
      <c r="R129" s="251" t="str">
        <f t="shared" si="75"/>
        <v/>
      </c>
      <c r="S129" s="252">
        <f>IF(AND(E129&gt;0.95*BiasLight,E129&lt;1.05*BiasLight),"",IF(AugerModel="Sinton",calclifetimeauger(Auger_Coefficient,I129,P129),calclifetimerichter(SampleType,I129,SampleDoping,P129)))</f>
        <v>39207.485343668923</v>
      </c>
      <c r="T129" s="201" t="str">
        <f t="shared" si="74"/>
        <v/>
      </c>
      <c r="U129" s="252">
        <f t="shared" si="67"/>
        <v>25700.176313644482</v>
      </c>
      <c r="V129" s="251" t="str">
        <f>IF(AugerModel="Sinton","",IF(SampleType="n-type",n_intr_boltzmann(SampleDoping,0,K129,Temperature+273.15),n_intr_boltzmann(0,SampleDoping,K129,Temperature+273.15)))</f>
        <v/>
      </c>
      <c r="W129" s="251" t="str">
        <f t="shared" si="51"/>
        <v/>
      </c>
      <c r="X129" s="246">
        <f>IF(AND(A129&gt;TimeofMaxCD,I129&gt;Traps),IF(AugerModel="Sinton",CalcImpliedV(SampleDoping,O129),CalcImpliedVRichter(O129,SampleDoping,V129)),"")</f>
        <v>0.53760063289881366</v>
      </c>
      <c r="Y129" s="253">
        <f t="shared" si="68"/>
        <v>0.12189747891143866</v>
      </c>
      <c r="Z129" s="200" t="str">
        <f t="shared" si="69"/>
        <v/>
      </c>
      <c r="AE129" s="251">
        <f t="shared" si="70"/>
        <v>1617.5875551407262</v>
      </c>
    </row>
    <row r="130" spans="1:31" x14ac:dyDescent="0.2">
      <c r="A130" s="244">
        <v>1.21499E-2</v>
      </c>
      <c r="B130" s="244">
        <v>4.2341599999999998E-3</v>
      </c>
      <c r="C130" s="245">
        <v>1.1643199999999999E-3</v>
      </c>
      <c r="D130" s="246">
        <f>IF(CouplingMode="AC",B130-(A$11-A$10)*SUM(B$9:B130)/0.21,B130)</f>
        <v>4.2341599999999998E-3</v>
      </c>
      <c r="E130" s="247">
        <f t="shared" si="58"/>
        <v>0.11063492013845071</v>
      </c>
      <c r="F130" s="247">
        <f t="shared" si="59"/>
        <v>0.11063492013845071</v>
      </c>
      <c r="G130" s="248">
        <f t="shared" si="60"/>
        <v>1.8370092856946248E+16</v>
      </c>
      <c r="H130" s="249">
        <f t="shared" si="61"/>
        <v>1.2634400427122446E-4</v>
      </c>
      <c r="I130" s="248">
        <f>IF(MobilityModel=DK,CalcDeltaN(H130,SampleDoping,Thickness,AreaFrac),CalcDeltaNDL(H130,AreaFrac,Thickness,SampleType,SampleDoping,Temperature))</f>
        <v>24868514243065.34</v>
      </c>
      <c r="J130" s="248" t="str">
        <f t="shared" si="62"/>
        <v/>
      </c>
      <c r="K130" s="248">
        <f t="shared" si="63"/>
        <v>24868514243065.34</v>
      </c>
      <c r="L130" s="250">
        <f t="shared" si="71"/>
        <v>-8730427317250288</v>
      </c>
      <c r="M130" s="196" t="str">
        <f t="shared" si="64"/>
        <v/>
      </c>
      <c r="N130" s="196" t="str">
        <f t="shared" si="65"/>
        <v/>
      </c>
      <c r="O130" s="250">
        <f t="shared" si="66"/>
        <v>24868514243065.34</v>
      </c>
      <c r="P130" s="248">
        <f t="shared" si="72"/>
        <v>2.6288624061976838E-5</v>
      </c>
      <c r="Q130" s="250" t="str">
        <f t="shared" si="73"/>
        <v/>
      </c>
      <c r="R130" s="251" t="str">
        <f t="shared" si="75"/>
        <v/>
      </c>
      <c r="S130" s="252">
        <f>IF(AND(E130&gt;0.95*BiasLight,E130&lt;1.05*BiasLight),"",IF(AugerModel="Sinton",calclifetimeauger(Auger_Coefficient,I130,P130),calclifetimerichter(SampleType,I130,SampleDoping,P130)))</f>
        <v>38039.266363052731</v>
      </c>
      <c r="T130" s="201" t="str">
        <f t="shared" si="74"/>
        <v/>
      </c>
      <c r="U130" s="252">
        <f t="shared" si="67"/>
        <v>25708.042585268682</v>
      </c>
      <c r="V130" s="251" t="str">
        <f>IF(AugerModel="Sinton","",IF(SampleType="n-type",n_intr_boltzmann(SampleDoping,0,K130,Temperature+273.15),n_intr_boltzmann(0,SampleDoping,K130,Temperature+273.15)))</f>
        <v/>
      </c>
      <c r="W130" s="251" t="str">
        <f t="shared" si="51"/>
        <v/>
      </c>
      <c r="X130" s="246">
        <f>IF(AND(A130&gt;TimeofMaxCD,I130&gt;Traps),IF(AugerModel="Sinton",CalcImpliedV(SampleDoping,O130),CalcImpliedVRichter(O130,SampleDoping,V130)),"")</f>
        <v>0.53611443884544396</v>
      </c>
      <c r="Y130" s="253">
        <f t="shared" si="68"/>
        <v>0.11166547815882592</v>
      </c>
      <c r="Z130" s="200" t="str">
        <f t="shared" si="69"/>
        <v/>
      </c>
      <c r="AE130" s="251">
        <f t="shared" si="70"/>
        <v>1618.0286772794341</v>
      </c>
    </row>
    <row r="131" spans="1:31" x14ac:dyDescent="0.2">
      <c r="A131" s="244">
        <v>1.2249899999999999E-2</v>
      </c>
      <c r="B131" s="244">
        <v>4.0388500000000001E-3</v>
      </c>
      <c r="C131" s="245">
        <v>1.08913E-3</v>
      </c>
      <c r="D131" s="246">
        <f>IF(CouplingMode="AC",B131-(A$11-A$10)*SUM(B$9:B131)/0.21,B131)</f>
        <v>4.0388500000000001E-3</v>
      </c>
      <c r="E131" s="247">
        <f t="shared" si="58"/>
        <v>0.10349028666551362</v>
      </c>
      <c r="F131" s="247">
        <f t="shared" si="59"/>
        <v>0.10349028666551362</v>
      </c>
      <c r="G131" s="248">
        <f t="shared" si="60"/>
        <v>1.7183780432600886E+16</v>
      </c>
      <c r="H131" s="249">
        <f t="shared" si="61"/>
        <v>1.2051575759473507E-4</v>
      </c>
      <c r="I131" s="248">
        <f>IF(MobilityModel=DK,CalcDeltaN(H131,SampleDoping,Thickness,AreaFrac),CalcDeltaNDL(H131,AreaFrac,Thickness,SampleType,SampleDoping,Temperature))</f>
        <v>23716110371072.23</v>
      </c>
      <c r="J131" s="248" t="str">
        <f t="shared" si="62"/>
        <v/>
      </c>
      <c r="K131" s="248">
        <f t="shared" si="63"/>
        <v>23716110371072.23</v>
      </c>
      <c r="L131" s="250">
        <f t="shared" si="71"/>
        <v>-1.0947184164537492E+16</v>
      </c>
      <c r="M131" s="196" t="str">
        <f t="shared" si="64"/>
        <v/>
      </c>
      <c r="N131" s="196" t="str">
        <f t="shared" si="65"/>
        <v/>
      </c>
      <c r="O131" s="250">
        <f t="shared" si="66"/>
        <v>23716110371072.23</v>
      </c>
      <c r="P131" s="248">
        <f t="shared" si="72"/>
        <v>2.6717239875483004E-5</v>
      </c>
      <c r="Q131" s="250" t="str">
        <f t="shared" si="73"/>
        <v/>
      </c>
      <c r="R131" s="251" t="str">
        <f t="shared" si="75"/>
        <v/>
      </c>
      <c r="S131" s="252">
        <f>IF(AND(E131&gt;0.95*BiasLight,E131&lt;1.05*BiasLight),"",IF(AugerModel="Sinton",calclifetimeauger(Auger_Coefficient,I131,P131),calclifetimerichter(SampleType,I131,SampleDoping,P131)))</f>
        <v>37429.015112166184</v>
      </c>
      <c r="T131" s="201" t="str">
        <f t="shared" si="74"/>
        <v/>
      </c>
      <c r="U131" s="252">
        <f t="shared" si="67"/>
        <v>25714.209970223746</v>
      </c>
      <c r="V131" s="251" t="str">
        <f>IF(AugerModel="Sinton","",IF(SampleType="n-type",n_intr_boltzmann(SampleDoping,0,K131,Temperature+273.15),n_intr_boltzmann(0,SampleDoping,K131,Temperature+273.15)))</f>
        <v/>
      </c>
      <c r="W131" s="251" t="str">
        <f t="shared" si="51"/>
        <v/>
      </c>
      <c r="X131" s="246">
        <f>IF(AND(A131&gt;TimeofMaxCD,I131&gt;Traps),IF(AugerModel="Sinton",CalcImpliedV(SampleDoping,O131),CalcImpliedVRichter(O131,SampleDoping,V131)),"")</f>
        <v>0.534886896599155</v>
      </c>
      <c r="Y131" s="253">
        <f t="shared" si="68"/>
        <v>0.10478251533099911</v>
      </c>
      <c r="Z131" s="200" t="str">
        <f t="shared" si="69"/>
        <v/>
      </c>
      <c r="AE131" s="251">
        <f t="shared" si="70"/>
        <v>1618.3847941395015</v>
      </c>
    </row>
    <row r="132" spans="1:31" x14ac:dyDescent="0.2">
      <c r="A132" s="244">
        <v>1.23499E-2</v>
      </c>
      <c r="B132" s="244">
        <v>3.9118900000000003E-3</v>
      </c>
      <c r="C132" s="245">
        <v>1.01881E-3</v>
      </c>
      <c r="D132" s="246">
        <f>IF(CouplingMode="AC",B132-(A$11-A$10)*SUM(B$9:B132)/0.21,B132)</f>
        <v>3.9118900000000003E-3</v>
      </c>
      <c r="E132" s="247">
        <f t="shared" si="58"/>
        <v>9.6808405752933008E-2</v>
      </c>
      <c r="F132" s="247">
        <f t="shared" si="59"/>
        <v>9.6808405752933008E-2</v>
      </c>
      <c r="G132" s="248">
        <f t="shared" si="60"/>
        <v>1.607430457570548E+16</v>
      </c>
      <c r="H132" s="249">
        <f t="shared" si="61"/>
        <v>1.1672716175457551E-4</v>
      </c>
      <c r="I132" s="248">
        <f>IF(MobilityModel=DK,CalcDeltaN(H132,SampleDoping,Thickness,AreaFrac),CalcDeltaNDL(H132,AreaFrac,Thickness,SampleType,SampleDoping,Temperature))</f>
        <v>22967200436590.008</v>
      </c>
      <c r="J132" s="248" t="str">
        <f t="shared" si="62"/>
        <v/>
      </c>
      <c r="K132" s="248">
        <f t="shared" si="63"/>
        <v>22967200436590.008</v>
      </c>
      <c r="L132" s="250"/>
      <c r="M132" s="196" t="str">
        <f t="shared" si="64"/>
        <v/>
      </c>
      <c r="N132" s="196" t="str">
        <f t="shared" si="65"/>
        <v/>
      </c>
      <c r="O132" s="250">
        <f t="shared" si="66"/>
        <v>22967200436590.008</v>
      </c>
      <c r="P132" s="248"/>
      <c r="Q132" s="250" t="str">
        <f t="shared" si="73"/>
        <v/>
      </c>
      <c r="R132" s="251" t="str">
        <f t="shared" si="75"/>
        <v/>
      </c>
      <c r="S132" s="201"/>
      <c r="T132" s="201" t="str">
        <f t="shared" si="74"/>
        <v/>
      </c>
      <c r="U132" s="252">
        <f t="shared" si="67"/>
        <v>25718.217953861145</v>
      </c>
      <c r="V132" s="251" t="str">
        <f>IF(AugerModel="Sinton","",IF(SampleType="n-type",n_intr_boltzmann(SampleDoping,0,K132,Temperature+273.15),n_intr_boltzmann(0,SampleDoping,K132,Temperature+273.15)))</f>
        <v/>
      </c>
      <c r="W132" s="251" t="str">
        <f t="shared" si="51"/>
        <v/>
      </c>
      <c r="X132" s="246">
        <f>IF(AND(A132&gt;TimeofMaxCD,I132&gt;Traps),IF(AugerModel="Sinton",CalcImpliedV(SampleDoping,O132),CalcImpliedVRichter(O132,SampleDoping,V132)),"")</f>
        <v>0.53405697650327488</v>
      </c>
      <c r="Y132" s="253" t="str">
        <f t="shared" si="68"/>
        <v/>
      </c>
      <c r="Z132" s="200" t="str">
        <f t="shared" si="69"/>
        <v/>
      </c>
      <c r="AE132" s="251">
        <f t="shared" si="70"/>
        <v>1618.6214152397636</v>
      </c>
    </row>
    <row r="133" spans="1:31" x14ac:dyDescent="0.2">
      <c r="A133" s="244">
        <v>1.24499E-2</v>
      </c>
      <c r="B133" s="244">
        <v>3.7165800000000001E-3</v>
      </c>
      <c r="C133" s="245">
        <v>9.5338499999999995E-4</v>
      </c>
      <c r="D133" s="246">
        <f>IF(CouplingMode="AC",B133-(A$11-A$10)*SUM(B$9:B133)/0.21,B133)</f>
        <v>3.7165800000000001E-3</v>
      </c>
      <c r="E133" s="247">
        <f t="shared" si="58"/>
        <v>9.0591652927199423E-2</v>
      </c>
      <c r="F133" s="247">
        <f t="shared" si="59"/>
        <v>9.0591652927199423E-2</v>
      </c>
      <c r="G133" s="248">
        <f t="shared" si="60"/>
        <v>1.504205972449129E+16</v>
      </c>
      <c r="H133" s="249">
        <f t="shared" si="61"/>
        <v>1.108989709146576E-4</v>
      </c>
      <c r="I133" s="248">
        <f>IF(MobilityModel=DK,CalcDeltaN(H133,SampleDoping,Thickness,AreaFrac),CalcDeltaNDL(H133,AreaFrac,Thickness,SampleType,SampleDoping,Temperature))</f>
        <v>21815427621230.598</v>
      </c>
      <c r="J133" s="248" t="str">
        <f t="shared" si="62"/>
        <v/>
      </c>
      <c r="K133" s="248">
        <f t="shared" si="63"/>
        <v>21815427621230.598</v>
      </c>
      <c r="L133" s="250"/>
      <c r="M133" s="196" t="str">
        <f t="shared" si="64"/>
        <v/>
      </c>
      <c r="N133" s="196" t="str">
        <f t="shared" si="65"/>
        <v/>
      </c>
      <c r="O133" s="250">
        <f t="shared" si="66"/>
        <v>21815427621230.598</v>
      </c>
      <c r="P133" s="248"/>
      <c r="Q133" s="250" t="str">
        <f t="shared" si="73"/>
        <v/>
      </c>
      <c r="R133" s="251" t="str">
        <f t="shared" si="75"/>
        <v/>
      </c>
      <c r="S133" s="201"/>
      <c r="T133" s="201" t="str">
        <f t="shared" si="74"/>
        <v/>
      </c>
      <c r="U133" s="252">
        <f t="shared" si="67"/>
        <v>25724.381961554744</v>
      </c>
      <c r="V133" s="251" t="str">
        <f>IF(AugerModel="Sinton","",IF(SampleType="n-type",n_intr_boltzmann(SampleDoping,0,K133,Temperature+273.15),n_intr_boltzmann(0,SampleDoping,K133,Temperature+273.15)))</f>
        <v/>
      </c>
      <c r="W133" s="251" t="str">
        <f t="shared" si="51"/>
        <v/>
      </c>
      <c r="X133" s="246">
        <f>IF(AND(A133&gt;TimeofMaxCD,I133&gt;Traps),IF(AugerModel="Sinton",CalcImpliedV(SampleDoping,O133),CalcImpliedVRichter(O133,SampleDoping,V133)),"")</f>
        <v>0.53272662832702478</v>
      </c>
      <c r="Y133" s="253" t="str">
        <f t="shared" si="68"/>
        <v/>
      </c>
      <c r="Z133" s="200" t="str">
        <f t="shared" si="69"/>
        <v/>
      </c>
      <c r="AE133" s="251">
        <f t="shared" si="70"/>
        <v>1618.9938636482534</v>
      </c>
    </row>
    <row r="134" spans="1:31" x14ac:dyDescent="0.2">
      <c r="A134" s="255" t="s">
        <v>57</v>
      </c>
      <c r="B134" s="256" t="s">
        <v>131</v>
      </c>
      <c r="C134" s="257"/>
      <c r="D134" s="201"/>
      <c r="E134" s="201"/>
      <c r="F134" s="201"/>
      <c r="G134" s="201"/>
      <c r="H134" s="201"/>
      <c r="I134" s="201"/>
      <c r="J134" s="201"/>
      <c r="K134" s="201"/>
      <c r="L134" s="201"/>
      <c r="M134" s="201"/>
      <c r="N134" s="200" t="str">
        <f t="shared" ref="N134" si="76">IF(M134="","",1/M134)</f>
        <v/>
      </c>
      <c r="O134" s="201"/>
      <c r="R134" s="201"/>
      <c r="S134" s="201"/>
      <c r="T134" s="201"/>
      <c r="U134" s="201"/>
      <c r="V134" s="251"/>
      <c r="W134" s="251" t="str">
        <f t="shared" si="51"/>
        <v/>
      </c>
      <c r="Z134" s="258"/>
      <c r="AE134" s="251"/>
    </row>
    <row r="135" spans="1:31" x14ac:dyDescent="0.2">
      <c r="A135" s="255"/>
      <c r="B135" s="259"/>
      <c r="C135" s="260"/>
      <c r="D135" s="201"/>
      <c r="E135" s="201"/>
      <c r="F135" s="201"/>
      <c r="G135" s="196"/>
      <c r="H135" s="196"/>
      <c r="I135" s="201"/>
      <c r="J135" s="201"/>
      <c r="K135" s="201"/>
      <c r="L135" s="201"/>
      <c r="M135" s="201"/>
      <c r="N135" s="201"/>
      <c r="O135" s="201"/>
      <c r="R135" s="201"/>
      <c r="S135" s="201"/>
      <c r="T135" s="201"/>
      <c r="U135" s="196"/>
      <c r="V135" s="201"/>
      <c r="W135" s="201"/>
      <c r="X135" s="201"/>
      <c r="Y135" s="201"/>
    </row>
    <row r="136" spans="1:31" x14ac:dyDescent="0.2">
      <c r="A136" s="255" t="s">
        <v>80</v>
      </c>
      <c r="B136" s="259" t="s">
        <v>132</v>
      </c>
      <c r="C136" s="261"/>
      <c r="D136" s="201"/>
      <c r="E136" s="201"/>
      <c r="F136" s="201"/>
      <c r="G136" s="201"/>
      <c r="H136" s="201"/>
      <c r="I136" s="201"/>
      <c r="J136" s="201"/>
      <c r="K136" s="201"/>
      <c r="L136" s="201"/>
      <c r="M136" s="201"/>
      <c r="N136" s="201"/>
      <c r="O136" s="201"/>
      <c r="R136" s="201"/>
      <c r="S136" s="201"/>
      <c r="T136" s="201"/>
      <c r="U136" s="196"/>
      <c r="V136" s="201"/>
      <c r="W136" s="201"/>
      <c r="X136" s="201"/>
      <c r="Y136" s="201"/>
    </row>
    <row r="137" spans="1:31" x14ac:dyDescent="0.2">
      <c r="A137" s="255"/>
      <c r="B137" s="259"/>
      <c r="C137" s="261"/>
      <c r="D137" s="201"/>
      <c r="E137" s="201"/>
      <c r="F137" s="201"/>
      <c r="G137" s="201"/>
      <c r="H137" s="201"/>
      <c r="I137" s="201"/>
      <c r="J137" s="201"/>
      <c r="K137" s="201"/>
      <c r="L137" s="201"/>
      <c r="M137" s="201"/>
      <c r="N137" s="201"/>
      <c r="O137" s="201"/>
      <c r="R137" s="201"/>
      <c r="S137" s="201"/>
      <c r="T137" s="201"/>
      <c r="U137" s="196"/>
      <c r="V137" s="201"/>
      <c r="W137" s="201"/>
      <c r="X137" s="201"/>
      <c r="Y137" s="201"/>
    </row>
    <row r="138" spans="1:31" x14ac:dyDescent="0.2">
      <c r="A138" s="255" t="s">
        <v>69</v>
      </c>
      <c r="B138" s="259">
        <v>5</v>
      </c>
      <c r="C138" s="261"/>
      <c r="D138" s="201"/>
      <c r="E138" s="201"/>
      <c r="F138" s="201"/>
      <c r="G138" s="201"/>
      <c r="H138" s="201"/>
      <c r="I138" s="201"/>
      <c r="J138" s="201"/>
      <c r="K138" s="201"/>
      <c r="L138" s="201"/>
      <c r="M138" s="201"/>
      <c r="N138" s="201"/>
      <c r="O138" s="201"/>
      <c r="R138" s="201"/>
      <c r="S138" s="201"/>
      <c r="T138" s="201"/>
      <c r="U138" s="196"/>
      <c r="V138" s="201"/>
      <c r="W138" s="201"/>
      <c r="X138" s="201"/>
      <c r="Y138" s="201"/>
    </row>
    <row r="139" spans="1:31" x14ac:dyDescent="0.2">
      <c r="A139" s="262"/>
      <c r="B139" s="259"/>
      <c r="C139" s="259"/>
      <c r="D139" s="263"/>
      <c r="E139" s="263"/>
      <c r="F139" s="263"/>
      <c r="G139" s="263"/>
      <c r="H139" s="263"/>
      <c r="I139" s="263"/>
      <c r="J139" s="263"/>
      <c r="K139" s="263"/>
      <c r="L139" s="263"/>
      <c r="M139" s="201"/>
      <c r="N139" s="263"/>
      <c r="O139" s="201"/>
      <c r="P139" s="263"/>
      <c r="Q139" s="263"/>
      <c r="R139" s="263"/>
      <c r="S139" s="263"/>
      <c r="T139" s="263"/>
      <c r="U139" s="263"/>
      <c r="V139" s="263" t="str">
        <f>IF(User!S6="","",User!S6)</f>
        <v/>
      </c>
      <c r="W139" s="201"/>
    </row>
    <row r="140" spans="1:31" x14ac:dyDescent="0.2">
      <c r="A140" s="255" t="s">
        <v>68</v>
      </c>
      <c r="B140" s="264">
        <v>5</v>
      </c>
      <c r="C140" s="265"/>
      <c r="D140" s="201"/>
      <c r="E140" s="201"/>
      <c r="F140" s="266"/>
      <c r="G140" s="266"/>
      <c r="H140" s="266"/>
      <c r="I140" s="266"/>
      <c r="J140" s="267"/>
      <c r="K140" s="266"/>
      <c r="L140" s="266"/>
      <c r="M140" s="201"/>
      <c r="N140" s="266"/>
      <c r="O140" s="201"/>
      <c r="P140" s="266"/>
      <c r="Q140" s="266"/>
      <c r="R140" s="266"/>
      <c r="S140" s="266"/>
      <c r="T140" s="201"/>
      <c r="U140" s="201"/>
      <c r="V140" s="201"/>
      <c r="W140" s="201"/>
    </row>
    <row r="141" spans="1:31" x14ac:dyDescent="0.2">
      <c r="A141" s="268"/>
      <c r="B141" s="259"/>
      <c r="C141" s="260"/>
      <c r="D141" s="269"/>
      <c r="E141" s="253"/>
      <c r="F141" s="269"/>
      <c r="G141" s="201"/>
      <c r="H141" s="201"/>
      <c r="I141" s="201"/>
      <c r="J141" s="270"/>
      <c r="K141" s="253"/>
      <c r="L141" s="270"/>
      <c r="N141" s="251"/>
      <c r="P141" s="201"/>
      <c r="Q141" s="253"/>
      <c r="R141" s="251"/>
    </row>
    <row r="142" spans="1:31" x14ac:dyDescent="0.2">
      <c r="A142" s="255" t="s">
        <v>67</v>
      </c>
      <c r="B142" s="259">
        <v>10</v>
      </c>
      <c r="C142" s="260"/>
      <c r="D142" s="201"/>
      <c r="E142" s="201"/>
      <c r="F142" s="201"/>
      <c r="G142" s="201"/>
      <c r="H142" s="201"/>
      <c r="I142" s="201"/>
      <c r="J142" s="201"/>
      <c r="K142" s="201"/>
      <c r="L142" s="201"/>
      <c r="P142" s="201"/>
      <c r="Q142" s="201"/>
    </row>
    <row r="143" spans="1:31" x14ac:dyDescent="0.2">
      <c r="A143" s="271"/>
      <c r="B143" s="272"/>
      <c r="C143" s="273"/>
    </row>
    <row r="144" spans="1:31" x14ac:dyDescent="0.2">
      <c r="A144" s="271" t="s">
        <v>66</v>
      </c>
      <c r="B144" s="272">
        <v>20</v>
      </c>
      <c r="C144" s="273"/>
    </row>
    <row r="145" spans="1:3" x14ac:dyDescent="0.2">
      <c r="A145" s="271"/>
      <c r="B145" s="272"/>
      <c r="C145" s="273"/>
    </row>
    <row r="146" spans="1:3" x14ac:dyDescent="0.2">
      <c r="A146" s="271" t="s">
        <v>73</v>
      </c>
      <c r="B146" s="272">
        <v>1</v>
      </c>
      <c r="C146" s="273"/>
    </row>
    <row r="147" spans="1:3" x14ac:dyDescent="0.2">
      <c r="A147" s="271"/>
      <c r="B147" s="272"/>
      <c r="C147" s="273"/>
    </row>
    <row r="148" spans="1:3" x14ac:dyDescent="0.2">
      <c r="A148" s="271" t="s">
        <v>72</v>
      </c>
      <c r="B148" s="272">
        <v>1</v>
      </c>
      <c r="C148" s="273"/>
    </row>
    <row r="149" spans="1:3" x14ac:dyDescent="0.2">
      <c r="A149" s="271"/>
      <c r="B149" s="272"/>
      <c r="C149" s="273"/>
    </row>
    <row r="150" spans="1:3" x14ac:dyDescent="0.2">
      <c r="A150" s="271" t="s">
        <v>71</v>
      </c>
      <c r="B150" s="274">
        <v>4.1864999999999997</v>
      </c>
      <c r="C150" s="273"/>
    </row>
    <row r="151" spans="1:3" x14ac:dyDescent="0.2">
      <c r="A151" s="271"/>
      <c r="B151" s="272"/>
      <c r="C151" s="273"/>
    </row>
    <row r="152" spans="1:3" x14ac:dyDescent="0.2">
      <c r="A152" s="271" t="s">
        <v>70</v>
      </c>
      <c r="B152" s="272">
        <v>0.62587800000000005</v>
      </c>
      <c r="C152" s="273"/>
    </row>
    <row r="153" spans="1:3" x14ac:dyDescent="0.2">
      <c r="A153" s="271"/>
      <c r="B153" s="272"/>
      <c r="C153" s="273"/>
    </row>
    <row r="154" spans="1:3" x14ac:dyDescent="0.2">
      <c r="A154" s="271" t="s">
        <v>63</v>
      </c>
      <c r="B154" s="272">
        <v>125</v>
      </c>
      <c r="C154" s="273"/>
    </row>
    <row r="155" spans="1:3" x14ac:dyDescent="0.2">
      <c r="A155" s="271"/>
      <c r="B155" s="272"/>
      <c r="C155" s="273"/>
    </row>
    <row r="156" spans="1:3" x14ac:dyDescent="0.2">
      <c r="A156" s="271" t="s">
        <v>61</v>
      </c>
      <c r="B156" s="272">
        <v>12500</v>
      </c>
      <c r="C156" s="273"/>
    </row>
    <row r="157" spans="1:3" x14ac:dyDescent="0.2">
      <c r="A157" s="271"/>
      <c r="B157" s="272"/>
      <c r="C157" s="273"/>
    </row>
    <row r="158" spans="1:3" x14ac:dyDescent="0.2">
      <c r="A158" s="271" t="s">
        <v>58</v>
      </c>
      <c r="B158" s="272">
        <v>0.2</v>
      </c>
      <c r="C158" s="273"/>
    </row>
    <row r="159" spans="1:3" x14ac:dyDescent="0.2">
      <c r="A159" s="271"/>
      <c r="B159" s="272"/>
      <c r="C159" s="273"/>
    </row>
    <row r="160" spans="1:3" x14ac:dyDescent="0.2">
      <c r="A160" s="271" t="s">
        <v>59</v>
      </c>
      <c r="B160" s="272">
        <v>0.02</v>
      </c>
      <c r="C160" s="273"/>
    </row>
    <row r="161" spans="1:3" x14ac:dyDescent="0.2">
      <c r="A161" s="271"/>
      <c r="B161" s="272"/>
      <c r="C161" s="273"/>
    </row>
    <row r="162" spans="1:3" x14ac:dyDescent="0.2">
      <c r="A162" s="271" t="s">
        <v>60</v>
      </c>
      <c r="B162" s="272">
        <v>1000</v>
      </c>
      <c r="C162" s="273"/>
    </row>
    <row r="163" spans="1:3" x14ac:dyDescent="0.2">
      <c r="A163" s="271"/>
      <c r="B163" s="272"/>
      <c r="C163" s="273"/>
    </row>
    <row r="164" spans="1:3" x14ac:dyDescent="0.2">
      <c r="A164" s="271" t="s">
        <v>62</v>
      </c>
      <c r="B164" s="272">
        <v>0.05</v>
      </c>
      <c r="C164" s="273"/>
    </row>
    <row r="165" spans="1:3" x14ac:dyDescent="0.2">
      <c r="A165" s="271"/>
      <c r="B165" s="272"/>
      <c r="C165" s="273"/>
    </row>
    <row r="166" spans="1:3" x14ac:dyDescent="0.2">
      <c r="A166" s="271" t="s">
        <v>64</v>
      </c>
      <c r="B166" s="272">
        <v>-0.52247100000000002</v>
      </c>
      <c r="C166" s="273"/>
    </row>
    <row r="167" spans="1:3" x14ac:dyDescent="0.2">
      <c r="A167" s="271"/>
      <c r="B167" s="272"/>
      <c r="C167" s="273"/>
    </row>
    <row r="168" spans="1:3" x14ac:dyDescent="0.2">
      <c r="A168" s="271" t="s">
        <v>76</v>
      </c>
      <c r="B168" s="272" t="s">
        <v>131</v>
      </c>
      <c r="C168" s="273"/>
    </row>
    <row r="169" spans="1:3" x14ac:dyDescent="0.2">
      <c r="A169" s="271"/>
      <c r="B169" s="272"/>
      <c r="C169" s="273"/>
    </row>
    <row r="170" spans="1:3" x14ac:dyDescent="0.2">
      <c r="A170" s="271" t="s">
        <v>74</v>
      </c>
      <c r="B170" s="272" t="s">
        <v>131</v>
      </c>
      <c r="C170" s="273"/>
    </row>
    <row r="171" spans="1:3" x14ac:dyDescent="0.2">
      <c r="A171" s="271"/>
      <c r="B171" s="272"/>
      <c r="C171" s="273"/>
    </row>
    <row r="172" spans="1:3" x14ac:dyDescent="0.2">
      <c r="A172" s="271" t="s">
        <v>75</v>
      </c>
      <c r="B172" s="272" t="s">
        <v>132</v>
      </c>
      <c r="C172" s="273"/>
    </row>
    <row r="173" spans="1:3" x14ac:dyDescent="0.2">
      <c r="A173" s="271"/>
      <c r="B173" s="272"/>
      <c r="C173" s="273"/>
    </row>
    <row r="174" spans="1:3" x14ac:dyDescent="0.2">
      <c r="A174" s="271" t="s">
        <v>79</v>
      </c>
      <c r="B174" s="272">
        <v>20000</v>
      </c>
      <c r="C174" s="273"/>
    </row>
    <row r="175" spans="1:3" x14ac:dyDescent="0.2">
      <c r="A175" s="271"/>
      <c r="B175" s="272"/>
      <c r="C175" s="273"/>
    </row>
    <row r="176" spans="1:3" x14ac:dyDescent="0.2">
      <c r="A176" s="271" t="s">
        <v>77</v>
      </c>
      <c r="B176" s="272">
        <v>6</v>
      </c>
      <c r="C176" s="273"/>
    </row>
    <row r="177" spans="1:3" x14ac:dyDescent="0.2">
      <c r="A177" s="271"/>
      <c r="B177" s="272"/>
      <c r="C177" s="273"/>
    </row>
    <row r="178" spans="1:3" x14ac:dyDescent="0.2">
      <c r="A178" s="271" t="s">
        <v>78</v>
      </c>
      <c r="B178" s="272">
        <v>1</v>
      </c>
      <c r="C178" s="273"/>
    </row>
    <row r="179" spans="1:3" x14ac:dyDescent="0.2">
      <c r="A179" s="271"/>
      <c r="B179" s="272"/>
      <c r="C179" s="273"/>
    </row>
    <row r="180" spans="1:3" x14ac:dyDescent="0.2">
      <c r="A180" s="271" t="s">
        <v>81</v>
      </c>
      <c r="B180" s="272">
        <v>20</v>
      </c>
      <c r="C180" s="273"/>
    </row>
    <row r="181" spans="1:3" x14ac:dyDescent="0.2">
      <c r="A181" s="271"/>
      <c r="B181" s="272"/>
      <c r="C181" s="273"/>
    </row>
    <row r="182" spans="1:3" x14ac:dyDescent="0.2">
      <c r="A182" s="271" t="s">
        <v>83</v>
      </c>
      <c r="B182" s="272">
        <v>1</v>
      </c>
      <c r="C182" s="273"/>
    </row>
    <row r="183" spans="1:3" x14ac:dyDescent="0.2">
      <c r="A183" s="271"/>
      <c r="B183" s="272"/>
      <c r="C183" s="273"/>
    </row>
    <row r="184" spans="1:3" x14ac:dyDescent="0.2">
      <c r="A184" s="271" t="s">
        <v>84</v>
      </c>
      <c r="B184" s="272" t="s">
        <v>132</v>
      </c>
      <c r="C184" s="273"/>
    </row>
    <row r="185" spans="1:3" x14ac:dyDescent="0.2">
      <c r="A185" s="271"/>
      <c r="B185" s="272"/>
      <c r="C185" s="273"/>
    </row>
    <row r="186" spans="1:3" x14ac:dyDescent="0.2">
      <c r="A186" s="271" t="s">
        <v>85</v>
      </c>
      <c r="B186" s="272"/>
      <c r="C186" s="273"/>
    </row>
    <row r="187" spans="1:3" x14ac:dyDescent="0.2">
      <c r="A187" s="271" t="s">
        <v>99</v>
      </c>
      <c r="B187" s="272">
        <v>1</v>
      </c>
      <c r="C187" s="273"/>
    </row>
    <row r="188" spans="1:3" x14ac:dyDescent="0.2">
      <c r="A188" s="271"/>
      <c r="B188" s="272"/>
      <c r="C188" s="273"/>
    </row>
    <row r="189" spans="1:3" x14ac:dyDescent="0.2">
      <c r="A189" s="271" t="s">
        <v>100</v>
      </c>
      <c r="B189" s="272">
        <v>1</v>
      </c>
      <c r="C189" s="273"/>
    </row>
    <row r="190" spans="1:3" x14ac:dyDescent="0.2">
      <c r="A190" s="271"/>
      <c r="B190" s="272"/>
      <c r="C190" s="273"/>
    </row>
    <row r="191" spans="1:3" x14ac:dyDescent="0.2">
      <c r="A191" s="271" t="s">
        <v>101</v>
      </c>
      <c r="B191" s="272">
        <v>1</v>
      </c>
      <c r="C191" s="273"/>
    </row>
    <row r="192" spans="1:3" x14ac:dyDescent="0.2">
      <c r="A192" s="271"/>
      <c r="B192" s="272"/>
      <c r="C192" s="273"/>
    </row>
    <row r="193" spans="1:19" x14ac:dyDescent="0.2">
      <c r="A193" s="271" t="s">
        <v>102</v>
      </c>
      <c r="B193" s="272">
        <v>1</v>
      </c>
      <c r="C193" s="273"/>
    </row>
    <row r="194" spans="1:19" x14ac:dyDescent="0.2">
      <c r="A194" s="271"/>
      <c r="B194" s="272"/>
      <c r="C194" s="273"/>
    </row>
    <row r="195" spans="1:19" x14ac:dyDescent="0.2">
      <c r="A195" s="271" t="s">
        <v>103</v>
      </c>
      <c r="B195" s="272">
        <v>1</v>
      </c>
      <c r="C195" s="273"/>
    </row>
    <row r="196" spans="1:19" x14ac:dyDescent="0.2">
      <c r="A196" s="271"/>
      <c r="B196" s="272"/>
      <c r="C196" s="273"/>
    </row>
    <row r="197" spans="1:19" x14ac:dyDescent="0.2">
      <c r="A197" s="271" t="s">
        <v>104</v>
      </c>
      <c r="B197" s="272">
        <v>1</v>
      </c>
      <c r="C197" s="273"/>
    </row>
    <row r="198" spans="1:19" x14ac:dyDescent="0.2">
      <c r="A198" s="271"/>
      <c r="B198" s="272"/>
      <c r="C198" s="273"/>
    </row>
    <row r="199" spans="1:19" x14ac:dyDescent="0.2">
      <c r="A199" s="271" t="s">
        <v>105</v>
      </c>
      <c r="B199" s="272">
        <v>1</v>
      </c>
      <c r="C199" s="273"/>
    </row>
    <row r="200" spans="1:19" x14ac:dyDescent="0.2">
      <c r="A200" s="271"/>
      <c r="B200" s="272"/>
      <c r="C200" s="272"/>
      <c r="D200" s="258"/>
      <c r="E200" s="258"/>
      <c r="F200" s="258"/>
      <c r="G200" s="258"/>
      <c r="H200" s="258"/>
      <c r="I200" s="258"/>
      <c r="J200" s="258"/>
      <c r="K200" s="258"/>
      <c r="L200" s="258"/>
      <c r="N200" s="258"/>
      <c r="P200" s="258"/>
      <c r="Q200" s="258"/>
      <c r="R200" s="258"/>
      <c r="S200" s="258"/>
    </row>
    <row r="201" spans="1:19" x14ac:dyDescent="0.2">
      <c r="A201" s="271" t="s">
        <v>106</v>
      </c>
      <c r="B201" s="272">
        <v>1</v>
      </c>
      <c r="C201" s="273"/>
    </row>
    <row r="202" spans="1:19" x14ac:dyDescent="0.2">
      <c r="A202" s="271"/>
      <c r="B202" s="272"/>
      <c r="C202" s="273"/>
    </row>
    <row r="203" spans="1:19" x14ac:dyDescent="0.2">
      <c r="A203" s="271" t="s">
        <v>107</v>
      </c>
      <c r="B203" s="272">
        <v>1</v>
      </c>
      <c r="C203" s="273"/>
    </row>
    <row r="204" spans="1:19" x14ac:dyDescent="0.2">
      <c r="A204" s="271"/>
      <c r="B204" s="272"/>
      <c r="C204" s="273"/>
    </row>
    <row r="205" spans="1:19" x14ac:dyDescent="0.2">
      <c r="A205" s="271" t="s">
        <v>108</v>
      </c>
      <c r="B205" s="272" t="s">
        <v>132</v>
      </c>
      <c r="C205" s="273"/>
    </row>
    <row r="206" spans="1:19" x14ac:dyDescent="0.2">
      <c r="A206" s="271"/>
      <c r="B206" s="272"/>
      <c r="C206" s="273"/>
    </row>
    <row r="207" spans="1:19" x14ac:dyDescent="0.2">
      <c r="A207" s="271" t="s">
        <v>109</v>
      </c>
      <c r="B207" s="272">
        <v>1</v>
      </c>
      <c r="C207" s="273"/>
    </row>
    <row r="208" spans="1:19" x14ac:dyDescent="0.2">
      <c r="A208" s="271"/>
      <c r="B208" s="272"/>
      <c r="C208" s="273"/>
    </row>
    <row r="209" spans="1:3" x14ac:dyDescent="0.2">
      <c r="A209" s="271" t="s">
        <v>110</v>
      </c>
      <c r="B209" s="272">
        <v>1</v>
      </c>
      <c r="C209" s="273"/>
    </row>
    <row r="210" spans="1:3" x14ac:dyDescent="0.2">
      <c r="A210" s="271"/>
      <c r="B210" s="272"/>
      <c r="C210" s="273"/>
    </row>
    <row r="211" spans="1:3" x14ac:dyDescent="0.2">
      <c r="A211" s="271" t="s">
        <v>91</v>
      </c>
      <c r="B211" s="272">
        <v>1</v>
      </c>
      <c r="C211" s="273"/>
    </row>
    <row r="212" spans="1:3" x14ac:dyDescent="0.2">
      <c r="A212" s="271"/>
      <c r="B212" s="272"/>
      <c r="C212" s="273"/>
    </row>
    <row r="213" spans="1:3" x14ac:dyDescent="0.2">
      <c r="A213" s="271" t="s">
        <v>92</v>
      </c>
      <c r="B213" s="272">
        <v>1</v>
      </c>
      <c r="C213" s="273"/>
    </row>
    <row r="214" spans="1:3" x14ac:dyDescent="0.2">
      <c r="A214" s="271"/>
      <c r="B214" s="272"/>
      <c r="C214" s="273"/>
    </row>
    <row r="215" spans="1:3" x14ac:dyDescent="0.2">
      <c r="A215" s="271" t="s">
        <v>93</v>
      </c>
      <c r="B215" s="272">
        <v>1</v>
      </c>
      <c r="C215" s="273"/>
    </row>
    <row r="216" spans="1:3" x14ac:dyDescent="0.2">
      <c r="A216" s="271"/>
      <c r="B216" s="272"/>
      <c r="C216" s="273"/>
    </row>
    <row r="217" spans="1:3" x14ac:dyDescent="0.2">
      <c r="A217" s="271" t="s">
        <v>94</v>
      </c>
      <c r="B217" s="272">
        <v>1</v>
      </c>
      <c r="C217" s="273"/>
    </row>
    <row r="218" spans="1:3" x14ac:dyDescent="0.2">
      <c r="A218" s="271"/>
      <c r="B218" s="272"/>
      <c r="C218" s="273"/>
    </row>
    <row r="219" spans="1:3" x14ac:dyDescent="0.2">
      <c r="A219" s="271" t="s">
        <v>95</v>
      </c>
      <c r="B219" s="272">
        <v>1</v>
      </c>
      <c r="C219" s="273"/>
    </row>
    <row r="220" spans="1:3" x14ac:dyDescent="0.2">
      <c r="A220" s="271"/>
      <c r="B220" s="272"/>
      <c r="C220" s="273"/>
    </row>
    <row r="221" spans="1:3" x14ac:dyDescent="0.2">
      <c r="A221" s="271" t="s">
        <v>98</v>
      </c>
      <c r="B221" s="272">
        <v>1</v>
      </c>
      <c r="C221" s="273"/>
    </row>
    <row r="222" spans="1:3" x14ac:dyDescent="0.2">
      <c r="A222" s="271"/>
      <c r="B222" s="272"/>
      <c r="C222" s="273"/>
    </row>
    <row r="223" spans="1:3" x14ac:dyDescent="0.2">
      <c r="A223" s="271" t="s">
        <v>96</v>
      </c>
      <c r="B223" s="272">
        <v>1</v>
      </c>
      <c r="C223" s="273"/>
    </row>
    <row r="224" spans="1:3" x14ac:dyDescent="0.2">
      <c r="A224" s="271"/>
      <c r="B224" s="272"/>
      <c r="C224" s="273"/>
    </row>
    <row r="225" spans="1:3" x14ac:dyDescent="0.2">
      <c r="A225" s="271" t="s">
        <v>97</v>
      </c>
      <c r="B225" s="272">
        <v>1</v>
      </c>
      <c r="C225" s="273"/>
    </row>
    <row r="226" spans="1:3" x14ac:dyDescent="0.2">
      <c r="A226" s="271"/>
      <c r="B226" s="272"/>
      <c r="C226" s="273"/>
    </row>
    <row r="227" spans="1:3" x14ac:dyDescent="0.2">
      <c r="A227" s="271" t="s">
        <v>111</v>
      </c>
      <c r="B227" s="272">
        <v>1</v>
      </c>
      <c r="C227" s="273"/>
    </row>
    <row r="228" spans="1:3" x14ac:dyDescent="0.2">
      <c r="A228" s="271"/>
      <c r="B228" s="272"/>
      <c r="C228" s="273"/>
    </row>
    <row r="229" spans="1:3" x14ac:dyDescent="0.2">
      <c r="A229" s="271" t="s">
        <v>112</v>
      </c>
      <c r="B229" s="272">
        <v>1</v>
      </c>
      <c r="C229" s="273"/>
    </row>
    <row r="230" spans="1:3" x14ac:dyDescent="0.2">
      <c r="A230" s="271"/>
      <c r="B230" s="272"/>
      <c r="C230" s="273"/>
    </row>
    <row r="231" spans="1:3" x14ac:dyDescent="0.2">
      <c r="A231" s="271" t="s">
        <v>149</v>
      </c>
      <c r="B231" s="272">
        <v>1</v>
      </c>
      <c r="C231" s="273"/>
    </row>
    <row r="232" spans="1:3" x14ac:dyDescent="0.2">
      <c r="A232" s="271"/>
      <c r="B232" s="272"/>
      <c r="C232" s="273"/>
    </row>
    <row r="233" spans="1:3" x14ac:dyDescent="0.2">
      <c r="A233" s="271" t="s">
        <v>150</v>
      </c>
      <c r="B233" s="272">
        <v>1</v>
      </c>
      <c r="C233" s="273"/>
    </row>
    <row r="234" spans="1:3" x14ac:dyDescent="0.2">
      <c r="A234" s="271"/>
      <c r="B234" s="272"/>
      <c r="C234" s="273"/>
    </row>
    <row r="235" spans="1:3" x14ac:dyDescent="0.2">
      <c r="A235" s="271" t="s">
        <v>134</v>
      </c>
      <c r="B235" s="272">
        <v>1</v>
      </c>
      <c r="C235" s="273"/>
    </row>
    <row r="236" spans="1:3" x14ac:dyDescent="0.2">
      <c r="A236" s="271"/>
      <c r="B236" s="272"/>
      <c r="C236" s="273"/>
    </row>
    <row r="237" spans="1:3" x14ac:dyDescent="0.2">
      <c r="A237" s="271" t="s">
        <v>133</v>
      </c>
      <c r="B237" s="272">
        <v>1</v>
      </c>
      <c r="C237" s="273"/>
    </row>
    <row r="238" spans="1:3" x14ac:dyDescent="0.2">
      <c r="A238" s="271"/>
      <c r="B238" s="272"/>
      <c r="C238" s="273"/>
    </row>
    <row r="239" spans="1:3" x14ac:dyDescent="0.2">
      <c r="A239" s="271" t="s">
        <v>135</v>
      </c>
      <c r="B239" s="272">
        <v>1</v>
      </c>
      <c r="C239" s="273"/>
    </row>
    <row r="240" spans="1:3" x14ac:dyDescent="0.2">
      <c r="A240" s="271"/>
      <c r="B240" s="272"/>
      <c r="C240" s="273"/>
    </row>
    <row r="241" spans="1:3" x14ac:dyDescent="0.2">
      <c r="A241" s="271" t="s">
        <v>136</v>
      </c>
      <c r="B241" s="272">
        <v>1</v>
      </c>
      <c r="C241" s="273"/>
    </row>
    <row r="242" spans="1:3" x14ac:dyDescent="0.2">
      <c r="A242" s="271"/>
      <c r="B242" s="272"/>
      <c r="C242" s="273"/>
    </row>
    <row r="243" spans="1:3" x14ac:dyDescent="0.2">
      <c r="A243" s="271" t="s">
        <v>137</v>
      </c>
      <c r="B243" s="272">
        <v>1</v>
      </c>
      <c r="C243" s="273"/>
    </row>
    <row r="244" spans="1:3" x14ac:dyDescent="0.2">
      <c r="A244" s="271"/>
      <c r="B244" s="272"/>
      <c r="C244" s="273"/>
    </row>
    <row r="245" spans="1:3" x14ac:dyDescent="0.2">
      <c r="A245" s="271" t="s">
        <v>138</v>
      </c>
      <c r="B245" s="272">
        <v>1</v>
      </c>
      <c r="C245" s="273"/>
    </row>
    <row r="246" spans="1:3" x14ac:dyDescent="0.2">
      <c r="A246" s="271"/>
      <c r="B246" s="272"/>
      <c r="C246" s="273"/>
    </row>
    <row r="247" spans="1:3" x14ac:dyDescent="0.2">
      <c r="A247" s="271" t="s">
        <v>139</v>
      </c>
      <c r="B247" s="272">
        <v>1</v>
      </c>
      <c r="C247" s="273"/>
    </row>
    <row r="248" spans="1:3" x14ac:dyDescent="0.2">
      <c r="A248" s="271"/>
      <c r="B248" s="272"/>
      <c r="C248" s="273"/>
    </row>
    <row r="249" spans="1:3" x14ac:dyDescent="0.2">
      <c r="A249" s="271" t="s">
        <v>140</v>
      </c>
      <c r="B249" s="272">
        <v>1</v>
      </c>
      <c r="C249" s="273"/>
    </row>
    <row r="250" spans="1:3" x14ac:dyDescent="0.2">
      <c r="A250" s="271"/>
      <c r="B250" s="272"/>
      <c r="C250" s="273"/>
    </row>
    <row r="251" spans="1:3" x14ac:dyDescent="0.2">
      <c r="A251" s="271" t="s">
        <v>141</v>
      </c>
      <c r="B251" s="272">
        <v>1</v>
      </c>
      <c r="C251" s="273"/>
    </row>
    <row r="252" spans="1:3" x14ac:dyDescent="0.2">
      <c r="A252" s="271"/>
      <c r="B252" s="272"/>
      <c r="C252" s="273"/>
    </row>
    <row r="253" spans="1:3" x14ac:dyDescent="0.2">
      <c r="A253" s="271" t="s">
        <v>142</v>
      </c>
      <c r="B253" s="272">
        <v>1</v>
      </c>
      <c r="C253" s="273"/>
    </row>
    <row r="254" spans="1:3" x14ac:dyDescent="0.2">
      <c r="A254" s="271"/>
      <c r="B254" s="272"/>
      <c r="C254" s="273"/>
    </row>
    <row r="255" spans="1:3" x14ac:dyDescent="0.2">
      <c r="A255" s="271" t="s">
        <v>143</v>
      </c>
      <c r="B255" s="272">
        <v>1</v>
      </c>
      <c r="C255" s="273"/>
    </row>
    <row r="256" spans="1:3" x14ac:dyDescent="0.2">
      <c r="A256" s="271"/>
      <c r="B256" s="272"/>
      <c r="C256" s="273"/>
    </row>
    <row r="257" spans="1:3" x14ac:dyDescent="0.2">
      <c r="A257" s="271" t="s">
        <v>144</v>
      </c>
      <c r="B257" s="272">
        <v>1</v>
      </c>
      <c r="C257" s="273"/>
    </row>
    <row r="258" spans="1:3" x14ac:dyDescent="0.2">
      <c r="A258" s="271"/>
      <c r="B258" s="272"/>
      <c r="C258" s="273"/>
    </row>
    <row r="259" spans="1:3" x14ac:dyDescent="0.2">
      <c r="A259" s="271" t="s">
        <v>145</v>
      </c>
      <c r="B259" s="272">
        <v>1</v>
      </c>
      <c r="C259" s="273"/>
    </row>
    <row r="260" spans="1:3" x14ac:dyDescent="0.2">
      <c r="A260" s="271"/>
      <c r="B260" s="272"/>
      <c r="C260" s="273"/>
    </row>
    <row r="261" spans="1:3" x14ac:dyDescent="0.2">
      <c r="A261" s="271" t="s">
        <v>146</v>
      </c>
      <c r="B261" s="272">
        <v>1</v>
      </c>
      <c r="C261" s="273"/>
    </row>
    <row r="262" spans="1:3" x14ac:dyDescent="0.2">
      <c r="A262" s="271"/>
      <c r="B262" s="272"/>
      <c r="C262" s="273"/>
    </row>
    <row r="263" spans="1:3" x14ac:dyDescent="0.2">
      <c r="A263" s="271" t="s">
        <v>147</v>
      </c>
      <c r="B263" s="272">
        <v>1</v>
      </c>
      <c r="C263" s="273"/>
    </row>
    <row r="264" spans="1:3" x14ac:dyDescent="0.2">
      <c r="A264" s="271"/>
      <c r="B264" s="272"/>
      <c r="C264" s="273"/>
    </row>
    <row r="265" spans="1:3" x14ac:dyDescent="0.2">
      <c r="A265" s="271" t="s">
        <v>148</v>
      </c>
      <c r="B265" s="272">
        <v>1</v>
      </c>
      <c r="C265" s="273"/>
    </row>
    <row r="266" spans="1:3" x14ac:dyDescent="0.2">
      <c r="A266" s="271"/>
      <c r="B266" s="272"/>
      <c r="C266" s="273"/>
    </row>
    <row r="267" spans="1:3" x14ac:dyDescent="0.2">
      <c r="A267" s="271" t="s">
        <v>113</v>
      </c>
      <c r="B267" s="272"/>
      <c r="C267" s="273"/>
    </row>
    <row r="268" spans="1:3" x14ac:dyDescent="0.2">
      <c r="A268" s="271" t="s">
        <v>114</v>
      </c>
      <c r="B268" s="272" t="s">
        <v>132</v>
      </c>
      <c r="C268" s="273"/>
    </row>
    <row r="269" spans="1:3" x14ac:dyDescent="0.2">
      <c r="A269" s="271"/>
      <c r="B269" s="272"/>
      <c r="C269" s="273"/>
    </row>
    <row r="270" spans="1:3" x14ac:dyDescent="0.2">
      <c r="A270" s="271" t="s">
        <v>115</v>
      </c>
      <c r="B270" s="272" t="s">
        <v>151</v>
      </c>
      <c r="C270" s="273"/>
    </row>
    <row r="271" spans="1:3" x14ac:dyDescent="0.2">
      <c r="A271" s="271"/>
      <c r="B271" s="272"/>
      <c r="C271" s="273"/>
    </row>
    <row r="272" spans="1:3" x14ac:dyDescent="0.2">
      <c r="A272" s="271" t="s">
        <v>116</v>
      </c>
      <c r="B272" s="272" t="s">
        <v>151</v>
      </c>
      <c r="C272" s="273"/>
    </row>
    <row r="273" spans="1:3" x14ac:dyDescent="0.2">
      <c r="A273" s="271"/>
      <c r="B273" s="272"/>
      <c r="C273" s="273"/>
    </row>
    <row r="274" spans="1:3" x14ac:dyDescent="0.2">
      <c r="A274" s="271" t="s">
        <v>117</v>
      </c>
      <c r="B274" s="272" t="s">
        <v>132</v>
      </c>
      <c r="C274" s="273"/>
    </row>
    <row r="275" spans="1:3" x14ac:dyDescent="0.2">
      <c r="A275" s="271"/>
      <c r="B275" s="272"/>
      <c r="C275" s="273"/>
    </row>
    <row r="276" spans="1:3" x14ac:dyDescent="0.2">
      <c r="A276" s="271" t="s">
        <v>118</v>
      </c>
      <c r="B276" s="272" t="s">
        <v>151</v>
      </c>
      <c r="C276" s="273"/>
    </row>
    <row r="277" spans="1:3" x14ac:dyDescent="0.2">
      <c r="A277" s="271"/>
      <c r="B277" s="272"/>
      <c r="C277" s="273"/>
    </row>
    <row r="278" spans="1:3" x14ac:dyDescent="0.2">
      <c r="A278" s="271" t="s">
        <v>119</v>
      </c>
      <c r="B278" s="272" t="s">
        <v>132</v>
      </c>
      <c r="C278" s="273"/>
    </row>
    <row r="279" spans="1:3" x14ac:dyDescent="0.2">
      <c r="A279" s="271"/>
      <c r="B279" s="272"/>
      <c r="C279" s="273"/>
    </row>
    <row r="280" spans="1:3" x14ac:dyDescent="0.2">
      <c r="A280" s="271" t="s">
        <v>120</v>
      </c>
      <c r="B280" s="272" t="s">
        <v>151</v>
      </c>
      <c r="C280" s="273"/>
    </row>
    <row r="281" spans="1:3" x14ac:dyDescent="0.2">
      <c r="A281" s="271"/>
      <c r="B281" s="272"/>
      <c r="C281" s="273"/>
    </row>
    <row r="282" spans="1:3" x14ac:dyDescent="0.2">
      <c r="A282" s="271" t="s">
        <v>121</v>
      </c>
      <c r="B282" s="272">
        <v>1</v>
      </c>
      <c r="C282" s="273"/>
    </row>
    <row r="283" spans="1:3" x14ac:dyDescent="0.2">
      <c r="A283" s="271"/>
      <c r="B283" s="272"/>
      <c r="C283" s="273"/>
    </row>
    <row r="284" spans="1:3" x14ac:dyDescent="0.2">
      <c r="A284" s="271" t="s">
        <v>122</v>
      </c>
      <c r="B284" s="272">
        <v>1</v>
      </c>
      <c r="C284" s="273"/>
    </row>
    <row r="285" spans="1:3" x14ac:dyDescent="0.2">
      <c r="A285" s="271"/>
      <c r="B285" s="272"/>
      <c r="C285" s="273"/>
    </row>
    <row r="286" spans="1:3" x14ac:dyDescent="0.2">
      <c r="A286" s="271" t="s">
        <v>123</v>
      </c>
      <c r="B286" s="272">
        <v>1</v>
      </c>
      <c r="C286" s="273"/>
    </row>
    <row r="287" spans="1:3" x14ac:dyDescent="0.2">
      <c r="A287" s="271"/>
      <c r="B287" s="272"/>
      <c r="C287" s="273"/>
    </row>
    <row r="288" spans="1:3" x14ac:dyDescent="0.2">
      <c r="A288" s="271" t="s">
        <v>124</v>
      </c>
      <c r="B288" s="272" t="s">
        <v>151</v>
      </c>
      <c r="C288" s="273"/>
    </row>
    <row r="289" spans="1:3" x14ac:dyDescent="0.2">
      <c r="A289" s="271"/>
      <c r="B289" s="272"/>
      <c r="C289" s="273"/>
    </row>
    <row r="290" spans="1:3" x14ac:dyDescent="0.2">
      <c r="A290" s="271" t="s">
        <v>125</v>
      </c>
      <c r="B290" s="272" t="s">
        <v>151</v>
      </c>
      <c r="C290" s="273"/>
    </row>
    <row r="291" spans="1:3" x14ac:dyDescent="0.2">
      <c r="A291" s="271"/>
      <c r="B291" s="272"/>
      <c r="C291" s="273"/>
    </row>
    <row r="292" spans="1:3" x14ac:dyDescent="0.2">
      <c r="A292" s="271" t="s">
        <v>126</v>
      </c>
      <c r="B292" s="272">
        <v>1</v>
      </c>
      <c r="C292" s="273"/>
    </row>
    <row r="293" spans="1:3" x14ac:dyDescent="0.2">
      <c r="A293" s="271"/>
      <c r="B293" s="272"/>
      <c r="C293" s="273"/>
    </row>
    <row r="294" spans="1:3" x14ac:dyDescent="0.2">
      <c r="A294" s="271" t="s">
        <v>127</v>
      </c>
      <c r="B294" s="272">
        <v>1</v>
      </c>
      <c r="C294" s="273"/>
    </row>
    <row r="295" spans="1:3" x14ac:dyDescent="0.2">
      <c r="A295" s="271"/>
      <c r="B295" s="272"/>
      <c r="C295" s="273"/>
    </row>
    <row r="296" spans="1:3" x14ac:dyDescent="0.2">
      <c r="A296" s="271" t="s">
        <v>128</v>
      </c>
      <c r="B296" s="272" t="s">
        <v>151</v>
      </c>
      <c r="C296" s="273"/>
    </row>
    <row r="297" spans="1:3" x14ac:dyDescent="0.2">
      <c r="A297" s="271"/>
      <c r="B297" s="272"/>
      <c r="C297" s="273"/>
    </row>
    <row r="298" spans="1:3" x14ac:dyDescent="0.2">
      <c r="A298" s="271" t="s">
        <v>152</v>
      </c>
      <c r="B298" s="272" t="s">
        <v>151</v>
      </c>
      <c r="C298" s="273"/>
    </row>
    <row r="299" spans="1:3" x14ac:dyDescent="0.2">
      <c r="A299" s="271"/>
      <c r="B299" s="272"/>
      <c r="C299" s="273"/>
    </row>
    <row r="300" spans="1:3" x14ac:dyDescent="0.2">
      <c r="A300" s="271" t="s">
        <v>129</v>
      </c>
      <c r="B300" s="272"/>
      <c r="C300" s="273"/>
    </row>
    <row r="301" spans="1:3" x14ac:dyDescent="0.2">
      <c r="A301" s="271" t="s">
        <v>86</v>
      </c>
      <c r="B301" s="272">
        <v>1</v>
      </c>
      <c r="C301" s="273"/>
    </row>
    <row r="302" spans="1:3" x14ac:dyDescent="0.2">
      <c r="A302" s="271"/>
      <c r="B302" s="272"/>
      <c r="C302" s="273"/>
    </row>
    <row r="303" spans="1:3" x14ac:dyDescent="0.2">
      <c r="A303" s="271" t="s">
        <v>87</v>
      </c>
      <c r="B303" s="272">
        <v>1</v>
      </c>
      <c r="C303" s="273"/>
    </row>
    <row r="304" spans="1:3" x14ac:dyDescent="0.2">
      <c r="A304" s="271"/>
      <c r="B304" s="272"/>
      <c r="C304" s="273"/>
    </row>
    <row r="305" spans="1:3" x14ac:dyDescent="0.2">
      <c r="A305" s="271" t="s">
        <v>88</v>
      </c>
      <c r="B305" s="272">
        <v>1</v>
      </c>
      <c r="C305" s="273"/>
    </row>
    <row r="306" spans="1:3" x14ac:dyDescent="0.2">
      <c r="A306" s="271"/>
      <c r="B306" s="272"/>
      <c r="C306" s="273"/>
    </row>
    <row r="307" spans="1:3" x14ac:dyDescent="0.2">
      <c r="A307" s="271" t="s">
        <v>89</v>
      </c>
      <c r="B307" s="272">
        <v>1</v>
      </c>
      <c r="C307" s="273"/>
    </row>
    <row r="308" spans="1:3" x14ac:dyDescent="0.2">
      <c r="A308" s="271"/>
      <c r="B308" s="272"/>
      <c r="C308" s="273"/>
    </row>
    <row r="309" spans="1:3" x14ac:dyDescent="0.2">
      <c r="A309" s="271" t="s">
        <v>90</v>
      </c>
      <c r="B309" s="272">
        <v>1</v>
      </c>
      <c r="C309" s="273"/>
    </row>
    <row r="310" spans="1:3" x14ac:dyDescent="0.2">
      <c r="A310" s="271"/>
      <c r="B310" s="272"/>
      <c r="C310" s="273"/>
    </row>
    <row r="311" spans="1:3" x14ac:dyDescent="0.2">
      <c r="A311" s="271" t="s">
        <v>153</v>
      </c>
      <c r="B311" s="272">
        <v>1</v>
      </c>
      <c r="C311" s="273"/>
    </row>
    <row r="312" spans="1:3" x14ac:dyDescent="0.2">
      <c r="A312" s="271"/>
      <c r="B312" s="272"/>
      <c r="C312" s="273"/>
    </row>
    <row r="313" spans="1:3" x14ac:dyDescent="0.2">
      <c r="A313" s="271" t="s">
        <v>154</v>
      </c>
      <c r="B313" s="272">
        <v>1</v>
      </c>
      <c r="C313" s="273"/>
    </row>
    <row r="314" spans="1:3" x14ac:dyDescent="0.2">
      <c r="A314" s="271"/>
      <c r="B314" s="272"/>
      <c r="C314" s="273"/>
    </row>
    <row r="315" spans="1:3" x14ac:dyDescent="0.2">
      <c r="A315" s="271" t="s">
        <v>251</v>
      </c>
      <c r="B315" s="272">
        <v>1</v>
      </c>
      <c r="C315" s="273"/>
    </row>
    <row r="316" spans="1:3" x14ac:dyDescent="0.2">
      <c r="A316" s="271"/>
      <c r="B316" s="272"/>
      <c r="C316" s="273"/>
    </row>
    <row r="317" spans="1:3" x14ac:dyDescent="0.2">
      <c r="A317" s="271"/>
      <c r="B317" s="272"/>
      <c r="C317" s="273"/>
    </row>
    <row r="318" spans="1:3" x14ac:dyDescent="0.2">
      <c r="A318" s="271"/>
      <c r="B318" s="272"/>
      <c r="C318" s="273"/>
    </row>
    <row r="319" spans="1:3" x14ac:dyDescent="0.2">
      <c r="A319" s="271" t="s">
        <v>88</v>
      </c>
      <c r="B319" s="272">
        <v>1</v>
      </c>
      <c r="C319" s="273"/>
    </row>
    <row r="320" spans="1:3" x14ac:dyDescent="0.2">
      <c r="A320" s="271"/>
      <c r="B320" s="272"/>
      <c r="C320" s="273"/>
    </row>
    <row r="321" spans="1:3" x14ac:dyDescent="0.2">
      <c r="A321" s="271" t="s">
        <v>89</v>
      </c>
      <c r="B321" s="272">
        <v>1</v>
      </c>
      <c r="C321" s="273"/>
    </row>
    <row r="322" spans="1:3" x14ac:dyDescent="0.2">
      <c r="A322" s="271"/>
      <c r="B322" s="272"/>
      <c r="C322" s="273"/>
    </row>
    <row r="323" spans="1:3" x14ac:dyDescent="0.2">
      <c r="A323" s="271" t="s">
        <v>90</v>
      </c>
      <c r="B323" s="272">
        <v>1</v>
      </c>
      <c r="C323" s="273"/>
    </row>
    <row r="324" spans="1:3" x14ac:dyDescent="0.2">
      <c r="A324" s="271"/>
      <c r="B324" s="272"/>
      <c r="C324" s="273"/>
    </row>
    <row r="325" spans="1:3" x14ac:dyDescent="0.2">
      <c r="A325" s="271" t="s">
        <v>153</v>
      </c>
      <c r="B325" s="272">
        <v>1</v>
      </c>
      <c r="C325" s="273"/>
    </row>
    <row r="326" spans="1:3" x14ac:dyDescent="0.2">
      <c r="A326" s="271"/>
      <c r="B326" s="272"/>
      <c r="C326" s="273"/>
    </row>
    <row r="327" spans="1:3" x14ac:dyDescent="0.2">
      <c r="A327" s="271" t="s">
        <v>154</v>
      </c>
      <c r="B327" s="272">
        <v>1</v>
      </c>
      <c r="C327" s="273"/>
    </row>
    <row r="508" spans="19:19" x14ac:dyDescent="0.2">
      <c r="S508" s="251"/>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topLeftCell="A7" workbookViewId="0">
      <selection activeCell="C18" sqref="C18"/>
    </sheetView>
  </sheetViews>
  <sheetFormatPr defaultRowHeight="15" customHeight="1" x14ac:dyDescent="0.2"/>
  <cols>
    <col min="1" max="1" width="9.140625" style="107"/>
    <col min="2" max="2" width="27.140625" style="107" customWidth="1"/>
    <col min="3" max="3" width="13.5703125" style="107" customWidth="1"/>
    <col min="4" max="6" width="9.140625" style="107"/>
    <col min="7" max="7" width="11.7109375" style="107" customWidth="1"/>
    <col min="8" max="8" width="9.85546875" style="107" customWidth="1"/>
    <col min="9" max="14" width="9.140625" style="107"/>
    <col min="15" max="15" width="20" style="107" customWidth="1"/>
    <col min="16" max="16" width="9.140625" style="107"/>
    <col min="17" max="17" width="17.28515625" style="107" bestFit="1" customWidth="1"/>
    <col min="18" max="16384" width="9.140625" style="107"/>
  </cols>
  <sheetData>
    <row r="2" spans="2:16" ht="15" customHeight="1" x14ac:dyDescent="0.25">
      <c r="B2" s="106" t="s">
        <v>163</v>
      </c>
      <c r="E2" s="108" t="s">
        <v>162</v>
      </c>
    </row>
    <row r="3" spans="2:16" ht="15" customHeight="1" x14ac:dyDescent="0.2">
      <c r="B3" s="109" t="s">
        <v>274</v>
      </c>
      <c r="C3" s="110" t="s">
        <v>353</v>
      </c>
      <c r="E3" s="107" t="s">
        <v>171</v>
      </c>
      <c r="O3" s="107" t="s">
        <v>201</v>
      </c>
    </row>
    <row r="4" spans="2:16" ht="15" customHeight="1" x14ac:dyDescent="0.2">
      <c r="B4" s="109" t="s">
        <v>164</v>
      </c>
      <c r="C4" s="110" t="s">
        <v>354</v>
      </c>
      <c r="E4" s="111" t="b">
        <v>1</v>
      </c>
      <c r="F4" s="293" t="s">
        <v>282</v>
      </c>
      <c r="G4" s="293"/>
      <c r="H4" s="293"/>
      <c r="I4" s="293"/>
      <c r="J4" s="293"/>
      <c r="K4" s="293"/>
      <c r="L4" s="293"/>
      <c r="M4" s="293"/>
      <c r="O4" s="112">
        <v>-0.75064799999999998</v>
      </c>
      <c r="P4" s="113"/>
    </row>
    <row r="5" spans="2:16" ht="15" customHeight="1" x14ac:dyDescent="0.2">
      <c r="B5" s="114" t="s">
        <v>24</v>
      </c>
      <c r="C5" s="115">
        <v>1.0523982830583211E-2</v>
      </c>
      <c r="E5" s="111" t="b">
        <v>0</v>
      </c>
      <c r="F5" s="293" t="s">
        <v>283</v>
      </c>
      <c r="G5" s="293"/>
      <c r="H5" s="293"/>
      <c r="I5" s="293"/>
      <c r="J5" s="293"/>
      <c r="K5" s="293"/>
      <c r="L5" s="293"/>
      <c r="M5" s="293"/>
      <c r="O5" s="112">
        <v>-0.75058899999999995</v>
      </c>
      <c r="P5" s="113"/>
    </row>
    <row r="6" spans="2:16" ht="15" customHeight="1" x14ac:dyDescent="0.2">
      <c r="B6" s="114" t="s">
        <v>165</v>
      </c>
      <c r="C6" s="116">
        <v>4.4355188011347291E-4</v>
      </c>
      <c r="E6" s="111" t="b">
        <v>0</v>
      </c>
      <c r="F6" s="293" t="s">
        <v>284</v>
      </c>
      <c r="G6" s="293"/>
      <c r="H6" s="293"/>
      <c r="I6" s="293"/>
      <c r="J6" s="293"/>
      <c r="K6" s="293"/>
      <c r="L6" s="293"/>
      <c r="M6" s="293"/>
      <c r="O6" s="112">
        <v>-0.75043300000000002</v>
      </c>
      <c r="P6" s="113"/>
    </row>
    <row r="7" spans="2:16" ht="15" customHeight="1" x14ac:dyDescent="0.2">
      <c r="B7" s="117" t="s">
        <v>166</v>
      </c>
      <c r="C7" s="116">
        <v>2.9576185310453092E-2</v>
      </c>
      <c r="E7" s="118" t="b">
        <v>1</v>
      </c>
      <c r="F7" s="294" t="s">
        <v>244</v>
      </c>
      <c r="G7" s="294"/>
      <c r="H7" s="294"/>
      <c r="I7" s="294"/>
      <c r="J7" s="294"/>
      <c r="K7" s="294"/>
      <c r="L7" s="294"/>
      <c r="M7" s="294"/>
      <c r="O7" s="112">
        <v>-0.75026000000000004</v>
      </c>
      <c r="P7" s="113"/>
    </row>
    <row r="8" spans="2:16" ht="15" customHeight="1" x14ac:dyDescent="0.2">
      <c r="B8" s="109" t="s">
        <v>273</v>
      </c>
      <c r="C8" s="116">
        <v>6.6726899710747412E-2</v>
      </c>
      <c r="E8" s="119"/>
      <c r="F8" s="295"/>
      <c r="G8" s="295"/>
      <c r="H8" s="295"/>
      <c r="I8" s="295"/>
      <c r="J8" s="295"/>
      <c r="K8" s="295"/>
      <c r="L8" s="295"/>
      <c r="M8" s="295"/>
      <c r="O8" s="112">
        <v>-0.75017599999999995</v>
      </c>
      <c r="P8" s="113"/>
    </row>
    <row r="9" spans="2:16" ht="15" customHeight="1" x14ac:dyDescent="0.2">
      <c r="B9" s="109" t="s">
        <v>167</v>
      </c>
      <c r="C9" s="120">
        <f>Air_Voltage-C8</f>
        <v>-0.81685609971074735</v>
      </c>
      <c r="D9" s="121"/>
      <c r="E9" s="122"/>
      <c r="O9" s="112">
        <v>-0.75012999999999996</v>
      </c>
      <c r="P9" s="113"/>
    </row>
    <row r="10" spans="2:16" ht="15" customHeight="1" x14ac:dyDescent="0.25">
      <c r="B10" s="109" t="s">
        <v>200</v>
      </c>
      <c r="C10" s="120">
        <f>AVERAGE(O4:O13)</f>
        <v>-0.75012919999999994</v>
      </c>
      <c r="E10" s="106" t="s">
        <v>199</v>
      </c>
      <c r="O10" s="112">
        <v>-0.75002400000000002</v>
      </c>
      <c r="P10" s="113"/>
    </row>
    <row r="11" spans="2:16" ht="15" customHeight="1" x14ac:dyDescent="0.2">
      <c r="E11" s="111" t="b">
        <v>1</v>
      </c>
      <c r="F11" s="299" t="s">
        <v>263</v>
      </c>
      <c r="G11" s="299"/>
      <c r="H11" s="299"/>
      <c r="I11" s="299"/>
      <c r="J11" s="299"/>
      <c r="K11" s="299"/>
      <c r="L11" s="299"/>
      <c r="M11" s="299"/>
      <c r="O11" s="112">
        <v>-0.74979799999999996</v>
      </c>
      <c r="P11" s="113"/>
    </row>
    <row r="12" spans="2:16" ht="15" customHeight="1" x14ac:dyDescent="0.25">
      <c r="B12" s="106" t="s">
        <v>293</v>
      </c>
      <c r="E12" s="122" t="str">
        <f>IF(OR(E7,E11),"","Warning no data will be saved after a measurement!!! Neither to summary or as a full sheet")</f>
        <v/>
      </c>
      <c r="O12" s="112">
        <v>-0.74966299999999997</v>
      </c>
      <c r="P12" s="113"/>
    </row>
    <row r="13" spans="2:16" ht="15" customHeight="1" x14ac:dyDescent="0.25">
      <c r="B13" s="114" t="s">
        <v>169</v>
      </c>
      <c r="C13" s="115">
        <v>1.6600000000000001E-30</v>
      </c>
      <c r="E13" s="123" t="s">
        <v>247</v>
      </c>
      <c r="F13" s="124"/>
      <c r="G13" s="124"/>
      <c r="H13" s="124"/>
      <c r="I13" s="124"/>
      <c r="J13" s="124"/>
      <c r="K13" s="124"/>
      <c r="L13" s="124"/>
      <c r="M13" s="124"/>
      <c r="O13" s="112">
        <v>-0.74957099999999999</v>
      </c>
      <c r="P13" s="113"/>
    </row>
    <row r="14" spans="2:16" ht="15" customHeight="1" x14ac:dyDescent="0.2">
      <c r="B14" s="125" t="s">
        <v>172</v>
      </c>
      <c r="C14" s="110" t="s">
        <v>49</v>
      </c>
      <c r="E14" s="126" t="b">
        <v>1</v>
      </c>
      <c r="F14" s="303" t="s">
        <v>246</v>
      </c>
      <c r="G14" s="303"/>
      <c r="H14" s="303"/>
      <c r="I14" s="303"/>
      <c r="J14" s="303"/>
      <c r="K14" s="303"/>
      <c r="L14" s="303"/>
      <c r="M14" s="303"/>
      <c r="O14" s="107" t="s">
        <v>270</v>
      </c>
    </row>
    <row r="15" spans="2:16" ht="15" customHeight="1" x14ac:dyDescent="0.2">
      <c r="B15" s="114" t="s">
        <v>168</v>
      </c>
      <c r="C15" s="110">
        <v>1</v>
      </c>
      <c r="E15" s="127"/>
      <c r="F15" s="128"/>
      <c r="G15" s="128"/>
      <c r="H15" s="128"/>
      <c r="I15" s="128"/>
      <c r="J15" s="128"/>
      <c r="K15" s="128"/>
      <c r="L15" s="128"/>
      <c r="M15" s="128"/>
      <c r="O15" s="129">
        <f>STDEV(O4:O13)</f>
        <v>3.7146161757755654E-4</v>
      </c>
    </row>
    <row r="16" spans="2:16" ht="15" customHeight="1" x14ac:dyDescent="0.25">
      <c r="B16" s="114" t="s">
        <v>2</v>
      </c>
      <c r="C16" s="130">
        <v>0.3</v>
      </c>
      <c r="E16" s="123" t="s">
        <v>248</v>
      </c>
      <c r="F16" s="131"/>
      <c r="G16" s="131"/>
      <c r="H16" s="131"/>
      <c r="I16" s="131"/>
      <c r="J16" s="131"/>
      <c r="K16" s="131"/>
      <c r="L16" s="131"/>
      <c r="M16" s="131"/>
      <c r="O16" s="107" t="s">
        <v>265</v>
      </c>
    </row>
    <row r="17" spans="2:15" ht="15" customHeight="1" x14ac:dyDescent="0.2">
      <c r="B17" s="114" t="s">
        <v>288</v>
      </c>
      <c r="C17" s="114" t="s">
        <v>289</v>
      </c>
      <c r="E17" s="111" t="b">
        <v>1</v>
      </c>
      <c r="F17" s="299" t="s">
        <v>249</v>
      </c>
      <c r="G17" s="299"/>
      <c r="H17" s="299"/>
      <c r="I17" s="299"/>
      <c r="J17" s="299"/>
      <c r="K17" s="299"/>
      <c r="L17" s="299"/>
      <c r="M17" s="299"/>
      <c r="O17" s="132">
        <v>42055.654930555553</v>
      </c>
    </row>
    <row r="18" spans="2:15" ht="27.75" customHeight="1" x14ac:dyDescent="0.2">
      <c r="B18" s="114" t="s">
        <v>317</v>
      </c>
      <c r="C18" s="133" t="s">
        <v>319</v>
      </c>
      <c r="O18" s="134"/>
    </row>
    <row r="19" spans="2:15" ht="15" customHeight="1" x14ac:dyDescent="0.25">
      <c r="E19" s="106" t="s">
        <v>242</v>
      </c>
    </row>
    <row r="20" spans="2:15" ht="15" customHeight="1" x14ac:dyDescent="0.2">
      <c r="B20" s="135"/>
      <c r="E20" s="109">
        <v>1</v>
      </c>
      <c r="F20" s="301" t="s">
        <v>241</v>
      </c>
      <c r="G20" s="301"/>
      <c r="H20" s="301"/>
      <c r="I20" s="301"/>
      <c r="J20" s="301"/>
      <c r="K20" s="301"/>
      <c r="L20" s="301"/>
      <c r="M20" s="302"/>
    </row>
    <row r="21" spans="2:15" ht="15" customHeight="1" x14ac:dyDescent="0.2">
      <c r="E21" s="109">
        <f>6</f>
        <v>6</v>
      </c>
      <c r="F21" s="299" t="s">
        <v>298</v>
      </c>
      <c r="G21" s="299"/>
      <c r="H21" s="299"/>
      <c r="I21" s="299"/>
      <c r="J21" s="299"/>
      <c r="K21" s="299"/>
      <c r="L21" s="299"/>
      <c r="M21" s="299"/>
    </row>
    <row r="22" spans="2:15" ht="15" customHeight="1" x14ac:dyDescent="0.25">
      <c r="B22" s="106" t="s">
        <v>193</v>
      </c>
      <c r="E22" s="136">
        <v>0.3</v>
      </c>
      <c r="F22" s="294" t="s">
        <v>297</v>
      </c>
      <c r="G22" s="294"/>
      <c r="H22" s="294"/>
      <c r="I22" s="294"/>
      <c r="J22" s="294"/>
      <c r="K22" s="294"/>
      <c r="L22" s="294"/>
      <c r="M22" s="294"/>
    </row>
    <row r="23" spans="2:15" ht="15" customHeight="1" x14ac:dyDescent="0.2">
      <c r="B23" s="137" t="s">
        <v>194</v>
      </c>
      <c r="C23" s="109" t="b">
        <v>0</v>
      </c>
      <c r="E23" s="109">
        <v>5</v>
      </c>
      <c r="F23" s="299" t="s">
        <v>333</v>
      </c>
      <c r="G23" s="299"/>
      <c r="H23" s="299"/>
      <c r="I23" s="299"/>
      <c r="J23" s="299"/>
      <c r="K23" s="299"/>
      <c r="L23" s="299"/>
      <c r="M23" s="299"/>
    </row>
    <row r="24" spans="2:15" ht="15" customHeight="1" x14ac:dyDescent="0.2">
      <c r="B24" s="137" t="s">
        <v>195</v>
      </c>
      <c r="C24" s="109">
        <v>1</v>
      </c>
    </row>
    <row r="25" spans="2:15" ht="15" customHeight="1" x14ac:dyDescent="0.25">
      <c r="B25" s="137" t="s">
        <v>196</v>
      </c>
      <c r="C25" s="109">
        <v>20</v>
      </c>
      <c r="E25" s="106" t="s">
        <v>243</v>
      </c>
      <c r="K25" s="122"/>
    </row>
    <row r="26" spans="2:15" ht="15" customHeight="1" x14ac:dyDescent="0.2">
      <c r="B26" s="137" t="s">
        <v>197</v>
      </c>
      <c r="C26" s="109" t="str">
        <f>PassFail(MeasuredLifetimeAuger,MinTauLimit,MaxTauLimit,TF_PassFail)</f>
        <v/>
      </c>
      <c r="E26" s="109">
        <v>1</v>
      </c>
      <c r="F26" s="300" t="s">
        <v>229</v>
      </c>
      <c r="G26" s="301"/>
      <c r="H26" s="301"/>
      <c r="I26" s="301"/>
      <c r="J26" s="301"/>
      <c r="K26" s="301"/>
      <c r="L26" s="301"/>
      <c r="M26" s="302"/>
    </row>
    <row r="28" spans="2:15" ht="15" customHeight="1" x14ac:dyDescent="0.25">
      <c r="E28" s="106" t="s">
        <v>264</v>
      </c>
      <c r="K28" s="122"/>
    </row>
    <row r="29" spans="2:15" ht="15" customHeight="1" x14ac:dyDescent="0.2">
      <c r="C29" s="138"/>
      <c r="E29" s="110">
        <v>12500</v>
      </c>
      <c r="F29" s="296" t="s">
        <v>347</v>
      </c>
      <c r="G29" s="297"/>
      <c r="H29" s="297"/>
      <c r="I29" s="297"/>
      <c r="J29" s="297"/>
      <c r="K29" s="297"/>
      <c r="L29" s="297"/>
      <c r="M29" s="298"/>
    </row>
    <row r="30" spans="2:15" ht="15" customHeight="1" x14ac:dyDescent="0.2">
      <c r="C30" s="138"/>
      <c r="E30" s="110">
        <v>100000</v>
      </c>
      <c r="F30" s="296" t="s">
        <v>330</v>
      </c>
      <c r="G30" s="297"/>
      <c r="H30" s="297"/>
      <c r="I30" s="297"/>
      <c r="J30" s="297"/>
      <c r="K30" s="297"/>
      <c r="L30" s="297"/>
      <c r="M30" s="298"/>
    </row>
    <row r="31" spans="2:15" ht="15" customHeight="1" x14ac:dyDescent="0.2">
      <c r="C31" s="138"/>
      <c r="E31" s="110">
        <v>3</v>
      </c>
      <c r="F31" s="139" t="s">
        <v>331</v>
      </c>
      <c r="G31" s="140"/>
      <c r="H31" s="140"/>
      <c r="I31" s="140"/>
      <c r="J31" s="140"/>
      <c r="K31" s="140"/>
      <c r="L31" s="140"/>
      <c r="M31" s="141"/>
    </row>
    <row r="32" spans="2:15" ht="15" customHeight="1" x14ac:dyDescent="0.2">
      <c r="C32" s="138"/>
      <c r="K32" s="122"/>
    </row>
    <row r="33" spans="3:11" ht="15" customHeight="1" x14ac:dyDescent="0.2">
      <c r="C33" s="122"/>
      <c r="K33" s="122"/>
    </row>
    <row r="34" spans="3:11" ht="15" customHeight="1" x14ac:dyDescent="0.2">
      <c r="K34" s="122"/>
    </row>
    <row r="35" spans="3:11" ht="15" customHeight="1" x14ac:dyDescent="0.2">
      <c r="K35" s="122"/>
    </row>
    <row r="37" spans="3:11" ht="15" customHeight="1" x14ac:dyDescent="0.2">
      <c r="F37" s="142"/>
    </row>
  </sheetData>
  <sheetProtection sheet="1" objects="1" scenarios="1" selectLockedCells="1"/>
  <mergeCells count="15">
    <mergeCell ref="F29:M29"/>
    <mergeCell ref="F30:M30"/>
    <mergeCell ref="F17:M17"/>
    <mergeCell ref="F26:M26"/>
    <mergeCell ref="F11:M11"/>
    <mergeCell ref="F14:M14"/>
    <mergeCell ref="F20:M20"/>
    <mergeCell ref="F21:M21"/>
    <mergeCell ref="F22:M22"/>
    <mergeCell ref="F23:M23"/>
    <mergeCell ref="F4:M4"/>
    <mergeCell ref="F5:M5"/>
    <mergeCell ref="F6:M6"/>
    <mergeCell ref="F7:M7"/>
    <mergeCell ref="F8:M8"/>
  </mergeCells>
  <dataValidations count="4">
    <dataValidation type="list" allowBlank="1" showInputMessage="1" showErrorMessage="1" sqref="C23 E17 E11 E4:E7 E14">
      <formula1>TF_List</formula1>
    </dataValidation>
    <dataValidation type="list" allowBlank="1" showInputMessage="1" showErrorMessage="1" sqref="E26">
      <formula1>VRangeList</formula1>
    </dataValidation>
    <dataValidation type="list" allowBlank="1" showInputMessage="1" showErrorMessage="1" sqref="C17">
      <formula1>AugerModelList</formula1>
    </dataValidation>
    <dataValidation type="list" allowBlank="1" showInputMessage="1" showErrorMessage="1" sqref="C18">
      <formula1>MobilityModelList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4"/>
  <sheetViews>
    <sheetView workbookViewId="0"/>
  </sheetViews>
  <sheetFormatPr defaultRowHeight="12.75" x14ac:dyDescent="0.2"/>
  <cols>
    <col min="1" max="1" width="9.28515625" style="161" bestFit="1" customWidth="1"/>
    <col min="2" max="2" width="12.140625" style="161" customWidth="1"/>
    <col min="3" max="3" width="12" style="161" customWidth="1"/>
    <col min="4" max="4" width="10.85546875" style="161" customWidth="1"/>
    <col min="5" max="5" width="11.42578125" style="161" bestFit="1" customWidth="1"/>
    <col min="6" max="6" width="11.7109375" style="161" customWidth="1"/>
    <col min="7" max="7" width="13.42578125" style="161" customWidth="1"/>
    <col min="8" max="8" width="9.28515625" style="161" bestFit="1" customWidth="1"/>
    <col min="9" max="9" width="11.140625" style="161" customWidth="1"/>
    <col min="10" max="12" width="9.140625" style="161"/>
    <col min="13" max="13" width="10.42578125" style="161" customWidth="1"/>
    <col min="14" max="14" width="11.140625" style="164" customWidth="1"/>
    <col min="15" max="16" width="9.140625" style="161"/>
    <col min="17" max="17" width="9.28515625" style="161" bestFit="1" customWidth="1"/>
    <col min="18" max="18" width="12.28515625" style="161" customWidth="1"/>
    <col min="19" max="19" width="9.28515625" style="161" bestFit="1" customWidth="1"/>
    <col min="20" max="20" width="10.5703125" style="161" customWidth="1"/>
    <col min="21" max="21" width="11.5703125" style="161" customWidth="1"/>
    <col min="22" max="22" width="12" style="161" customWidth="1"/>
    <col min="23" max="23" width="13.140625" style="161" customWidth="1"/>
    <col min="24" max="24" width="11.28515625" style="161" customWidth="1"/>
    <col min="25" max="25" width="12.140625" style="161" customWidth="1"/>
    <col min="26" max="26" width="13.140625" style="161" customWidth="1"/>
    <col min="27" max="16384" width="9.140625" style="161"/>
  </cols>
  <sheetData>
    <row r="1" spans="1:26" s="150" customFormat="1" ht="27" customHeight="1" x14ac:dyDescent="0.2">
      <c r="A1" s="143" t="s">
        <v>14</v>
      </c>
      <c r="B1" s="144" t="s">
        <v>204</v>
      </c>
      <c r="C1" s="145" t="s">
        <v>205</v>
      </c>
      <c r="D1" s="145" t="s">
        <v>325</v>
      </c>
      <c r="E1" s="146" t="s">
        <v>198</v>
      </c>
      <c r="F1" s="146" t="s">
        <v>348</v>
      </c>
      <c r="G1" s="146" t="s">
        <v>20</v>
      </c>
      <c r="H1" s="146" t="s">
        <v>206</v>
      </c>
      <c r="I1" s="146" t="s">
        <v>207</v>
      </c>
      <c r="J1" s="146" t="s">
        <v>155</v>
      </c>
      <c r="K1" s="146" t="s">
        <v>208</v>
      </c>
      <c r="L1" s="146" t="s">
        <v>29</v>
      </c>
      <c r="M1" s="146" t="s">
        <v>28</v>
      </c>
      <c r="N1" s="147" t="s">
        <v>0</v>
      </c>
      <c r="O1" s="146" t="s">
        <v>1</v>
      </c>
      <c r="P1" s="147" t="s">
        <v>326</v>
      </c>
      <c r="Q1" s="146" t="s">
        <v>327</v>
      </c>
      <c r="R1" s="146" t="s">
        <v>44</v>
      </c>
      <c r="S1" s="146" t="s">
        <v>43</v>
      </c>
      <c r="T1" s="147" t="s">
        <v>21</v>
      </c>
      <c r="U1" s="148" t="s">
        <v>271</v>
      </c>
      <c r="V1" s="146" t="s">
        <v>212</v>
      </c>
      <c r="W1" s="146" t="s">
        <v>209</v>
      </c>
      <c r="X1" s="146" t="s">
        <v>210</v>
      </c>
      <c r="Y1" s="146" t="s">
        <v>211</v>
      </c>
      <c r="Z1" s="149" t="s">
        <v>221</v>
      </c>
    </row>
    <row r="2" spans="1:26" ht="21.75" customHeight="1" x14ac:dyDescent="0.2">
      <c r="A2" s="151" t="str">
        <f>SampleNameUserSheet</f>
        <v>Fe_1103_01-34</v>
      </c>
      <c r="B2" s="152">
        <f>MeasDate</f>
        <v>42055</v>
      </c>
      <c r="C2" s="153">
        <f>MeasTime</f>
        <v>0.6613310185185185</v>
      </c>
      <c r="D2" s="154">
        <f>Temperature</f>
        <v>35.505602000000003</v>
      </c>
      <c r="E2" s="155">
        <f>Thickness</f>
        <v>1.9599999999999999E-2</v>
      </c>
      <c r="F2" s="155">
        <f>SampleDoping</f>
        <v>3416264639614550.5</v>
      </c>
      <c r="G2" s="155">
        <f>OptConst</f>
        <v>0.7</v>
      </c>
      <c r="H2" s="156">
        <f>SpecMCD</f>
        <v>1000000000000000</v>
      </c>
      <c r="I2" s="155">
        <f>BiasLight</f>
        <v>0</v>
      </c>
      <c r="J2" s="155" t="str">
        <f>AnalysisMode</f>
        <v>Generalized (1/1)</v>
      </c>
      <c r="K2" s="154">
        <f>MeasuredLifetime</f>
        <v>48.801695726676584</v>
      </c>
      <c r="L2" s="156">
        <f>Jo</f>
        <v>-1.2429989732555723E-12</v>
      </c>
      <c r="M2" s="157">
        <f>TauFitIntercept</f>
        <v>22.663326382240999</v>
      </c>
      <c r="N2" s="157">
        <f>SheetResistance</f>
        <v>114.34808149293035</v>
      </c>
      <c r="O2" s="157">
        <f>MeasuredResistivity</f>
        <v>2.2412223972614349</v>
      </c>
      <c r="P2" s="157">
        <f>CorrectedSheetRho</f>
        <v>139.14849699875415</v>
      </c>
      <c r="Q2" s="157">
        <f>CorrectedResistivity</f>
        <v>2.7273105411755814</v>
      </c>
      <c r="R2" s="154">
        <f>MaxSuns</f>
        <v>59.001901656047217</v>
      </c>
      <c r="S2" s="156">
        <f>Traps</f>
        <v>0</v>
      </c>
      <c r="T2" s="156">
        <f>MaxApparentCD</f>
        <v>4.019757950596416E+16</v>
      </c>
      <c r="U2" s="158">
        <f ca="1">ImpliedVoc1sun</f>
        <v>0.60263892676989128</v>
      </c>
      <c r="V2" s="156">
        <f>RefCellCal</f>
        <v>1.0523982830583211E-2</v>
      </c>
      <c r="W2" s="159">
        <f>A_cal</f>
        <v>4.4355188011347291E-4</v>
      </c>
      <c r="X2" s="159">
        <f>B_cal</f>
        <v>2.9576185310453092E-2</v>
      </c>
      <c r="Y2" s="155">
        <f>C_cal</f>
        <v>-0.81685609971074735</v>
      </c>
      <c r="Z2" s="160" t="str">
        <f>InstrumentSN</f>
        <v>14-127027</v>
      </c>
    </row>
    <row r="4" spans="1:26" x14ac:dyDescent="0.2">
      <c r="A4" s="162" t="s">
        <v>130</v>
      </c>
      <c r="G4" s="163"/>
    </row>
    <row r="5" spans="1:26" x14ac:dyDescent="0.2">
      <c r="A5" s="162" t="s">
        <v>27</v>
      </c>
      <c r="N5" s="161"/>
    </row>
    <row r="6" spans="1:26" x14ac:dyDescent="0.2">
      <c r="A6" s="162" t="s">
        <v>30</v>
      </c>
    </row>
    <row r="8" spans="1:26" x14ac:dyDescent="0.2">
      <c r="A8" s="161" t="s">
        <v>41</v>
      </c>
    </row>
    <row r="9" spans="1:26" x14ac:dyDescent="0.2">
      <c r="A9" s="161" t="s">
        <v>42</v>
      </c>
    </row>
    <row r="10" spans="1:26" s="165" customFormat="1" x14ac:dyDescent="0.2">
      <c r="A10" s="165" t="s">
        <v>32</v>
      </c>
      <c r="B10" s="165" t="s">
        <v>15</v>
      </c>
      <c r="C10" s="165" t="s">
        <v>19</v>
      </c>
      <c r="D10" s="165" t="s">
        <v>313</v>
      </c>
      <c r="E10" s="165" t="s">
        <v>33</v>
      </c>
      <c r="F10" s="165" t="s">
        <v>34</v>
      </c>
      <c r="G10" s="165" t="s">
        <v>213</v>
      </c>
      <c r="H10" s="165" t="s">
        <v>214</v>
      </c>
      <c r="I10" s="165" t="s">
        <v>215</v>
      </c>
      <c r="J10" s="165" t="s">
        <v>35</v>
      </c>
      <c r="K10" s="165" t="s">
        <v>36</v>
      </c>
      <c r="L10" s="165" t="s">
        <v>40</v>
      </c>
      <c r="M10" s="165" t="s">
        <v>39</v>
      </c>
      <c r="N10" s="165" t="s">
        <v>37</v>
      </c>
      <c r="O10" s="165" t="s">
        <v>38</v>
      </c>
      <c r="P10" s="165" t="s">
        <v>328</v>
      </c>
      <c r="Q10" s="165" t="s">
        <v>329</v>
      </c>
      <c r="R10" s="165" t="s">
        <v>45</v>
      </c>
      <c r="S10" s="165" t="s">
        <v>43</v>
      </c>
      <c r="T10" s="166" t="s">
        <v>46</v>
      </c>
      <c r="U10" s="165" t="s">
        <v>272</v>
      </c>
      <c r="V10" s="165" t="s">
        <v>216</v>
      </c>
      <c r="W10" s="165" t="s">
        <v>217</v>
      </c>
      <c r="X10" s="165" t="s">
        <v>218</v>
      </c>
      <c r="Y10" s="165" t="s">
        <v>219</v>
      </c>
      <c r="Z10" s="165" t="s">
        <v>220</v>
      </c>
    </row>
    <row r="11" spans="1:26" x14ac:dyDescent="0.2">
      <c r="C11" s="167"/>
      <c r="D11" s="167"/>
    </row>
    <row r="20" spans="2:7" s="168" customFormat="1" x14ac:dyDescent="0.2">
      <c r="C20" s="169"/>
      <c r="D20" s="167"/>
    </row>
    <row r="24" spans="2:7" x14ac:dyDescent="0.2">
      <c r="B24" s="168"/>
      <c r="C24" s="169"/>
      <c r="D24" s="167"/>
      <c r="E24" s="168"/>
      <c r="F24" s="168"/>
      <c r="G24" s="168"/>
    </row>
  </sheetData>
  <phoneticPr fontId="3"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8:DA328"/>
  <sheetViews>
    <sheetView workbookViewId="0">
      <selection activeCell="A9" sqref="A9:DA9"/>
    </sheetView>
  </sheetViews>
  <sheetFormatPr defaultRowHeight="12.75" x14ac:dyDescent="0.2"/>
  <cols>
    <col min="1" max="16384" width="9.140625" style="83"/>
  </cols>
  <sheetData>
    <row r="8" spans="1:105" x14ac:dyDescent="0.2">
      <c r="A8" s="83" t="s">
        <v>356</v>
      </c>
      <c r="B8" s="83">
        <v>200.30179100000001</v>
      </c>
      <c r="C8" s="170"/>
      <c r="D8" s="83" t="s">
        <v>357</v>
      </c>
      <c r="E8" s="83">
        <v>195.36185699999999</v>
      </c>
      <c r="F8" s="170"/>
      <c r="G8" s="83" t="s">
        <v>358</v>
      </c>
      <c r="H8" s="83">
        <v>190.39245199999999</v>
      </c>
      <c r="I8" s="170"/>
      <c r="J8" s="83" t="s">
        <v>359</v>
      </c>
      <c r="K8" s="83">
        <v>185.42660799999999</v>
      </c>
      <c r="L8" s="170"/>
      <c r="M8" s="170" t="s">
        <v>360</v>
      </c>
      <c r="N8" s="83">
        <v>180.371285</v>
      </c>
      <c r="O8" s="170"/>
      <c r="P8" s="170" t="s">
        <v>361</v>
      </c>
      <c r="Q8" s="83">
        <v>175.30206799999999</v>
      </c>
      <c r="R8" s="170"/>
      <c r="S8" s="83" t="s">
        <v>362</v>
      </c>
      <c r="T8" s="83">
        <v>170.27346299999999</v>
      </c>
      <c r="U8" s="170"/>
      <c r="V8" s="83" t="s">
        <v>363</v>
      </c>
      <c r="W8" s="83">
        <v>165.39100199999999</v>
      </c>
      <c r="X8" s="170"/>
      <c r="Y8" s="83" t="s">
        <v>364</v>
      </c>
      <c r="Z8" s="83">
        <v>160.39592500000001</v>
      </c>
      <c r="AA8" s="170"/>
      <c r="AB8" s="83" t="s">
        <v>365</v>
      </c>
      <c r="AC8" s="83">
        <v>155.40344400000001</v>
      </c>
      <c r="AD8" s="170"/>
      <c r="AE8" s="83" t="s">
        <v>366</v>
      </c>
      <c r="AF8" s="83">
        <v>150.43746300000001</v>
      </c>
      <c r="AG8" s="170"/>
      <c r="AH8" s="83" t="s">
        <v>367</v>
      </c>
      <c r="AI8" s="83">
        <v>145.37307300000001</v>
      </c>
      <c r="AJ8" s="170"/>
      <c r="AK8" s="83" t="s">
        <v>368</v>
      </c>
      <c r="AL8" s="83">
        <v>140.41217</v>
      </c>
      <c r="AM8" s="170"/>
      <c r="AN8" s="83" t="s">
        <v>369</v>
      </c>
      <c r="AO8" s="83">
        <v>135.31155200000001</v>
      </c>
      <c r="AP8" s="170"/>
      <c r="AQ8" s="83" t="s">
        <v>370</v>
      </c>
      <c r="AR8" s="83">
        <v>130.403235</v>
      </c>
      <c r="AS8" s="170"/>
      <c r="AT8" s="83" t="s">
        <v>371</v>
      </c>
      <c r="AU8" s="83">
        <v>125.348085</v>
      </c>
      <c r="AV8" s="170"/>
      <c r="AW8" s="83" t="s">
        <v>372</v>
      </c>
      <c r="AX8" s="83">
        <v>120.445685</v>
      </c>
      <c r="AY8" s="170"/>
      <c r="AZ8" s="83" t="s">
        <v>373</v>
      </c>
      <c r="BA8" s="83">
        <v>115.428746</v>
      </c>
      <c r="BB8" s="170"/>
      <c r="BC8" s="83" t="s">
        <v>374</v>
      </c>
      <c r="BD8" s="83">
        <v>110.39984800000001</v>
      </c>
      <c r="BE8" s="170"/>
      <c r="BF8" s="83" t="s">
        <v>375</v>
      </c>
      <c r="BG8" s="83">
        <v>105.377647</v>
      </c>
      <c r="BH8" s="170"/>
      <c r="BI8" s="83" t="s">
        <v>376</v>
      </c>
      <c r="BJ8" s="83">
        <v>100.464591</v>
      </c>
      <c r="BK8" s="170"/>
      <c r="BL8" s="83" t="s">
        <v>377</v>
      </c>
      <c r="BM8" s="83">
        <v>95.445155999999997</v>
      </c>
      <c r="BN8" s="170"/>
      <c r="BO8" s="83" t="s">
        <v>378</v>
      </c>
      <c r="BP8" s="83">
        <v>90.501839000000004</v>
      </c>
      <c r="BQ8" s="170"/>
      <c r="BR8" s="83" t="s">
        <v>379</v>
      </c>
      <c r="BS8" s="83">
        <v>85.456484000000003</v>
      </c>
      <c r="BT8" s="170"/>
      <c r="BU8" s="83" t="s">
        <v>380</v>
      </c>
      <c r="BV8" s="83">
        <v>80.470305999999994</v>
      </c>
      <c r="BW8" s="170"/>
      <c r="BX8" s="83" t="s">
        <v>381</v>
      </c>
      <c r="BY8" s="83">
        <v>75.437920000000005</v>
      </c>
      <c r="BZ8" s="170"/>
      <c r="CA8" s="83" t="s">
        <v>382</v>
      </c>
      <c r="CB8" s="83">
        <v>70.467945</v>
      </c>
      <c r="CD8" s="83" t="s">
        <v>383</v>
      </c>
      <c r="CE8" s="83">
        <v>65.454410999999993</v>
      </c>
      <c r="CG8" s="83" t="s">
        <v>384</v>
      </c>
      <c r="CH8" s="83">
        <v>60.456938999999998</v>
      </c>
      <c r="CJ8" s="83" t="s">
        <v>385</v>
      </c>
      <c r="CK8" s="83">
        <v>55.483421999999997</v>
      </c>
      <c r="CM8" s="83" t="s">
        <v>386</v>
      </c>
      <c r="CN8" s="83">
        <v>50.470681999999996</v>
      </c>
      <c r="CP8" s="83" t="s">
        <v>387</v>
      </c>
      <c r="CQ8" s="83">
        <v>45.479483999999999</v>
      </c>
      <c r="CS8" s="83" t="s">
        <v>388</v>
      </c>
      <c r="CT8" s="83">
        <v>40.477134</v>
      </c>
      <c r="CV8" s="83" t="s">
        <v>389</v>
      </c>
      <c r="CW8" s="83">
        <v>35.505602000000003</v>
      </c>
      <c r="CY8" s="83" t="s">
        <v>390</v>
      </c>
      <c r="CZ8" s="83">
        <v>30.527819999999998</v>
      </c>
    </row>
    <row r="9" spans="1:105" x14ac:dyDescent="0.2">
      <c r="A9" s="83" t="s">
        <v>276</v>
      </c>
      <c r="B9" s="83" t="s">
        <v>55</v>
      </c>
      <c r="C9" s="83" t="s">
        <v>56</v>
      </c>
      <c r="D9" s="83" t="s">
        <v>276</v>
      </c>
      <c r="E9" s="83" t="s">
        <v>55</v>
      </c>
      <c r="F9" s="83" t="s">
        <v>56</v>
      </c>
      <c r="G9" s="83" t="s">
        <v>276</v>
      </c>
      <c r="H9" s="83" t="s">
        <v>55</v>
      </c>
      <c r="I9" s="83" t="s">
        <v>56</v>
      </c>
      <c r="J9" s="83" t="s">
        <v>276</v>
      </c>
      <c r="K9" s="83" t="s">
        <v>55</v>
      </c>
      <c r="L9" s="83" t="s">
        <v>56</v>
      </c>
      <c r="M9" s="83" t="s">
        <v>276</v>
      </c>
      <c r="N9" s="83" t="s">
        <v>55</v>
      </c>
      <c r="O9" s="83" t="s">
        <v>56</v>
      </c>
      <c r="P9" s="83" t="s">
        <v>276</v>
      </c>
      <c r="Q9" s="83" t="s">
        <v>55</v>
      </c>
      <c r="R9" s="83" t="s">
        <v>56</v>
      </c>
      <c r="S9" s="83" t="s">
        <v>276</v>
      </c>
      <c r="T9" s="83" t="s">
        <v>55</v>
      </c>
      <c r="U9" s="83" t="s">
        <v>56</v>
      </c>
      <c r="V9" s="83" t="s">
        <v>276</v>
      </c>
      <c r="W9" s="83" t="s">
        <v>55</v>
      </c>
      <c r="X9" s="83" t="s">
        <v>56</v>
      </c>
      <c r="Y9" s="83" t="s">
        <v>276</v>
      </c>
      <c r="Z9" s="83" t="s">
        <v>55</v>
      </c>
      <c r="AA9" s="83" t="s">
        <v>56</v>
      </c>
      <c r="AB9" s="83" t="s">
        <v>276</v>
      </c>
      <c r="AC9" s="83" t="s">
        <v>55</v>
      </c>
      <c r="AD9" s="83" t="s">
        <v>56</v>
      </c>
      <c r="AE9" s="83" t="s">
        <v>276</v>
      </c>
      <c r="AF9" s="83" t="s">
        <v>55</v>
      </c>
      <c r="AG9" s="83" t="s">
        <v>56</v>
      </c>
      <c r="AH9" s="83" t="s">
        <v>276</v>
      </c>
      <c r="AI9" s="83" t="s">
        <v>55</v>
      </c>
      <c r="AJ9" s="83" t="s">
        <v>56</v>
      </c>
      <c r="AK9" s="83" t="s">
        <v>276</v>
      </c>
      <c r="AL9" s="83" t="s">
        <v>55</v>
      </c>
      <c r="AM9" s="83" t="s">
        <v>56</v>
      </c>
      <c r="AN9" s="83" t="s">
        <v>276</v>
      </c>
      <c r="AO9" s="83" t="s">
        <v>55</v>
      </c>
      <c r="AP9" s="83" t="s">
        <v>56</v>
      </c>
      <c r="AQ9" s="83" t="s">
        <v>276</v>
      </c>
      <c r="AR9" s="83" t="s">
        <v>55</v>
      </c>
      <c r="AS9" s="83" t="s">
        <v>56</v>
      </c>
      <c r="AT9" s="83" t="s">
        <v>276</v>
      </c>
      <c r="AU9" s="83" t="s">
        <v>55</v>
      </c>
      <c r="AV9" s="83" t="s">
        <v>56</v>
      </c>
      <c r="AW9" s="83" t="s">
        <v>276</v>
      </c>
      <c r="AX9" s="83" t="s">
        <v>55</v>
      </c>
      <c r="AY9" s="83" t="s">
        <v>56</v>
      </c>
      <c r="AZ9" s="83" t="s">
        <v>276</v>
      </c>
      <c r="BA9" s="83" t="s">
        <v>55</v>
      </c>
      <c r="BB9" s="83" t="s">
        <v>56</v>
      </c>
      <c r="BC9" s="83" t="s">
        <v>276</v>
      </c>
      <c r="BD9" s="83" t="s">
        <v>55</v>
      </c>
      <c r="BE9" s="83" t="s">
        <v>56</v>
      </c>
      <c r="BF9" s="83" t="s">
        <v>276</v>
      </c>
      <c r="BG9" s="83" t="s">
        <v>55</v>
      </c>
      <c r="BH9" s="83" t="s">
        <v>56</v>
      </c>
      <c r="BI9" s="83" t="s">
        <v>276</v>
      </c>
      <c r="BJ9" s="83" t="s">
        <v>55</v>
      </c>
      <c r="BK9" s="83" t="s">
        <v>56</v>
      </c>
      <c r="BL9" s="83" t="s">
        <v>276</v>
      </c>
      <c r="BM9" s="83" t="s">
        <v>55</v>
      </c>
      <c r="BN9" s="83" t="s">
        <v>56</v>
      </c>
      <c r="BO9" s="83" t="s">
        <v>276</v>
      </c>
      <c r="BP9" s="83" t="s">
        <v>55</v>
      </c>
      <c r="BQ9" s="83" t="s">
        <v>56</v>
      </c>
      <c r="BR9" s="83" t="s">
        <v>276</v>
      </c>
      <c r="BS9" s="83" t="s">
        <v>55</v>
      </c>
      <c r="BT9" s="83" t="s">
        <v>56</v>
      </c>
      <c r="BU9" s="83" t="s">
        <v>276</v>
      </c>
      <c r="BV9" s="83" t="s">
        <v>55</v>
      </c>
      <c r="BW9" s="83" t="s">
        <v>56</v>
      </c>
      <c r="BX9" s="83" t="s">
        <v>276</v>
      </c>
      <c r="BY9" s="83" t="s">
        <v>55</v>
      </c>
      <c r="BZ9" s="83" t="s">
        <v>56</v>
      </c>
      <c r="CA9" s="83" t="s">
        <v>276</v>
      </c>
      <c r="CB9" s="83" t="s">
        <v>55</v>
      </c>
      <c r="CC9" s="83" t="s">
        <v>56</v>
      </c>
      <c r="CD9" s="83" t="s">
        <v>276</v>
      </c>
      <c r="CE9" s="83" t="s">
        <v>55</v>
      </c>
      <c r="CF9" s="83" t="s">
        <v>56</v>
      </c>
      <c r="CG9" s="83" t="s">
        <v>276</v>
      </c>
      <c r="CH9" s="83" t="s">
        <v>55</v>
      </c>
      <c r="CI9" s="83" t="s">
        <v>56</v>
      </c>
      <c r="CJ9" s="83" t="s">
        <v>276</v>
      </c>
      <c r="CK9" s="83" t="s">
        <v>55</v>
      </c>
      <c r="CL9" s="83" t="s">
        <v>56</v>
      </c>
      <c r="CM9" s="83" t="s">
        <v>276</v>
      </c>
      <c r="CN9" s="83" t="s">
        <v>55</v>
      </c>
      <c r="CO9" s="83" t="s">
        <v>56</v>
      </c>
      <c r="CP9" s="83" t="s">
        <v>276</v>
      </c>
      <c r="CQ9" s="83" t="s">
        <v>55</v>
      </c>
      <c r="CR9" s="83" t="s">
        <v>56</v>
      </c>
      <c r="CS9" s="83" t="s">
        <v>276</v>
      </c>
      <c r="CT9" s="83" t="s">
        <v>55</v>
      </c>
      <c r="CU9" s="83" t="s">
        <v>56</v>
      </c>
      <c r="CV9" s="83" t="s">
        <v>276</v>
      </c>
      <c r="CW9" s="83" t="s">
        <v>55</v>
      </c>
      <c r="CX9" s="83" t="s">
        <v>56</v>
      </c>
      <c r="CY9" s="83" t="s">
        <v>276</v>
      </c>
      <c r="CZ9" s="83" t="s">
        <v>55</v>
      </c>
      <c r="DA9" s="83" t="s">
        <v>56</v>
      </c>
    </row>
    <row r="10" spans="1:105" x14ac:dyDescent="0.2">
      <c r="A10" s="83">
        <v>4.99E-5</v>
      </c>
      <c r="B10" s="83">
        <v>0.62457200000000002</v>
      </c>
      <c r="C10" s="83">
        <v>0.363396</v>
      </c>
      <c r="D10" s="83">
        <v>4.99E-5</v>
      </c>
      <c r="E10" s="83">
        <v>0.64694799999999997</v>
      </c>
      <c r="F10" s="83">
        <v>0.36434299999999997</v>
      </c>
      <c r="G10" s="83">
        <v>4.99E-5</v>
      </c>
      <c r="H10" s="83">
        <v>0.66455200000000003</v>
      </c>
      <c r="I10" s="83">
        <v>0.36932199999999998</v>
      </c>
      <c r="J10" s="83">
        <v>4.99E-5</v>
      </c>
      <c r="K10" s="83">
        <v>0.17769599999999999</v>
      </c>
      <c r="L10" s="83">
        <v>0.15760299999999999</v>
      </c>
      <c r="M10" s="83">
        <v>4.99E-5</v>
      </c>
      <c r="N10" s="83">
        <v>0.18824199999999999</v>
      </c>
      <c r="O10" s="83">
        <v>0.164245</v>
      </c>
      <c r="P10" s="83">
        <v>4.99E-5</v>
      </c>
      <c r="Q10" s="83">
        <v>0.68884699999999999</v>
      </c>
      <c r="R10" s="83">
        <v>0.35955599999999999</v>
      </c>
      <c r="S10" s="83">
        <v>4.99E-5</v>
      </c>
      <c r="T10" s="83">
        <v>0.70918099999999995</v>
      </c>
      <c r="U10" s="83">
        <v>0.36362299999999997</v>
      </c>
      <c r="V10" s="83">
        <v>4.99E-5</v>
      </c>
      <c r="W10" s="83">
        <v>0.707368</v>
      </c>
      <c r="X10" s="83">
        <v>0.35280099999999998</v>
      </c>
      <c r="Y10" s="83">
        <v>4.99E-5</v>
      </c>
      <c r="Z10" s="83">
        <v>0.727051</v>
      </c>
      <c r="AA10" s="83">
        <v>0.362043</v>
      </c>
      <c r="AB10" s="83">
        <v>4.99E-5</v>
      </c>
      <c r="AC10" s="83">
        <v>0.70859000000000005</v>
      </c>
      <c r="AD10" s="83">
        <v>0.34823199999999999</v>
      </c>
      <c r="AE10" s="83">
        <v>4.99E-5</v>
      </c>
      <c r="AF10" s="83">
        <v>0.73891300000000004</v>
      </c>
      <c r="AG10" s="83">
        <v>0.36153299999999999</v>
      </c>
      <c r="AH10" s="83">
        <v>4.99E-5</v>
      </c>
      <c r="AI10" s="83">
        <v>0.18967200000000001</v>
      </c>
      <c r="AJ10" s="83">
        <v>0.15081900000000001</v>
      </c>
      <c r="AK10" s="83">
        <v>4.99E-5</v>
      </c>
      <c r="AL10" s="83">
        <v>0.17505200000000001</v>
      </c>
      <c r="AM10" s="83">
        <v>0.14516100000000001</v>
      </c>
      <c r="AN10" s="83">
        <v>4.99E-5</v>
      </c>
      <c r="AO10" s="83">
        <v>0.75119000000000002</v>
      </c>
      <c r="AP10" s="83">
        <v>0.35676799999999997</v>
      </c>
      <c r="AQ10" s="83">
        <v>4.99E-5</v>
      </c>
      <c r="AR10" s="83">
        <v>0.76414099999999996</v>
      </c>
      <c r="AS10" s="83">
        <v>0.35864400000000002</v>
      </c>
      <c r="AT10" s="83">
        <v>4.99E-5</v>
      </c>
      <c r="AU10" s="83">
        <v>0.788632</v>
      </c>
      <c r="AV10" s="83">
        <v>0.36132599999999998</v>
      </c>
      <c r="AW10" s="83">
        <v>4.99E-5</v>
      </c>
      <c r="AX10" s="83">
        <v>0.19612199999999999</v>
      </c>
      <c r="AY10" s="83">
        <v>0.14695900000000001</v>
      </c>
      <c r="AZ10" s="83">
        <v>4.99E-5</v>
      </c>
      <c r="BA10" s="83">
        <v>0.20805799999999999</v>
      </c>
      <c r="BB10" s="83">
        <v>0.15456500000000001</v>
      </c>
      <c r="BC10" s="83">
        <v>4.99E-5</v>
      </c>
      <c r="BD10" s="83">
        <v>0.23080000000000001</v>
      </c>
      <c r="BE10" s="83">
        <v>0.16433300000000001</v>
      </c>
      <c r="BF10" s="83">
        <v>4.99E-5</v>
      </c>
      <c r="BG10" s="83">
        <v>0.24143200000000001</v>
      </c>
      <c r="BH10" s="83">
        <v>0.164772</v>
      </c>
      <c r="BI10" s="83">
        <v>4.99E-5</v>
      </c>
      <c r="BJ10" s="83">
        <v>0.16800000000000001</v>
      </c>
      <c r="BK10" s="83">
        <v>0.12708800000000001</v>
      </c>
      <c r="BL10" s="83">
        <v>4.99E-5</v>
      </c>
      <c r="BM10" s="83">
        <v>0.22266900000000001</v>
      </c>
      <c r="BN10" s="83">
        <v>0.151008</v>
      </c>
      <c r="BO10" s="83">
        <v>4.99E-5</v>
      </c>
      <c r="BP10" s="83">
        <v>0.23483399999999999</v>
      </c>
      <c r="BQ10" s="83">
        <v>0.154921</v>
      </c>
      <c r="BR10" s="83">
        <v>4.99E-5</v>
      </c>
      <c r="BS10" s="83">
        <v>0.24954100000000001</v>
      </c>
      <c r="BT10" s="83">
        <v>0.16247600000000001</v>
      </c>
      <c r="BU10" s="83">
        <v>4.99E-5</v>
      </c>
      <c r="BV10" s="83">
        <v>0.22128100000000001</v>
      </c>
      <c r="BW10" s="83">
        <v>0.14830599999999999</v>
      </c>
      <c r="BX10" s="83">
        <v>4.99E-5</v>
      </c>
      <c r="BY10" s="83">
        <v>0.90993599999999997</v>
      </c>
      <c r="BZ10" s="83">
        <v>0.35785499999999998</v>
      </c>
      <c r="CA10" s="83">
        <v>4.99E-5</v>
      </c>
      <c r="CB10" s="83">
        <v>0.254612</v>
      </c>
      <c r="CC10" s="83">
        <v>0.158224</v>
      </c>
      <c r="CD10" s="83">
        <v>4.99E-5</v>
      </c>
      <c r="CE10" s="83">
        <v>0.97003300000000003</v>
      </c>
      <c r="CF10" s="83">
        <v>0.366755</v>
      </c>
      <c r="CG10" s="83">
        <v>4.99E-5</v>
      </c>
      <c r="CH10" s="83">
        <v>0.98108499999999998</v>
      </c>
      <c r="CI10" s="83">
        <v>0.36803999999999998</v>
      </c>
      <c r="CJ10" s="83">
        <v>4.99E-5</v>
      </c>
      <c r="CK10" s="83">
        <v>0.29727999999999999</v>
      </c>
      <c r="CL10" s="83">
        <v>0.169544</v>
      </c>
      <c r="CM10" s="83">
        <v>4.99E-5</v>
      </c>
      <c r="CN10" s="83">
        <v>0.29060799999999998</v>
      </c>
      <c r="CO10" s="83">
        <v>0.164933</v>
      </c>
      <c r="CP10" s="83">
        <v>4.99E-5</v>
      </c>
      <c r="CQ10" s="83">
        <v>1.0418099999999999</v>
      </c>
      <c r="CR10" s="83">
        <v>0.36919000000000002</v>
      </c>
      <c r="CS10" s="83">
        <v>4.99E-5</v>
      </c>
      <c r="CT10" s="83">
        <v>1.0284800000000001</v>
      </c>
      <c r="CU10" s="83">
        <v>0.357074</v>
      </c>
      <c r="CV10" s="83">
        <v>4.99E-5</v>
      </c>
      <c r="CW10" s="83">
        <v>0.27443400000000001</v>
      </c>
      <c r="CX10" s="83">
        <v>0.15359400000000001</v>
      </c>
      <c r="CY10" s="83">
        <v>4.99E-5</v>
      </c>
      <c r="CZ10" s="83">
        <v>0.297178</v>
      </c>
      <c r="DA10" s="83">
        <v>0.16131899999999999</v>
      </c>
    </row>
    <row r="11" spans="1:105" x14ac:dyDescent="0.2">
      <c r="A11" s="83">
        <v>1.4990000000000001E-4</v>
      </c>
      <c r="B11" s="83">
        <v>2.0449299999999999</v>
      </c>
      <c r="C11" s="83">
        <v>0.55582900000000002</v>
      </c>
      <c r="D11" s="83">
        <v>1.4990000000000001E-4</v>
      </c>
      <c r="E11" s="83">
        <v>2.0293000000000001</v>
      </c>
      <c r="F11" s="83">
        <v>0.53629599999999999</v>
      </c>
      <c r="G11" s="83">
        <v>1.4990000000000001E-4</v>
      </c>
      <c r="H11" s="83">
        <v>2.1206299999999998</v>
      </c>
      <c r="I11" s="83">
        <v>0.55179100000000003</v>
      </c>
      <c r="J11" s="83">
        <v>1.4990000000000001E-4</v>
      </c>
      <c r="K11" s="83">
        <v>1.5862099999999999</v>
      </c>
      <c r="L11" s="83">
        <v>0.51646999999999998</v>
      </c>
      <c r="M11" s="83">
        <v>1.4990000000000001E-4</v>
      </c>
      <c r="N11" s="83">
        <v>1.66465</v>
      </c>
      <c r="O11" s="83">
        <v>0.52921499999999999</v>
      </c>
      <c r="P11" s="83">
        <v>1.4990000000000001E-4</v>
      </c>
      <c r="Q11" s="83">
        <v>2.2109200000000002</v>
      </c>
      <c r="R11" s="83">
        <v>0.55076400000000003</v>
      </c>
      <c r="S11" s="83">
        <v>1.4990000000000001E-4</v>
      </c>
      <c r="T11" s="83">
        <v>2.2315399999999999</v>
      </c>
      <c r="U11" s="83">
        <v>0.543296</v>
      </c>
      <c r="V11" s="83">
        <v>1.4990000000000001E-4</v>
      </c>
      <c r="W11" s="83">
        <v>2.1776</v>
      </c>
      <c r="X11" s="83">
        <v>0.52551400000000004</v>
      </c>
      <c r="Y11" s="83">
        <v>1.4990000000000001E-4</v>
      </c>
      <c r="Z11" s="83">
        <v>2.22654</v>
      </c>
      <c r="AA11" s="83">
        <v>0.52983899999999995</v>
      </c>
      <c r="AB11" s="83">
        <v>1.4990000000000001E-4</v>
      </c>
      <c r="AC11" s="83">
        <v>2.2191900000000002</v>
      </c>
      <c r="AD11" s="83">
        <v>0.53047800000000001</v>
      </c>
      <c r="AE11" s="83">
        <v>1.4990000000000001E-4</v>
      </c>
      <c r="AF11" s="83">
        <v>2.27427</v>
      </c>
      <c r="AG11" s="83">
        <v>0.53376100000000004</v>
      </c>
      <c r="AH11" s="83">
        <v>1.4990000000000001E-4</v>
      </c>
      <c r="AI11" s="83">
        <v>1.6990000000000001</v>
      </c>
      <c r="AJ11" s="83">
        <v>0.50246100000000005</v>
      </c>
      <c r="AK11" s="83">
        <v>1.4990000000000001E-4</v>
      </c>
      <c r="AL11" s="83">
        <v>1.7266900000000001</v>
      </c>
      <c r="AM11" s="83">
        <v>0.51179699999999995</v>
      </c>
      <c r="AN11" s="83">
        <v>1.4990000000000001E-4</v>
      </c>
      <c r="AO11" s="83">
        <v>2.3384399999999999</v>
      </c>
      <c r="AP11" s="83">
        <v>0.53409899999999999</v>
      </c>
      <c r="AQ11" s="83">
        <v>1.4990000000000001E-4</v>
      </c>
      <c r="AR11" s="83">
        <v>2.37514</v>
      </c>
      <c r="AS11" s="83">
        <v>0.53856300000000001</v>
      </c>
      <c r="AT11" s="83">
        <v>1.4990000000000001E-4</v>
      </c>
      <c r="AU11" s="83">
        <v>2.3952499999999999</v>
      </c>
      <c r="AV11" s="83">
        <v>0.53810999999999998</v>
      </c>
      <c r="AW11" s="83">
        <v>1.4990000000000001E-4</v>
      </c>
      <c r="AX11" s="83">
        <v>1.79016</v>
      </c>
      <c r="AY11" s="83">
        <v>0.50496799999999997</v>
      </c>
      <c r="AZ11" s="83">
        <v>1.4990000000000001E-4</v>
      </c>
      <c r="BA11" s="83">
        <v>1.8824000000000001</v>
      </c>
      <c r="BB11" s="83">
        <v>0.51734400000000003</v>
      </c>
      <c r="BC11" s="83">
        <v>1.4990000000000001E-4</v>
      </c>
      <c r="BD11" s="83">
        <v>1.9603699999999999</v>
      </c>
      <c r="BE11" s="83">
        <v>0.52476599999999995</v>
      </c>
      <c r="BF11" s="83">
        <v>1.4990000000000001E-4</v>
      </c>
      <c r="BG11" s="83">
        <v>1.94838</v>
      </c>
      <c r="BH11" s="83">
        <v>0.51097199999999998</v>
      </c>
      <c r="BI11" s="83">
        <v>1.4990000000000001E-4</v>
      </c>
      <c r="BJ11" s="83">
        <v>1.78321</v>
      </c>
      <c r="BK11" s="83">
        <v>0.48744100000000001</v>
      </c>
      <c r="BL11" s="83">
        <v>1.4990000000000001E-4</v>
      </c>
      <c r="BM11" s="83">
        <v>1.9397</v>
      </c>
      <c r="BN11" s="83">
        <v>0.50767600000000002</v>
      </c>
      <c r="BO11" s="83">
        <v>1.4990000000000001E-4</v>
      </c>
      <c r="BP11" s="83">
        <v>1.9950399999999999</v>
      </c>
      <c r="BQ11" s="83">
        <v>0.50955099999999998</v>
      </c>
      <c r="BR11" s="83">
        <v>1.4990000000000001E-4</v>
      </c>
      <c r="BS11" s="83">
        <v>2.0779700000000001</v>
      </c>
      <c r="BT11" s="83">
        <v>0.52267399999999997</v>
      </c>
      <c r="BU11" s="83">
        <v>1.4990000000000001E-4</v>
      </c>
      <c r="BV11" s="83">
        <v>2.0251600000000001</v>
      </c>
      <c r="BW11" s="83">
        <v>0.50832100000000002</v>
      </c>
      <c r="BX11" s="83">
        <v>1.4990000000000001E-4</v>
      </c>
      <c r="BY11" s="83">
        <v>2.7569900000000001</v>
      </c>
      <c r="BZ11" s="83">
        <v>0.54400999999999999</v>
      </c>
      <c r="CA11" s="83">
        <v>1.4990000000000001E-4</v>
      </c>
      <c r="CB11" s="83">
        <v>2.1520000000000001</v>
      </c>
      <c r="CC11" s="83">
        <v>0.51981299999999997</v>
      </c>
      <c r="CD11" s="83">
        <v>1.4990000000000001E-4</v>
      </c>
      <c r="CE11" s="83">
        <v>2.8573200000000001</v>
      </c>
      <c r="CF11" s="83">
        <v>0.54634199999999999</v>
      </c>
      <c r="CG11" s="83">
        <v>1.4990000000000001E-4</v>
      </c>
      <c r="CH11" s="83">
        <v>2.9233899999999999</v>
      </c>
      <c r="CI11" s="83">
        <v>0.55538600000000005</v>
      </c>
      <c r="CJ11" s="83">
        <v>1.4990000000000001E-4</v>
      </c>
      <c r="CK11" s="83">
        <v>2.3051400000000002</v>
      </c>
      <c r="CL11" s="83">
        <v>0.522455</v>
      </c>
      <c r="CM11" s="83">
        <v>1.4990000000000001E-4</v>
      </c>
      <c r="CN11" s="83">
        <v>2.3381400000000001</v>
      </c>
      <c r="CO11" s="83">
        <v>0.52749000000000001</v>
      </c>
      <c r="CP11" s="83">
        <v>1.4990000000000001E-4</v>
      </c>
      <c r="CQ11" s="83">
        <v>3.0280800000000001</v>
      </c>
      <c r="CR11" s="83">
        <v>0.55118599999999995</v>
      </c>
      <c r="CS11" s="83">
        <v>1.4990000000000001E-4</v>
      </c>
      <c r="CT11" s="83">
        <v>2.9756999999999998</v>
      </c>
      <c r="CU11" s="83">
        <v>0.536968</v>
      </c>
      <c r="CV11" s="83">
        <v>1.4990000000000001E-4</v>
      </c>
      <c r="CW11" s="83">
        <v>2.34911</v>
      </c>
      <c r="CX11" s="83">
        <v>0.51370700000000002</v>
      </c>
      <c r="CY11" s="83">
        <v>1.4990000000000001E-4</v>
      </c>
      <c r="CZ11" s="83">
        <v>2.4512200000000002</v>
      </c>
      <c r="DA11" s="83">
        <v>0.525918</v>
      </c>
    </row>
    <row r="12" spans="1:105" x14ac:dyDescent="0.2">
      <c r="A12" s="83">
        <v>2.499E-4</v>
      </c>
      <c r="B12" s="83">
        <v>2.68892</v>
      </c>
      <c r="C12" s="83">
        <v>0.60240800000000005</v>
      </c>
      <c r="D12" s="83">
        <v>2.499E-4</v>
      </c>
      <c r="E12" s="83">
        <v>2.73359</v>
      </c>
      <c r="F12" s="83">
        <v>0.60746199999999995</v>
      </c>
      <c r="G12" s="83">
        <v>2.499E-4</v>
      </c>
      <c r="H12" s="83">
        <v>2.7775099999999999</v>
      </c>
      <c r="I12" s="83">
        <v>0.60203499999999999</v>
      </c>
      <c r="J12" s="83">
        <v>2.499E-4</v>
      </c>
      <c r="K12" s="83">
        <v>2.5855199999999998</v>
      </c>
      <c r="L12" s="83">
        <v>0.57731699999999997</v>
      </c>
      <c r="M12" s="83">
        <v>2.499E-4</v>
      </c>
      <c r="N12" s="83">
        <v>2.6905399999999999</v>
      </c>
      <c r="O12" s="83">
        <v>0.58825499999999997</v>
      </c>
      <c r="P12" s="83">
        <v>2.499E-4</v>
      </c>
      <c r="Q12" s="83">
        <v>2.8995299999999999</v>
      </c>
      <c r="R12" s="83">
        <v>0.59664600000000001</v>
      </c>
      <c r="S12" s="83">
        <v>2.499E-4</v>
      </c>
      <c r="T12" s="83">
        <v>2.9341300000000001</v>
      </c>
      <c r="U12" s="83">
        <v>0.59841500000000003</v>
      </c>
      <c r="V12" s="83">
        <v>2.499E-4</v>
      </c>
      <c r="W12" s="83">
        <v>2.9662099999999998</v>
      </c>
      <c r="X12" s="83">
        <v>0.60643100000000005</v>
      </c>
      <c r="Y12" s="83">
        <v>2.499E-4</v>
      </c>
      <c r="Z12" s="83">
        <v>2.9794800000000001</v>
      </c>
      <c r="AA12" s="83">
        <v>0.60101000000000004</v>
      </c>
      <c r="AB12" s="83">
        <v>2.499E-4</v>
      </c>
      <c r="AC12" s="83">
        <v>2.9918200000000001</v>
      </c>
      <c r="AD12" s="83">
        <v>0.59936</v>
      </c>
      <c r="AE12" s="83">
        <v>2.499E-4</v>
      </c>
      <c r="AF12" s="83">
        <v>2.9941599999999999</v>
      </c>
      <c r="AG12" s="83">
        <v>0.59247300000000003</v>
      </c>
      <c r="AH12" s="83">
        <v>2.499E-4</v>
      </c>
      <c r="AI12" s="83">
        <v>2.7774899999999998</v>
      </c>
      <c r="AJ12" s="83">
        <v>0.571241</v>
      </c>
      <c r="AK12" s="83">
        <v>2.499E-4</v>
      </c>
      <c r="AL12" s="83">
        <v>2.83765</v>
      </c>
      <c r="AM12" s="83">
        <v>0.57958699999999996</v>
      </c>
      <c r="AN12" s="83">
        <v>2.499E-4</v>
      </c>
      <c r="AO12" s="83">
        <v>3.0689899999999999</v>
      </c>
      <c r="AP12" s="83">
        <v>0.591306</v>
      </c>
      <c r="AQ12" s="83">
        <v>2.499E-4</v>
      </c>
      <c r="AR12" s="83">
        <v>3.1027</v>
      </c>
      <c r="AS12" s="83">
        <v>0.59215700000000004</v>
      </c>
      <c r="AT12" s="83">
        <v>2.499E-4</v>
      </c>
      <c r="AU12" s="83">
        <v>3.1976900000000001</v>
      </c>
      <c r="AV12" s="83">
        <v>0.60861900000000002</v>
      </c>
      <c r="AW12" s="83">
        <v>2.499E-4</v>
      </c>
      <c r="AX12" s="83">
        <v>2.9253900000000002</v>
      </c>
      <c r="AY12" s="83">
        <v>0.575519</v>
      </c>
      <c r="AZ12" s="83">
        <v>2.499E-4</v>
      </c>
      <c r="BA12" s="83">
        <v>2.9792399999999999</v>
      </c>
      <c r="BB12" s="83">
        <v>0.57464599999999999</v>
      </c>
      <c r="BC12" s="83">
        <v>2.499E-4</v>
      </c>
      <c r="BD12" s="83">
        <v>3.0573100000000002</v>
      </c>
      <c r="BE12" s="83">
        <v>0.58209100000000003</v>
      </c>
      <c r="BF12" s="83">
        <v>2.499E-4</v>
      </c>
      <c r="BG12" s="83">
        <v>3.0382699999999998</v>
      </c>
      <c r="BH12" s="83">
        <v>0.574762</v>
      </c>
      <c r="BI12" s="83">
        <v>2.499E-4</v>
      </c>
      <c r="BJ12" s="83">
        <v>2.9411100000000001</v>
      </c>
      <c r="BK12" s="83">
        <v>0.55343500000000001</v>
      </c>
      <c r="BL12" s="83">
        <v>2.499E-4</v>
      </c>
      <c r="BM12" s="83">
        <v>3.07226</v>
      </c>
      <c r="BN12" s="83">
        <v>0.56792299999999996</v>
      </c>
      <c r="BO12" s="83">
        <v>2.499E-4</v>
      </c>
      <c r="BP12" s="83">
        <v>3.1006499999999999</v>
      </c>
      <c r="BQ12" s="83">
        <v>0.56374800000000003</v>
      </c>
      <c r="BR12" s="83">
        <v>2.499E-4</v>
      </c>
      <c r="BS12" s="83">
        <v>3.2494100000000001</v>
      </c>
      <c r="BT12" s="83">
        <v>0.58737399999999995</v>
      </c>
      <c r="BU12" s="83">
        <v>2.499E-4</v>
      </c>
      <c r="BV12" s="83">
        <v>3.1954500000000001</v>
      </c>
      <c r="BW12" s="83">
        <v>0.57194599999999995</v>
      </c>
      <c r="BX12" s="83">
        <v>2.499E-4</v>
      </c>
      <c r="BY12" s="83">
        <v>3.5398399999999999</v>
      </c>
      <c r="BZ12" s="83">
        <v>0.59959700000000005</v>
      </c>
      <c r="CA12" s="83">
        <v>2.499E-4</v>
      </c>
      <c r="CB12" s="83">
        <v>3.3201000000000001</v>
      </c>
      <c r="CC12" s="83">
        <v>0.57801199999999997</v>
      </c>
      <c r="CD12" s="83">
        <v>2.499E-4</v>
      </c>
      <c r="CE12" s="83">
        <v>3.67658</v>
      </c>
      <c r="CF12" s="83">
        <v>0.60952099999999998</v>
      </c>
      <c r="CG12" s="83">
        <v>2.499E-4</v>
      </c>
      <c r="CH12" s="83">
        <v>3.74383</v>
      </c>
      <c r="CI12" s="83">
        <v>0.61207100000000003</v>
      </c>
      <c r="CJ12" s="83">
        <v>2.499E-4</v>
      </c>
      <c r="CK12" s="83">
        <v>3.4904600000000001</v>
      </c>
      <c r="CL12" s="83">
        <v>0.586978</v>
      </c>
      <c r="CM12" s="83">
        <v>2.499E-4</v>
      </c>
      <c r="CN12" s="83">
        <v>3.5482800000000001</v>
      </c>
      <c r="CO12" s="83">
        <v>0.58882100000000004</v>
      </c>
      <c r="CP12" s="83">
        <v>2.499E-4</v>
      </c>
      <c r="CQ12" s="83">
        <v>3.8580999999999999</v>
      </c>
      <c r="CR12" s="83">
        <v>0.61243199999999998</v>
      </c>
      <c r="CS12" s="83">
        <v>2.499E-4</v>
      </c>
      <c r="CT12" s="83">
        <v>3.8000400000000001</v>
      </c>
      <c r="CU12" s="83">
        <v>0.60148500000000005</v>
      </c>
      <c r="CV12" s="83">
        <v>2.499E-4</v>
      </c>
      <c r="CW12" s="83">
        <v>3.5734300000000001</v>
      </c>
      <c r="CX12" s="83">
        <v>0.58015399999999995</v>
      </c>
      <c r="CY12" s="83">
        <v>2.499E-4</v>
      </c>
      <c r="CZ12" s="83">
        <v>3.65856</v>
      </c>
      <c r="DA12" s="83">
        <v>0.58762000000000003</v>
      </c>
    </row>
    <row r="13" spans="1:105" x14ac:dyDescent="0.2">
      <c r="A13" s="83">
        <v>3.4989999999999999E-4</v>
      </c>
      <c r="B13" s="83">
        <v>2.9007000000000001</v>
      </c>
      <c r="C13" s="83">
        <v>0.61934100000000003</v>
      </c>
      <c r="D13" s="83">
        <v>3.4989999999999999E-4</v>
      </c>
      <c r="E13" s="83">
        <v>2.9664000000000001</v>
      </c>
      <c r="F13" s="83">
        <v>0.62227500000000002</v>
      </c>
      <c r="G13" s="83">
        <v>3.4989999999999999E-4</v>
      </c>
      <c r="H13" s="83">
        <v>3.0185200000000001</v>
      </c>
      <c r="I13" s="83">
        <v>0.623865</v>
      </c>
      <c r="J13" s="83">
        <v>3.4989999999999999E-4</v>
      </c>
      <c r="K13" s="83">
        <v>2.9903900000000001</v>
      </c>
      <c r="L13" s="83">
        <v>0.61639200000000005</v>
      </c>
      <c r="M13" s="83">
        <v>3.4989999999999999E-4</v>
      </c>
      <c r="N13" s="83">
        <v>3.1134200000000001</v>
      </c>
      <c r="O13" s="83">
        <v>0.62777700000000003</v>
      </c>
      <c r="P13" s="83">
        <v>3.4989999999999999E-4</v>
      </c>
      <c r="Q13" s="83">
        <v>3.1453799999999998</v>
      </c>
      <c r="R13" s="83">
        <v>0.61859500000000001</v>
      </c>
      <c r="S13" s="83">
        <v>3.4989999999999999E-4</v>
      </c>
      <c r="T13" s="83">
        <v>3.2074699999999998</v>
      </c>
      <c r="U13" s="83">
        <v>0.62287400000000004</v>
      </c>
      <c r="V13" s="83">
        <v>3.4989999999999999E-4</v>
      </c>
      <c r="W13" s="83">
        <v>3.25712</v>
      </c>
      <c r="X13" s="83">
        <v>0.62664900000000001</v>
      </c>
      <c r="Y13" s="83">
        <v>3.4989999999999999E-4</v>
      </c>
      <c r="Z13" s="83">
        <v>3.26918</v>
      </c>
      <c r="AA13" s="83">
        <v>0.62250000000000005</v>
      </c>
      <c r="AB13" s="83">
        <v>3.4989999999999999E-4</v>
      </c>
      <c r="AC13" s="83">
        <v>3.2893699999999999</v>
      </c>
      <c r="AD13" s="83">
        <v>0.62234199999999995</v>
      </c>
      <c r="AE13" s="83">
        <v>3.4989999999999999E-4</v>
      </c>
      <c r="AF13" s="83">
        <v>3.2763100000000001</v>
      </c>
      <c r="AG13" s="83">
        <v>0.61416000000000004</v>
      </c>
      <c r="AH13" s="83">
        <v>3.4989999999999999E-4</v>
      </c>
      <c r="AI13" s="83">
        <v>3.2600699999999998</v>
      </c>
      <c r="AJ13" s="83">
        <v>0.61635499999999999</v>
      </c>
      <c r="AK13" s="83">
        <v>3.4989999999999999E-4</v>
      </c>
      <c r="AL13" s="83">
        <v>3.34287</v>
      </c>
      <c r="AM13" s="83">
        <v>0.62606499999999998</v>
      </c>
      <c r="AN13" s="83">
        <v>3.4989999999999999E-4</v>
      </c>
      <c r="AO13" s="83">
        <v>3.3675299999999999</v>
      </c>
      <c r="AP13" s="83">
        <v>0.61610299999999996</v>
      </c>
      <c r="AQ13" s="83">
        <v>3.4989999999999999E-4</v>
      </c>
      <c r="AR13" s="83">
        <v>3.3845399999999999</v>
      </c>
      <c r="AS13" s="83">
        <v>0.61300299999999996</v>
      </c>
      <c r="AT13" s="83">
        <v>3.4989999999999999E-4</v>
      </c>
      <c r="AU13" s="83">
        <v>3.51423</v>
      </c>
      <c r="AV13" s="83">
        <v>0.63100800000000001</v>
      </c>
      <c r="AW13" s="83">
        <v>3.4989999999999999E-4</v>
      </c>
      <c r="AX13" s="83">
        <v>3.4262700000000001</v>
      </c>
      <c r="AY13" s="83">
        <v>0.62063100000000004</v>
      </c>
      <c r="AZ13" s="83">
        <v>3.4989999999999999E-4</v>
      </c>
      <c r="BA13" s="83">
        <v>3.4519500000000001</v>
      </c>
      <c r="BB13" s="83">
        <v>0.61751</v>
      </c>
      <c r="BC13" s="83">
        <v>3.4989999999999999E-4</v>
      </c>
      <c r="BD13" s="83">
        <v>3.5377000000000001</v>
      </c>
      <c r="BE13" s="83">
        <v>0.62548999999999999</v>
      </c>
      <c r="BF13" s="83">
        <v>3.4989999999999999E-4</v>
      </c>
      <c r="BG13" s="83">
        <v>3.5361699999999998</v>
      </c>
      <c r="BH13" s="83">
        <v>0.62041299999999999</v>
      </c>
      <c r="BI13" s="83">
        <v>3.4989999999999999E-4</v>
      </c>
      <c r="BJ13" s="83">
        <v>3.4794499999999999</v>
      </c>
      <c r="BK13" s="83">
        <v>0.60865499999999995</v>
      </c>
      <c r="BL13" s="83">
        <v>3.4989999999999999E-4</v>
      </c>
      <c r="BM13" s="83">
        <v>3.5607000000000002</v>
      </c>
      <c r="BN13" s="83">
        <v>0.61266600000000004</v>
      </c>
      <c r="BO13" s="83">
        <v>3.4989999999999999E-4</v>
      </c>
      <c r="BP13" s="83">
        <v>3.5680900000000002</v>
      </c>
      <c r="BQ13" s="83">
        <v>0.60748599999999997</v>
      </c>
      <c r="BR13" s="83">
        <v>3.4989999999999999E-4</v>
      </c>
      <c r="BS13" s="83">
        <v>3.7377600000000002</v>
      </c>
      <c r="BT13" s="83">
        <v>0.62631599999999998</v>
      </c>
      <c r="BU13" s="83">
        <v>3.4989999999999999E-4</v>
      </c>
      <c r="BV13" s="83">
        <v>3.6990599999999998</v>
      </c>
      <c r="BW13" s="83">
        <v>0.61558000000000002</v>
      </c>
      <c r="BX13" s="83">
        <v>3.4989999999999999E-4</v>
      </c>
      <c r="BY13" s="83">
        <v>3.8357899999999998</v>
      </c>
      <c r="BZ13" s="83">
        <v>0.62029299999999998</v>
      </c>
      <c r="CA13" s="83">
        <v>3.4989999999999999E-4</v>
      </c>
      <c r="CB13" s="83">
        <v>3.8031799999999998</v>
      </c>
      <c r="CC13" s="83">
        <v>0.617502</v>
      </c>
      <c r="CD13" s="83">
        <v>3.4989999999999999E-4</v>
      </c>
      <c r="CE13" s="83">
        <v>3.9826199999999998</v>
      </c>
      <c r="CF13" s="83">
        <v>0.62958499999999995</v>
      </c>
      <c r="CG13" s="83">
        <v>3.4989999999999999E-4</v>
      </c>
      <c r="CH13" s="83">
        <v>4.0399799999999999</v>
      </c>
      <c r="CI13" s="83">
        <v>0.63111600000000001</v>
      </c>
      <c r="CJ13" s="83">
        <v>3.4989999999999999E-4</v>
      </c>
      <c r="CK13" s="83">
        <v>4.0142600000000002</v>
      </c>
      <c r="CL13" s="83">
        <v>0.62825299999999995</v>
      </c>
      <c r="CM13" s="83">
        <v>3.4989999999999999E-4</v>
      </c>
      <c r="CN13" s="83">
        <v>4.04514</v>
      </c>
      <c r="CO13" s="83">
        <v>0.62652699999999995</v>
      </c>
      <c r="CP13" s="83">
        <v>3.4989999999999999E-4</v>
      </c>
      <c r="CQ13" s="83">
        <v>4.1498299999999997</v>
      </c>
      <c r="CR13" s="83">
        <v>0.62949200000000005</v>
      </c>
      <c r="CS13" s="83">
        <v>3.4989999999999999E-4</v>
      </c>
      <c r="CT13" s="83">
        <v>4.1199399999999997</v>
      </c>
      <c r="CU13" s="83">
        <v>0.621313</v>
      </c>
      <c r="CV13" s="83">
        <v>3.4989999999999999E-4</v>
      </c>
      <c r="CW13" s="83">
        <v>4.0961400000000001</v>
      </c>
      <c r="CX13" s="83">
        <v>0.62093500000000001</v>
      </c>
      <c r="CY13" s="83">
        <v>3.4989999999999999E-4</v>
      </c>
      <c r="CZ13" s="83">
        <v>4.1856</v>
      </c>
      <c r="DA13" s="83">
        <v>0.62886900000000001</v>
      </c>
    </row>
    <row r="14" spans="1:105" x14ac:dyDescent="0.2">
      <c r="A14" s="83">
        <v>4.4989999999999999E-4</v>
      </c>
      <c r="B14" s="83">
        <v>2.9006500000000002</v>
      </c>
      <c r="C14" s="83">
        <v>0.60520099999999999</v>
      </c>
      <c r="D14" s="83">
        <v>4.4989999999999999E-4</v>
      </c>
      <c r="E14" s="83">
        <v>2.9641099999999998</v>
      </c>
      <c r="F14" s="83">
        <v>0.60793600000000003</v>
      </c>
      <c r="G14" s="83">
        <v>4.4989999999999999E-4</v>
      </c>
      <c r="H14" s="83">
        <v>3.0269699999999999</v>
      </c>
      <c r="I14" s="83">
        <v>0.612846</v>
      </c>
      <c r="J14" s="83">
        <v>4.4989999999999999E-4</v>
      </c>
      <c r="K14" s="83">
        <v>3.0703200000000002</v>
      </c>
      <c r="L14" s="83">
        <v>0.61431000000000002</v>
      </c>
      <c r="M14" s="83">
        <v>4.4989999999999999E-4</v>
      </c>
      <c r="N14" s="83">
        <v>3.18153</v>
      </c>
      <c r="O14" s="83">
        <v>0.62512299999999998</v>
      </c>
      <c r="P14" s="83">
        <v>4.4989999999999999E-4</v>
      </c>
      <c r="Q14" s="83">
        <v>3.16872</v>
      </c>
      <c r="R14" s="83">
        <v>0.61025600000000002</v>
      </c>
      <c r="S14" s="83">
        <v>4.4989999999999999E-4</v>
      </c>
      <c r="T14" s="83">
        <v>3.2219199999999999</v>
      </c>
      <c r="U14" s="83">
        <v>0.61225799999999997</v>
      </c>
      <c r="V14" s="83">
        <v>4.4989999999999999E-4</v>
      </c>
      <c r="W14" s="83">
        <v>3.2588400000000002</v>
      </c>
      <c r="X14" s="83">
        <v>0.61357899999999999</v>
      </c>
      <c r="Y14" s="83">
        <v>4.4989999999999999E-4</v>
      </c>
      <c r="Z14" s="83">
        <v>3.2703199999999999</v>
      </c>
      <c r="AA14" s="83">
        <v>0.60863100000000003</v>
      </c>
      <c r="AB14" s="83">
        <v>4.4989999999999999E-4</v>
      </c>
      <c r="AC14" s="83">
        <v>3.2994599999999998</v>
      </c>
      <c r="AD14" s="83">
        <v>0.61035300000000003</v>
      </c>
      <c r="AE14" s="83">
        <v>4.4989999999999999E-4</v>
      </c>
      <c r="AF14" s="83">
        <v>3.2897099999999999</v>
      </c>
      <c r="AG14" s="83">
        <v>0.60179499999999997</v>
      </c>
      <c r="AH14" s="83">
        <v>4.4989999999999999E-4</v>
      </c>
      <c r="AI14" s="83">
        <v>3.3559000000000001</v>
      </c>
      <c r="AJ14" s="83">
        <v>0.61450800000000005</v>
      </c>
      <c r="AK14" s="83">
        <v>4.4989999999999999E-4</v>
      </c>
      <c r="AL14" s="83">
        <v>3.4353400000000001</v>
      </c>
      <c r="AM14" s="83">
        <v>0.624977</v>
      </c>
      <c r="AN14" s="83">
        <v>4.4989999999999999E-4</v>
      </c>
      <c r="AO14" s="83">
        <v>3.38307</v>
      </c>
      <c r="AP14" s="83">
        <v>0.60453199999999996</v>
      </c>
      <c r="AQ14" s="83">
        <v>4.4989999999999999E-4</v>
      </c>
      <c r="AR14" s="83">
        <v>3.40286</v>
      </c>
      <c r="AS14" s="83">
        <v>0.60201300000000002</v>
      </c>
      <c r="AT14" s="83">
        <v>4.4989999999999999E-4</v>
      </c>
      <c r="AU14" s="83">
        <v>3.5203000000000002</v>
      </c>
      <c r="AV14" s="83">
        <v>0.62106300000000003</v>
      </c>
      <c r="AW14" s="83">
        <v>4.4989999999999999E-4</v>
      </c>
      <c r="AX14" s="83">
        <v>3.51973</v>
      </c>
      <c r="AY14" s="83">
        <v>0.61884099999999997</v>
      </c>
      <c r="AZ14" s="83">
        <v>4.4989999999999999E-4</v>
      </c>
      <c r="BA14" s="83">
        <v>3.5484200000000001</v>
      </c>
      <c r="BB14" s="83">
        <v>0.61623700000000003</v>
      </c>
      <c r="BC14" s="83">
        <v>4.4989999999999999E-4</v>
      </c>
      <c r="BD14" s="83">
        <v>3.61829</v>
      </c>
      <c r="BE14" s="83">
        <v>0.62300800000000001</v>
      </c>
      <c r="BF14" s="83">
        <v>4.4989999999999999E-4</v>
      </c>
      <c r="BG14" s="83">
        <v>3.62697</v>
      </c>
      <c r="BH14" s="83">
        <v>0.61835200000000001</v>
      </c>
      <c r="BI14" s="83">
        <v>4.4989999999999999E-4</v>
      </c>
      <c r="BJ14" s="83">
        <v>3.61097</v>
      </c>
      <c r="BK14" s="83">
        <v>0.60948199999999997</v>
      </c>
      <c r="BL14" s="83">
        <v>4.4989999999999999E-4</v>
      </c>
      <c r="BM14" s="83">
        <v>3.6639499999999998</v>
      </c>
      <c r="BN14" s="83">
        <v>0.61103399999999997</v>
      </c>
      <c r="BO14" s="83">
        <v>4.4989999999999999E-4</v>
      </c>
      <c r="BP14" s="83">
        <v>3.6839900000000001</v>
      </c>
      <c r="BQ14" s="83">
        <v>0.60787599999999997</v>
      </c>
      <c r="BR14" s="83">
        <v>4.4989999999999999E-4</v>
      </c>
      <c r="BS14" s="83">
        <v>3.8185199999999999</v>
      </c>
      <c r="BT14" s="83">
        <v>0.624413</v>
      </c>
      <c r="BU14" s="83">
        <v>4.4989999999999999E-4</v>
      </c>
      <c r="BV14" s="83">
        <v>3.7984800000000001</v>
      </c>
      <c r="BW14" s="83">
        <v>0.61378699999999997</v>
      </c>
      <c r="BX14" s="83">
        <v>4.4989999999999999E-4</v>
      </c>
      <c r="BY14" s="83">
        <v>3.8407800000000001</v>
      </c>
      <c r="BZ14" s="83">
        <v>0.60912500000000003</v>
      </c>
      <c r="CA14" s="83">
        <v>4.4989999999999999E-4</v>
      </c>
      <c r="CB14" s="83">
        <v>3.8785699999999999</v>
      </c>
      <c r="CC14" s="83">
        <v>0.61276799999999998</v>
      </c>
      <c r="CD14" s="83">
        <v>4.4989999999999999E-4</v>
      </c>
      <c r="CE14" s="83">
        <v>3.9713699999999998</v>
      </c>
      <c r="CF14" s="83">
        <v>0.61788699999999996</v>
      </c>
      <c r="CG14" s="83">
        <v>4.4989999999999999E-4</v>
      </c>
      <c r="CH14" s="83">
        <v>4.0274900000000002</v>
      </c>
      <c r="CI14" s="83">
        <v>0.61975499999999994</v>
      </c>
      <c r="CJ14" s="83">
        <v>4.4989999999999999E-4</v>
      </c>
      <c r="CK14" s="83">
        <v>4.0817699999999997</v>
      </c>
      <c r="CL14" s="83">
        <v>0.62411399999999995</v>
      </c>
      <c r="CM14" s="83">
        <v>4.4989999999999999E-4</v>
      </c>
      <c r="CN14" s="83">
        <v>4.1260500000000002</v>
      </c>
      <c r="CO14" s="83">
        <v>0.62452799999999997</v>
      </c>
      <c r="CP14" s="83">
        <v>4.4989999999999999E-4</v>
      </c>
      <c r="CQ14" s="83">
        <v>4.1294700000000004</v>
      </c>
      <c r="CR14" s="83">
        <v>0.61608700000000005</v>
      </c>
      <c r="CS14" s="83">
        <v>4.4989999999999999E-4</v>
      </c>
      <c r="CT14" s="83">
        <v>4.1075200000000001</v>
      </c>
      <c r="CU14" s="83">
        <v>0.606325</v>
      </c>
      <c r="CV14" s="83">
        <v>4.4989999999999999E-4</v>
      </c>
      <c r="CW14" s="83">
        <v>4.1760900000000003</v>
      </c>
      <c r="CX14" s="83">
        <v>0.61662099999999997</v>
      </c>
      <c r="CY14" s="83">
        <v>4.4989999999999999E-4</v>
      </c>
      <c r="CZ14" s="83">
        <v>4.2619400000000001</v>
      </c>
      <c r="DA14" s="83">
        <v>0.62544</v>
      </c>
    </row>
    <row r="15" spans="1:105" x14ac:dyDescent="0.2">
      <c r="A15" s="83">
        <v>5.4989999999999998E-4</v>
      </c>
      <c r="B15" s="83">
        <v>2.8437999999999999</v>
      </c>
      <c r="C15" s="83">
        <v>0.57765500000000003</v>
      </c>
      <c r="D15" s="83">
        <v>5.4989999999999998E-4</v>
      </c>
      <c r="E15" s="83">
        <v>2.9060000000000001</v>
      </c>
      <c r="F15" s="83">
        <v>0.58023199999999997</v>
      </c>
      <c r="G15" s="83">
        <v>5.4989999999999998E-4</v>
      </c>
      <c r="H15" s="83">
        <v>2.9703499999999998</v>
      </c>
      <c r="I15" s="83">
        <v>0.58723700000000001</v>
      </c>
      <c r="J15" s="83">
        <v>5.4989999999999998E-4</v>
      </c>
      <c r="K15" s="83">
        <v>3.0303499999999999</v>
      </c>
      <c r="L15" s="83">
        <v>0.59298399999999996</v>
      </c>
      <c r="M15" s="83">
        <v>5.4989999999999998E-4</v>
      </c>
      <c r="N15" s="83">
        <v>3.1373000000000002</v>
      </c>
      <c r="O15" s="83">
        <v>0.60599899999999995</v>
      </c>
      <c r="P15" s="83">
        <v>5.4989999999999998E-4</v>
      </c>
      <c r="Q15" s="83">
        <v>3.1158899999999998</v>
      </c>
      <c r="R15" s="83">
        <v>0.58630300000000002</v>
      </c>
      <c r="S15" s="83">
        <v>5.4989999999999998E-4</v>
      </c>
      <c r="T15" s="83">
        <v>3.16249</v>
      </c>
      <c r="U15" s="83">
        <v>0.58686499999999997</v>
      </c>
      <c r="V15" s="83">
        <v>5.4989999999999998E-4</v>
      </c>
      <c r="W15" s="83">
        <v>3.19354</v>
      </c>
      <c r="X15" s="83">
        <v>0.58721100000000004</v>
      </c>
      <c r="Y15" s="83">
        <v>5.4989999999999998E-4</v>
      </c>
      <c r="Z15" s="83">
        <v>3.20323</v>
      </c>
      <c r="AA15" s="83">
        <v>0.58104299999999998</v>
      </c>
      <c r="AB15" s="83">
        <v>5.4989999999999998E-4</v>
      </c>
      <c r="AC15" s="83">
        <v>3.2341199999999999</v>
      </c>
      <c r="AD15" s="83">
        <v>0.58388399999999996</v>
      </c>
      <c r="AE15" s="83">
        <v>5.4989999999999998E-4</v>
      </c>
      <c r="AF15" s="83">
        <v>3.2295500000000001</v>
      </c>
      <c r="AG15" s="83">
        <v>0.57559499999999997</v>
      </c>
      <c r="AH15" s="83">
        <v>5.4989999999999998E-4</v>
      </c>
      <c r="AI15" s="83">
        <v>3.31169</v>
      </c>
      <c r="AJ15" s="83">
        <v>0.59350700000000001</v>
      </c>
      <c r="AK15" s="83">
        <v>5.4989999999999998E-4</v>
      </c>
      <c r="AL15" s="83">
        <v>3.3891800000000001</v>
      </c>
      <c r="AM15" s="83">
        <v>0.60657000000000005</v>
      </c>
      <c r="AN15" s="83">
        <v>5.4989999999999998E-4</v>
      </c>
      <c r="AO15" s="83">
        <v>3.3199000000000001</v>
      </c>
      <c r="AP15" s="83">
        <v>0.57878099999999999</v>
      </c>
      <c r="AQ15" s="83">
        <v>5.4989999999999998E-4</v>
      </c>
      <c r="AR15" s="83">
        <v>3.3402099999999999</v>
      </c>
      <c r="AS15" s="83">
        <v>0.575928</v>
      </c>
      <c r="AT15" s="83">
        <v>5.4989999999999998E-4</v>
      </c>
      <c r="AU15" s="83">
        <v>3.4474900000000002</v>
      </c>
      <c r="AV15" s="83">
        <v>0.597001</v>
      </c>
      <c r="AW15" s="83">
        <v>5.4989999999999998E-4</v>
      </c>
      <c r="AX15" s="83">
        <v>3.4700199999999999</v>
      </c>
      <c r="AY15" s="83">
        <v>0.59869000000000006</v>
      </c>
      <c r="AZ15" s="83">
        <v>5.4989999999999998E-4</v>
      </c>
      <c r="BA15" s="83">
        <v>3.5042</v>
      </c>
      <c r="BB15" s="83">
        <v>0.59737600000000002</v>
      </c>
      <c r="BC15" s="83">
        <v>5.4989999999999998E-4</v>
      </c>
      <c r="BD15" s="83">
        <v>3.5627599999999999</v>
      </c>
      <c r="BE15" s="83">
        <v>0.60353500000000004</v>
      </c>
      <c r="BF15" s="83">
        <v>5.4989999999999998E-4</v>
      </c>
      <c r="BG15" s="83">
        <v>3.5728200000000001</v>
      </c>
      <c r="BH15" s="83">
        <v>0.597881</v>
      </c>
      <c r="BI15" s="83">
        <v>5.4989999999999998E-4</v>
      </c>
      <c r="BJ15" s="83">
        <v>3.5720100000000001</v>
      </c>
      <c r="BK15" s="83">
        <v>0.59001000000000003</v>
      </c>
      <c r="BL15" s="83">
        <v>5.4989999999999998E-4</v>
      </c>
      <c r="BM15" s="83">
        <v>3.6114199999999999</v>
      </c>
      <c r="BN15" s="83">
        <v>0.58957400000000004</v>
      </c>
      <c r="BO15" s="83">
        <v>5.4989999999999998E-4</v>
      </c>
      <c r="BP15" s="83">
        <v>3.6321599999999998</v>
      </c>
      <c r="BQ15" s="83">
        <v>0.58609699999999998</v>
      </c>
      <c r="BR15" s="83">
        <v>5.4989999999999998E-4</v>
      </c>
      <c r="BS15" s="83">
        <v>3.7567599999999999</v>
      </c>
      <c r="BT15" s="83">
        <v>0.60516000000000003</v>
      </c>
      <c r="BU15" s="83">
        <v>5.4989999999999998E-4</v>
      </c>
      <c r="BV15" s="83">
        <v>3.7425099999999998</v>
      </c>
      <c r="BW15" s="83">
        <v>0.59296000000000004</v>
      </c>
      <c r="BX15" s="83">
        <v>5.4989999999999998E-4</v>
      </c>
      <c r="BY15" s="83">
        <v>3.7547199999999998</v>
      </c>
      <c r="BZ15" s="83">
        <v>0.58258299999999996</v>
      </c>
      <c r="CA15" s="83">
        <v>5.4989999999999998E-4</v>
      </c>
      <c r="CB15" s="83">
        <v>3.8158799999999999</v>
      </c>
      <c r="CC15" s="83">
        <v>0.59101700000000001</v>
      </c>
      <c r="CD15" s="83">
        <v>5.4989999999999998E-4</v>
      </c>
      <c r="CE15" s="83">
        <v>3.88069</v>
      </c>
      <c r="CF15" s="83">
        <v>0.59257099999999996</v>
      </c>
      <c r="CG15" s="83">
        <v>5.4989999999999998E-4</v>
      </c>
      <c r="CH15" s="83">
        <v>3.9311400000000001</v>
      </c>
      <c r="CI15" s="83">
        <v>0.59432300000000005</v>
      </c>
      <c r="CJ15" s="83">
        <v>5.4989999999999998E-4</v>
      </c>
      <c r="CK15" s="83">
        <v>4.0070100000000002</v>
      </c>
      <c r="CL15" s="83">
        <v>0.60341</v>
      </c>
      <c r="CM15" s="83">
        <v>5.4989999999999998E-4</v>
      </c>
      <c r="CN15" s="83">
        <v>4.0564099999999996</v>
      </c>
      <c r="CO15" s="83">
        <v>0.60502299999999998</v>
      </c>
      <c r="CP15" s="83">
        <v>5.4989999999999998E-4</v>
      </c>
      <c r="CQ15" s="83">
        <v>4.0280800000000001</v>
      </c>
      <c r="CR15" s="83">
        <v>0.58909599999999995</v>
      </c>
      <c r="CS15" s="83">
        <v>5.4989999999999998E-4</v>
      </c>
      <c r="CT15" s="83">
        <v>4.0042600000000004</v>
      </c>
      <c r="CU15" s="83">
        <v>0.577017</v>
      </c>
      <c r="CV15" s="83">
        <v>5.4989999999999998E-4</v>
      </c>
      <c r="CW15" s="83">
        <v>4.1062599999999998</v>
      </c>
      <c r="CX15" s="83">
        <v>0.595225</v>
      </c>
      <c r="CY15" s="83">
        <v>5.4989999999999998E-4</v>
      </c>
      <c r="CZ15" s="83">
        <v>4.1825000000000001</v>
      </c>
      <c r="DA15" s="83">
        <v>0.60449600000000003</v>
      </c>
    </row>
    <row r="16" spans="1:105" x14ac:dyDescent="0.2">
      <c r="A16" s="83">
        <v>6.4990000000000002E-4</v>
      </c>
      <c r="B16" s="83">
        <v>2.7725599999999999</v>
      </c>
      <c r="C16" s="83">
        <v>0.54427800000000004</v>
      </c>
      <c r="D16" s="83">
        <v>6.4990000000000002E-4</v>
      </c>
      <c r="E16" s="83">
        <v>2.8317299999999999</v>
      </c>
      <c r="F16" s="83">
        <v>0.54690799999999995</v>
      </c>
      <c r="G16" s="83">
        <v>6.4990000000000002E-4</v>
      </c>
      <c r="H16" s="83">
        <v>2.8954499999999999</v>
      </c>
      <c r="I16" s="83">
        <v>0.55397300000000005</v>
      </c>
      <c r="J16" s="83">
        <v>6.4990000000000002E-4</v>
      </c>
      <c r="K16" s="83">
        <v>2.9605999999999999</v>
      </c>
      <c r="L16" s="83">
        <v>0.56164599999999998</v>
      </c>
      <c r="M16" s="83">
        <v>6.4990000000000002E-4</v>
      </c>
      <c r="N16" s="83">
        <v>3.06406</v>
      </c>
      <c r="O16" s="83">
        <v>0.57599199999999995</v>
      </c>
      <c r="P16" s="83">
        <v>6.4990000000000002E-4</v>
      </c>
      <c r="Q16" s="83">
        <v>3.03762</v>
      </c>
      <c r="R16" s="83">
        <v>0.55274900000000005</v>
      </c>
      <c r="S16" s="83">
        <v>6.4990000000000002E-4</v>
      </c>
      <c r="T16" s="83">
        <v>3.0831599999999999</v>
      </c>
      <c r="U16" s="83">
        <v>0.55355100000000002</v>
      </c>
      <c r="V16" s="83">
        <v>6.4990000000000002E-4</v>
      </c>
      <c r="W16" s="83">
        <v>3.1120700000000001</v>
      </c>
      <c r="X16" s="83">
        <v>0.55385600000000001</v>
      </c>
      <c r="Y16" s="83">
        <v>6.4990000000000002E-4</v>
      </c>
      <c r="Z16" s="83">
        <v>3.1190699999999998</v>
      </c>
      <c r="AA16" s="83">
        <v>0.54702700000000004</v>
      </c>
      <c r="AB16" s="83">
        <v>6.4990000000000002E-4</v>
      </c>
      <c r="AC16" s="83">
        <v>3.1508099999999999</v>
      </c>
      <c r="AD16" s="83">
        <v>0.55013500000000004</v>
      </c>
      <c r="AE16" s="83">
        <v>6.4990000000000002E-4</v>
      </c>
      <c r="AF16" s="83">
        <v>3.1476000000000002</v>
      </c>
      <c r="AG16" s="83">
        <v>0.54286500000000004</v>
      </c>
      <c r="AH16" s="83">
        <v>6.4990000000000002E-4</v>
      </c>
      <c r="AI16" s="83">
        <v>3.23278</v>
      </c>
      <c r="AJ16" s="83">
        <v>0.56215099999999996</v>
      </c>
      <c r="AK16" s="83">
        <v>6.4990000000000002E-4</v>
      </c>
      <c r="AL16" s="83">
        <v>3.30681</v>
      </c>
      <c r="AM16" s="83">
        <v>0.576326</v>
      </c>
      <c r="AN16" s="83">
        <v>6.4990000000000002E-4</v>
      </c>
      <c r="AO16" s="83">
        <v>3.23346</v>
      </c>
      <c r="AP16" s="83">
        <v>0.54558600000000002</v>
      </c>
      <c r="AQ16" s="83">
        <v>6.4990000000000002E-4</v>
      </c>
      <c r="AR16" s="83">
        <v>3.2519300000000002</v>
      </c>
      <c r="AS16" s="83">
        <v>0.54275899999999999</v>
      </c>
      <c r="AT16" s="83">
        <v>6.4990000000000002E-4</v>
      </c>
      <c r="AU16" s="83">
        <v>3.3526500000000001</v>
      </c>
      <c r="AV16" s="83">
        <v>0.56354599999999999</v>
      </c>
      <c r="AW16" s="83">
        <v>6.4990000000000002E-4</v>
      </c>
      <c r="AX16" s="83">
        <v>3.3809200000000001</v>
      </c>
      <c r="AY16" s="83">
        <v>0.56680900000000001</v>
      </c>
      <c r="AZ16" s="83">
        <v>6.4990000000000002E-4</v>
      </c>
      <c r="BA16" s="83">
        <v>3.4200599999999999</v>
      </c>
      <c r="BB16" s="83">
        <v>0.56737499999999996</v>
      </c>
      <c r="BC16" s="83">
        <v>6.4990000000000002E-4</v>
      </c>
      <c r="BD16" s="83">
        <v>3.4715699999999998</v>
      </c>
      <c r="BE16" s="83">
        <v>0.57294500000000004</v>
      </c>
      <c r="BF16" s="83">
        <v>6.4990000000000002E-4</v>
      </c>
      <c r="BG16" s="83">
        <v>3.4820199999999999</v>
      </c>
      <c r="BH16" s="83">
        <v>0.56654099999999996</v>
      </c>
      <c r="BI16" s="83">
        <v>6.4990000000000002E-4</v>
      </c>
      <c r="BJ16" s="83">
        <v>3.4852099999999999</v>
      </c>
      <c r="BK16" s="83">
        <v>0.55972299999999997</v>
      </c>
      <c r="BL16" s="83">
        <v>6.4990000000000002E-4</v>
      </c>
      <c r="BM16" s="83">
        <v>3.5180500000000001</v>
      </c>
      <c r="BN16" s="83">
        <v>0.558087</v>
      </c>
      <c r="BO16" s="83">
        <v>6.4990000000000002E-4</v>
      </c>
      <c r="BP16" s="83">
        <v>3.5408400000000002</v>
      </c>
      <c r="BQ16" s="83">
        <v>0.55516399999999999</v>
      </c>
      <c r="BR16" s="83">
        <v>6.4990000000000002E-4</v>
      </c>
      <c r="BS16" s="83">
        <v>3.6575099999999998</v>
      </c>
      <c r="BT16" s="83">
        <v>0.57474400000000003</v>
      </c>
      <c r="BU16" s="83">
        <v>6.4990000000000002E-4</v>
      </c>
      <c r="BV16" s="83">
        <v>3.6429999999999998</v>
      </c>
      <c r="BW16" s="83">
        <v>0.56156399999999995</v>
      </c>
      <c r="BX16" s="83">
        <v>6.4990000000000002E-4</v>
      </c>
      <c r="BY16" s="83">
        <v>3.64303</v>
      </c>
      <c r="BZ16" s="83">
        <v>0.54831099999999999</v>
      </c>
      <c r="CA16" s="83">
        <v>6.4990000000000002E-4</v>
      </c>
      <c r="CB16" s="83">
        <v>3.7149800000000002</v>
      </c>
      <c r="CC16" s="83">
        <v>0.56007099999999999</v>
      </c>
      <c r="CD16" s="83">
        <v>6.4990000000000002E-4</v>
      </c>
      <c r="CE16" s="83">
        <v>3.7664399999999998</v>
      </c>
      <c r="CF16" s="83">
        <v>0.55928599999999995</v>
      </c>
      <c r="CG16" s="83">
        <v>6.4990000000000002E-4</v>
      </c>
      <c r="CH16" s="83">
        <v>3.8153800000000002</v>
      </c>
      <c r="CI16" s="83">
        <v>0.56120800000000004</v>
      </c>
      <c r="CJ16" s="83">
        <v>6.4990000000000002E-4</v>
      </c>
      <c r="CK16" s="83">
        <v>3.8940600000000001</v>
      </c>
      <c r="CL16" s="83">
        <v>0.57212600000000002</v>
      </c>
      <c r="CM16" s="83">
        <v>6.4990000000000002E-4</v>
      </c>
      <c r="CN16" s="83">
        <v>3.9429799999999999</v>
      </c>
      <c r="CO16" s="83">
        <v>0.574129</v>
      </c>
      <c r="CP16" s="83">
        <v>6.4990000000000002E-4</v>
      </c>
      <c r="CQ16" s="83">
        <v>3.9060800000000002</v>
      </c>
      <c r="CR16" s="83">
        <v>0.555732</v>
      </c>
      <c r="CS16" s="83">
        <v>6.4990000000000002E-4</v>
      </c>
      <c r="CT16" s="83">
        <v>3.8768699999999998</v>
      </c>
      <c r="CU16" s="83">
        <v>0.54262699999999997</v>
      </c>
      <c r="CV16" s="83">
        <v>6.4990000000000002E-4</v>
      </c>
      <c r="CW16" s="83">
        <v>3.9860799999999998</v>
      </c>
      <c r="CX16" s="83">
        <v>0.56264800000000004</v>
      </c>
      <c r="CY16" s="83">
        <v>6.4990000000000002E-4</v>
      </c>
      <c r="CZ16" s="83">
        <v>4.06027</v>
      </c>
      <c r="DA16" s="83">
        <v>0.57295600000000002</v>
      </c>
    </row>
    <row r="17" spans="1:105" x14ac:dyDescent="0.2">
      <c r="A17" s="83">
        <v>7.4989999999999996E-4</v>
      </c>
      <c r="B17" s="83">
        <v>2.69808</v>
      </c>
      <c r="C17" s="83">
        <v>0.51281399999999999</v>
      </c>
      <c r="D17" s="83">
        <v>7.4989999999999996E-4</v>
      </c>
      <c r="E17" s="83">
        <v>2.7558500000000001</v>
      </c>
      <c r="F17" s="83">
        <v>0.51523600000000003</v>
      </c>
      <c r="G17" s="83">
        <v>7.4989999999999996E-4</v>
      </c>
      <c r="H17" s="83">
        <v>2.8174299999999999</v>
      </c>
      <c r="I17" s="83">
        <v>0.52120500000000003</v>
      </c>
      <c r="J17" s="83">
        <v>7.4989999999999996E-4</v>
      </c>
      <c r="K17" s="83">
        <v>2.8834</v>
      </c>
      <c r="L17" s="83">
        <v>0.52890599999999999</v>
      </c>
      <c r="M17" s="83">
        <v>7.4989999999999996E-4</v>
      </c>
      <c r="N17" s="83">
        <v>2.9847399999999999</v>
      </c>
      <c r="O17" s="83">
        <v>0.542215</v>
      </c>
      <c r="P17" s="83">
        <v>7.4989999999999996E-4</v>
      </c>
      <c r="Q17" s="83">
        <v>2.95425</v>
      </c>
      <c r="R17" s="83">
        <v>0.51974699999999996</v>
      </c>
      <c r="S17" s="83">
        <v>7.4989999999999996E-4</v>
      </c>
      <c r="T17" s="83">
        <v>2.9990000000000001</v>
      </c>
      <c r="U17" s="83">
        <v>0.520563</v>
      </c>
      <c r="V17" s="83">
        <v>7.4989999999999996E-4</v>
      </c>
      <c r="W17" s="83">
        <v>3.02685</v>
      </c>
      <c r="X17" s="83">
        <v>0.52076500000000003</v>
      </c>
      <c r="Y17" s="83">
        <v>7.4989999999999996E-4</v>
      </c>
      <c r="Z17" s="83">
        <v>3.0335899999999998</v>
      </c>
      <c r="AA17" s="83">
        <v>0.51513600000000004</v>
      </c>
      <c r="AB17" s="83">
        <v>7.4989999999999996E-4</v>
      </c>
      <c r="AC17" s="83">
        <v>3.06399</v>
      </c>
      <c r="AD17" s="83">
        <v>0.51763400000000004</v>
      </c>
      <c r="AE17" s="83">
        <v>7.4989999999999996E-4</v>
      </c>
      <c r="AF17" s="83">
        <v>3.0618699999999999</v>
      </c>
      <c r="AG17" s="83">
        <v>0.51170300000000002</v>
      </c>
      <c r="AH17" s="83">
        <v>7.4989999999999996E-4</v>
      </c>
      <c r="AI17" s="83">
        <v>3.1443400000000001</v>
      </c>
      <c r="AJ17" s="83">
        <v>0.52889299999999995</v>
      </c>
      <c r="AK17" s="83">
        <v>7.4989999999999996E-4</v>
      </c>
      <c r="AL17" s="83">
        <v>3.2147999999999999</v>
      </c>
      <c r="AM17" s="83">
        <v>0.542099</v>
      </c>
      <c r="AN17" s="83">
        <v>7.4989999999999996E-4</v>
      </c>
      <c r="AO17" s="83">
        <v>3.1417600000000001</v>
      </c>
      <c r="AP17" s="83">
        <v>0.51352200000000003</v>
      </c>
      <c r="AQ17" s="83">
        <v>7.4989999999999996E-4</v>
      </c>
      <c r="AR17" s="83">
        <v>3.1579100000000002</v>
      </c>
      <c r="AS17" s="83">
        <v>0.51024400000000003</v>
      </c>
      <c r="AT17" s="83">
        <v>7.4989999999999996E-4</v>
      </c>
      <c r="AU17" s="83">
        <v>3.2549800000000002</v>
      </c>
      <c r="AV17" s="83">
        <v>0.52937199999999995</v>
      </c>
      <c r="AW17" s="83">
        <v>7.4989999999999996E-4</v>
      </c>
      <c r="AX17" s="83">
        <v>3.2848799999999998</v>
      </c>
      <c r="AY17" s="83">
        <v>0.53333799999999998</v>
      </c>
      <c r="AZ17" s="83">
        <v>7.4989999999999996E-4</v>
      </c>
      <c r="BA17" s="83">
        <v>3.3228200000000001</v>
      </c>
      <c r="BB17" s="83">
        <v>0.53394900000000001</v>
      </c>
      <c r="BC17" s="83">
        <v>7.4989999999999996E-4</v>
      </c>
      <c r="BD17" s="83">
        <v>3.3723000000000001</v>
      </c>
      <c r="BE17" s="83">
        <v>0.53946400000000005</v>
      </c>
      <c r="BF17" s="83">
        <v>7.4989999999999996E-4</v>
      </c>
      <c r="BG17" s="83">
        <v>3.3797600000000001</v>
      </c>
      <c r="BH17" s="83">
        <v>0.53259599999999996</v>
      </c>
      <c r="BI17" s="83">
        <v>7.4989999999999996E-4</v>
      </c>
      <c r="BJ17" s="83">
        <v>3.3861400000000001</v>
      </c>
      <c r="BK17" s="83">
        <v>0.52756899999999995</v>
      </c>
      <c r="BL17" s="83">
        <v>7.4989999999999996E-4</v>
      </c>
      <c r="BM17" s="83">
        <v>3.41412</v>
      </c>
      <c r="BN17" s="83">
        <v>0.52529999999999999</v>
      </c>
      <c r="BO17" s="83">
        <v>7.4989999999999996E-4</v>
      </c>
      <c r="BP17" s="83">
        <v>3.4365700000000001</v>
      </c>
      <c r="BQ17" s="83">
        <v>0.52313100000000001</v>
      </c>
      <c r="BR17" s="83">
        <v>7.4989999999999996E-4</v>
      </c>
      <c r="BS17" s="83">
        <v>3.548</v>
      </c>
      <c r="BT17" s="83">
        <v>0.54061499999999996</v>
      </c>
      <c r="BU17" s="83">
        <v>7.4989999999999996E-4</v>
      </c>
      <c r="BV17" s="83">
        <v>3.53376</v>
      </c>
      <c r="BW17" s="83">
        <v>0.52861000000000002</v>
      </c>
      <c r="BX17" s="83">
        <v>7.4989999999999996E-4</v>
      </c>
      <c r="BY17" s="83">
        <v>3.5270999999999999</v>
      </c>
      <c r="BZ17" s="83">
        <v>0.51583699999999999</v>
      </c>
      <c r="CA17" s="83">
        <v>7.4989999999999996E-4</v>
      </c>
      <c r="CB17" s="83">
        <v>3.6027</v>
      </c>
      <c r="CC17" s="83">
        <v>0.52778400000000003</v>
      </c>
      <c r="CD17" s="83">
        <v>7.4989999999999996E-4</v>
      </c>
      <c r="CE17" s="83">
        <v>3.6465000000000001</v>
      </c>
      <c r="CF17" s="83">
        <v>0.52583500000000005</v>
      </c>
      <c r="CG17" s="83">
        <v>7.4989999999999996E-4</v>
      </c>
      <c r="CH17" s="83">
        <v>3.6936200000000001</v>
      </c>
      <c r="CI17" s="83">
        <v>0.52820999999999996</v>
      </c>
      <c r="CJ17" s="83">
        <v>7.4989999999999996E-4</v>
      </c>
      <c r="CK17" s="83">
        <v>3.77135</v>
      </c>
      <c r="CL17" s="83">
        <v>0.53821600000000003</v>
      </c>
      <c r="CM17" s="83">
        <v>7.4989999999999996E-4</v>
      </c>
      <c r="CN17" s="83">
        <v>3.81698</v>
      </c>
      <c r="CO17" s="83">
        <v>0.53989500000000001</v>
      </c>
      <c r="CP17" s="83">
        <v>7.4989999999999996E-4</v>
      </c>
      <c r="CQ17" s="83">
        <v>3.7774800000000002</v>
      </c>
      <c r="CR17" s="83">
        <v>0.52283100000000005</v>
      </c>
      <c r="CS17" s="83">
        <v>7.4989999999999996E-4</v>
      </c>
      <c r="CT17" s="83">
        <v>3.7452399999999999</v>
      </c>
      <c r="CU17" s="83">
        <v>0.51098200000000005</v>
      </c>
      <c r="CV17" s="83">
        <v>7.4989999999999996E-4</v>
      </c>
      <c r="CW17" s="83">
        <v>3.85372</v>
      </c>
      <c r="CX17" s="83">
        <v>0.52906500000000001</v>
      </c>
      <c r="CY17" s="83">
        <v>7.4989999999999996E-4</v>
      </c>
      <c r="CZ17" s="83">
        <v>3.92801</v>
      </c>
      <c r="DA17" s="83">
        <v>0.53954599999999997</v>
      </c>
    </row>
    <row r="18" spans="1:105" x14ac:dyDescent="0.2">
      <c r="A18" s="83">
        <v>8.499E-4</v>
      </c>
      <c r="B18" s="83">
        <v>2.6221000000000001</v>
      </c>
      <c r="C18" s="83">
        <v>0.48300999999999999</v>
      </c>
      <c r="D18" s="83">
        <v>8.499E-4</v>
      </c>
      <c r="E18" s="83">
        <v>2.6783399999999999</v>
      </c>
      <c r="F18" s="83">
        <v>0.48523500000000003</v>
      </c>
      <c r="G18" s="83">
        <v>8.499E-4</v>
      </c>
      <c r="H18" s="83">
        <v>2.7366899999999998</v>
      </c>
      <c r="I18" s="83">
        <v>0.490205</v>
      </c>
      <c r="J18" s="83">
        <v>8.499E-4</v>
      </c>
      <c r="K18" s="83">
        <v>2.8025600000000002</v>
      </c>
      <c r="L18" s="83">
        <v>0.49758400000000003</v>
      </c>
      <c r="M18" s="83">
        <v>8.499E-4</v>
      </c>
      <c r="N18" s="83">
        <v>2.8998599999999999</v>
      </c>
      <c r="O18" s="83">
        <v>0.50940399999999997</v>
      </c>
      <c r="P18" s="83">
        <v>8.499E-4</v>
      </c>
      <c r="Q18" s="83">
        <v>2.86842</v>
      </c>
      <c r="R18" s="83">
        <v>0.48860399999999998</v>
      </c>
      <c r="S18" s="83">
        <v>8.499E-4</v>
      </c>
      <c r="T18" s="83">
        <v>2.91249</v>
      </c>
      <c r="U18" s="83">
        <v>0.48964999999999997</v>
      </c>
      <c r="V18" s="83">
        <v>8.499E-4</v>
      </c>
      <c r="W18" s="83">
        <v>2.9379300000000002</v>
      </c>
      <c r="X18" s="83">
        <v>0.48954999999999999</v>
      </c>
      <c r="Y18" s="83">
        <v>8.499E-4</v>
      </c>
      <c r="Z18" s="83">
        <v>2.9462299999999999</v>
      </c>
      <c r="AA18" s="83">
        <v>0.48522199999999999</v>
      </c>
      <c r="AB18" s="83">
        <v>8.499E-4</v>
      </c>
      <c r="AC18" s="83">
        <v>2.97403</v>
      </c>
      <c r="AD18" s="83">
        <v>0.48697000000000001</v>
      </c>
      <c r="AE18" s="83">
        <v>8.499E-4</v>
      </c>
      <c r="AF18" s="83">
        <v>2.97356</v>
      </c>
      <c r="AG18" s="83">
        <v>0.48230600000000001</v>
      </c>
      <c r="AH18" s="83">
        <v>8.499E-4</v>
      </c>
      <c r="AI18" s="83">
        <v>3.0518700000000001</v>
      </c>
      <c r="AJ18" s="83">
        <v>0.49712800000000001</v>
      </c>
      <c r="AK18" s="83">
        <v>8.499E-4</v>
      </c>
      <c r="AL18" s="83">
        <v>3.1217800000000002</v>
      </c>
      <c r="AM18" s="83">
        <v>0.509903</v>
      </c>
      <c r="AN18" s="83">
        <v>8.499E-4</v>
      </c>
      <c r="AO18" s="83">
        <v>3.0472700000000001</v>
      </c>
      <c r="AP18" s="83">
        <v>0.48342400000000002</v>
      </c>
      <c r="AQ18" s="83">
        <v>8.499E-4</v>
      </c>
      <c r="AR18" s="83">
        <v>3.0612599999999999</v>
      </c>
      <c r="AS18" s="83">
        <v>0.48048999999999997</v>
      </c>
      <c r="AT18" s="83">
        <v>8.499E-4</v>
      </c>
      <c r="AU18" s="83">
        <v>3.1556500000000001</v>
      </c>
      <c r="AV18" s="83">
        <v>0.49774800000000002</v>
      </c>
      <c r="AW18" s="83">
        <v>8.499E-4</v>
      </c>
      <c r="AX18" s="83">
        <v>3.1868699999999999</v>
      </c>
      <c r="AY18" s="83">
        <v>0.502023</v>
      </c>
      <c r="AZ18" s="83">
        <v>8.499E-4</v>
      </c>
      <c r="BA18" s="83">
        <v>3.2224400000000002</v>
      </c>
      <c r="BB18" s="83">
        <v>0.50250899999999998</v>
      </c>
      <c r="BC18" s="83">
        <v>8.499E-4</v>
      </c>
      <c r="BD18" s="83">
        <v>3.2696399999999999</v>
      </c>
      <c r="BE18" s="83">
        <v>0.50734699999999999</v>
      </c>
      <c r="BF18" s="83">
        <v>8.499E-4</v>
      </c>
      <c r="BG18" s="83">
        <v>3.27285</v>
      </c>
      <c r="BH18" s="83">
        <v>0.50069900000000001</v>
      </c>
      <c r="BI18" s="83">
        <v>8.499E-4</v>
      </c>
      <c r="BJ18" s="83">
        <v>3.2827000000000002</v>
      </c>
      <c r="BK18" s="83">
        <v>0.49669999999999997</v>
      </c>
      <c r="BL18" s="83">
        <v>8.499E-4</v>
      </c>
      <c r="BM18" s="83">
        <v>3.3063500000000001</v>
      </c>
      <c r="BN18" s="83">
        <v>0.49436000000000002</v>
      </c>
      <c r="BO18" s="83">
        <v>8.499E-4</v>
      </c>
      <c r="BP18" s="83">
        <v>3.3284500000000001</v>
      </c>
      <c r="BQ18" s="83">
        <v>0.49270700000000001</v>
      </c>
      <c r="BR18" s="83">
        <v>8.499E-4</v>
      </c>
      <c r="BS18" s="83">
        <v>3.4328799999999999</v>
      </c>
      <c r="BT18" s="83">
        <v>0.50800299999999998</v>
      </c>
      <c r="BU18" s="83">
        <v>8.499E-4</v>
      </c>
      <c r="BV18" s="83">
        <v>3.4202599999999999</v>
      </c>
      <c r="BW18" s="83">
        <v>0.49784800000000001</v>
      </c>
      <c r="BX18" s="83">
        <v>8.499E-4</v>
      </c>
      <c r="BY18" s="83">
        <v>3.4082300000000001</v>
      </c>
      <c r="BZ18" s="83">
        <v>0.485261</v>
      </c>
      <c r="CA18" s="83">
        <v>8.499E-4</v>
      </c>
      <c r="CB18" s="83">
        <v>3.4852699999999999</v>
      </c>
      <c r="CC18" s="83">
        <v>0.49702099999999999</v>
      </c>
      <c r="CD18" s="83">
        <v>8.499E-4</v>
      </c>
      <c r="CE18" s="83">
        <v>3.52284</v>
      </c>
      <c r="CF18" s="83">
        <v>0.49462800000000001</v>
      </c>
      <c r="CG18" s="83">
        <v>8.499E-4</v>
      </c>
      <c r="CH18" s="83">
        <v>3.5680700000000001</v>
      </c>
      <c r="CI18" s="83">
        <v>0.49677900000000003</v>
      </c>
      <c r="CJ18" s="83">
        <v>8.499E-4</v>
      </c>
      <c r="CK18" s="83">
        <v>3.64255</v>
      </c>
      <c r="CL18" s="83">
        <v>0.50598799999999999</v>
      </c>
      <c r="CM18" s="83">
        <v>8.499E-4</v>
      </c>
      <c r="CN18" s="83">
        <v>3.6856599999999999</v>
      </c>
      <c r="CO18" s="83">
        <v>0.50750200000000001</v>
      </c>
      <c r="CP18" s="83">
        <v>8.499E-4</v>
      </c>
      <c r="CQ18" s="83">
        <v>3.6431200000000001</v>
      </c>
      <c r="CR18" s="83">
        <v>0.49167899999999998</v>
      </c>
      <c r="CS18" s="83">
        <v>8.499E-4</v>
      </c>
      <c r="CT18" s="83">
        <v>3.6112500000000001</v>
      </c>
      <c r="CU18" s="83">
        <v>0.48099599999999998</v>
      </c>
      <c r="CV18" s="83">
        <v>8.499E-4</v>
      </c>
      <c r="CW18" s="83">
        <v>3.71645</v>
      </c>
      <c r="CX18" s="83">
        <v>0.498081</v>
      </c>
      <c r="CY18" s="83">
        <v>8.499E-4</v>
      </c>
      <c r="CZ18" s="83">
        <v>3.7898499999999999</v>
      </c>
      <c r="DA18" s="83">
        <v>0.50773999999999997</v>
      </c>
    </row>
    <row r="19" spans="1:105" x14ac:dyDescent="0.2">
      <c r="A19" s="83">
        <v>9.4990000000000005E-4</v>
      </c>
      <c r="B19" s="83">
        <v>2.54535</v>
      </c>
      <c r="C19" s="83">
        <v>0.45493699999999998</v>
      </c>
      <c r="D19" s="83">
        <v>9.4990000000000005E-4</v>
      </c>
      <c r="E19" s="83">
        <v>2.59972</v>
      </c>
      <c r="F19" s="83">
        <v>0.45694200000000001</v>
      </c>
      <c r="G19" s="83">
        <v>9.4990000000000005E-4</v>
      </c>
      <c r="H19" s="83">
        <v>2.6553399999999998</v>
      </c>
      <c r="I19" s="83">
        <v>0.46132699999999999</v>
      </c>
      <c r="J19" s="83">
        <v>9.4990000000000005E-4</v>
      </c>
      <c r="K19" s="83">
        <v>2.7198000000000002</v>
      </c>
      <c r="L19" s="83">
        <v>0.46836</v>
      </c>
      <c r="M19" s="83">
        <v>9.4990000000000005E-4</v>
      </c>
      <c r="N19" s="83">
        <v>2.8152400000000002</v>
      </c>
      <c r="O19" s="83">
        <v>0.479518</v>
      </c>
      <c r="P19" s="83">
        <v>9.4990000000000005E-4</v>
      </c>
      <c r="Q19" s="83">
        <v>2.7822300000000002</v>
      </c>
      <c r="R19" s="83">
        <v>0.45988899999999999</v>
      </c>
      <c r="S19" s="83">
        <v>9.4990000000000005E-4</v>
      </c>
      <c r="T19" s="83">
        <v>2.8254299999999999</v>
      </c>
      <c r="U19" s="83">
        <v>0.46097300000000002</v>
      </c>
      <c r="V19" s="83">
        <v>9.4990000000000005E-4</v>
      </c>
      <c r="W19" s="83">
        <v>2.8483999999999998</v>
      </c>
      <c r="X19" s="83">
        <v>0.46060600000000002</v>
      </c>
      <c r="Y19" s="83">
        <v>9.4990000000000005E-4</v>
      </c>
      <c r="Z19" s="83">
        <v>2.8576600000000001</v>
      </c>
      <c r="AA19" s="83">
        <v>0.45704600000000001</v>
      </c>
      <c r="AB19" s="83">
        <v>9.4990000000000005E-4</v>
      </c>
      <c r="AC19" s="83">
        <v>2.8835500000000001</v>
      </c>
      <c r="AD19" s="83">
        <v>0.45829199999999998</v>
      </c>
      <c r="AE19" s="83">
        <v>9.4990000000000005E-4</v>
      </c>
      <c r="AF19" s="83">
        <v>2.8841399999999999</v>
      </c>
      <c r="AG19" s="83">
        <v>0.45433899999999999</v>
      </c>
      <c r="AH19" s="83">
        <v>9.4990000000000005E-4</v>
      </c>
      <c r="AI19" s="83">
        <v>2.9582899999999999</v>
      </c>
      <c r="AJ19" s="83">
        <v>0.46776000000000001</v>
      </c>
      <c r="AK19" s="83">
        <v>9.4990000000000005E-4</v>
      </c>
      <c r="AL19" s="83">
        <v>3.02793</v>
      </c>
      <c r="AM19" s="83">
        <v>0.48017799999999999</v>
      </c>
      <c r="AN19" s="83">
        <v>9.4990000000000005E-4</v>
      </c>
      <c r="AO19" s="83">
        <v>2.9521999999999999</v>
      </c>
      <c r="AP19" s="83">
        <v>0.45511099999999999</v>
      </c>
      <c r="AQ19" s="83">
        <v>9.4990000000000005E-4</v>
      </c>
      <c r="AR19" s="83">
        <v>2.9650699999999999</v>
      </c>
      <c r="AS19" s="83">
        <v>0.45270500000000002</v>
      </c>
      <c r="AT19" s="83">
        <v>9.4990000000000005E-4</v>
      </c>
      <c r="AU19" s="83">
        <v>3.0540699999999998</v>
      </c>
      <c r="AV19" s="83">
        <v>0.46789700000000001</v>
      </c>
      <c r="AW19" s="83">
        <v>9.4990000000000005E-4</v>
      </c>
      <c r="AX19" s="83">
        <v>3.0877400000000002</v>
      </c>
      <c r="AY19" s="83">
        <v>0.472885</v>
      </c>
      <c r="AZ19" s="83">
        <v>9.4990000000000005E-4</v>
      </c>
      <c r="BA19" s="83">
        <v>3.12161</v>
      </c>
      <c r="BB19" s="83">
        <v>0.47356900000000002</v>
      </c>
      <c r="BC19" s="83">
        <v>9.4990000000000005E-4</v>
      </c>
      <c r="BD19" s="83">
        <v>3.1663100000000002</v>
      </c>
      <c r="BE19" s="83">
        <v>0.47794799999999998</v>
      </c>
      <c r="BF19" s="83">
        <v>9.4990000000000005E-4</v>
      </c>
      <c r="BG19" s="83">
        <v>3.16683</v>
      </c>
      <c r="BH19" s="83">
        <v>0.47148699999999999</v>
      </c>
      <c r="BI19" s="83">
        <v>9.4990000000000005E-4</v>
      </c>
      <c r="BJ19" s="83">
        <v>3.1761599999999999</v>
      </c>
      <c r="BK19" s="83">
        <v>0.46787600000000001</v>
      </c>
      <c r="BL19" s="83">
        <v>9.4990000000000005E-4</v>
      </c>
      <c r="BM19" s="83">
        <v>3.1976399999999998</v>
      </c>
      <c r="BN19" s="83">
        <v>0.46569700000000003</v>
      </c>
      <c r="BO19" s="83">
        <v>9.4990000000000005E-4</v>
      </c>
      <c r="BP19" s="83">
        <v>3.2177099999999998</v>
      </c>
      <c r="BQ19" s="83">
        <v>0.46417700000000001</v>
      </c>
      <c r="BR19" s="83">
        <v>9.4990000000000005E-4</v>
      </c>
      <c r="BS19" s="83">
        <v>3.3173400000000002</v>
      </c>
      <c r="BT19" s="83">
        <v>0.47786400000000001</v>
      </c>
      <c r="BU19" s="83">
        <v>9.4990000000000005E-4</v>
      </c>
      <c r="BV19" s="83">
        <v>3.3056399999999999</v>
      </c>
      <c r="BW19" s="83">
        <v>0.46900500000000001</v>
      </c>
      <c r="BX19" s="83">
        <v>9.4990000000000005E-4</v>
      </c>
      <c r="BY19" s="83">
        <v>3.2884600000000002</v>
      </c>
      <c r="BZ19" s="83">
        <v>0.456789</v>
      </c>
      <c r="CA19" s="83">
        <v>9.4990000000000005E-4</v>
      </c>
      <c r="CB19" s="83">
        <v>3.3649499999999999</v>
      </c>
      <c r="CC19" s="83">
        <v>0.46793200000000001</v>
      </c>
      <c r="CD19" s="83">
        <v>9.4990000000000005E-4</v>
      </c>
      <c r="CE19" s="83">
        <v>3.3980299999999999</v>
      </c>
      <c r="CF19" s="83">
        <v>0.46553299999999997</v>
      </c>
      <c r="CG19" s="83">
        <v>9.4990000000000005E-4</v>
      </c>
      <c r="CH19" s="83">
        <v>3.4397199999999999</v>
      </c>
      <c r="CI19" s="83">
        <v>0.467109</v>
      </c>
      <c r="CJ19" s="83">
        <v>9.4990000000000005E-4</v>
      </c>
      <c r="CK19" s="83">
        <v>3.51389</v>
      </c>
      <c r="CL19" s="83">
        <v>0.47622799999999998</v>
      </c>
      <c r="CM19" s="83">
        <v>9.4990000000000005E-4</v>
      </c>
      <c r="CN19" s="83">
        <v>3.5525699999999998</v>
      </c>
      <c r="CO19" s="83">
        <v>0.47752499999999998</v>
      </c>
      <c r="CP19" s="83">
        <v>9.4990000000000005E-4</v>
      </c>
      <c r="CQ19" s="83">
        <v>3.5074299999999998</v>
      </c>
      <c r="CR19" s="83">
        <v>0.46247899999999997</v>
      </c>
      <c r="CS19" s="83">
        <v>9.4990000000000005E-4</v>
      </c>
      <c r="CT19" s="83">
        <v>3.4750800000000002</v>
      </c>
      <c r="CU19" s="83">
        <v>0.452598</v>
      </c>
      <c r="CV19" s="83">
        <v>9.4990000000000005E-4</v>
      </c>
      <c r="CW19" s="83">
        <v>3.5803699999999998</v>
      </c>
      <c r="CX19" s="83">
        <v>0.46947800000000001</v>
      </c>
      <c r="CY19" s="83">
        <v>9.4990000000000005E-4</v>
      </c>
      <c r="CZ19" s="83">
        <v>3.6493699999999998</v>
      </c>
      <c r="DA19" s="83">
        <v>0.47819400000000001</v>
      </c>
    </row>
    <row r="20" spans="1:105" x14ac:dyDescent="0.2">
      <c r="A20" s="83">
        <v>1.0499000000000001E-3</v>
      </c>
      <c r="B20" s="83">
        <v>2.4671599999999998</v>
      </c>
      <c r="C20" s="83">
        <v>0.42846899999999999</v>
      </c>
      <c r="D20" s="83">
        <v>1.0499000000000001E-3</v>
      </c>
      <c r="E20" s="83">
        <v>2.5204200000000001</v>
      </c>
      <c r="F20" s="83">
        <v>0.43043399999999998</v>
      </c>
      <c r="G20" s="83">
        <v>1.0499000000000001E-3</v>
      </c>
      <c r="H20" s="83">
        <v>2.5740799999999999</v>
      </c>
      <c r="I20" s="83">
        <v>0.43435200000000002</v>
      </c>
      <c r="J20" s="83">
        <v>1.0499000000000001E-3</v>
      </c>
      <c r="K20" s="83">
        <v>2.6381600000000001</v>
      </c>
      <c r="L20" s="83">
        <v>0.44096999999999997</v>
      </c>
      <c r="M20" s="83">
        <v>1.0499000000000001E-3</v>
      </c>
      <c r="N20" s="83">
        <v>2.7301799999999998</v>
      </c>
      <c r="O20" s="83">
        <v>0.45147199999999998</v>
      </c>
      <c r="P20" s="83">
        <v>1.0499000000000001E-3</v>
      </c>
      <c r="Q20" s="83">
        <v>2.6961300000000001</v>
      </c>
      <c r="R20" s="83">
        <v>0.43290800000000002</v>
      </c>
      <c r="S20" s="83">
        <v>1.0499000000000001E-3</v>
      </c>
      <c r="T20" s="83">
        <v>2.7379600000000002</v>
      </c>
      <c r="U20" s="83">
        <v>0.43401899999999999</v>
      </c>
      <c r="V20" s="83">
        <v>1.0499000000000001E-3</v>
      </c>
      <c r="W20" s="83">
        <v>2.7592400000000001</v>
      </c>
      <c r="X20" s="83">
        <v>0.433392</v>
      </c>
      <c r="Y20" s="83">
        <v>1.0499000000000001E-3</v>
      </c>
      <c r="Z20" s="83">
        <v>2.76864</v>
      </c>
      <c r="AA20" s="83">
        <v>0.43053599999999997</v>
      </c>
      <c r="AB20" s="83">
        <v>1.0499000000000001E-3</v>
      </c>
      <c r="AC20" s="83">
        <v>2.7922400000000001</v>
      </c>
      <c r="AD20" s="83">
        <v>0.431334</v>
      </c>
      <c r="AE20" s="83">
        <v>1.0499000000000001E-3</v>
      </c>
      <c r="AF20" s="83">
        <v>2.7933699999999999</v>
      </c>
      <c r="AG20" s="83">
        <v>0.42780600000000002</v>
      </c>
      <c r="AH20" s="83">
        <v>1.0499000000000001E-3</v>
      </c>
      <c r="AI20" s="83">
        <v>2.86409</v>
      </c>
      <c r="AJ20" s="83">
        <v>0.440195</v>
      </c>
      <c r="AK20" s="83">
        <v>1.0499000000000001E-3</v>
      </c>
      <c r="AL20" s="83">
        <v>2.93357</v>
      </c>
      <c r="AM20" s="83">
        <v>0.452262</v>
      </c>
      <c r="AN20" s="83">
        <v>1.0499000000000001E-3</v>
      </c>
      <c r="AO20" s="83">
        <v>2.8563200000000002</v>
      </c>
      <c r="AP20" s="83">
        <v>0.42860999999999999</v>
      </c>
      <c r="AQ20" s="83">
        <v>1.0499000000000001E-3</v>
      </c>
      <c r="AR20" s="83">
        <v>2.8692500000000001</v>
      </c>
      <c r="AS20" s="83">
        <v>0.426759</v>
      </c>
      <c r="AT20" s="83">
        <v>1.0499000000000001E-3</v>
      </c>
      <c r="AU20" s="83">
        <v>2.9527999999999999</v>
      </c>
      <c r="AV20" s="83">
        <v>0.440002</v>
      </c>
      <c r="AW20" s="83">
        <v>1.0499000000000001E-3</v>
      </c>
      <c r="AX20" s="83">
        <v>2.9881099999999998</v>
      </c>
      <c r="AY20" s="83">
        <v>0.445382</v>
      </c>
      <c r="AZ20" s="83">
        <v>1.0499000000000001E-3</v>
      </c>
      <c r="BA20" s="83">
        <v>3.0198100000000001</v>
      </c>
      <c r="BB20" s="83">
        <v>0.44608399999999998</v>
      </c>
      <c r="BC20" s="83">
        <v>1.0499000000000001E-3</v>
      </c>
      <c r="BD20" s="83">
        <v>3.0625200000000001</v>
      </c>
      <c r="BE20" s="83">
        <v>0.45005299999999998</v>
      </c>
      <c r="BF20" s="83">
        <v>1.0499000000000001E-3</v>
      </c>
      <c r="BG20" s="83">
        <v>3.0602999999999998</v>
      </c>
      <c r="BH20" s="83">
        <v>0.44375300000000001</v>
      </c>
      <c r="BI20" s="83">
        <v>1.0499000000000001E-3</v>
      </c>
      <c r="BJ20" s="83">
        <v>3.0701499999999999</v>
      </c>
      <c r="BK20" s="83">
        <v>0.44098500000000002</v>
      </c>
      <c r="BL20" s="83">
        <v>1.0499000000000001E-3</v>
      </c>
      <c r="BM20" s="83">
        <v>3.0884200000000002</v>
      </c>
      <c r="BN20" s="83">
        <v>0.43879899999999999</v>
      </c>
      <c r="BO20" s="83">
        <v>1.0499000000000001E-3</v>
      </c>
      <c r="BP20" s="83">
        <v>3.1071900000000001</v>
      </c>
      <c r="BQ20" s="83">
        <v>0.437195</v>
      </c>
      <c r="BR20" s="83">
        <v>1.0499000000000001E-3</v>
      </c>
      <c r="BS20" s="83">
        <v>3.2007500000000002</v>
      </c>
      <c r="BT20" s="83">
        <v>0.44971899999999998</v>
      </c>
      <c r="BU20" s="83">
        <v>1.0499000000000001E-3</v>
      </c>
      <c r="BV20" s="83">
        <v>3.1903000000000001</v>
      </c>
      <c r="BW20" s="83">
        <v>0.44189800000000001</v>
      </c>
      <c r="BX20" s="83">
        <v>1.0499000000000001E-3</v>
      </c>
      <c r="BY20" s="83">
        <v>3.1694599999999999</v>
      </c>
      <c r="BZ20" s="83">
        <v>0.43010999999999999</v>
      </c>
      <c r="CA20" s="83">
        <v>1.0499000000000001E-3</v>
      </c>
      <c r="CB20" s="83">
        <v>3.24465</v>
      </c>
      <c r="CC20" s="83">
        <v>0.440722</v>
      </c>
      <c r="CD20" s="83">
        <v>1.0499000000000001E-3</v>
      </c>
      <c r="CE20" s="83">
        <v>3.2731599999999998</v>
      </c>
      <c r="CF20" s="83">
        <v>0.43822499999999998</v>
      </c>
      <c r="CG20" s="83">
        <v>1.0499000000000001E-3</v>
      </c>
      <c r="CH20" s="83">
        <v>3.3110900000000001</v>
      </c>
      <c r="CI20" s="83">
        <v>0.43946200000000002</v>
      </c>
      <c r="CJ20" s="83">
        <v>1.0499000000000001E-3</v>
      </c>
      <c r="CK20" s="83">
        <v>3.3828299999999998</v>
      </c>
      <c r="CL20" s="83">
        <v>0.44807000000000002</v>
      </c>
      <c r="CM20" s="83">
        <v>1.0499000000000001E-3</v>
      </c>
      <c r="CN20" s="83">
        <v>3.4193500000000001</v>
      </c>
      <c r="CO20" s="83">
        <v>0.44924799999999998</v>
      </c>
      <c r="CP20" s="83">
        <v>1.0499000000000001E-3</v>
      </c>
      <c r="CQ20" s="83">
        <v>3.3716499999999998</v>
      </c>
      <c r="CR20" s="83">
        <v>0.43528</v>
      </c>
      <c r="CS20" s="83">
        <v>1.0499000000000001E-3</v>
      </c>
      <c r="CT20" s="83">
        <v>3.33771</v>
      </c>
      <c r="CU20" s="83">
        <v>0.425985</v>
      </c>
      <c r="CV20" s="83">
        <v>1.0499000000000001E-3</v>
      </c>
      <c r="CW20" s="83">
        <v>3.44367</v>
      </c>
      <c r="CX20" s="83">
        <v>0.44220999999999999</v>
      </c>
      <c r="CY20" s="83">
        <v>1.0499000000000001E-3</v>
      </c>
      <c r="CZ20" s="83">
        <v>3.5089600000000001</v>
      </c>
      <c r="DA20" s="83">
        <v>0.45034800000000003</v>
      </c>
    </row>
    <row r="21" spans="1:105" x14ac:dyDescent="0.2">
      <c r="A21" s="83">
        <v>1.1498999999999999E-3</v>
      </c>
      <c r="B21" s="83">
        <v>2.38896</v>
      </c>
      <c r="C21" s="83">
        <v>0.40333000000000002</v>
      </c>
      <c r="D21" s="83">
        <v>1.1498999999999999E-3</v>
      </c>
      <c r="E21" s="83">
        <v>2.4412400000000001</v>
      </c>
      <c r="F21" s="83">
        <v>0.40548800000000002</v>
      </c>
      <c r="G21" s="83">
        <v>1.1498999999999999E-3</v>
      </c>
      <c r="H21" s="83">
        <v>2.4929399999999999</v>
      </c>
      <c r="I21" s="83">
        <v>0.40929700000000002</v>
      </c>
      <c r="J21" s="83">
        <v>1.1498999999999999E-3</v>
      </c>
      <c r="K21" s="83">
        <v>2.5552299999999999</v>
      </c>
      <c r="L21" s="83">
        <v>0.41541899999999998</v>
      </c>
      <c r="M21" s="83">
        <v>1.1498999999999999E-3</v>
      </c>
      <c r="N21" s="83">
        <v>2.6460699999999999</v>
      </c>
      <c r="O21" s="83">
        <v>0.42531999999999998</v>
      </c>
      <c r="P21" s="83">
        <v>1.1498999999999999E-3</v>
      </c>
      <c r="Q21" s="83">
        <v>2.61104</v>
      </c>
      <c r="R21" s="83">
        <v>0.40779399999999999</v>
      </c>
      <c r="S21" s="83">
        <v>1.1498999999999999E-3</v>
      </c>
      <c r="T21" s="83">
        <v>2.6512699999999998</v>
      </c>
      <c r="U21" s="83">
        <v>0.40878799999999998</v>
      </c>
      <c r="V21" s="83">
        <v>1.1498999999999999E-3</v>
      </c>
      <c r="W21" s="83">
        <v>2.6700699999999999</v>
      </c>
      <c r="X21" s="83">
        <v>0.40796900000000003</v>
      </c>
      <c r="Y21" s="83">
        <v>1.1498999999999999E-3</v>
      </c>
      <c r="Z21" s="83">
        <v>2.6798899999999999</v>
      </c>
      <c r="AA21" s="83">
        <v>0.40551399999999999</v>
      </c>
      <c r="AB21" s="83">
        <v>1.1498999999999999E-3</v>
      </c>
      <c r="AC21" s="83">
        <v>2.7010000000000001</v>
      </c>
      <c r="AD21" s="83">
        <v>0.40609299999999998</v>
      </c>
      <c r="AE21" s="83">
        <v>1.1498999999999999E-3</v>
      </c>
      <c r="AF21" s="83">
        <v>2.7015899999999999</v>
      </c>
      <c r="AG21" s="83">
        <v>0.402804</v>
      </c>
      <c r="AH21" s="83">
        <v>1.1498999999999999E-3</v>
      </c>
      <c r="AI21" s="83">
        <v>2.7701600000000002</v>
      </c>
      <c r="AJ21" s="83">
        <v>0.41444300000000001</v>
      </c>
      <c r="AK21" s="83">
        <v>1.1498999999999999E-3</v>
      </c>
      <c r="AL21" s="83">
        <v>2.8391799999999998</v>
      </c>
      <c r="AM21" s="83">
        <v>0.42608499999999999</v>
      </c>
      <c r="AN21" s="83">
        <v>1.1498999999999999E-3</v>
      </c>
      <c r="AO21" s="83">
        <v>2.7606199999999999</v>
      </c>
      <c r="AP21" s="83">
        <v>0.40362100000000001</v>
      </c>
      <c r="AQ21" s="83">
        <v>1.1498999999999999E-3</v>
      </c>
      <c r="AR21" s="83">
        <v>2.7731300000000001</v>
      </c>
      <c r="AS21" s="83">
        <v>0.402115</v>
      </c>
      <c r="AT21" s="83">
        <v>1.1498999999999999E-3</v>
      </c>
      <c r="AU21" s="83">
        <v>2.8519899999999998</v>
      </c>
      <c r="AV21" s="83">
        <v>0.41412100000000002</v>
      </c>
      <c r="AW21" s="83">
        <v>1.1498999999999999E-3</v>
      </c>
      <c r="AX21" s="83">
        <v>2.8881800000000002</v>
      </c>
      <c r="AY21" s="83">
        <v>0.41957299999999997</v>
      </c>
      <c r="AZ21" s="83">
        <v>1.1498999999999999E-3</v>
      </c>
      <c r="BA21" s="83">
        <v>2.9186200000000002</v>
      </c>
      <c r="BB21" s="83">
        <v>0.42031800000000002</v>
      </c>
      <c r="BC21" s="83">
        <v>1.1498999999999999E-3</v>
      </c>
      <c r="BD21" s="83">
        <v>2.9578500000000001</v>
      </c>
      <c r="BE21" s="83">
        <v>0.42382300000000001</v>
      </c>
      <c r="BF21" s="83">
        <v>1.1498999999999999E-3</v>
      </c>
      <c r="BG21" s="83">
        <v>2.9533900000000002</v>
      </c>
      <c r="BH21" s="83">
        <v>0.41779300000000003</v>
      </c>
      <c r="BI21" s="83">
        <v>1.1498999999999999E-3</v>
      </c>
      <c r="BJ21" s="83">
        <v>2.9638399999999998</v>
      </c>
      <c r="BK21" s="83">
        <v>0.41560999999999998</v>
      </c>
      <c r="BL21" s="83">
        <v>1.1498999999999999E-3</v>
      </c>
      <c r="BM21" s="83">
        <v>2.9797099999999999</v>
      </c>
      <c r="BN21" s="83">
        <v>0.41345500000000002</v>
      </c>
      <c r="BO21" s="83">
        <v>1.1498999999999999E-3</v>
      </c>
      <c r="BP21" s="83">
        <v>2.9959600000000002</v>
      </c>
      <c r="BQ21" s="83">
        <v>0.411939</v>
      </c>
      <c r="BR21" s="83">
        <v>1.1498999999999999E-3</v>
      </c>
      <c r="BS21" s="83">
        <v>3.0854599999999999</v>
      </c>
      <c r="BT21" s="83">
        <v>0.42348999999999998</v>
      </c>
      <c r="BU21" s="83">
        <v>1.1498999999999999E-3</v>
      </c>
      <c r="BV21" s="83">
        <v>3.0759099999999999</v>
      </c>
      <c r="BW21" s="83">
        <v>0.41665400000000002</v>
      </c>
      <c r="BX21" s="83">
        <v>1.1498999999999999E-3</v>
      </c>
      <c r="BY21" s="83">
        <v>3.0513400000000002</v>
      </c>
      <c r="BZ21" s="83">
        <v>0.40508300000000003</v>
      </c>
      <c r="CA21" s="83">
        <v>1.1498999999999999E-3</v>
      </c>
      <c r="CB21" s="83">
        <v>3.12541</v>
      </c>
      <c r="CC21" s="83">
        <v>0.41528900000000002</v>
      </c>
      <c r="CD21" s="83">
        <v>1.1498999999999999E-3</v>
      </c>
      <c r="CE21" s="83">
        <v>3.1493500000000001</v>
      </c>
      <c r="CF21" s="83">
        <v>0.41270800000000002</v>
      </c>
      <c r="CG21" s="83">
        <v>1.1498999999999999E-3</v>
      </c>
      <c r="CH21" s="83">
        <v>3.1835499999999999</v>
      </c>
      <c r="CI21" s="83">
        <v>0.41370899999999999</v>
      </c>
      <c r="CJ21" s="83">
        <v>1.1498999999999999E-3</v>
      </c>
      <c r="CK21" s="83">
        <v>3.2531599999999998</v>
      </c>
      <c r="CL21" s="83">
        <v>0.42186699999999999</v>
      </c>
      <c r="CM21" s="83">
        <v>1.1498999999999999E-3</v>
      </c>
      <c r="CN21" s="83">
        <v>3.2868200000000001</v>
      </c>
      <c r="CO21" s="83">
        <v>0.422989</v>
      </c>
      <c r="CP21" s="83">
        <v>1.1498999999999999E-3</v>
      </c>
      <c r="CQ21" s="83">
        <v>3.2379799999999999</v>
      </c>
      <c r="CR21" s="83">
        <v>0.409945</v>
      </c>
      <c r="CS21" s="83">
        <v>1.1498999999999999E-3</v>
      </c>
      <c r="CT21" s="83">
        <v>3.20208</v>
      </c>
      <c r="CU21" s="83">
        <v>0.401111</v>
      </c>
      <c r="CV21" s="83">
        <v>1.1498999999999999E-3</v>
      </c>
      <c r="CW21" s="83">
        <v>3.3067799999999998</v>
      </c>
      <c r="CX21" s="83">
        <v>0.41664400000000001</v>
      </c>
      <c r="CY21" s="83">
        <v>1.1498999999999999E-3</v>
      </c>
      <c r="CZ21" s="83">
        <v>3.3682599999999998</v>
      </c>
      <c r="DA21" s="83">
        <v>0.42431400000000002</v>
      </c>
    </row>
    <row r="22" spans="1:105" x14ac:dyDescent="0.2">
      <c r="A22" s="83">
        <v>1.2499E-3</v>
      </c>
      <c r="B22" s="83">
        <v>2.3110400000000002</v>
      </c>
      <c r="C22" s="83">
        <v>0.37962000000000001</v>
      </c>
      <c r="D22" s="83">
        <v>1.2499E-3</v>
      </c>
      <c r="E22" s="83">
        <v>2.3624499999999999</v>
      </c>
      <c r="F22" s="83">
        <v>0.38192599999999999</v>
      </c>
      <c r="G22" s="83">
        <v>1.2499E-3</v>
      </c>
      <c r="H22" s="83">
        <v>2.4129</v>
      </c>
      <c r="I22" s="83">
        <v>0.38558999999999999</v>
      </c>
      <c r="J22" s="83">
        <v>1.2499E-3</v>
      </c>
      <c r="K22" s="83">
        <v>2.4736500000000001</v>
      </c>
      <c r="L22" s="83">
        <v>0.39127499999999998</v>
      </c>
      <c r="M22" s="83">
        <v>1.2499E-3</v>
      </c>
      <c r="N22" s="83">
        <v>2.5619499999999999</v>
      </c>
      <c r="O22" s="83">
        <v>0.40049099999999999</v>
      </c>
      <c r="P22" s="83">
        <v>1.2499E-3</v>
      </c>
      <c r="Q22" s="83">
        <v>2.52556</v>
      </c>
      <c r="R22" s="83">
        <v>0.38394899999999998</v>
      </c>
      <c r="S22" s="83">
        <v>1.2499E-3</v>
      </c>
      <c r="T22" s="83">
        <v>2.56488</v>
      </c>
      <c r="U22" s="83">
        <v>0.38497799999999999</v>
      </c>
      <c r="V22" s="83">
        <v>1.2499E-3</v>
      </c>
      <c r="W22" s="83">
        <v>2.5822500000000002</v>
      </c>
      <c r="X22" s="83">
        <v>0.38406200000000001</v>
      </c>
      <c r="Y22" s="83">
        <v>1.2499E-3</v>
      </c>
      <c r="Z22" s="83">
        <v>2.59185</v>
      </c>
      <c r="AA22" s="83">
        <v>0.38210300000000003</v>
      </c>
      <c r="AB22" s="83">
        <v>1.2499E-3</v>
      </c>
      <c r="AC22" s="83">
        <v>2.6114999999999999</v>
      </c>
      <c r="AD22" s="83">
        <v>0.38246200000000002</v>
      </c>
      <c r="AE22" s="83">
        <v>1.2499E-3</v>
      </c>
      <c r="AF22" s="83">
        <v>2.6112299999999999</v>
      </c>
      <c r="AG22" s="83">
        <v>0.37928600000000001</v>
      </c>
      <c r="AH22" s="83">
        <v>1.2499E-3</v>
      </c>
      <c r="AI22" s="83">
        <v>2.67733</v>
      </c>
      <c r="AJ22" s="83">
        <v>0.39019500000000001</v>
      </c>
      <c r="AK22" s="83">
        <v>1.2499E-3</v>
      </c>
      <c r="AL22" s="83">
        <v>2.7450000000000001</v>
      </c>
      <c r="AM22" s="83">
        <v>0.40143600000000002</v>
      </c>
      <c r="AN22" s="83">
        <v>1.2499E-3</v>
      </c>
      <c r="AO22" s="83">
        <v>2.66629</v>
      </c>
      <c r="AP22" s="83">
        <v>0.38009799999999999</v>
      </c>
      <c r="AQ22" s="83">
        <v>1.2499E-3</v>
      </c>
      <c r="AR22" s="83">
        <v>2.6778599999999999</v>
      </c>
      <c r="AS22" s="83">
        <v>0.37887100000000001</v>
      </c>
      <c r="AT22" s="83">
        <v>1.2499E-3</v>
      </c>
      <c r="AU22" s="83">
        <v>2.7520799999999999</v>
      </c>
      <c r="AV22" s="83">
        <v>0.38991100000000001</v>
      </c>
      <c r="AW22" s="83">
        <v>1.2499E-3</v>
      </c>
      <c r="AX22" s="83">
        <v>2.7878500000000002</v>
      </c>
      <c r="AY22" s="83">
        <v>0.39507300000000001</v>
      </c>
      <c r="AZ22" s="83">
        <v>1.2499E-3</v>
      </c>
      <c r="BA22" s="83">
        <v>2.8170600000000001</v>
      </c>
      <c r="BB22" s="83">
        <v>0.39586700000000002</v>
      </c>
      <c r="BC22" s="83">
        <v>1.2499E-3</v>
      </c>
      <c r="BD22" s="83">
        <v>2.85365</v>
      </c>
      <c r="BE22" s="83">
        <v>0.39912900000000001</v>
      </c>
      <c r="BF22" s="83">
        <v>1.2499E-3</v>
      </c>
      <c r="BG22" s="83">
        <v>2.84701</v>
      </c>
      <c r="BH22" s="83">
        <v>0.393262</v>
      </c>
      <c r="BI22" s="83">
        <v>1.2499E-3</v>
      </c>
      <c r="BJ22" s="83">
        <v>2.8581099999999999</v>
      </c>
      <c r="BK22" s="83">
        <v>0.39150699999999999</v>
      </c>
      <c r="BL22" s="83">
        <v>1.2499E-3</v>
      </c>
      <c r="BM22" s="83">
        <v>2.871</v>
      </c>
      <c r="BN22" s="83">
        <v>0.38939699999999999</v>
      </c>
      <c r="BO22" s="83">
        <v>1.2499E-3</v>
      </c>
      <c r="BP22" s="83">
        <v>2.8859400000000002</v>
      </c>
      <c r="BQ22" s="83">
        <v>0.38809100000000002</v>
      </c>
      <c r="BR22" s="83">
        <v>1.2499E-3</v>
      </c>
      <c r="BS22" s="83">
        <v>2.9709300000000001</v>
      </c>
      <c r="BT22" s="83">
        <v>0.39868799999999999</v>
      </c>
      <c r="BU22" s="83">
        <v>1.2499E-3</v>
      </c>
      <c r="BV22" s="83">
        <v>2.9622799999999998</v>
      </c>
      <c r="BW22" s="83">
        <v>0.39263500000000001</v>
      </c>
      <c r="BX22" s="83">
        <v>1.2499E-3</v>
      </c>
      <c r="BY22" s="83">
        <v>2.9339400000000002</v>
      </c>
      <c r="BZ22" s="83">
        <v>0.38150200000000001</v>
      </c>
      <c r="CA22" s="83">
        <v>1.2499E-3</v>
      </c>
      <c r="CB22" s="83">
        <v>3.0061900000000001</v>
      </c>
      <c r="CC22" s="83">
        <v>0.39124500000000001</v>
      </c>
      <c r="CD22" s="83">
        <v>1.2499E-3</v>
      </c>
      <c r="CE22" s="83">
        <v>3.0266899999999999</v>
      </c>
      <c r="CF22" s="83">
        <v>0.38871</v>
      </c>
      <c r="CG22" s="83">
        <v>1.2499E-3</v>
      </c>
      <c r="CH22" s="83">
        <v>3.05803</v>
      </c>
      <c r="CI22" s="83">
        <v>0.38954899999999998</v>
      </c>
      <c r="CJ22" s="83">
        <v>1.2499E-3</v>
      </c>
      <c r="CK22" s="83">
        <v>3.1246499999999999</v>
      </c>
      <c r="CL22" s="83">
        <v>0.39721400000000001</v>
      </c>
      <c r="CM22" s="83">
        <v>1.2499E-3</v>
      </c>
      <c r="CN22" s="83">
        <v>3.1561699999999999</v>
      </c>
      <c r="CO22" s="83">
        <v>0.39831800000000001</v>
      </c>
      <c r="CP22" s="83">
        <v>1.2499E-3</v>
      </c>
      <c r="CQ22" s="83">
        <v>3.10623</v>
      </c>
      <c r="CR22" s="83">
        <v>0.386125</v>
      </c>
      <c r="CS22" s="83">
        <v>1.2499E-3</v>
      </c>
      <c r="CT22" s="83">
        <v>3.0693299999999999</v>
      </c>
      <c r="CU22" s="83">
        <v>0.37781199999999998</v>
      </c>
      <c r="CV22" s="83">
        <v>1.2499E-3</v>
      </c>
      <c r="CW22" s="83">
        <v>3.1703100000000002</v>
      </c>
      <c r="CX22" s="83">
        <v>0.39245400000000003</v>
      </c>
      <c r="CY22" s="83">
        <v>1.2499E-3</v>
      </c>
      <c r="CZ22" s="83">
        <v>3.22865</v>
      </c>
      <c r="DA22" s="83">
        <v>0.399561</v>
      </c>
    </row>
    <row r="23" spans="1:105" x14ac:dyDescent="0.2">
      <c r="A23" s="83">
        <v>1.3499E-3</v>
      </c>
      <c r="B23" s="83">
        <v>2.2335799999999999</v>
      </c>
      <c r="C23" s="83">
        <v>0.35763400000000001</v>
      </c>
      <c r="D23" s="83">
        <v>1.3499E-3</v>
      </c>
      <c r="E23" s="83">
        <v>2.28443</v>
      </c>
      <c r="F23" s="83">
        <v>0.35983799999999999</v>
      </c>
      <c r="G23" s="83">
        <v>1.3499E-3</v>
      </c>
      <c r="H23" s="83">
        <v>2.3336999999999999</v>
      </c>
      <c r="I23" s="83">
        <v>0.36358000000000001</v>
      </c>
      <c r="J23" s="83">
        <v>1.3499E-3</v>
      </c>
      <c r="K23" s="83">
        <v>2.3926500000000002</v>
      </c>
      <c r="L23" s="83">
        <v>0.368838</v>
      </c>
      <c r="M23" s="83">
        <v>1.3499E-3</v>
      </c>
      <c r="N23" s="83">
        <v>2.4774400000000001</v>
      </c>
      <c r="O23" s="83">
        <v>0.377164</v>
      </c>
      <c r="P23" s="83">
        <v>1.3499E-3</v>
      </c>
      <c r="Q23" s="83">
        <v>2.4412099999999999</v>
      </c>
      <c r="R23" s="83">
        <v>0.36175499999999999</v>
      </c>
      <c r="S23" s="83">
        <v>1.3499E-3</v>
      </c>
      <c r="T23" s="83">
        <v>2.4792399999999999</v>
      </c>
      <c r="U23" s="83">
        <v>0.36280800000000002</v>
      </c>
      <c r="V23" s="83">
        <v>1.3499E-3</v>
      </c>
      <c r="W23" s="83">
        <v>2.4947900000000001</v>
      </c>
      <c r="X23" s="83">
        <v>0.36189399999999999</v>
      </c>
      <c r="Y23" s="83">
        <v>1.3499E-3</v>
      </c>
      <c r="Z23" s="83">
        <v>2.5047799999999998</v>
      </c>
      <c r="AA23" s="83">
        <v>0.36031800000000003</v>
      </c>
      <c r="AB23" s="83">
        <v>1.3499E-3</v>
      </c>
      <c r="AC23" s="83">
        <v>2.52217</v>
      </c>
      <c r="AD23" s="83">
        <v>0.36045899999999997</v>
      </c>
      <c r="AE23" s="83">
        <v>1.3499E-3</v>
      </c>
      <c r="AF23" s="83">
        <v>2.5215999999999998</v>
      </c>
      <c r="AG23" s="83">
        <v>0.35756399999999999</v>
      </c>
      <c r="AH23" s="83">
        <v>1.3499E-3</v>
      </c>
      <c r="AI23" s="83">
        <v>2.5855399999999999</v>
      </c>
      <c r="AJ23" s="83">
        <v>0.36762600000000001</v>
      </c>
      <c r="AK23" s="83">
        <v>1.3499E-3</v>
      </c>
      <c r="AL23" s="83">
        <v>2.6522600000000001</v>
      </c>
      <c r="AM23" s="83">
        <v>0.37825900000000001</v>
      </c>
      <c r="AN23" s="83">
        <v>1.3499E-3</v>
      </c>
      <c r="AO23" s="83">
        <v>2.5729500000000001</v>
      </c>
      <c r="AP23" s="83">
        <v>0.35822799999999999</v>
      </c>
      <c r="AQ23" s="83">
        <v>1.3499E-3</v>
      </c>
      <c r="AR23" s="83">
        <v>2.5840999999999998</v>
      </c>
      <c r="AS23" s="83">
        <v>0.35714800000000002</v>
      </c>
      <c r="AT23" s="83">
        <v>1.3499E-3</v>
      </c>
      <c r="AU23" s="83">
        <v>2.6547700000000001</v>
      </c>
      <c r="AV23" s="83">
        <v>0.36747200000000002</v>
      </c>
      <c r="AW23" s="83">
        <v>1.3499E-3</v>
      </c>
      <c r="AX23" s="83">
        <v>2.68865</v>
      </c>
      <c r="AY23" s="83">
        <v>0.372118</v>
      </c>
      <c r="AZ23" s="83">
        <v>1.3499E-3</v>
      </c>
      <c r="BA23" s="83">
        <v>2.7159399999999998</v>
      </c>
      <c r="BB23" s="83">
        <v>0.373056</v>
      </c>
      <c r="BC23" s="83">
        <v>1.3499E-3</v>
      </c>
      <c r="BD23" s="83">
        <v>2.7507199999999998</v>
      </c>
      <c r="BE23" s="83">
        <v>0.376023</v>
      </c>
      <c r="BF23" s="83">
        <v>1.3499E-3</v>
      </c>
      <c r="BG23" s="83">
        <v>2.74221</v>
      </c>
      <c r="BH23" s="83">
        <v>0.37044700000000003</v>
      </c>
      <c r="BI23" s="83">
        <v>1.3499E-3</v>
      </c>
      <c r="BJ23" s="83">
        <v>2.7525400000000002</v>
      </c>
      <c r="BK23" s="83">
        <v>0.36894700000000002</v>
      </c>
      <c r="BL23" s="83">
        <v>1.3499E-3</v>
      </c>
      <c r="BM23" s="83">
        <v>2.7633700000000001</v>
      </c>
      <c r="BN23" s="83">
        <v>0.36689899999999998</v>
      </c>
      <c r="BO23" s="83">
        <v>1.3499E-3</v>
      </c>
      <c r="BP23" s="83">
        <v>2.7772399999999999</v>
      </c>
      <c r="BQ23" s="83">
        <v>0.36585800000000002</v>
      </c>
      <c r="BR23" s="83">
        <v>1.3499E-3</v>
      </c>
      <c r="BS23" s="83">
        <v>2.8578199999999998</v>
      </c>
      <c r="BT23" s="83">
        <v>0.37546200000000002</v>
      </c>
      <c r="BU23" s="83">
        <v>1.3499E-3</v>
      </c>
      <c r="BV23" s="83">
        <v>2.8493300000000001</v>
      </c>
      <c r="BW23" s="83">
        <v>0.37007800000000002</v>
      </c>
      <c r="BX23" s="83">
        <v>1.3499E-3</v>
      </c>
      <c r="BY23" s="83">
        <v>2.8186200000000001</v>
      </c>
      <c r="BZ23" s="83">
        <v>0.35953400000000002</v>
      </c>
      <c r="CA23" s="83">
        <v>1.3499E-3</v>
      </c>
      <c r="CB23" s="83">
        <v>2.8889499999999999</v>
      </c>
      <c r="CC23" s="83">
        <v>0.36877799999999999</v>
      </c>
      <c r="CD23" s="83">
        <v>1.3499E-3</v>
      </c>
      <c r="CE23" s="83">
        <v>2.9062000000000001</v>
      </c>
      <c r="CF23" s="83">
        <v>0.366371</v>
      </c>
      <c r="CG23" s="83">
        <v>1.3499E-3</v>
      </c>
      <c r="CH23" s="83">
        <v>2.9353199999999999</v>
      </c>
      <c r="CI23" s="83">
        <v>0.36714999999999998</v>
      </c>
      <c r="CJ23" s="83">
        <v>1.3499E-3</v>
      </c>
      <c r="CK23" s="83">
        <v>2.9977200000000002</v>
      </c>
      <c r="CL23" s="83">
        <v>0.37415100000000001</v>
      </c>
      <c r="CM23" s="83">
        <v>1.3499E-3</v>
      </c>
      <c r="CN23" s="83">
        <v>3.0268600000000001</v>
      </c>
      <c r="CO23" s="83">
        <v>0.37514599999999998</v>
      </c>
      <c r="CP23" s="83">
        <v>1.3499E-3</v>
      </c>
      <c r="CQ23" s="83">
        <v>2.9767199999999998</v>
      </c>
      <c r="CR23" s="83">
        <v>0.36383399999999999</v>
      </c>
      <c r="CS23" s="83">
        <v>1.3499E-3</v>
      </c>
      <c r="CT23" s="83">
        <v>2.9390900000000002</v>
      </c>
      <c r="CU23" s="83">
        <v>0.356128</v>
      </c>
      <c r="CV23" s="83">
        <v>1.3499E-3</v>
      </c>
      <c r="CW23" s="83">
        <v>3.0365600000000001</v>
      </c>
      <c r="CX23" s="83">
        <v>0.36984099999999998</v>
      </c>
      <c r="CY23" s="83">
        <v>1.3499E-3</v>
      </c>
      <c r="CZ23" s="83">
        <v>3.09131</v>
      </c>
      <c r="DA23" s="83">
        <v>0.37645099999999998</v>
      </c>
    </row>
    <row r="24" spans="1:105" x14ac:dyDescent="0.2">
      <c r="A24" s="83">
        <v>1.4499000000000001E-3</v>
      </c>
      <c r="B24" s="83">
        <v>2.15822</v>
      </c>
      <c r="C24" s="83">
        <v>0.33713599999999999</v>
      </c>
      <c r="D24" s="83">
        <v>1.4499000000000001E-3</v>
      </c>
      <c r="E24" s="83">
        <v>2.2071299999999998</v>
      </c>
      <c r="F24" s="83">
        <v>0.33918500000000001</v>
      </c>
      <c r="G24" s="83">
        <v>1.4499000000000001E-3</v>
      </c>
      <c r="H24" s="83">
        <v>2.2564099999999998</v>
      </c>
      <c r="I24" s="83">
        <v>0.34296199999999999</v>
      </c>
      <c r="J24" s="83">
        <v>1.4499000000000001E-3</v>
      </c>
      <c r="K24" s="83">
        <v>2.3130199999999999</v>
      </c>
      <c r="L24" s="83">
        <v>0.34782999999999997</v>
      </c>
      <c r="M24" s="83">
        <v>1.4499000000000001E-3</v>
      </c>
      <c r="N24" s="83">
        <v>2.39412</v>
      </c>
      <c r="O24" s="83">
        <v>0.35547200000000001</v>
      </c>
      <c r="P24" s="83">
        <v>1.4499000000000001E-3</v>
      </c>
      <c r="Q24" s="83">
        <v>2.3580000000000001</v>
      </c>
      <c r="R24" s="83">
        <v>0.341059</v>
      </c>
      <c r="S24" s="83">
        <v>1.4499000000000001E-3</v>
      </c>
      <c r="T24" s="83">
        <v>2.3946900000000002</v>
      </c>
      <c r="U24" s="83">
        <v>0.34210800000000002</v>
      </c>
      <c r="V24" s="83">
        <v>1.4499000000000001E-3</v>
      </c>
      <c r="W24" s="83">
        <v>2.4089100000000001</v>
      </c>
      <c r="X24" s="83">
        <v>0.34122200000000003</v>
      </c>
      <c r="Y24" s="83">
        <v>1.4499000000000001E-3</v>
      </c>
      <c r="Z24" s="83">
        <v>2.4193799999999999</v>
      </c>
      <c r="AA24" s="83">
        <v>0.33998699999999998</v>
      </c>
      <c r="AB24" s="83">
        <v>1.4499000000000001E-3</v>
      </c>
      <c r="AC24" s="83">
        <v>2.4346899999999998</v>
      </c>
      <c r="AD24" s="83">
        <v>0.33987299999999998</v>
      </c>
      <c r="AE24" s="83">
        <v>1.4499000000000001E-3</v>
      </c>
      <c r="AF24" s="83">
        <v>2.4337</v>
      </c>
      <c r="AG24" s="83">
        <v>0.33724799999999999</v>
      </c>
      <c r="AH24" s="83">
        <v>1.4499000000000001E-3</v>
      </c>
      <c r="AI24" s="83">
        <v>2.4945400000000002</v>
      </c>
      <c r="AJ24" s="83">
        <v>0.34649799999999997</v>
      </c>
      <c r="AK24" s="83">
        <v>1.4499000000000001E-3</v>
      </c>
      <c r="AL24" s="83">
        <v>2.5604100000000001</v>
      </c>
      <c r="AM24" s="83">
        <v>0.35665599999999997</v>
      </c>
      <c r="AN24" s="83">
        <v>1.4499000000000001E-3</v>
      </c>
      <c r="AO24" s="83">
        <v>2.4812599999999998</v>
      </c>
      <c r="AP24" s="83">
        <v>0.33782699999999999</v>
      </c>
      <c r="AQ24" s="83">
        <v>1.4499000000000001E-3</v>
      </c>
      <c r="AR24" s="83">
        <v>2.4911699999999999</v>
      </c>
      <c r="AS24" s="83">
        <v>0.33680500000000002</v>
      </c>
      <c r="AT24" s="83">
        <v>1.4499000000000001E-3</v>
      </c>
      <c r="AU24" s="83">
        <v>2.55965</v>
      </c>
      <c r="AV24" s="83">
        <v>0.34646399999999999</v>
      </c>
      <c r="AW24" s="83">
        <v>1.4499000000000001E-3</v>
      </c>
      <c r="AX24" s="83">
        <v>2.5915300000000001</v>
      </c>
      <c r="AY24" s="83">
        <v>0.350775</v>
      </c>
      <c r="AZ24" s="83">
        <v>1.4499000000000001E-3</v>
      </c>
      <c r="BA24" s="83">
        <v>2.61734</v>
      </c>
      <c r="BB24" s="83">
        <v>0.35171599999999997</v>
      </c>
      <c r="BC24" s="83">
        <v>1.4499000000000001E-3</v>
      </c>
      <c r="BD24" s="83">
        <v>2.6500599999999999</v>
      </c>
      <c r="BE24" s="83">
        <v>0.35455300000000001</v>
      </c>
      <c r="BF24" s="83">
        <v>1.4499000000000001E-3</v>
      </c>
      <c r="BG24" s="83">
        <v>2.6394700000000002</v>
      </c>
      <c r="BH24" s="83">
        <v>0.34913300000000003</v>
      </c>
      <c r="BI24" s="83">
        <v>1.4499000000000001E-3</v>
      </c>
      <c r="BJ24" s="83">
        <v>2.6492900000000001</v>
      </c>
      <c r="BK24" s="83">
        <v>0.34796199999999999</v>
      </c>
      <c r="BL24" s="83">
        <v>1.4499000000000001E-3</v>
      </c>
      <c r="BM24" s="83">
        <v>2.6582599999999998</v>
      </c>
      <c r="BN24" s="83">
        <v>0.34589700000000001</v>
      </c>
      <c r="BO24" s="83">
        <v>1.4499000000000001E-3</v>
      </c>
      <c r="BP24" s="83">
        <v>2.67109</v>
      </c>
      <c r="BQ24" s="83">
        <v>0.34502500000000003</v>
      </c>
      <c r="BR24" s="83">
        <v>1.4499000000000001E-3</v>
      </c>
      <c r="BS24" s="83">
        <v>2.7464300000000001</v>
      </c>
      <c r="BT24" s="83">
        <v>0.35382999999999998</v>
      </c>
      <c r="BU24" s="83">
        <v>1.4499000000000001E-3</v>
      </c>
      <c r="BV24" s="83">
        <v>2.7372800000000002</v>
      </c>
      <c r="BW24" s="83">
        <v>0.34896300000000002</v>
      </c>
      <c r="BX24" s="83">
        <v>1.4499000000000001E-3</v>
      </c>
      <c r="BY24" s="83">
        <v>2.7058300000000002</v>
      </c>
      <c r="BZ24" s="83">
        <v>0.33896500000000002</v>
      </c>
      <c r="CA24" s="83">
        <v>1.4499000000000001E-3</v>
      </c>
      <c r="CB24" s="83">
        <v>2.7732899999999998</v>
      </c>
      <c r="CC24" s="83">
        <v>0.347663</v>
      </c>
      <c r="CD24" s="83">
        <v>1.4499000000000001E-3</v>
      </c>
      <c r="CE24" s="83">
        <v>2.7884099999999998</v>
      </c>
      <c r="CF24" s="83">
        <v>0.34535900000000003</v>
      </c>
      <c r="CG24" s="83">
        <v>1.4499000000000001E-3</v>
      </c>
      <c r="CH24" s="83">
        <v>2.8148499999999999</v>
      </c>
      <c r="CI24" s="83">
        <v>0.34618599999999999</v>
      </c>
      <c r="CJ24" s="83">
        <v>1.4499000000000001E-3</v>
      </c>
      <c r="CK24" s="83">
        <v>2.8741500000000002</v>
      </c>
      <c r="CL24" s="83">
        <v>0.35259400000000002</v>
      </c>
      <c r="CM24" s="83">
        <v>1.4499000000000001E-3</v>
      </c>
      <c r="CN24" s="83">
        <v>2.9006099999999999</v>
      </c>
      <c r="CO24" s="83">
        <v>0.35349399999999997</v>
      </c>
      <c r="CP24" s="83">
        <v>1.4499000000000001E-3</v>
      </c>
      <c r="CQ24" s="83">
        <v>2.8495699999999999</v>
      </c>
      <c r="CR24" s="83">
        <v>0.34291700000000003</v>
      </c>
      <c r="CS24" s="83">
        <v>1.4499000000000001E-3</v>
      </c>
      <c r="CT24" s="83">
        <v>2.8118300000000001</v>
      </c>
      <c r="CU24" s="83">
        <v>0.335754</v>
      </c>
      <c r="CV24" s="83">
        <v>1.4499000000000001E-3</v>
      </c>
      <c r="CW24" s="83">
        <v>2.9053800000000001</v>
      </c>
      <c r="CX24" s="83">
        <v>0.348717</v>
      </c>
      <c r="CY24" s="83">
        <v>1.4499000000000001E-3</v>
      </c>
      <c r="CZ24" s="83">
        <v>2.95716</v>
      </c>
      <c r="DA24" s="83">
        <v>0.35494700000000001</v>
      </c>
    </row>
    <row r="25" spans="1:105" x14ac:dyDescent="0.2">
      <c r="A25" s="83">
        <v>1.5499000000000001E-3</v>
      </c>
      <c r="B25" s="83">
        <v>2.0838999999999999</v>
      </c>
      <c r="C25" s="83">
        <v>0.31789200000000001</v>
      </c>
      <c r="D25" s="83">
        <v>1.5499000000000001E-3</v>
      </c>
      <c r="E25" s="83">
        <v>2.1311</v>
      </c>
      <c r="F25" s="83">
        <v>0.31976700000000002</v>
      </c>
      <c r="G25" s="83">
        <v>1.5499000000000001E-3</v>
      </c>
      <c r="H25" s="83">
        <v>2.17944</v>
      </c>
      <c r="I25" s="83">
        <v>0.32346399999999997</v>
      </c>
      <c r="J25" s="83">
        <v>1.5499000000000001E-3</v>
      </c>
      <c r="K25" s="83">
        <v>2.2343099999999998</v>
      </c>
      <c r="L25" s="83">
        <v>0.32800099999999999</v>
      </c>
      <c r="M25" s="83">
        <v>1.5499000000000001E-3</v>
      </c>
      <c r="N25" s="83">
        <v>2.31325</v>
      </c>
      <c r="O25" s="83">
        <v>0.33517599999999997</v>
      </c>
      <c r="P25" s="83">
        <v>1.5499000000000001E-3</v>
      </c>
      <c r="Q25" s="83">
        <v>2.2765</v>
      </c>
      <c r="R25" s="83">
        <v>0.321552</v>
      </c>
      <c r="S25" s="83">
        <v>1.5499000000000001E-3</v>
      </c>
      <c r="T25" s="83">
        <v>2.3124799999999999</v>
      </c>
      <c r="U25" s="83">
        <v>0.32258599999999998</v>
      </c>
      <c r="V25" s="83">
        <v>1.5499000000000001E-3</v>
      </c>
      <c r="W25" s="83">
        <v>2.32524</v>
      </c>
      <c r="X25" s="83">
        <v>0.321662</v>
      </c>
      <c r="Y25" s="83">
        <v>1.5499000000000001E-3</v>
      </c>
      <c r="Z25" s="83">
        <v>2.3353199999999998</v>
      </c>
      <c r="AA25" s="83">
        <v>0.32070900000000002</v>
      </c>
      <c r="AB25" s="83">
        <v>1.5499000000000001E-3</v>
      </c>
      <c r="AC25" s="83">
        <v>2.3487100000000001</v>
      </c>
      <c r="AD25" s="83">
        <v>0.32040400000000002</v>
      </c>
      <c r="AE25" s="83">
        <v>1.5499000000000001E-3</v>
      </c>
      <c r="AF25" s="83">
        <v>2.3476499999999998</v>
      </c>
      <c r="AG25" s="83">
        <v>0.31803300000000001</v>
      </c>
      <c r="AH25" s="83">
        <v>1.5499000000000001E-3</v>
      </c>
      <c r="AI25" s="83">
        <v>2.4055200000000001</v>
      </c>
      <c r="AJ25" s="83">
        <v>0.326681</v>
      </c>
      <c r="AK25" s="83">
        <v>1.5499000000000001E-3</v>
      </c>
      <c r="AL25" s="83">
        <v>2.4692799999999999</v>
      </c>
      <c r="AM25" s="83">
        <v>0.33635900000000002</v>
      </c>
      <c r="AN25" s="83">
        <v>1.5499000000000001E-3</v>
      </c>
      <c r="AO25" s="83">
        <v>2.3908</v>
      </c>
      <c r="AP25" s="83">
        <v>0.318602</v>
      </c>
      <c r="AQ25" s="83">
        <v>1.5499000000000001E-3</v>
      </c>
      <c r="AR25" s="83">
        <v>2.3992300000000002</v>
      </c>
      <c r="AS25" s="83">
        <v>0.31766100000000003</v>
      </c>
      <c r="AT25" s="83">
        <v>1.5499000000000001E-3</v>
      </c>
      <c r="AU25" s="83">
        <v>2.4650699999999999</v>
      </c>
      <c r="AV25" s="83">
        <v>0.32664199999999999</v>
      </c>
      <c r="AW25" s="83">
        <v>1.5499000000000001E-3</v>
      </c>
      <c r="AX25" s="83">
        <v>2.4961000000000002</v>
      </c>
      <c r="AY25" s="83">
        <v>0.33072000000000001</v>
      </c>
      <c r="AZ25" s="83">
        <v>1.5499000000000001E-3</v>
      </c>
      <c r="BA25" s="83">
        <v>2.5205799999999998</v>
      </c>
      <c r="BB25" s="83">
        <v>0.33174999999999999</v>
      </c>
      <c r="BC25" s="83">
        <v>1.5499000000000001E-3</v>
      </c>
      <c r="BD25" s="83">
        <v>2.5512299999999999</v>
      </c>
      <c r="BE25" s="83">
        <v>0.33438200000000001</v>
      </c>
      <c r="BF25" s="83">
        <v>1.5499000000000001E-3</v>
      </c>
      <c r="BG25" s="83">
        <v>2.53912</v>
      </c>
      <c r="BH25" s="83">
        <v>0.32914100000000002</v>
      </c>
      <c r="BI25" s="83">
        <v>1.5499000000000001E-3</v>
      </c>
      <c r="BJ25" s="83">
        <v>2.5485699999999998</v>
      </c>
      <c r="BK25" s="83">
        <v>0.32824700000000001</v>
      </c>
      <c r="BL25" s="83">
        <v>1.5499000000000001E-3</v>
      </c>
      <c r="BM25" s="83">
        <v>2.5553300000000001</v>
      </c>
      <c r="BN25" s="83">
        <v>0.326214</v>
      </c>
      <c r="BO25" s="83">
        <v>1.5499000000000001E-3</v>
      </c>
      <c r="BP25" s="83">
        <v>2.5667200000000001</v>
      </c>
      <c r="BQ25" s="83">
        <v>0.32541599999999998</v>
      </c>
      <c r="BR25" s="83">
        <v>1.5499000000000001E-3</v>
      </c>
      <c r="BS25" s="83">
        <v>2.6384400000000001</v>
      </c>
      <c r="BT25" s="83">
        <v>0.33355499999999999</v>
      </c>
      <c r="BU25" s="83">
        <v>1.5499000000000001E-3</v>
      </c>
      <c r="BV25" s="83">
        <v>2.6290100000000001</v>
      </c>
      <c r="BW25" s="83">
        <v>0.32916099999999998</v>
      </c>
      <c r="BX25" s="83">
        <v>1.5499000000000001E-3</v>
      </c>
      <c r="BY25" s="83">
        <v>2.59599</v>
      </c>
      <c r="BZ25" s="83">
        <v>0.31961200000000001</v>
      </c>
      <c r="CA25" s="83">
        <v>1.5499000000000001E-3</v>
      </c>
      <c r="CB25" s="83">
        <v>2.6598600000000001</v>
      </c>
      <c r="CC25" s="83">
        <v>0.32778800000000002</v>
      </c>
      <c r="CD25" s="83">
        <v>1.5499000000000001E-3</v>
      </c>
      <c r="CE25" s="83">
        <v>2.6734599999999999</v>
      </c>
      <c r="CF25" s="83">
        <v>0.32562099999999999</v>
      </c>
      <c r="CG25" s="83">
        <v>1.5499000000000001E-3</v>
      </c>
      <c r="CH25" s="83">
        <v>2.6972700000000001</v>
      </c>
      <c r="CI25" s="83">
        <v>0.32638600000000001</v>
      </c>
      <c r="CJ25" s="83">
        <v>1.5499000000000001E-3</v>
      </c>
      <c r="CK25" s="83">
        <v>2.7523900000000001</v>
      </c>
      <c r="CL25" s="83">
        <v>0.33235399999999998</v>
      </c>
      <c r="CM25" s="83">
        <v>1.5499000000000001E-3</v>
      </c>
      <c r="CN25" s="83">
        <v>2.7766099999999998</v>
      </c>
      <c r="CO25" s="83">
        <v>0.333181</v>
      </c>
      <c r="CP25" s="83">
        <v>1.5499000000000001E-3</v>
      </c>
      <c r="CQ25" s="83">
        <v>2.7257799999999999</v>
      </c>
      <c r="CR25" s="83">
        <v>0.32327400000000001</v>
      </c>
      <c r="CS25" s="83">
        <v>1.5499000000000001E-3</v>
      </c>
      <c r="CT25" s="83">
        <v>2.6877300000000002</v>
      </c>
      <c r="CU25" s="83">
        <v>0.31659799999999999</v>
      </c>
      <c r="CV25" s="83">
        <v>1.5499000000000001E-3</v>
      </c>
      <c r="CW25" s="83">
        <v>2.7777400000000001</v>
      </c>
      <c r="CX25" s="83">
        <v>0.32889400000000002</v>
      </c>
      <c r="CY25" s="83">
        <v>1.5499000000000001E-3</v>
      </c>
      <c r="CZ25" s="83">
        <v>2.8266499999999999</v>
      </c>
      <c r="DA25" s="83">
        <v>0.33475899999999997</v>
      </c>
    </row>
    <row r="26" spans="1:105" x14ac:dyDescent="0.2">
      <c r="A26" s="83">
        <v>1.6498999999999999E-3</v>
      </c>
      <c r="B26" s="83">
        <v>2.0108999999999999</v>
      </c>
      <c r="C26" s="83">
        <v>0.29983500000000002</v>
      </c>
      <c r="D26" s="83">
        <v>1.6498999999999999E-3</v>
      </c>
      <c r="E26" s="83">
        <v>2.0560100000000001</v>
      </c>
      <c r="F26" s="83">
        <v>0.30151299999999998</v>
      </c>
      <c r="G26" s="83">
        <v>1.6498999999999999E-3</v>
      </c>
      <c r="H26" s="83">
        <v>2.1035699999999999</v>
      </c>
      <c r="I26" s="83">
        <v>0.30515700000000001</v>
      </c>
      <c r="J26" s="83">
        <v>1.6498999999999999E-3</v>
      </c>
      <c r="K26" s="83">
        <v>2.1567400000000001</v>
      </c>
      <c r="L26" s="83">
        <v>0.30935499999999999</v>
      </c>
      <c r="M26" s="83">
        <v>1.6498999999999999E-3</v>
      </c>
      <c r="N26" s="83">
        <v>2.23312</v>
      </c>
      <c r="O26" s="83">
        <v>0.31609100000000001</v>
      </c>
      <c r="P26" s="83">
        <v>1.6498999999999999E-3</v>
      </c>
      <c r="Q26" s="83">
        <v>2.19584</v>
      </c>
      <c r="R26" s="83">
        <v>0.30325099999999999</v>
      </c>
      <c r="S26" s="83">
        <v>1.6498999999999999E-3</v>
      </c>
      <c r="T26" s="83">
        <v>2.2309000000000001</v>
      </c>
      <c r="U26" s="83">
        <v>0.304315</v>
      </c>
      <c r="V26" s="83">
        <v>1.6498999999999999E-3</v>
      </c>
      <c r="W26" s="83">
        <v>2.2425099999999998</v>
      </c>
      <c r="X26" s="83">
        <v>0.30334699999999998</v>
      </c>
      <c r="Y26" s="83">
        <v>1.6498999999999999E-3</v>
      </c>
      <c r="Z26" s="83">
        <v>2.2524899999999999</v>
      </c>
      <c r="AA26" s="83">
        <v>0.30258499999999999</v>
      </c>
      <c r="AB26" s="83">
        <v>1.6498999999999999E-3</v>
      </c>
      <c r="AC26" s="83">
        <v>2.26376</v>
      </c>
      <c r="AD26" s="83">
        <v>0.302149</v>
      </c>
      <c r="AE26" s="83">
        <v>1.6498999999999999E-3</v>
      </c>
      <c r="AF26" s="83">
        <v>2.2624900000000001</v>
      </c>
      <c r="AG26" s="83">
        <v>0.29999399999999998</v>
      </c>
      <c r="AH26" s="83">
        <v>1.6498999999999999E-3</v>
      </c>
      <c r="AI26" s="83">
        <v>2.3182900000000002</v>
      </c>
      <c r="AJ26" s="83">
        <v>0.30804399999999998</v>
      </c>
      <c r="AK26" s="83">
        <v>1.6498999999999999E-3</v>
      </c>
      <c r="AL26" s="83">
        <v>2.3797899999999998</v>
      </c>
      <c r="AM26" s="83">
        <v>0.31718000000000002</v>
      </c>
      <c r="AN26" s="83">
        <v>1.6498999999999999E-3</v>
      </c>
      <c r="AO26" s="83">
        <v>2.3025899999999999</v>
      </c>
      <c r="AP26" s="83">
        <v>0.30055999999999999</v>
      </c>
      <c r="AQ26" s="83">
        <v>1.6498999999999999E-3</v>
      </c>
      <c r="AR26" s="83">
        <v>2.3100499999999999</v>
      </c>
      <c r="AS26" s="83">
        <v>0.29968</v>
      </c>
      <c r="AT26" s="83">
        <v>1.6498999999999999E-3</v>
      </c>
      <c r="AU26" s="83">
        <v>2.3725399999999999</v>
      </c>
      <c r="AV26" s="83">
        <v>0.30803599999999998</v>
      </c>
      <c r="AW26" s="83">
        <v>1.6498999999999999E-3</v>
      </c>
      <c r="AX26" s="83">
        <v>2.4017200000000001</v>
      </c>
      <c r="AY26" s="83">
        <v>0.31184000000000001</v>
      </c>
      <c r="AZ26" s="83">
        <v>1.6498999999999999E-3</v>
      </c>
      <c r="BA26" s="83">
        <v>2.4247800000000002</v>
      </c>
      <c r="BB26" s="83">
        <v>0.312921</v>
      </c>
      <c r="BC26" s="83">
        <v>1.6498999999999999E-3</v>
      </c>
      <c r="BD26" s="83">
        <v>2.45356</v>
      </c>
      <c r="BE26" s="83">
        <v>0.31529699999999999</v>
      </c>
      <c r="BF26" s="83">
        <v>1.6498999999999999E-3</v>
      </c>
      <c r="BG26" s="83">
        <v>2.4401600000000001</v>
      </c>
      <c r="BH26" s="83">
        <v>0.31036900000000001</v>
      </c>
      <c r="BI26" s="83">
        <v>1.6498999999999999E-3</v>
      </c>
      <c r="BJ26" s="83">
        <v>2.44909</v>
      </c>
      <c r="BK26" s="83">
        <v>0.309645</v>
      </c>
      <c r="BL26" s="83">
        <v>1.6498999999999999E-3</v>
      </c>
      <c r="BM26" s="83">
        <v>2.4538899999999999</v>
      </c>
      <c r="BN26" s="83">
        <v>0.307699</v>
      </c>
      <c r="BO26" s="83">
        <v>1.6498999999999999E-3</v>
      </c>
      <c r="BP26" s="83">
        <v>2.46427</v>
      </c>
      <c r="BQ26" s="83">
        <v>0.30695899999999998</v>
      </c>
      <c r="BR26" s="83">
        <v>1.6498999999999999E-3</v>
      </c>
      <c r="BS26" s="83">
        <v>2.53207</v>
      </c>
      <c r="BT26" s="83">
        <v>0.31451499999999999</v>
      </c>
      <c r="BU26" s="83">
        <v>1.6498999999999999E-3</v>
      </c>
      <c r="BV26" s="83">
        <v>2.5225300000000002</v>
      </c>
      <c r="BW26" s="83">
        <v>0.31046200000000002</v>
      </c>
      <c r="BX26" s="83">
        <v>1.6498999999999999E-3</v>
      </c>
      <c r="BY26" s="83">
        <v>2.4875799999999999</v>
      </c>
      <c r="BZ26" s="83">
        <v>0.30138100000000001</v>
      </c>
      <c r="CA26" s="83">
        <v>1.6498999999999999E-3</v>
      </c>
      <c r="CB26" s="83">
        <v>2.5495299999999999</v>
      </c>
      <c r="CC26" s="83">
        <v>0.30911</v>
      </c>
      <c r="CD26" s="83">
        <v>1.6498999999999999E-3</v>
      </c>
      <c r="CE26" s="83">
        <v>2.5607700000000002</v>
      </c>
      <c r="CF26" s="83">
        <v>0.30709599999999998</v>
      </c>
      <c r="CG26" s="83">
        <v>1.6498999999999999E-3</v>
      </c>
      <c r="CH26" s="83">
        <v>2.5830799999999998</v>
      </c>
      <c r="CI26" s="83">
        <v>0.30778499999999998</v>
      </c>
      <c r="CJ26" s="83">
        <v>1.6498999999999999E-3</v>
      </c>
      <c r="CK26" s="83">
        <v>2.6353499999999999</v>
      </c>
      <c r="CL26" s="83">
        <v>0.31333299999999997</v>
      </c>
      <c r="CM26" s="83">
        <v>1.6498999999999999E-3</v>
      </c>
      <c r="CN26" s="83">
        <v>2.6564399999999999</v>
      </c>
      <c r="CO26" s="83">
        <v>0.31410100000000002</v>
      </c>
      <c r="CP26" s="83">
        <v>1.6498999999999999E-3</v>
      </c>
      <c r="CQ26" s="83">
        <v>2.6058500000000002</v>
      </c>
      <c r="CR26" s="83">
        <v>0.30483199999999999</v>
      </c>
      <c r="CS26" s="83">
        <v>1.6498999999999999E-3</v>
      </c>
      <c r="CT26" s="83">
        <v>2.5676399999999999</v>
      </c>
      <c r="CU26" s="83">
        <v>0.298626</v>
      </c>
      <c r="CV26" s="83">
        <v>1.6498999999999999E-3</v>
      </c>
      <c r="CW26" s="83">
        <v>2.6532</v>
      </c>
      <c r="CX26" s="83">
        <v>0.31028</v>
      </c>
      <c r="CY26" s="83">
        <v>1.6498999999999999E-3</v>
      </c>
      <c r="CZ26" s="83">
        <v>2.6993200000000002</v>
      </c>
      <c r="DA26" s="83">
        <v>0.31572499999999998</v>
      </c>
    </row>
    <row r="27" spans="1:105" x14ac:dyDescent="0.2">
      <c r="A27" s="83">
        <v>1.7499E-3</v>
      </c>
      <c r="B27" s="83">
        <v>1.93919</v>
      </c>
      <c r="C27" s="83">
        <v>0.28294900000000001</v>
      </c>
      <c r="D27" s="83">
        <v>1.7499E-3</v>
      </c>
      <c r="E27" s="83">
        <v>1.9825299999999999</v>
      </c>
      <c r="F27" s="83">
        <v>0.28440599999999999</v>
      </c>
      <c r="G27" s="83">
        <v>1.7499E-3</v>
      </c>
      <c r="H27" s="83">
        <v>2.0289600000000001</v>
      </c>
      <c r="I27" s="83">
        <v>0.287943</v>
      </c>
      <c r="J27" s="83">
        <v>1.7499E-3</v>
      </c>
      <c r="K27" s="83">
        <v>2.0800200000000002</v>
      </c>
      <c r="L27" s="83">
        <v>0.29186400000000001</v>
      </c>
      <c r="M27" s="83">
        <v>1.7499E-3</v>
      </c>
      <c r="N27" s="83">
        <v>2.15395</v>
      </c>
      <c r="O27" s="83">
        <v>0.29811700000000002</v>
      </c>
      <c r="P27" s="83">
        <v>1.7499E-3</v>
      </c>
      <c r="Q27" s="83">
        <v>2.1165799999999999</v>
      </c>
      <c r="R27" s="83">
        <v>0.28609499999999999</v>
      </c>
      <c r="S27" s="83">
        <v>1.7499E-3</v>
      </c>
      <c r="T27" s="83">
        <v>2.1505100000000001</v>
      </c>
      <c r="U27" s="83">
        <v>0.28716999999999998</v>
      </c>
      <c r="V27" s="83">
        <v>1.7499E-3</v>
      </c>
      <c r="W27" s="83">
        <v>2.1611600000000002</v>
      </c>
      <c r="X27" s="83">
        <v>0.286159</v>
      </c>
      <c r="Y27" s="83">
        <v>1.7499E-3</v>
      </c>
      <c r="Z27" s="83">
        <v>2.1703999999999999</v>
      </c>
      <c r="AA27" s="83">
        <v>0.285551</v>
      </c>
      <c r="AB27" s="83">
        <v>1.7499E-3</v>
      </c>
      <c r="AC27" s="83">
        <v>2.18065</v>
      </c>
      <c r="AD27" s="83">
        <v>0.28503499999999998</v>
      </c>
      <c r="AE27" s="83">
        <v>1.7499E-3</v>
      </c>
      <c r="AF27" s="83">
        <v>2.1787100000000001</v>
      </c>
      <c r="AG27" s="83">
        <v>0.28304400000000002</v>
      </c>
      <c r="AH27" s="83">
        <v>1.7499E-3</v>
      </c>
      <c r="AI27" s="83">
        <v>2.2318500000000001</v>
      </c>
      <c r="AJ27" s="83">
        <v>0.290574</v>
      </c>
      <c r="AK27" s="83">
        <v>1.7499E-3</v>
      </c>
      <c r="AL27" s="83">
        <v>2.2925499999999999</v>
      </c>
      <c r="AM27" s="83">
        <v>0.29922399999999999</v>
      </c>
      <c r="AN27" s="83">
        <v>1.7499E-3</v>
      </c>
      <c r="AO27" s="83">
        <v>2.2154600000000002</v>
      </c>
      <c r="AP27" s="83">
        <v>0.28356100000000001</v>
      </c>
      <c r="AQ27" s="83">
        <v>1.7499E-3</v>
      </c>
      <c r="AR27" s="83">
        <v>2.22187</v>
      </c>
      <c r="AS27" s="83">
        <v>0.28281400000000001</v>
      </c>
      <c r="AT27" s="83">
        <v>1.7499E-3</v>
      </c>
      <c r="AU27" s="83">
        <v>2.2820999999999998</v>
      </c>
      <c r="AV27" s="83">
        <v>0.29056700000000002</v>
      </c>
      <c r="AW27" s="83">
        <v>1.7499E-3</v>
      </c>
      <c r="AX27" s="83">
        <v>2.3095699999999999</v>
      </c>
      <c r="AY27" s="83">
        <v>0.29411500000000002</v>
      </c>
      <c r="AZ27" s="83">
        <v>1.7499E-3</v>
      </c>
      <c r="BA27" s="83">
        <v>2.331</v>
      </c>
      <c r="BB27" s="83">
        <v>0.29520800000000003</v>
      </c>
      <c r="BC27" s="83">
        <v>1.7499E-3</v>
      </c>
      <c r="BD27" s="83">
        <v>2.3580000000000001</v>
      </c>
      <c r="BE27" s="83">
        <v>0.29741000000000001</v>
      </c>
      <c r="BF27" s="83">
        <v>1.7499E-3</v>
      </c>
      <c r="BG27" s="83">
        <v>2.3433899999999999</v>
      </c>
      <c r="BH27" s="83">
        <v>0.292771</v>
      </c>
      <c r="BI27" s="83">
        <v>1.7499E-3</v>
      </c>
      <c r="BJ27" s="83">
        <v>2.35161</v>
      </c>
      <c r="BK27" s="83">
        <v>0.29221799999999998</v>
      </c>
      <c r="BL27" s="83">
        <v>1.7499E-3</v>
      </c>
      <c r="BM27" s="83">
        <v>2.3547899999999999</v>
      </c>
      <c r="BN27" s="83">
        <v>0.29028900000000002</v>
      </c>
      <c r="BO27" s="83">
        <v>1.7499E-3</v>
      </c>
      <c r="BP27" s="83">
        <v>2.3635100000000002</v>
      </c>
      <c r="BQ27" s="83">
        <v>0.28962199999999999</v>
      </c>
      <c r="BR27" s="83">
        <v>1.7499E-3</v>
      </c>
      <c r="BS27" s="83">
        <v>2.42807</v>
      </c>
      <c r="BT27" s="83">
        <v>0.29660999999999998</v>
      </c>
      <c r="BU27" s="83">
        <v>1.7499E-3</v>
      </c>
      <c r="BV27" s="83">
        <v>2.4176600000000001</v>
      </c>
      <c r="BW27" s="83">
        <v>0.29287299999999999</v>
      </c>
      <c r="BX27" s="83">
        <v>1.7499E-3</v>
      </c>
      <c r="BY27" s="83">
        <v>2.38205</v>
      </c>
      <c r="BZ27" s="83">
        <v>0.28429100000000002</v>
      </c>
      <c r="CA27" s="83">
        <v>1.7499E-3</v>
      </c>
      <c r="CB27" s="83">
        <v>2.4407899999999998</v>
      </c>
      <c r="CC27" s="83">
        <v>0.29147200000000001</v>
      </c>
      <c r="CD27" s="83">
        <v>1.7499E-3</v>
      </c>
      <c r="CE27" s="83">
        <v>2.4508100000000002</v>
      </c>
      <c r="CF27" s="83">
        <v>0.28969600000000001</v>
      </c>
      <c r="CG27" s="83">
        <v>1.7499E-3</v>
      </c>
      <c r="CH27" s="83">
        <v>2.4704600000000001</v>
      </c>
      <c r="CI27" s="83">
        <v>0.29025000000000001</v>
      </c>
      <c r="CJ27" s="83">
        <v>1.7499E-3</v>
      </c>
      <c r="CK27" s="83">
        <v>2.5197799999999999</v>
      </c>
      <c r="CL27" s="83">
        <v>0.29549900000000001</v>
      </c>
      <c r="CM27" s="83">
        <v>1.7499E-3</v>
      </c>
      <c r="CN27" s="83">
        <v>2.5392100000000002</v>
      </c>
      <c r="CO27" s="83">
        <v>0.29624299999999998</v>
      </c>
      <c r="CP27" s="83">
        <v>1.7499E-3</v>
      </c>
      <c r="CQ27" s="83">
        <v>2.4883099999999998</v>
      </c>
      <c r="CR27" s="83">
        <v>0.28752499999999998</v>
      </c>
      <c r="CS27" s="83">
        <v>1.7499E-3</v>
      </c>
      <c r="CT27" s="83">
        <v>2.4502899999999999</v>
      </c>
      <c r="CU27" s="83">
        <v>0.28172999999999998</v>
      </c>
      <c r="CV27" s="83">
        <v>1.7499E-3</v>
      </c>
      <c r="CW27" s="83">
        <v>2.5327799999999998</v>
      </c>
      <c r="CX27" s="83">
        <v>0.29271799999999998</v>
      </c>
      <c r="CY27" s="83">
        <v>1.7499E-3</v>
      </c>
      <c r="CZ27" s="83">
        <v>2.57531</v>
      </c>
      <c r="DA27" s="83">
        <v>0.29775200000000002</v>
      </c>
    </row>
    <row r="28" spans="1:105" x14ac:dyDescent="0.2">
      <c r="A28" s="83">
        <v>1.8499E-3</v>
      </c>
      <c r="B28" s="83">
        <v>1.8694999999999999</v>
      </c>
      <c r="C28" s="83">
        <v>0.266982</v>
      </c>
      <c r="D28" s="83">
        <v>1.8499E-3</v>
      </c>
      <c r="E28" s="83">
        <v>1.9106799999999999</v>
      </c>
      <c r="F28" s="83">
        <v>0.26831700000000003</v>
      </c>
      <c r="G28" s="83">
        <v>1.8499E-3</v>
      </c>
      <c r="H28" s="83">
        <v>1.95567</v>
      </c>
      <c r="I28" s="83">
        <v>0.27169100000000002</v>
      </c>
      <c r="J28" s="83">
        <v>1.8499E-3</v>
      </c>
      <c r="K28" s="83">
        <v>2.00481</v>
      </c>
      <c r="L28" s="83">
        <v>0.27538200000000002</v>
      </c>
      <c r="M28" s="83">
        <v>1.8499E-3</v>
      </c>
      <c r="N28" s="83">
        <v>2.0765500000000001</v>
      </c>
      <c r="O28" s="83">
        <v>0.28125499999999998</v>
      </c>
      <c r="P28" s="83">
        <v>1.8499E-3</v>
      </c>
      <c r="Q28" s="83">
        <v>2.03945</v>
      </c>
      <c r="R28" s="83">
        <v>0.26995200000000003</v>
      </c>
      <c r="S28" s="83">
        <v>1.8499E-3</v>
      </c>
      <c r="T28" s="83">
        <v>2.07212</v>
      </c>
      <c r="U28" s="83">
        <v>0.27097100000000002</v>
      </c>
      <c r="V28" s="83">
        <v>1.8499E-3</v>
      </c>
      <c r="W28" s="83">
        <v>2.081</v>
      </c>
      <c r="X28" s="83">
        <v>0.269897</v>
      </c>
      <c r="Y28" s="83">
        <v>1.8499E-3</v>
      </c>
      <c r="Z28" s="83">
        <v>2.0897899999999998</v>
      </c>
      <c r="AA28" s="83">
        <v>0.26941799999999999</v>
      </c>
      <c r="AB28" s="83">
        <v>1.8499E-3</v>
      </c>
      <c r="AC28" s="83">
        <v>2.0981900000000002</v>
      </c>
      <c r="AD28" s="83">
        <v>0.26889600000000002</v>
      </c>
      <c r="AE28" s="83">
        <v>1.8499E-3</v>
      </c>
      <c r="AF28" s="83">
        <v>2.0965099999999999</v>
      </c>
      <c r="AG28" s="83">
        <v>0.26705699999999999</v>
      </c>
      <c r="AH28" s="83">
        <v>1.8499E-3</v>
      </c>
      <c r="AI28" s="83">
        <v>2.14758</v>
      </c>
      <c r="AJ28" s="83">
        <v>0.27412199999999998</v>
      </c>
      <c r="AK28" s="83">
        <v>1.8499E-3</v>
      </c>
      <c r="AL28" s="83">
        <v>2.2058800000000001</v>
      </c>
      <c r="AM28" s="83">
        <v>0.28235300000000002</v>
      </c>
      <c r="AN28" s="83">
        <v>1.8499E-3</v>
      </c>
      <c r="AO28" s="83">
        <v>2.13009</v>
      </c>
      <c r="AP28" s="83">
        <v>0.26755600000000002</v>
      </c>
      <c r="AQ28" s="83">
        <v>1.8499E-3</v>
      </c>
      <c r="AR28" s="83">
        <v>2.1354600000000001</v>
      </c>
      <c r="AS28" s="83">
        <v>0.26694699999999999</v>
      </c>
      <c r="AT28" s="83">
        <v>1.8499E-3</v>
      </c>
      <c r="AU28" s="83">
        <v>2.1931600000000002</v>
      </c>
      <c r="AV28" s="83">
        <v>0.27416299999999999</v>
      </c>
      <c r="AW28" s="83">
        <v>1.8499E-3</v>
      </c>
      <c r="AX28" s="83">
        <v>2.2187399999999999</v>
      </c>
      <c r="AY28" s="83">
        <v>0.27742899999999998</v>
      </c>
      <c r="AZ28" s="83">
        <v>1.8499E-3</v>
      </c>
      <c r="BA28" s="83">
        <v>2.2390099999999999</v>
      </c>
      <c r="BB28" s="83">
        <v>0.27854899999999999</v>
      </c>
      <c r="BC28" s="83">
        <v>1.8499E-3</v>
      </c>
      <c r="BD28" s="83">
        <v>2.26437</v>
      </c>
      <c r="BE28" s="83">
        <v>0.28059099999999998</v>
      </c>
      <c r="BF28" s="83">
        <v>1.8499E-3</v>
      </c>
      <c r="BG28" s="83">
        <v>2.24878</v>
      </c>
      <c r="BH28" s="83">
        <v>0.27623500000000001</v>
      </c>
      <c r="BI28" s="83">
        <v>1.8499E-3</v>
      </c>
      <c r="BJ28" s="83">
        <v>2.2567699999999999</v>
      </c>
      <c r="BK28" s="83">
        <v>0.27578799999999998</v>
      </c>
      <c r="BL28" s="83">
        <v>1.8499E-3</v>
      </c>
      <c r="BM28" s="83">
        <v>2.2582900000000001</v>
      </c>
      <c r="BN28" s="83">
        <v>0.273947</v>
      </c>
      <c r="BO28" s="83">
        <v>1.8499E-3</v>
      </c>
      <c r="BP28" s="83">
        <v>2.2656800000000001</v>
      </c>
      <c r="BQ28" s="83">
        <v>0.27327800000000002</v>
      </c>
      <c r="BR28" s="83">
        <v>1.8499E-3</v>
      </c>
      <c r="BS28" s="83">
        <v>2.3262999999999998</v>
      </c>
      <c r="BT28" s="83">
        <v>0.27980500000000003</v>
      </c>
      <c r="BU28" s="83">
        <v>1.8499E-3</v>
      </c>
      <c r="BV28" s="83">
        <v>2.3158699999999999</v>
      </c>
      <c r="BW28" s="83">
        <v>0.27632499999999999</v>
      </c>
      <c r="BX28" s="83">
        <v>1.8499E-3</v>
      </c>
      <c r="BY28" s="83">
        <v>2.27969</v>
      </c>
      <c r="BZ28" s="83">
        <v>0.26821099999999998</v>
      </c>
      <c r="CA28" s="83">
        <v>1.8499E-3</v>
      </c>
      <c r="CB28" s="83">
        <v>2.3353000000000002</v>
      </c>
      <c r="CC28" s="83">
        <v>0.27496700000000002</v>
      </c>
      <c r="CD28" s="83">
        <v>1.8499E-3</v>
      </c>
      <c r="CE28" s="83">
        <v>2.34314</v>
      </c>
      <c r="CF28" s="83">
        <v>0.27331499999999997</v>
      </c>
      <c r="CG28" s="83">
        <v>1.8499E-3</v>
      </c>
      <c r="CH28" s="83">
        <v>2.3607399999999998</v>
      </c>
      <c r="CI28" s="83">
        <v>0.27376299999999998</v>
      </c>
      <c r="CJ28" s="83">
        <v>1.8499E-3</v>
      </c>
      <c r="CK28" s="83">
        <v>2.4067099999999999</v>
      </c>
      <c r="CL28" s="83">
        <v>0.278727</v>
      </c>
      <c r="CM28" s="83">
        <v>1.8499E-3</v>
      </c>
      <c r="CN28" s="83">
        <v>2.4245199999999998</v>
      </c>
      <c r="CO28" s="83">
        <v>0.27944400000000003</v>
      </c>
      <c r="CP28" s="83">
        <v>1.8499E-3</v>
      </c>
      <c r="CQ28" s="83">
        <v>2.37385</v>
      </c>
      <c r="CR28" s="83">
        <v>0.271227</v>
      </c>
      <c r="CS28" s="83">
        <v>1.8499E-3</v>
      </c>
      <c r="CT28" s="83">
        <v>2.3363999999999998</v>
      </c>
      <c r="CU28" s="83">
        <v>0.26580799999999999</v>
      </c>
      <c r="CV28" s="83">
        <v>1.8499E-3</v>
      </c>
      <c r="CW28" s="83">
        <v>2.4149699999999998</v>
      </c>
      <c r="CX28" s="83">
        <v>0.27616099999999999</v>
      </c>
      <c r="CY28" s="83">
        <v>1.8499E-3</v>
      </c>
      <c r="CZ28" s="83">
        <v>2.4541900000000001</v>
      </c>
      <c r="DA28" s="83">
        <v>0.28092099999999998</v>
      </c>
    </row>
    <row r="29" spans="1:105" x14ac:dyDescent="0.2">
      <c r="A29" s="83">
        <v>1.9499000000000001E-3</v>
      </c>
      <c r="B29" s="83">
        <v>1.8005199999999999</v>
      </c>
      <c r="C29" s="83">
        <v>0.25207099999999999</v>
      </c>
      <c r="D29" s="83">
        <v>1.9499000000000001E-3</v>
      </c>
      <c r="E29" s="83">
        <v>1.8403499999999999</v>
      </c>
      <c r="F29" s="83">
        <v>0.25323800000000002</v>
      </c>
      <c r="G29" s="83">
        <v>1.9499000000000001E-3</v>
      </c>
      <c r="H29" s="83">
        <v>1.8837900000000001</v>
      </c>
      <c r="I29" s="83">
        <v>0.25644499999999998</v>
      </c>
      <c r="J29" s="83">
        <v>1.9499000000000001E-3</v>
      </c>
      <c r="K29" s="83">
        <v>1.9311799999999999</v>
      </c>
      <c r="L29" s="83">
        <v>0.25989699999999999</v>
      </c>
      <c r="M29" s="83">
        <v>1.9499000000000001E-3</v>
      </c>
      <c r="N29" s="83">
        <v>2.0003299999999999</v>
      </c>
      <c r="O29" s="83">
        <v>0.26532099999999997</v>
      </c>
      <c r="P29" s="83">
        <v>1.9499000000000001E-3</v>
      </c>
      <c r="Q29" s="83">
        <v>1.96347</v>
      </c>
      <c r="R29" s="83">
        <v>0.25483699999999998</v>
      </c>
      <c r="S29" s="83">
        <v>1.9499000000000001E-3</v>
      </c>
      <c r="T29" s="83">
        <v>1.99457</v>
      </c>
      <c r="U29" s="83">
        <v>0.25580900000000001</v>
      </c>
      <c r="V29" s="83">
        <v>1.9499000000000001E-3</v>
      </c>
      <c r="W29" s="83">
        <v>2.0023200000000001</v>
      </c>
      <c r="X29" s="83">
        <v>0.25470799999999999</v>
      </c>
      <c r="Y29" s="83">
        <v>1.9499000000000001E-3</v>
      </c>
      <c r="Z29" s="83">
        <v>2.01078</v>
      </c>
      <c r="AA29" s="83">
        <v>0.25438</v>
      </c>
      <c r="AB29" s="83">
        <v>1.9499000000000001E-3</v>
      </c>
      <c r="AC29" s="83">
        <v>2.01803</v>
      </c>
      <c r="AD29" s="83">
        <v>0.25378200000000001</v>
      </c>
      <c r="AE29" s="83">
        <v>1.9499000000000001E-3</v>
      </c>
      <c r="AF29" s="83">
        <v>2.0163600000000002</v>
      </c>
      <c r="AG29" s="83">
        <v>0.25209500000000001</v>
      </c>
      <c r="AH29" s="83">
        <v>1.9499000000000001E-3</v>
      </c>
      <c r="AI29" s="83">
        <v>2.0649299999999999</v>
      </c>
      <c r="AJ29" s="83">
        <v>0.25872600000000001</v>
      </c>
      <c r="AK29" s="83">
        <v>1.9499000000000001E-3</v>
      </c>
      <c r="AL29" s="83">
        <v>2.1213700000000002</v>
      </c>
      <c r="AM29" s="83">
        <v>0.26644299999999999</v>
      </c>
      <c r="AN29" s="83">
        <v>1.9499000000000001E-3</v>
      </c>
      <c r="AO29" s="83">
        <v>2.0464000000000002</v>
      </c>
      <c r="AP29" s="83">
        <v>0.25256800000000001</v>
      </c>
      <c r="AQ29" s="83">
        <v>1.9499000000000001E-3</v>
      </c>
      <c r="AR29" s="83">
        <v>2.0511599999999999</v>
      </c>
      <c r="AS29" s="83">
        <v>0.25205899999999998</v>
      </c>
      <c r="AT29" s="83">
        <v>1.9499000000000001E-3</v>
      </c>
      <c r="AU29" s="83">
        <v>2.1059600000000001</v>
      </c>
      <c r="AV29" s="83">
        <v>0.25872800000000001</v>
      </c>
      <c r="AW29" s="83">
        <v>1.9499000000000001E-3</v>
      </c>
      <c r="AX29" s="83">
        <v>2.1303100000000001</v>
      </c>
      <c r="AY29" s="83">
        <v>0.26179400000000003</v>
      </c>
      <c r="AZ29" s="83">
        <v>1.9499000000000001E-3</v>
      </c>
      <c r="BA29" s="83">
        <v>2.1494800000000001</v>
      </c>
      <c r="BB29" s="83">
        <v>0.26288299999999998</v>
      </c>
      <c r="BC29" s="83">
        <v>1.9499000000000001E-3</v>
      </c>
      <c r="BD29" s="83">
        <v>2.1727400000000001</v>
      </c>
      <c r="BE29" s="83">
        <v>0.26475199999999999</v>
      </c>
      <c r="BF29" s="83">
        <v>1.9499000000000001E-3</v>
      </c>
      <c r="BG29" s="83">
        <v>2.1563599999999998</v>
      </c>
      <c r="BH29" s="83">
        <v>0.26069599999999998</v>
      </c>
      <c r="BI29" s="83">
        <v>1.9499000000000001E-3</v>
      </c>
      <c r="BJ29" s="83">
        <v>2.1632600000000002</v>
      </c>
      <c r="BK29" s="83">
        <v>0.26031399999999999</v>
      </c>
      <c r="BL29" s="83">
        <v>1.9499000000000001E-3</v>
      </c>
      <c r="BM29" s="83">
        <v>2.16377</v>
      </c>
      <c r="BN29" s="83">
        <v>0.25857200000000002</v>
      </c>
      <c r="BO29" s="83">
        <v>1.9499000000000001E-3</v>
      </c>
      <c r="BP29" s="83">
        <v>2.1700200000000001</v>
      </c>
      <c r="BQ29" s="83">
        <v>0.25798500000000002</v>
      </c>
      <c r="BR29" s="83">
        <v>1.9499000000000001E-3</v>
      </c>
      <c r="BS29" s="83">
        <v>2.2275</v>
      </c>
      <c r="BT29" s="83">
        <v>0.264015</v>
      </c>
      <c r="BU29" s="83">
        <v>1.9499000000000001E-3</v>
      </c>
      <c r="BV29" s="83">
        <v>2.2161300000000002</v>
      </c>
      <c r="BW29" s="83">
        <v>0.260824</v>
      </c>
      <c r="BX29" s="83">
        <v>1.9499000000000001E-3</v>
      </c>
      <c r="BY29" s="83">
        <v>2.1795900000000001</v>
      </c>
      <c r="BZ29" s="83">
        <v>0.25320500000000001</v>
      </c>
      <c r="CA29" s="83">
        <v>1.9499000000000001E-3</v>
      </c>
      <c r="CB29" s="83">
        <v>2.2321200000000001</v>
      </c>
      <c r="CC29" s="83">
        <v>0.25945800000000002</v>
      </c>
      <c r="CD29" s="83">
        <v>1.9499000000000001E-3</v>
      </c>
      <c r="CE29" s="83">
        <v>2.2387100000000002</v>
      </c>
      <c r="CF29" s="83">
        <v>0.25796799999999998</v>
      </c>
      <c r="CG29" s="83">
        <v>1.9499000000000001E-3</v>
      </c>
      <c r="CH29" s="83">
        <v>2.25441</v>
      </c>
      <c r="CI29" s="83">
        <v>0.25829600000000003</v>
      </c>
      <c r="CJ29" s="83">
        <v>1.9499000000000001E-3</v>
      </c>
      <c r="CK29" s="83">
        <v>2.2983099999999999</v>
      </c>
      <c r="CL29" s="83">
        <v>0.26294099999999998</v>
      </c>
      <c r="CM29" s="83">
        <v>1.9499000000000001E-3</v>
      </c>
      <c r="CN29" s="83">
        <v>2.3145199999999999</v>
      </c>
      <c r="CO29" s="83">
        <v>0.263683</v>
      </c>
      <c r="CP29" s="83">
        <v>1.9499000000000001E-3</v>
      </c>
      <c r="CQ29" s="83">
        <v>2.2637100000000001</v>
      </c>
      <c r="CR29" s="83">
        <v>0.25598500000000002</v>
      </c>
      <c r="CS29" s="83">
        <v>1.9499000000000001E-3</v>
      </c>
      <c r="CT29" s="83">
        <v>2.2261500000000001</v>
      </c>
      <c r="CU29" s="83">
        <v>0.25092100000000001</v>
      </c>
      <c r="CV29" s="83">
        <v>1.9499000000000001E-3</v>
      </c>
      <c r="CW29" s="83">
        <v>2.3012800000000002</v>
      </c>
      <c r="CX29" s="83">
        <v>0.26062400000000002</v>
      </c>
      <c r="CY29" s="83">
        <v>1.9499000000000001E-3</v>
      </c>
      <c r="CZ29" s="83">
        <v>2.3373400000000002</v>
      </c>
      <c r="DA29" s="83">
        <v>0.26502599999999998</v>
      </c>
    </row>
    <row r="30" spans="1:105" x14ac:dyDescent="0.2">
      <c r="A30" s="83">
        <v>2.0498999999999999E-3</v>
      </c>
      <c r="B30" s="83">
        <v>1.73383</v>
      </c>
      <c r="C30" s="83">
        <v>0.23805399999999999</v>
      </c>
      <c r="D30" s="83">
        <v>2.0498999999999999E-3</v>
      </c>
      <c r="E30" s="83">
        <v>1.7713399999999999</v>
      </c>
      <c r="F30" s="83">
        <v>0.239124</v>
      </c>
      <c r="G30" s="83">
        <v>2.0498999999999999E-3</v>
      </c>
      <c r="H30" s="83">
        <v>1.8133699999999999</v>
      </c>
      <c r="I30" s="83">
        <v>0.24218600000000001</v>
      </c>
      <c r="J30" s="83">
        <v>2.0498999999999999E-3</v>
      </c>
      <c r="K30" s="83">
        <v>1.8591200000000001</v>
      </c>
      <c r="L30" s="83">
        <v>0.24540400000000001</v>
      </c>
      <c r="M30" s="83">
        <v>2.0498999999999999E-3</v>
      </c>
      <c r="N30" s="83">
        <v>1.9256899999999999</v>
      </c>
      <c r="O30" s="83">
        <v>0.25043700000000002</v>
      </c>
      <c r="P30" s="83">
        <v>2.0498999999999999E-3</v>
      </c>
      <c r="Q30" s="83">
        <v>1.88933</v>
      </c>
      <c r="R30" s="83">
        <v>0.240679</v>
      </c>
      <c r="S30" s="83">
        <v>2.0498999999999999E-3</v>
      </c>
      <c r="T30" s="83">
        <v>1.9190100000000001</v>
      </c>
      <c r="U30" s="83">
        <v>0.241588</v>
      </c>
      <c r="V30" s="83">
        <v>2.0498999999999999E-3</v>
      </c>
      <c r="W30" s="83">
        <v>1.9254599999999999</v>
      </c>
      <c r="X30" s="83">
        <v>0.240476</v>
      </c>
      <c r="Y30" s="83">
        <v>2.0498999999999999E-3</v>
      </c>
      <c r="Z30" s="83">
        <v>1.9335500000000001</v>
      </c>
      <c r="AA30" s="83">
        <v>0.24021799999999999</v>
      </c>
      <c r="AB30" s="83">
        <v>2.0498999999999999E-3</v>
      </c>
      <c r="AC30" s="83">
        <v>1.9395800000000001</v>
      </c>
      <c r="AD30" s="83">
        <v>0.23963599999999999</v>
      </c>
      <c r="AE30" s="83">
        <v>2.0498999999999999E-3</v>
      </c>
      <c r="AF30" s="83">
        <v>1.9376599999999999</v>
      </c>
      <c r="AG30" s="83">
        <v>0.23808199999999999</v>
      </c>
      <c r="AH30" s="83">
        <v>2.0498999999999999E-3</v>
      </c>
      <c r="AI30" s="83">
        <v>1.9840899999999999</v>
      </c>
      <c r="AJ30" s="83">
        <v>0.24430199999999999</v>
      </c>
      <c r="AK30" s="83">
        <v>2.0498999999999999E-3</v>
      </c>
      <c r="AL30" s="83">
        <v>2.0385800000000001</v>
      </c>
      <c r="AM30" s="83">
        <v>0.251552</v>
      </c>
      <c r="AN30" s="83">
        <v>2.0498999999999999E-3</v>
      </c>
      <c r="AO30" s="83">
        <v>1.9648099999999999</v>
      </c>
      <c r="AP30" s="83">
        <v>0.23854</v>
      </c>
      <c r="AQ30" s="83">
        <v>2.0498999999999999E-3</v>
      </c>
      <c r="AR30" s="83">
        <v>1.9690000000000001</v>
      </c>
      <c r="AS30" s="83">
        <v>0.23811299999999999</v>
      </c>
      <c r="AT30" s="83">
        <v>2.0498999999999999E-3</v>
      </c>
      <c r="AU30" s="83">
        <v>2.0209100000000002</v>
      </c>
      <c r="AV30" s="83">
        <v>0.24429699999999999</v>
      </c>
      <c r="AW30" s="83">
        <v>2.0498999999999999E-3</v>
      </c>
      <c r="AX30" s="83">
        <v>2.04338</v>
      </c>
      <c r="AY30" s="83">
        <v>0.247141</v>
      </c>
      <c r="AZ30" s="83">
        <v>2.0498999999999999E-3</v>
      </c>
      <c r="BA30" s="83">
        <v>2.0615199999999998</v>
      </c>
      <c r="BB30" s="83">
        <v>0.24827299999999999</v>
      </c>
      <c r="BC30" s="83">
        <v>2.0498999999999999E-3</v>
      </c>
      <c r="BD30" s="83">
        <v>2.0828799999999998</v>
      </c>
      <c r="BE30" s="83">
        <v>0.24998899999999999</v>
      </c>
      <c r="BF30" s="83">
        <v>2.0498999999999999E-3</v>
      </c>
      <c r="BG30" s="83">
        <v>2.0664600000000002</v>
      </c>
      <c r="BH30" s="83">
        <v>0.246111</v>
      </c>
      <c r="BI30" s="83">
        <v>2.0498999999999999E-3</v>
      </c>
      <c r="BJ30" s="83">
        <v>2.0724900000000002</v>
      </c>
      <c r="BK30" s="83">
        <v>0.24585099999999999</v>
      </c>
      <c r="BL30" s="83">
        <v>2.0498999999999999E-3</v>
      </c>
      <c r="BM30" s="83">
        <v>2.07158</v>
      </c>
      <c r="BN30" s="83">
        <v>0.24423300000000001</v>
      </c>
      <c r="BO30" s="83">
        <v>2.0498999999999999E-3</v>
      </c>
      <c r="BP30" s="83">
        <v>2.0769600000000001</v>
      </c>
      <c r="BQ30" s="83">
        <v>0.24365100000000001</v>
      </c>
      <c r="BR30" s="83">
        <v>2.0498999999999999E-3</v>
      </c>
      <c r="BS30" s="83">
        <v>2.1310699999999998</v>
      </c>
      <c r="BT30" s="83">
        <v>0.249252</v>
      </c>
      <c r="BU30" s="83">
        <v>2.0498999999999999E-3</v>
      </c>
      <c r="BV30" s="83">
        <v>2.11944</v>
      </c>
      <c r="BW30" s="83">
        <v>0.246286</v>
      </c>
      <c r="BX30" s="83">
        <v>2.0498999999999999E-3</v>
      </c>
      <c r="BY30" s="83">
        <v>2.0828000000000002</v>
      </c>
      <c r="BZ30" s="83">
        <v>0.239153</v>
      </c>
      <c r="CA30" s="83">
        <v>2.0498999999999999E-3</v>
      </c>
      <c r="CB30" s="83">
        <v>2.13252</v>
      </c>
      <c r="CC30" s="83">
        <v>0.24496999999999999</v>
      </c>
      <c r="CD30" s="83">
        <v>2.0498999999999999E-3</v>
      </c>
      <c r="CE30" s="83">
        <v>2.1374399999999998</v>
      </c>
      <c r="CF30" s="83">
        <v>0.24360399999999999</v>
      </c>
      <c r="CG30" s="83">
        <v>2.0498999999999999E-3</v>
      </c>
      <c r="CH30" s="83">
        <v>2.1517200000000001</v>
      </c>
      <c r="CI30" s="83">
        <v>0.243862</v>
      </c>
      <c r="CJ30" s="83">
        <v>2.0498999999999999E-3</v>
      </c>
      <c r="CK30" s="83">
        <v>2.1928200000000002</v>
      </c>
      <c r="CL30" s="83">
        <v>0.24823400000000001</v>
      </c>
      <c r="CM30" s="83">
        <v>2.0498999999999999E-3</v>
      </c>
      <c r="CN30" s="83">
        <v>2.2068300000000001</v>
      </c>
      <c r="CO30" s="83">
        <v>0.24895900000000001</v>
      </c>
      <c r="CP30" s="83">
        <v>2.0498999999999999E-3</v>
      </c>
      <c r="CQ30" s="83">
        <v>2.1570299999999998</v>
      </c>
      <c r="CR30" s="83">
        <v>0.241734</v>
      </c>
      <c r="CS30" s="83">
        <v>2.0498999999999999E-3</v>
      </c>
      <c r="CT30" s="83">
        <v>2.1194099999999998</v>
      </c>
      <c r="CU30" s="83">
        <v>0.236961</v>
      </c>
      <c r="CV30" s="83">
        <v>2.0498999999999999E-3</v>
      </c>
      <c r="CW30" s="83">
        <v>2.1909999999999998</v>
      </c>
      <c r="CX30" s="83">
        <v>0.246085</v>
      </c>
      <c r="CY30" s="83">
        <v>2.0498999999999999E-3</v>
      </c>
      <c r="CZ30" s="83">
        <v>2.2239499999999999</v>
      </c>
      <c r="DA30" s="83">
        <v>0.25017600000000001</v>
      </c>
    </row>
    <row r="31" spans="1:105" x14ac:dyDescent="0.2">
      <c r="A31" s="83">
        <v>2.1499000000000002E-3</v>
      </c>
      <c r="B31" s="83">
        <v>1.6681900000000001</v>
      </c>
      <c r="C31" s="83">
        <v>0.224911</v>
      </c>
      <c r="D31" s="83">
        <v>2.1499000000000002E-3</v>
      </c>
      <c r="E31" s="83">
        <v>1.7039800000000001</v>
      </c>
      <c r="F31" s="83">
        <v>0.225885</v>
      </c>
      <c r="G31" s="83">
        <v>2.1499000000000002E-3</v>
      </c>
      <c r="H31" s="83">
        <v>1.74482</v>
      </c>
      <c r="I31" s="83">
        <v>0.228767</v>
      </c>
      <c r="J31" s="83">
        <v>2.1499000000000002E-3</v>
      </c>
      <c r="K31" s="83">
        <v>1.7886</v>
      </c>
      <c r="L31" s="83">
        <v>0.231789</v>
      </c>
      <c r="M31" s="83">
        <v>2.1499000000000002E-3</v>
      </c>
      <c r="N31" s="83">
        <v>1.8527</v>
      </c>
      <c r="O31" s="83">
        <v>0.236486</v>
      </c>
      <c r="P31" s="83">
        <v>2.1499000000000002E-3</v>
      </c>
      <c r="Q31" s="83">
        <v>1.81697</v>
      </c>
      <c r="R31" s="83">
        <v>0.227377</v>
      </c>
      <c r="S31" s="83">
        <v>2.1499000000000002E-3</v>
      </c>
      <c r="T31" s="83">
        <v>1.84562</v>
      </c>
      <c r="U31" s="83">
        <v>0.228218</v>
      </c>
      <c r="V31" s="83">
        <v>2.1499000000000002E-3</v>
      </c>
      <c r="W31" s="83">
        <v>1.85066</v>
      </c>
      <c r="X31" s="83">
        <v>0.227131</v>
      </c>
      <c r="Y31" s="83">
        <v>2.1499000000000002E-3</v>
      </c>
      <c r="Z31" s="83">
        <v>1.8584499999999999</v>
      </c>
      <c r="AA31" s="83">
        <v>0.22695799999999999</v>
      </c>
      <c r="AB31" s="83">
        <v>2.1499000000000002E-3</v>
      </c>
      <c r="AC31" s="83">
        <v>1.86361</v>
      </c>
      <c r="AD31" s="83">
        <v>0.22637199999999999</v>
      </c>
      <c r="AE31" s="83">
        <v>2.1499000000000002E-3</v>
      </c>
      <c r="AF31" s="83">
        <v>1.8612899999999999</v>
      </c>
      <c r="AG31" s="83">
        <v>0.22489799999999999</v>
      </c>
      <c r="AH31" s="83">
        <v>2.1499000000000002E-3</v>
      </c>
      <c r="AI31" s="83">
        <v>1.90534</v>
      </c>
      <c r="AJ31" s="83">
        <v>0.23075899999999999</v>
      </c>
      <c r="AK31" s="83">
        <v>2.1499000000000002E-3</v>
      </c>
      <c r="AL31" s="83">
        <v>1.9580299999999999</v>
      </c>
      <c r="AM31" s="83">
        <v>0.237619</v>
      </c>
      <c r="AN31" s="83">
        <v>2.1499000000000002E-3</v>
      </c>
      <c r="AO31" s="83">
        <v>1.88537</v>
      </c>
      <c r="AP31" s="83">
        <v>0.225356</v>
      </c>
      <c r="AQ31" s="83">
        <v>2.1499000000000002E-3</v>
      </c>
      <c r="AR31" s="83">
        <v>1.88906</v>
      </c>
      <c r="AS31" s="83">
        <v>0.22498899999999999</v>
      </c>
      <c r="AT31" s="83">
        <v>2.1499000000000002E-3</v>
      </c>
      <c r="AU31" s="83">
        <v>1.93815</v>
      </c>
      <c r="AV31" s="83">
        <v>0.23078299999999999</v>
      </c>
      <c r="AW31" s="83">
        <v>2.1499000000000002E-3</v>
      </c>
      <c r="AX31" s="83">
        <v>1.9595</v>
      </c>
      <c r="AY31" s="83">
        <v>0.23347100000000001</v>
      </c>
      <c r="AZ31" s="83">
        <v>2.1499000000000002E-3</v>
      </c>
      <c r="BA31" s="83">
        <v>1.9761200000000001</v>
      </c>
      <c r="BB31" s="83">
        <v>0.23449700000000001</v>
      </c>
      <c r="BC31" s="83">
        <v>2.1499000000000002E-3</v>
      </c>
      <c r="BD31" s="83">
        <v>1.9960800000000001</v>
      </c>
      <c r="BE31" s="83">
        <v>0.23610400000000001</v>
      </c>
      <c r="BF31" s="83">
        <v>2.1499000000000002E-3</v>
      </c>
      <c r="BG31" s="83">
        <v>1.97888</v>
      </c>
      <c r="BH31" s="83">
        <v>0.23247599999999999</v>
      </c>
      <c r="BI31" s="83">
        <v>2.1499000000000002E-3</v>
      </c>
      <c r="BJ31" s="83">
        <v>1.9838499999999999</v>
      </c>
      <c r="BK31" s="83">
        <v>0.232289</v>
      </c>
      <c r="BL31" s="83">
        <v>2.1499000000000002E-3</v>
      </c>
      <c r="BM31" s="83">
        <v>1.9823500000000001</v>
      </c>
      <c r="BN31" s="83">
        <v>0.230768</v>
      </c>
      <c r="BO31" s="83">
        <v>2.1499000000000002E-3</v>
      </c>
      <c r="BP31" s="83">
        <v>1.9862299999999999</v>
      </c>
      <c r="BQ31" s="83">
        <v>0.23017000000000001</v>
      </c>
      <c r="BR31" s="83">
        <v>2.1499000000000002E-3</v>
      </c>
      <c r="BS31" s="83">
        <v>2.0375399999999999</v>
      </c>
      <c r="BT31" s="83">
        <v>0.23540700000000001</v>
      </c>
      <c r="BU31" s="83">
        <v>2.1499000000000002E-3</v>
      </c>
      <c r="BV31" s="83">
        <v>2.0256400000000001</v>
      </c>
      <c r="BW31" s="83">
        <v>0.23266000000000001</v>
      </c>
      <c r="BX31" s="83">
        <v>2.1499000000000002E-3</v>
      </c>
      <c r="BY31" s="83">
        <v>1.9885900000000001</v>
      </c>
      <c r="BZ31" s="83">
        <v>0.22592400000000001</v>
      </c>
      <c r="CA31" s="83">
        <v>2.1499000000000002E-3</v>
      </c>
      <c r="CB31" s="83">
        <v>2.0357599999999998</v>
      </c>
      <c r="CC31" s="83">
        <v>0.23138800000000001</v>
      </c>
      <c r="CD31" s="83">
        <v>2.1499000000000002E-3</v>
      </c>
      <c r="CE31" s="83">
        <v>2.0395099999999999</v>
      </c>
      <c r="CF31" s="83">
        <v>0.230102</v>
      </c>
      <c r="CG31" s="83">
        <v>2.1499000000000002E-3</v>
      </c>
      <c r="CH31" s="83">
        <v>2.05152</v>
      </c>
      <c r="CI31" s="83">
        <v>0.23031399999999999</v>
      </c>
      <c r="CJ31" s="83">
        <v>2.1499000000000002E-3</v>
      </c>
      <c r="CK31" s="83">
        <v>2.09036</v>
      </c>
      <c r="CL31" s="83">
        <v>0.23439599999999999</v>
      </c>
      <c r="CM31" s="83">
        <v>2.1499000000000002E-3</v>
      </c>
      <c r="CN31" s="83">
        <v>2.1031300000000002</v>
      </c>
      <c r="CO31" s="83">
        <v>0.23511699999999999</v>
      </c>
      <c r="CP31" s="83">
        <v>2.1499000000000002E-3</v>
      </c>
      <c r="CQ31" s="83">
        <v>2.0537100000000001</v>
      </c>
      <c r="CR31" s="83">
        <v>0.22833200000000001</v>
      </c>
      <c r="CS31" s="83">
        <v>2.1499000000000002E-3</v>
      </c>
      <c r="CT31" s="83">
        <v>2.0160399999999998</v>
      </c>
      <c r="CU31" s="83">
        <v>0.22387299999999999</v>
      </c>
      <c r="CV31" s="83">
        <v>2.1499000000000002E-3</v>
      </c>
      <c r="CW31" s="83">
        <v>2.0840800000000002</v>
      </c>
      <c r="CX31" s="83">
        <v>0.23244000000000001</v>
      </c>
      <c r="CY31" s="83">
        <v>2.1499000000000002E-3</v>
      </c>
      <c r="CZ31" s="83">
        <v>2.1153499999999998</v>
      </c>
      <c r="DA31" s="83">
        <v>0.23630699999999999</v>
      </c>
    </row>
    <row r="32" spans="1:105" x14ac:dyDescent="0.2">
      <c r="A32" s="83">
        <v>2.2499E-3</v>
      </c>
      <c r="B32" s="83">
        <v>1.6040700000000001</v>
      </c>
      <c r="C32" s="83">
        <v>0.21252699999999999</v>
      </c>
      <c r="D32" s="83">
        <v>2.2499E-3</v>
      </c>
      <c r="E32" s="83">
        <v>1.63818</v>
      </c>
      <c r="F32" s="83">
        <v>0.21343999999999999</v>
      </c>
      <c r="G32" s="83">
        <v>2.2499E-3</v>
      </c>
      <c r="H32" s="83">
        <v>1.6775500000000001</v>
      </c>
      <c r="I32" s="83">
        <v>0.21618599999999999</v>
      </c>
      <c r="J32" s="83">
        <v>2.2499E-3</v>
      </c>
      <c r="K32" s="83">
        <v>1.7200299999999999</v>
      </c>
      <c r="L32" s="83">
        <v>0.219058</v>
      </c>
      <c r="M32" s="83">
        <v>2.2499E-3</v>
      </c>
      <c r="N32" s="83">
        <v>1.7815700000000001</v>
      </c>
      <c r="O32" s="83">
        <v>0.223415</v>
      </c>
      <c r="P32" s="83">
        <v>2.2499E-3</v>
      </c>
      <c r="Q32" s="83">
        <v>1.7465599999999999</v>
      </c>
      <c r="R32" s="83">
        <v>0.21495400000000001</v>
      </c>
      <c r="S32" s="83">
        <v>2.2499E-3</v>
      </c>
      <c r="T32" s="83">
        <v>1.77382</v>
      </c>
      <c r="U32" s="83">
        <v>0.21573899999999999</v>
      </c>
      <c r="V32" s="83">
        <v>2.2499E-3</v>
      </c>
      <c r="W32" s="83">
        <v>1.7777799999999999</v>
      </c>
      <c r="X32" s="83">
        <v>0.214591</v>
      </c>
      <c r="Y32" s="83">
        <v>2.2499E-3</v>
      </c>
      <c r="Z32" s="83">
        <v>1.7850200000000001</v>
      </c>
      <c r="AA32" s="83">
        <v>0.21451000000000001</v>
      </c>
      <c r="AB32" s="83">
        <v>2.2499E-3</v>
      </c>
      <c r="AC32" s="83">
        <v>1.7891699999999999</v>
      </c>
      <c r="AD32" s="83">
        <v>0.21390300000000001</v>
      </c>
      <c r="AE32" s="83">
        <v>2.2499E-3</v>
      </c>
      <c r="AF32" s="83">
        <v>1.7863199999999999</v>
      </c>
      <c r="AG32" s="83">
        <v>0.21255399999999999</v>
      </c>
      <c r="AH32" s="83">
        <v>2.2499E-3</v>
      </c>
      <c r="AI32" s="83">
        <v>1.8287899999999999</v>
      </c>
      <c r="AJ32" s="83">
        <v>0.21807399999999999</v>
      </c>
      <c r="AK32" s="83">
        <v>2.2499E-3</v>
      </c>
      <c r="AL32" s="83">
        <v>1.87957</v>
      </c>
      <c r="AM32" s="83">
        <v>0.22451699999999999</v>
      </c>
      <c r="AN32" s="83">
        <v>2.2499E-3</v>
      </c>
      <c r="AO32" s="83">
        <v>1.8077700000000001</v>
      </c>
      <c r="AP32" s="83">
        <v>0.21301300000000001</v>
      </c>
      <c r="AQ32" s="83">
        <v>2.2499E-3</v>
      </c>
      <c r="AR32" s="83">
        <v>1.8110299999999999</v>
      </c>
      <c r="AS32" s="83">
        <v>0.21263799999999999</v>
      </c>
      <c r="AT32" s="83">
        <v>2.2499E-3</v>
      </c>
      <c r="AU32" s="83">
        <v>1.8577300000000001</v>
      </c>
      <c r="AV32" s="83">
        <v>0.21812200000000001</v>
      </c>
      <c r="AW32" s="83">
        <v>2.2499E-3</v>
      </c>
      <c r="AX32" s="83">
        <v>1.8775900000000001</v>
      </c>
      <c r="AY32" s="83">
        <v>0.22060399999999999</v>
      </c>
      <c r="AZ32" s="83">
        <v>2.2499E-3</v>
      </c>
      <c r="BA32" s="83">
        <v>1.8930499999999999</v>
      </c>
      <c r="BB32" s="83">
        <v>0.22160299999999999</v>
      </c>
      <c r="BC32" s="83">
        <v>2.2499E-3</v>
      </c>
      <c r="BD32" s="83">
        <v>1.9117500000000001</v>
      </c>
      <c r="BE32" s="83">
        <v>0.223104</v>
      </c>
      <c r="BF32" s="83">
        <v>2.2499E-3</v>
      </c>
      <c r="BG32" s="83">
        <v>1.89347</v>
      </c>
      <c r="BH32" s="83">
        <v>0.21968799999999999</v>
      </c>
      <c r="BI32" s="83">
        <v>2.2499E-3</v>
      </c>
      <c r="BJ32" s="83">
        <v>1.89801</v>
      </c>
      <c r="BK32" s="83">
        <v>0.219587</v>
      </c>
      <c r="BL32" s="83">
        <v>2.2499E-3</v>
      </c>
      <c r="BM32" s="83">
        <v>1.8959600000000001</v>
      </c>
      <c r="BN32" s="83">
        <v>0.21813299999999999</v>
      </c>
      <c r="BO32" s="83">
        <v>2.2499E-3</v>
      </c>
      <c r="BP32" s="83">
        <v>1.8990400000000001</v>
      </c>
      <c r="BQ32" s="83">
        <v>0.217582</v>
      </c>
      <c r="BR32" s="83">
        <v>2.2499E-3</v>
      </c>
      <c r="BS32" s="83">
        <v>1.9466000000000001</v>
      </c>
      <c r="BT32" s="83">
        <v>0.222445</v>
      </c>
      <c r="BU32" s="83">
        <v>2.2499E-3</v>
      </c>
      <c r="BV32" s="83">
        <v>1.93405</v>
      </c>
      <c r="BW32" s="83">
        <v>0.21990799999999999</v>
      </c>
      <c r="BX32" s="83">
        <v>2.2499E-3</v>
      </c>
      <c r="BY32" s="83">
        <v>1.8974599999999999</v>
      </c>
      <c r="BZ32" s="83">
        <v>0.21352499999999999</v>
      </c>
      <c r="CA32" s="83">
        <v>2.2499E-3</v>
      </c>
      <c r="CB32" s="83">
        <v>1.94245</v>
      </c>
      <c r="CC32" s="83">
        <v>0.21865799999999999</v>
      </c>
      <c r="CD32" s="83">
        <v>2.2499E-3</v>
      </c>
      <c r="CE32" s="83">
        <v>1.9451099999999999</v>
      </c>
      <c r="CF32" s="83">
        <v>0.217473</v>
      </c>
      <c r="CG32" s="83">
        <v>2.2499E-3</v>
      </c>
      <c r="CH32" s="83">
        <v>1.95503</v>
      </c>
      <c r="CI32" s="83">
        <v>0.21760499999999999</v>
      </c>
      <c r="CJ32" s="83">
        <v>2.2499E-3</v>
      </c>
      <c r="CK32" s="83">
        <v>1.9915099999999999</v>
      </c>
      <c r="CL32" s="83">
        <v>0.22143499999999999</v>
      </c>
      <c r="CM32" s="83">
        <v>2.2499E-3</v>
      </c>
      <c r="CN32" s="83">
        <v>2.0026600000000001</v>
      </c>
      <c r="CO32" s="83">
        <v>0.22214900000000001</v>
      </c>
      <c r="CP32" s="83">
        <v>2.2499E-3</v>
      </c>
      <c r="CQ32" s="83">
        <v>1.95394</v>
      </c>
      <c r="CR32" s="83">
        <v>0.215833</v>
      </c>
      <c r="CS32" s="83">
        <v>2.2499E-3</v>
      </c>
      <c r="CT32" s="83">
        <v>1.91716</v>
      </c>
      <c r="CU32" s="83">
        <v>0.211537</v>
      </c>
      <c r="CV32" s="83">
        <v>2.2499E-3</v>
      </c>
      <c r="CW32" s="83">
        <v>1.9809600000000001</v>
      </c>
      <c r="CX32" s="83">
        <v>0.219643</v>
      </c>
      <c r="CY32" s="83">
        <v>2.2499E-3</v>
      </c>
      <c r="CZ32" s="83">
        <v>2.0102899999999999</v>
      </c>
      <c r="DA32" s="83">
        <v>0.22323000000000001</v>
      </c>
    </row>
    <row r="33" spans="1:105" x14ac:dyDescent="0.2">
      <c r="A33" s="83">
        <v>2.3498999999999998E-3</v>
      </c>
      <c r="B33" s="83">
        <v>1.5420199999999999</v>
      </c>
      <c r="C33" s="83">
        <v>0.200847</v>
      </c>
      <c r="D33" s="83">
        <v>2.3498999999999998E-3</v>
      </c>
      <c r="E33" s="83">
        <v>1.5742799999999999</v>
      </c>
      <c r="F33" s="83">
        <v>0.20171500000000001</v>
      </c>
      <c r="G33" s="83">
        <v>2.3498999999999998E-3</v>
      </c>
      <c r="H33" s="83">
        <v>1.6124700000000001</v>
      </c>
      <c r="I33" s="83">
        <v>0.20427999999999999</v>
      </c>
      <c r="J33" s="83">
        <v>2.3498999999999998E-3</v>
      </c>
      <c r="K33" s="83">
        <v>1.65354</v>
      </c>
      <c r="L33" s="83">
        <v>0.207043</v>
      </c>
      <c r="M33" s="83">
        <v>2.3498999999999998E-3</v>
      </c>
      <c r="N33" s="83">
        <v>1.71218</v>
      </c>
      <c r="O33" s="83">
        <v>0.21108399999999999</v>
      </c>
      <c r="P33" s="83">
        <v>2.3498999999999998E-3</v>
      </c>
      <c r="Q33" s="83">
        <v>1.6780600000000001</v>
      </c>
      <c r="R33" s="83">
        <v>0.20318900000000001</v>
      </c>
      <c r="S33" s="83">
        <v>2.3498999999999998E-3</v>
      </c>
      <c r="T33" s="83">
        <v>1.7036199999999999</v>
      </c>
      <c r="U33" s="83">
        <v>0.203871</v>
      </c>
      <c r="V33" s="83">
        <v>2.3498999999999998E-3</v>
      </c>
      <c r="W33" s="83">
        <v>1.7063200000000001</v>
      </c>
      <c r="X33" s="83">
        <v>0.20275499999999999</v>
      </c>
      <c r="Y33" s="83">
        <v>2.3498999999999998E-3</v>
      </c>
      <c r="Z33" s="83">
        <v>1.7132499999999999</v>
      </c>
      <c r="AA33" s="83">
        <v>0.20274500000000001</v>
      </c>
      <c r="AB33" s="83">
        <v>2.3498999999999998E-3</v>
      </c>
      <c r="AC33" s="83">
        <v>1.71679</v>
      </c>
      <c r="AD33" s="83">
        <v>0.20211599999999999</v>
      </c>
      <c r="AE33" s="83">
        <v>2.3498999999999998E-3</v>
      </c>
      <c r="AF33" s="83">
        <v>1.71343</v>
      </c>
      <c r="AG33" s="83">
        <v>0.20088200000000001</v>
      </c>
      <c r="AH33" s="83">
        <v>2.3498999999999998E-3</v>
      </c>
      <c r="AI33" s="83">
        <v>1.7544599999999999</v>
      </c>
      <c r="AJ33" s="83">
        <v>0.20608799999999999</v>
      </c>
      <c r="AK33" s="83">
        <v>2.3498999999999998E-3</v>
      </c>
      <c r="AL33" s="83">
        <v>1.80261</v>
      </c>
      <c r="AM33" s="83">
        <v>0.21221699999999999</v>
      </c>
      <c r="AN33" s="83">
        <v>2.3498999999999998E-3</v>
      </c>
      <c r="AO33" s="83">
        <v>1.73247</v>
      </c>
      <c r="AP33" s="83">
        <v>0.20133999999999999</v>
      </c>
      <c r="AQ33" s="83">
        <v>2.3498999999999998E-3</v>
      </c>
      <c r="AR33" s="83">
        <v>1.7347699999999999</v>
      </c>
      <c r="AS33" s="83">
        <v>0.200988</v>
      </c>
      <c r="AT33" s="83">
        <v>2.3498999999999998E-3</v>
      </c>
      <c r="AU33" s="83">
        <v>1.7795700000000001</v>
      </c>
      <c r="AV33" s="83">
        <v>0.206126</v>
      </c>
      <c r="AW33" s="83">
        <v>2.3498999999999998E-3</v>
      </c>
      <c r="AX33" s="83">
        <v>1.7982899999999999</v>
      </c>
      <c r="AY33" s="83">
        <v>0.20846500000000001</v>
      </c>
      <c r="AZ33" s="83">
        <v>2.3498999999999998E-3</v>
      </c>
      <c r="BA33" s="83">
        <v>1.81236</v>
      </c>
      <c r="BB33" s="83">
        <v>0.20943100000000001</v>
      </c>
      <c r="BC33" s="83">
        <v>2.3498999999999998E-3</v>
      </c>
      <c r="BD33" s="83">
        <v>1.82925</v>
      </c>
      <c r="BE33" s="83">
        <v>0.210839</v>
      </c>
      <c r="BF33" s="83">
        <v>2.3498999999999998E-3</v>
      </c>
      <c r="BG33" s="83">
        <v>1.8111200000000001</v>
      </c>
      <c r="BH33" s="83">
        <v>0.20760200000000001</v>
      </c>
      <c r="BI33" s="83">
        <v>2.3498999999999998E-3</v>
      </c>
      <c r="BJ33" s="83">
        <v>1.8150200000000001</v>
      </c>
      <c r="BK33" s="83">
        <v>0.20755000000000001</v>
      </c>
      <c r="BL33" s="83">
        <v>2.3498999999999998E-3</v>
      </c>
      <c r="BM33" s="83">
        <v>1.81169</v>
      </c>
      <c r="BN33" s="83">
        <v>0.20618900000000001</v>
      </c>
      <c r="BO33" s="83">
        <v>2.3498999999999998E-3</v>
      </c>
      <c r="BP33" s="83">
        <v>1.81355</v>
      </c>
      <c r="BQ33" s="83">
        <v>0.205677</v>
      </c>
      <c r="BR33" s="83">
        <v>2.3498999999999998E-3</v>
      </c>
      <c r="BS33" s="83">
        <v>1.85914</v>
      </c>
      <c r="BT33" s="83">
        <v>0.21018700000000001</v>
      </c>
      <c r="BU33" s="83">
        <v>2.3498999999999998E-3</v>
      </c>
      <c r="BV33" s="83">
        <v>1.84646</v>
      </c>
      <c r="BW33" s="83">
        <v>0.207811</v>
      </c>
      <c r="BX33" s="83">
        <v>2.3498999999999998E-3</v>
      </c>
      <c r="BY33" s="83">
        <v>1.8096699999999999</v>
      </c>
      <c r="BZ33" s="83">
        <v>0.201821</v>
      </c>
      <c r="CA33" s="83">
        <v>2.3498999999999998E-3</v>
      </c>
      <c r="CB33" s="83">
        <v>1.8521000000000001</v>
      </c>
      <c r="CC33" s="83">
        <v>0.20661499999999999</v>
      </c>
      <c r="CD33" s="83">
        <v>2.3498999999999998E-3</v>
      </c>
      <c r="CE33" s="83">
        <v>1.85378</v>
      </c>
      <c r="CF33" s="83">
        <v>0.20549700000000001</v>
      </c>
      <c r="CG33" s="83">
        <v>2.3498999999999998E-3</v>
      </c>
      <c r="CH33" s="83">
        <v>1.8621700000000001</v>
      </c>
      <c r="CI33" s="83">
        <v>0.20563000000000001</v>
      </c>
      <c r="CJ33" s="83">
        <v>2.3498999999999998E-3</v>
      </c>
      <c r="CK33" s="83">
        <v>1.89645</v>
      </c>
      <c r="CL33" s="83">
        <v>0.209235</v>
      </c>
      <c r="CM33" s="83">
        <v>2.3498999999999998E-3</v>
      </c>
      <c r="CN33" s="83">
        <v>1.90615</v>
      </c>
      <c r="CO33" s="83">
        <v>0.20990300000000001</v>
      </c>
      <c r="CP33" s="83">
        <v>2.3498999999999998E-3</v>
      </c>
      <c r="CQ33" s="83">
        <v>1.8587100000000001</v>
      </c>
      <c r="CR33" s="83">
        <v>0.20394000000000001</v>
      </c>
      <c r="CS33" s="83">
        <v>2.3498999999999998E-3</v>
      </c>
      <c r="CT33" s="83">
        <v>1.8219799999999999</v>
      </c>
      <c r="CU33" s="83">
        <v>0.199937</v>
      </c>
      <c r="CV33" s="83">
        <v>2.3498999999999998E-3</v>
      </c>
      <c r="CW33" s="83">
        <v>1.8823399999999999</v>
      </c>
      <c r="CX33" s="83">
        <v>0.20755199999999999</v>
      </c>
      <c r="CY33" s="83">
        <v>2.3498999999999998E-3</v>
      </c>
      <c r="CZ33" s="83">
        <v>1.90906</v>
      </c>
      <c r="DA33" s="83">
        <v>0.21093400000000001</v>
      </c>
    </row>
    <row r="34" spans="1:105" x14ac:dyDescent="0.2">
      <c r="A34" s="83">
        <v>2.4499000000000001E-3</v>
      </c>
      <c r="B34" s="83">
        <v>1.4809300000000001</v>
      </c>
      <c r="C34" s="83">
        <v>0.18993599999999999</v>
      </c>
      <c r="D34" s="83">
        <v>2.4499000000000001E-3</v>
      </c>
      <c r="E34" s="83">
        <v>1.51214</v>
      </c>
      <c r="F34" s="83">
        <v>0.190744</v>
      </c>
      <c r="G34" s="83">
        <v>2.4499000000000001E-3</v>
      </c>
      <c r="H34" s="83">
        <v>1.5487200000000001</v>
      </c>
      <c r="I34" s="83">
        <v>0.19314000000000001</v>
      </c>
      <c r="J34" s="83">
        <v>2.4499000000000001E-3</v>
      </c>
      <c r="K34" s="83">
        <v>1.5882000000000001</v>
      </c>
      <c r="L34" s="83">
        <v>0.195738</v>
      </c>
      <c r="M34" s="83">
        <v>2.4499000000000001E-3</v>
      </c>
      <c r="N34" s="83">
        <v>1.64439</v>
      </c>
      <c r="O34" s="83">
        <v>0.19949600000000001</v>
      </c>
      <c r="P34" s="83">
        <v>2.4499000000000001E-3</v>
      </c>
      <c r="Q34" s="83">
        <v>1.6110199999999999</v>
      </c>
      <c r="R34" s="83">
        <v>0.19216800000000001</v>
      </c>
      <c r="S34" s="83">
        <v>2.4499000000000001E-3</v>
      </c>
      <c r="T34" s="83">
        <v>1.6358699999999999</v>
      </c>
      <c r="U34" s="83">
        <v>0.19281100000000001</v>
      </c>
      <c r="V34" s="83">
        <v>2.4499000000000001E-3</v>
      </c>
      <c r="W34" s="83">
        <v>1.63785</v>
      </c>
      <c r="X34" s="83">
        <v>0.191723</v>
      </c>
      <c r="Y34" s="83">
        <v>2.4499000000000001E-3</v>
      </c>
      <c r="Z34" s="83">
        <v>1.6437200000000001</v>
      </c>
      <c r="AA34" s="83">
        <v>0.19174099999999999</v>
      </c>
      <c r="AB34" s="83">
        <v>2.4499000000000001E-3</v>
      </c>
      <c r="AC34" s="83">
        <v>1.64619</v>
      </c>
      <c r="AD34" s="83">
        <v>0.191133</v>
      </c>
      <c r="AE34" s="83">
        <v>2.4499000000000001E-3</v>
      </c>
      <c r="AF34" s="83">
        <v>1.6425799999999999</v>
      </c>
      <c r="AG34" s="83">
        <v>0.189996</v>
      </c>
      <c r="AH34" s="83">
        <v>2.4499000000000001E-3</v>
      </c>
      <c r="AI34" s="83">
        <v>1.6813100000000001</v>
      </c>
      <c r="AJ34" s="83">
        <v>0.19483400000000001</v>
      </c>
      <c r="AK34" s="83">
        <v>2.4499000000000001E-3</v>
      </c>
      <c r="AL34" s="83">
        <v>1.7280899999999999</v>
      </c>
      <c r="AM34" s="83">
        <v>0.20061499999999999</v>
      </c>
      <c r="AN34" s="83">
        <v>2.4499000000000001E-3</v>
      </c>
      <c r="AO34" s="83">
        <v>1.6597200000000001</v>
      </c>
      <c r="AP34" s="83">
        <v>0.19042799999999999</v>
      </c>
      <c r="AQ34" s="83">
        <v>2.4499000000000001E-3</v>
      </c>
      <c r="AR34" s="83">
        <v>1.66106</v>
      </c>
      <c r="AS34" s="83">
        <v>0.190136</v>
      </c>
      <c r="AT34" s="83">
        <v>2.4499000000000001E-3</v>
      </c>
      <c r="AU34" s="83">
        <v>1.7037800000000001</v>
      </c>
      <c r="AV34" s="83">
        <v>0.194907</v>
      </c>
      <c r="AW34" s="83">
        <v>2.4499000000000001E-3</v>
      </c>
      <c r="AX34" s="83">
        <v>1.7211099999999999</v>
      </c>
      <c r="AY34" s="83">
        <v>0.197076</v>
      </c>
      <c r="AZ34" s="83">
        <v>2.4499000000000001E-3</v>
      </c>
      <c r="BA34" s="83">
        <v>1.7339800000000001</v>
      </c>
      <c r="BB34" s="83">
        <v>0.19797999999999999</v>
      </c>
      <c r="BC34" s="83">
        <v>2.4499000000000001E-3</v>
      </c>
      <c r="BD34" s="83">
        <v>1.74935</v>
      </c>
      <c r="BE34" s="83">
        <v>0.19931199999999999</v>
      </c>
      <c r="BF34" s="83">
        <v>2.4499000000000001E-3</v>
      </c>
      <c r="BG34" s="83">
        <v>1.7307699999999999</v>
      </c>
      <c r="BH34" s="83">
        <v>0.19625699999999999</v>
      </c>
      <c r="BI34" s="83">
        <v>2.4499000000000001E-3</v>
      </c>
      <c r="BJ34" s="83">
        <v>1.73458</v>
      </c>
      <c r="BK34" s="83">
        <v>0.196266</v>
      </c>
      <c r="BL34" s="83">
        <v>2.4499000000000001E-3</v>
      </c>
      <c r="BM34" s="83">
        <v>1.7305900000000001</v>
      </c>
      <c r="BN34" s="83">
        <v>0.19498299999999999</v>
      </c>
      <c r="BO34" s="83">
        <v>2.4499000000000001E-3</v>
      </c>
      <c r="BP34" s="83">
        <v>1.7312799999999999</v>
      </c>
      <c r="BQ34" s="83">
        <v>0.19450799999999999</v>
      </c>
      <c r="BR34" s="83">
        <v>2.4499000000000001E-3</v>
      </c>
      <c r="BS34" s="83">
        <v>1.7740100000000001</v>
      </c>
      <c r="BT34" s="83">
        <v>0.19869800000000001</v>
      </c>
      <c r="BU34" s="83">
        <v>2.4499000000000001E-3</v>
      </c>
      <c r="BV34" s="83">
        <v>1.7610600000000001</v>
      </c>
      <c r="BW34" s="83">
        <v>0.196524</v>
      </c>
      <c r="BX34" s="83">
        <v>2.4499000000000001E-3</v>
      </c>
      <c r="BY34" s="83">
        <v>1.72499</v>
      </c>
      <c r="BZ34" s="83">
        <v>0.190863</v>
      </c>
      <c r="CA34" s="83">
        <v>2.4499000000000001E-3</v>
      </c>
      <c r="CB34" s="83">
        <v>1.7649600000000001</v>
      </c>
      <c r="CC34" s="83">
        <v>0.19533900000000001</v>
      </c>
      <c r="CD34" s="83">
        <v>2.4499000000000001E-3</v>
      </c>
      <c r="CE34" s="83">
        <v>1.7656799999999999</v>
      </c>
      <c r="CF34" s="83">
        <v>0.19431000000000001</v>
      </c>
      <c r="CG34" s="83">
        <v>2.4499000000000001E-3</v>
      </c>
      <c r="CH34" s="83">
        <v>1.7724899999999999</v>
      </c>
      <c r="CI34" s="83">
        <v>0.194379</v>
      </c>
      <c r="CJ34" s="83">
        <v>2.4499000000000001E-3</v>
      </c>
      <c r="CK34" s="83">
        <v>1.8042400000000001</v>
      </c>
      <c r="CL34" s="83">
        <v>0.19777400000000001</v>
      </c>
      <c r="CM34" s="83">
        <v>2.4499000000000001E-3</v>
      </c>
      <c r="CN34" s="83">
        <v>1.81273</v>
      </c>
      <c r="CO34" s="83">
        <v>0.198377</v>
      </c>
      <c r="CP34" s="83">
        <v>2.4499000000000001E-3</v>
      </c>
      <c r="CQ34" s="83">
        <v>1.7662599999999999</v>
      </c>
      <c r="CR34" s="83">
        <v>0.192852</v>
      </c>
      <c r="CS34" s="83">
        <v>2.4499000000000001E-3</v>
      </c>
      <c r="CT34" s="83">
        <v>1.7304200000000001</v>
      </c>
      <c r="CU34" s="83">
        <v>0.18907499999999999</v>
      </c>
      <c r="CV34" s="83">
        <v>2.4499000000000001E-3</v>
      </c>
      <c r="CW34" s="83">
        <v>1.7879</v>
      </c>
      <c r="CX34" s="83">
        <v>0.19620099999999999</v>
      </c>
      <c r="CY34" s="83">
        <v>2.4499000000000001E-3</v>
      </c>
      <c r="CZ34" s="83">
        <v>1.81185</v>
      </c>
      <c r="DA34" s="83">
        <v>0.19938700000000001</v>
      </c>
    </row>
    <row r="35" spans="1:105" x14ac:dyDescent="0.2">
      <c r="A35" s="83">
        <v>2.5498999999999999E-3</v>
      </c>
      <c r="B35" s="83">
        <v>1.4222399999999999</v>
      </c>
      <c r="C35" s="83">
        <v>0.17966299999999999</v>
      </c>
      <c r="D35" s="83">
        <v>2.5498999999999999E-3</v>
      </c>
      <c r="E35" s="83">
        <v>1.4518200000000001</v>
      </c>
      <c r="F35" s="83">
        <v>0.18043699999999999</v>
      </c>
      <c r="G35" s="83">
        <v>2.5498999999999999E-3</v>
      </c>
      <c r="H35" s="83">
        <v>1.4868699999999999</v>
      </c>
      <c r="I35" s="83">
        <v>0.18270500000000001</v>
      </c>
      <c r="J35" s="83">
        <v>2.5498999999999999E-3</v>
      </c>
      <c r="K35" s="83">
        <v>1.52447</v>
      </c>
      <c r="L35" s="83">
        <v>0.185169</v>
      </c>
      <c r="M35" s="83">
        <v>2.5498999999999999E-3</v>
      </c>
      <c r="N35" s="83">
        <v>1.57874</v>
      </c>
      <c r="O35" s="83">
        <v>0.18865999999999999</v>
      </c>
      <c r="P35" s="83">
        <v>2.5498999999999999E-3</v>
      </c>
      <c r="Q35" s="83">
        <v>1.5464100000000001</v>
      </c>
      <c r="R35" s="83">
        <v>0.18179000000000001</v>
      </c>
      <c r="S35" s="83">
        <v>2.5498999999999999E-3</v>
      </c>
      <c r="T35" s="83">
        <v>1.56945</v>
      </c>
      <c r="U35" s="83">
        <v>0.18243400000000001</v>
      </c>
      <c r="V35" s="83">
        <v>2.5498999999999999E-3</v>
      </c>
      <c r="W35" s="83">
        <v>1.5703100000000001</v>
      </c>
      <c r="X35" s="83">
        <v>0.18132000000000001</v>
      </c>
      <c r="Y35" s="83">
        <v>2.5498999999999999E-3</v>
      </c>
      <c r="Z35" s="83">
        <v>1.5760099999999999</v>
      </c>
      <c r="AA35" s="83">
        <v>0.181398</v>
      </c>
      <c r="AB35" s="83">
        <v>2.5498999999999999E-3</v>
      </c>
      <c r="AC35" s="83">
        <v>1.5777600000000001</v>
      </c>
      <c r="AD35" s="83">
        <v>0.180788</v>
      </c>
      <c r="AE35" s="83">
        <v>2.5498999999999999E-3</v>
      </c>
      <c r="AF35" s="83">
        <v>1.5741099999999999</v>
      </c>
      <c r="AG35" s="83">
        <v>0.17975099999999999</v>
      </c>
      <c r="AH35" s="83">
        <v>2.5498999999999999E-3</v>
      </c>
      <c r="AI35" s="83">
        <v>1.61103</v>
      </c>
      <c r="AJ35" s="83">
        <v>0.184311</v>
      </c>
      <c r="AK35" s="83">
        <v>2.5498999999999999E-3</v>
      </c>
      <c r="AL35" s="83">
        <v>1.6561600000000001</v>
      </c>
      <c r="AM35" s="83">
        <v>0.189752</v>
      </c>
      <c r="AN35" s="83">
        <v>2.5498999999999999E-3</v>
      </c>
      <c r="AO35" s="83">
        <v>1.5888199999999999</v>
      </c>
      <c r="AP35" s="83">
        <v>0.18016799999999999</v>
      </c>
      <c r="AQ35" s="83">
        <v>2.5498999999999999E-3</v>
      </c>
      <c r="AR35" s="83">
        <v>1.58989</v>
      </c>
      <c r="AS35" s="83">
        <v>0.17988100000000001</v>
      </c>
      <c r="AT35" s="83">
        <v>2.5498999999999999E-3</v>
      </c>
      <c r="AU35" s="83">
        <v>1.6301699999999999</v>
      </c>
      <c r="AV35" s="83">
        <v>0.18435799999999999</v>
      </c>
      <c r="AW35" s="83">
        <v>2.5498999999999999E-3</v>
      </c>
      <c r="AX35" s="83">
        <v>1.64622</v>
      </c>
      <c r="AY35" s="83">
        <v>0.18643499999999999</v>
      </c>
      <c r="AZ35" s="83">
        <v>2.5498999999999999E-3</v>
      </c>
      <c r="BA35" s="83">
        <v>1.6576500000000001</v>
      </c>
      <c r="BB35" s="83">
        <v>0.18726100000000001</v>
      </c>
      <c r="BC35" s="83">
        <v>2.5498999999999999E-3</v>
      </c>
      <c r="BD35" s="83">
        <v>1.67222</v>
      </c>
      <c r="BE35" s="83">
        <v>0.18848200000000001</v>
      </c>
      <c r="BF35" s="83">
        <v>2.5498999999999999E-3</v>
      </c>
      <c r="BG35" s="83">
        <v>1.65347</v>
      </c>
      <c r="BH35" s="83">
        <v>0.18565000000000001</v>
      </c>
      <c r="BI35" s="83">
        <v>2.5498999999999999E-3</v>
      </c>
      <c r="BJ35" s="83">
        <v>1.6566099999999999</v>
      </c>
      <c r="BK35" s="83">
        <v>0.18573500000000001</v>
      </c>
      <c r="BL35" s="83">
        <v>2.5498999999999999E-3</v>
      </c>
      <c r="BM35" s="83">
        <v>1.65232</v>
      </c>
      <c r="BN35" s="83">
        <v>0.18452499999999999</v>
      </c>
      <c r="BO35" s="83">
        <v>2.5498999999999999E-3</v>
      </c>
      <c r="BP35" s="83">
        <v>1.65249</v>
      </c>
      <c r="BQ35" s="83">
        <v>0.184032</v>
      </c>
      <c r="BR35" s="83">
        <v>2.5498999999999999E-3</v>
      </c>
      <c r="BS35" s="83">
        <v>1.6918599999999999</v>
      </c>
      <c r="BT35" s="83">
        <v>0.18793499999999999</v>
      </c>
      <c r="BU35" s="83">
        <v>2.5498999999999999E-3</v>
      </c>
      <c r="BV35" s="83">
        <v>1.6792</v>
      </c>
      <c r="BW35" s="83">
        <v>0.185894</v>
      </c>
      <c r="BX35" s="83">
        <v>2.5498999999999999E-3</v>
      </c>
      <c r="BY35" s="83">
        <v>1.6432599999999999</v>
      </c>
      <c r="BZ35" s="83">
        <v>0.180564</v>
      </c>
      <c r="CA35" s="83">
        <v>2.5498999999999999E-3</v>
      </c>
      <c r="CB35" s="83">
        <v>1.6811499999999999</v>
      </c>
      <c r="CC35" s="83">
        <v>0.184749</v>
      </c>
      <c r="CD35" s="83">
        <v>2.5498999999999999E-3</v>
      </c>
      <c r="CE35" s="83">
        <v>1.68066</v>
      </c>
      <c r="CF35" s="83">
        <v>0.18378800000000001</v>
      </c>
      <c r="CG35" s="83">
        <v>2.5498999999999999E-3</v>
      </c>
      <c r="CH35" s="83">
        <v>1.68662</v>
      </c>
      <c r="CI35" s="83">
        <v>0.183862</v>
      </c>
      <c r="CJ35" s="83">
        <v>2.5498999999999999E-3</v>
      </c>
      <c r="CK35" s="83">
        <v>1.71573</v>
      </c>
      <c r="CL35" s="83">
        <v>0.18700700000000001</v>
      </c>
      <c r="CM35" s="83">
        <v>2.5498999999999999E-3</v>
      </c>
      <c r="CN35" s="83">
        <v>1.7234400000000001</v>
      </c>
      <c r="CO35" s="83">
        <v>0.18762400000000001</v>
      </c>
      <c r="CP35" s="83">
        <v>2.5498999999999999E-3</v>
      </c>
      <c r="CQ35" s="83">
        <v>1.67807</v>
      </c>
      <c r="CR35" s="83">
        <v>0.182419</v>
      </c>
      <c r="CS35" s="83">
        <v>2.5498999999999999E-3</v>
      </c>
      <c r="CT35" s="83">
        <v>1.6423000000000001</v>
      </c>
      <c r="CU35" s="83">
        <v>0.17884700000000001</v>
      </c>
      <c r="CV35" s="83">
        <v>2.5498999999999999E-3</v>
      </c>
      <c r="CW35" s="83">
        <v>1.6964999999999999</v>
      </c>
      <c r="CX35" s="83">
        <v>0.185587</v>
      </c>
      <c r="CY35" s="83">
        <v>2.5498999999999999E-3</v>
      </c>
      <c r="CZ35" s="83">
        <v>1.71895</v>
      </c>
      <c r="DA35" s="83">
        <v>0.188585</v>
      </c>
    </row>
    <row r="36" spans="1:105" x14ac:dyDescent="0.2">
      <c r="A36" s="83">
        <v>2.6499000000000002E-3</v>
      </c>
      <c r="B36" s="83">
        <v>1.3653</v>
      </c>
      <c r="C36" s="83">
        <v>0.16999900000000001</v>
      </c>
      <c r="D36" s="83">
        <v>2.6499000000000002E-3</v>
      </c>
      <c r="E36" s="83">
        <v>1.39381</v>
      </c>
      <c r="F36" s="83">
        <v>0.17075499999999999</v>
      </c>
      <c r="G36" s="83">
        <v>2.6499000000000002E-3</v>
      </c>
      <c r="H36" s="83">
        <v>1.42655</v>
      </c>
      <c r="I36" s="83">
        <v>0.172926</v>
      </c>
      <c r="J36" s="83">
        <v>2.6499000000000002E-3</v>
      </c>
      <c r="K36" s="83">
        <v>1.46286</v>
      </c>
      <c r="L36" s="83">
        <v>0.17521900000000001</v>
      </c>
      <c r="M36" s="83">
        <v>2.6499000000000002E-3</v>
      </c>
      <c r="N36" s="83">
        <v>1.5150699999999999</v>
      </c>
      <c r="O36" s="83">
        <v>0.17846999999999999</v>
      </c>
      <c r="P36" s="83">
        <v>2.6499000000000002E-3</v>
      </c>
      <c r="Q36" s="83">
        <v>1.48288</v>
      </c>
      <c r="R36" s="83">
        <v>0.17208399999999999</v>
      </c>
      <c r="S36" s="83">
        <v>2.6499000000000002E-3</v>
      </c>
      <c r="T36" s="83">
        <v>1.5054000000000001</v>
      </c>
      <c r="U36" s="83">
        <v>0.17266500000000001</v>
      </c>
      <c r="V36" s="83">
        <v>2.6499000000000002E-3</v>
      </c>
      <c r="W36" s="83">
        <v>1.5050699999999999</v>
      </c>
      <c r="X36" s="83">
        <v>0.17160900000000001</v>
      </c>
      <c r="Y36" s="83">
        <v>2.6499000000000002E-3</v>
      </c>
      <c r="Z36" s="83">
        <v>1.51041</v>
      </c>
      <c r="AA36" s="83">
        <v>0.17171500000000001</v>
      </c>
      <c r="AB36" s="83">
        <v>2.6499000000000002E-3</v>
      </c>
      <c r="AC36" s="83">
        <v>1.5111000000000001</v>
      </c>
      <c r="AD36" s="83">
        <v>0.17107600000000001</v>
      </c>
      <c r="AE36" s="83">
        <v>2.6499000000000002E-3</v>
      </c>
      <c r="AF36" s="83">
        <v>1.50797</v>
      </c>
      <c r="AG36" s="83">
        <v>0.170125</v>
      </c>
      <c r="AH36" s="83">
        <v>2.6499000000000002E-3</v>
      </c>
      <c r="AI36" s="83">
        <v>1.54257</v>
      </c>
      <c r="AJ36" s="83">
        <v>0.17440700000000001</v>
      </c>
      <c r="AK36" s="83">
        <v>2.6499000000000002E-3</v>
      </c>
      <c r="AL36" s="83">
        <v>1.5857699999999999</v>
      </c>
      <c r="AM36" s="83">
        <v>0.17954600000000001</v>
      </c>
      <c r="AN36" s="83">
        <v>2.6499000000000002E-3</v>
      </c>
      <c r="AO36" s="83">
        <v>1.52027</v>
      </c>
      <c r="AP36" s="83">
        <v>0.17053199999999999</v>
      </c>
      <c r="AQ36" s="83">
        <v>2.6499000000000002E-3</v>
      </c>
      <c r="AR36" s="83">
        <v>1.52064</v>
      </c>
      <c r="AS36" s="83">
        <v>0.17027700000000001</v>
      </c>
      <c r="AT36" s="83">
        <v>2.6499000000000002E-3</v>
      </c>
      <c r="AU36" s="83">
        <v>1.5592600000000001</v>
      </c>
      <c r="AV36" s="83">
        <v>0.174457</v>
      </c>
      <c r="AW36" s="83">
        <v>2.6499000000000002E-3</v>
      </c>
      <c r="AX36" s="83">
        <v>1.5738799999999999</v>
      </c>
      <c r="AY36" s="83">
        <v>0.176429</v>
      </c>
      <c r="AZ36" s="83">
        <v>2.6499000000000002E-3</v>
      </c>
      <c r="BA36" s="83">
        <v>1.5843400000000001</v>
      </c>
      <c r="BB36" s="83">
        <v>0.177177</v>
      </c>
      <c r="BC36" s="83">
        <v>2.6499000000000002E-3</v>
      </c>
      <c r="BD36" s="83">
        <v>1.59745</v>
      </c>
      <c r="BE36" s="83">
        <v>0.178341</v>
      </c>
      <c r="BF36" s="83">
        <v>2.6499000000000002E-3</v>
      </c>
      <c r="BG36" s="83">
        <v>1.5785</v>
      </c>
      <c r="BH36" s="83">
        <v>0.175652</v>
      </c>
      <c r="BI36" s="83">
        <v>2.6499000000000002E-3</v>
      </c>
      <c r="BJ36" s="83">
        <v>1.5818099999999999</v>
      </c>
      <c r="BK36" s="83">
        <v>0.17576900000000001</v>
      </c>
      <c r="BL36" s="83">
        <v>2.6499000000000002E-3</v>
      </c>
      <c r="BM36" s="83">
        <v>1.5763799999999999</v>
      </c>
      <c r="BN36" s="83">
        <v>0.17463799999999999</v>
      </c>
      <c r="BO36" s="83">
        <v>2.6499000000000002E-3</v>
      </c>
      <c r="BP36" s="83">
        <v>1.57545</v>
      </c>
      <c r="BQ36" s="83">
        <v>0.17416899999999999</v>
      </c>
      <c r="BR36" s="83">
        <v>2.6499000000000002E-3</v>
      </c>
      <c r="BS36" s="83">
        <v>1.61273</v>
      </c>
      <c r="BT36" s="83">
        <v>0.17780299999999999</v>
      </c>
      <c r="BU36" s="83">
        <v>2.6499000000000002E-3</v>
      </c>
      <c r="BV36" s="83">
        <v>1.60002</v>
      </c>
      <c r="BW36" s="83">
        <v>0.17591999999999999</v>
      </c>
      <c r="BX36" s="83">
        <v>2.6499000000000002E-3</v>
      </c>
      <c r="BY36" s="83">
        <v>1.5654999999999999</v>
      </c>
      <c r="BZ36" s="83">
        <v>0.17091500000000001</v>
      </c>
      <c r="CA36" s="83">
        <v>2.6499000000000002E-3</v>
      </c>
      <c r="CB36" s="83">
        <v>1.6001000000000001</v>
      </c>
      <c r="CC36" s="83">
        <v>0.17482300000000001</v>
      </c>
      <c r="CD36" s="83">
        <v>2.6499000000000002E-3</v>
      </c>
      <c r="CE36" s="83">
        <v>1.59903</v>
      </c>
      <c r="CF36" s="83">
        <v>0.173904</v>
      </c>
      <c r="CG36" s="83">
        <v>2.6499000000000002E-3</v>
      </c>
      <c r="CH36" s="83">
        <v>1.6036999999999999</v>
      </c>
      <c r="CI36" s="83">
        <v>0.17397000000000001</v>
      </c>
      <c r="CJ36" s="83">
        <v>2.6499000000000002E-3</v>
      </c>
      <c r="CK36" s="83">
        <v>1.6307700000000001</v>
      </c>
      <c r="CL36" s="83">
        <v>0.17693300000000001</v>
      </c>
      <c r="CM36" s="83">
        <v>2.6499000000000002E-3</v>
      </c>
      <c r="CN36" s="83">
        <v>1.63731</v>
      </c>
      <c r="CO36" s="83">
        <v>0.177485</v>
      </c>
      <c r="CP36" s="83">
        <v>2.6499000000000002E-3</v>
      </c>
      <c r="CQ36" s="83">
        <v>1.59328</v>
      </c>
      <c r="CR36" s="83">
        <v>0.17262</v>
      </c>
      <c r="CS36" s="83">
        <v>2.6499000000000002E-3</v>
      </c>
      <c r="CT36" s="83">
        <v>1.5578099999999999</v>
      </c>
      <c r="CU36" s="83">
        <v>0.16925299999999999</v>
      </c>
      <c r="CV36" s="83">
        <v>2.6499000000000002E-3</v>
      </c>
      <c r="CW36" s="83">
        <v>1.60964</v>
      </c>
      <c r="CX36" s="83">
        <v>0.17560300000000001</v>
      </c>
      <c r="CY36" s="83">
        <v>2.6499000000000002E-3</v>
      </c>
      <c r="CZ36" s="83">
        <v>1.6298699999999999</v>
      </c>
      <c r="DA36" s="83">
        <v>0.17841000000000001</v>
      </c>
    </row>
    <row r="37" spans="1:105" x14ac:dyDescent="0.2">
      <c r="A37" s="83">
        <v>2.7499E-3</v>
      </c>
      <c r="B37" s="83">
        <v>1.3096300000000001</v>
      </c>
      <c r="C37" s="83">
        <v>0.16081999999999999</v>
      </c>
      <c r="D37" s="83">
        <v>2.7499E-3</v>
      </c>
      <c r="E37" s="83">
        <v>1.3368899999999999</v>
      </c>
      <c r="F37" s="83">
        <v>0.161575</v>
      </c>
      <c r="G37" s="83">
        <v>2.7499E-3</v>
      </c>
      <c r="H37" s="83">
        <v>1.3688199999999999</v>
      </c>
      <c r="I37" s="83">
        <v>0.163691</v>
      </c>
      <c r="J37" s="83">
        <v>2.7499E-3</v>
      </c>
      <c r="K37" s="83">
        <v>1.4036900000000001</v>
      </c>
      <c r="L37" s="83">
        <v>0.165854</v>
      </c>
      <c r="M37" s="83">
        <v>2.7499E-3</v>
      </c>
      <c r="N37" s="83">
        <v>1.45289</v>
      </c>
      <c r="O37" s="83">
        <v>0.16894700000000001</v>
      </c>
      <c r="P37" s="83">
        <v>2.7499E-3</v>
      </c>
      <c r="Q37" s="83">
        <v>1.4220200000000001</v>
      </c>
      <c r="R37" s="83">
        <v>0.16292799999999999</v>
      </c>
      <c r="S37" s="83">
        <v>2.7499E-3</v>
      </c>
      <c r="T37" s="83">
        <v>1.44262</v>
      </c>
      <c r="U37" s="83">
        <v>0.16342699999999999</v>
      </c>
      <c r="V37" s="83">
        <v>2.7499E-3</v>
      </c>
      <c r="W37" s="83">
        <v>1.4420299999999999</v>
      </c>
      <c r="X37" s="83">
        <v>0.16242599999999999</v>
      </c>
      <c r="Y37" s="83">
        <v>2.7499E-3</v>
      </c>
      <c r="Z37" s="83">
        <v>1.4469799999999999</v>
      </c>
      <c r="AA37" s="83">
        <v>0.16250899999999999</v>
      </c>
      <c r="AB37" s="83">
        <v>2.7499E-3</v>
      </c>
      <c r="AC37" s="83">
        <v>1.4469000000000001</v>
      </c>
      <c r="AD37" s="83">
        <v>0.161908</v>
      </c>
      <c r="AE37" s="83">
        <v>2.7499E-3</v>
      </c>
      <c r="AF37" s="83">
        <v>1.4434199999999999</v>
      </c>
      <c r="AG37" s="83">
        <v>0.16096199999999999</v>
      </c>
      <c r="AH37" s="83">
        <v>2.7499E-3</v>
      </c>
      <c r="AI37" s="83">
        <v>1.4760200000000001</v>
      </c>
      <c r="AJ37" s="83">
        <v>0.16508500000000001</v>
      </c>
      <c r="AK37" s="83">
        <v>2.7499E-3</v>
      </c>
      <c r="AL37" s="83">
        <v>1.51817</v>
      </c>
      <c r="AM37" s="83">
        <v>0.16997300000000001</v>
      </c>
      <c r="AN37" s="83">
        <v>2.7499E-3</v>
      </c>
      <c r="AO37" s="83">
        <v>1.45404</v>
      </c>
      <c r="AP37" s="83">
        <v>0.16140499999999999</v>
      </c>
      <c r="AQ37" s="83">
        <v>2.7499E-3</v>
      </c>
      <c r="AR37" s="83">
        <v>1.4533400000000001</v>
      </c>
      <c r="AS37" s="83">
        <v>0.16117899999999999</v>
      </c>
      <c r="AT37" s="83">
        <v>2.7499E-3</v>
      </c>
      <c r="AU37" s="83">
        <v>1.4901500000000001</v>
      </c>
      <c r="AV37" s="83">
        <v>0.165161</v>
      </c>
      <c r="AW37" s="83">
        <v>2.7499E-3</v>
      </c>
      <c r="AX37" s="83">
        <v>1.5039199999999999</v>
      </c>
      <c r="AY37" s="83">
        <v>0.16702700000000001</v>
      </c>
      <c r="AZ37" s="83">
        <v>2.7499E-3</v>
      </c>
      <c r="BA37" s="83">
        <v>1.5132300000000001</v>
      </c>
      <c r="BB37" s="83">
        <v>0.16774800000000001</v>
      </c>
      <c r="BC37" s="83">
        <v>2.7499E-3</v>
      </c>
      <c r="BD37" s="83">
        <v>1.5254099999999999</v>
      </c>
      <c r="BE37" s="83">
        <v>0.16877900000000001</v>
      </c>
      <c r="BF37" s="83">
        <v>2.7499E-3</v>
      </c>
      <c r="BG37" s="83">
        <v>1.5065299999999999</v>
      </c>
      <c r="BH37" s="83">
        <v>0.16626099999999999</v>
      </c>
      <c r="BI37" s="83">
        <v>2.7499E-3</v>
      </c>
      <c r="BJ37" s="83">
        <v>1.50911</v>
      </c>
      <c r="BK37" s="83">
        <v>0.166431</v>
      </c>
      <c r="BL37" s="83">
        <v>2.7499E-3</v>
      </c>
      <c r="BM37" s="83">
        <v>1.5032799999999999</v>
      </c>
      <c r="BN37" s="83">
        <v>0.165356</v>
      </c>
      <c r="BO37" s="83">
        <v>2.7499E-3</v>
      </c>
      <c r="BP37" s="83">
        <v>1.5021899999999999</v>
      </c>
      <c r="BQ37" s="83">
        <v>0.16492399999999999</v>
      </c>
      <c r="BR37" s="83">
        <v>2.7499E-3</v>
      </c>
      <c r="BS37" s="83">
        <v>1.5367299999999999</v>
      </c>
      <c r="BT37" s="83">
        <v>0.16827700000000001</v>
      </c>
      <c r="BU37" s="83">
        <v>2.7499E-3</v>
      </c>
      <c r="BV37" s="83">
        <v>1.52396</v>
      </c>
      <c r="BW37" s="83">
        <v>0.166544</v>
      </c>
      <c r="BX37" s="83">
        <v>2.7499E-3</v>
      </c>
      <c r="BY37" s="83">
        <v>1.4894499999999999</v>
      </c>
      <c r="BZ37" s="83">
        <v>0.16176399999999999</v>
      </c>
      <c r="CA37" s="83">
        <v>2.7499E-3</v>
      </c>
      <c r="CB37" s="83">
        <v>1.5226599999999999</v>
      </c>
      <c r="CC37" s="83">
        <v>0.165462</v>
      </c>
      <c r="CD37" s="83">
        <v>2.7499E-3</v>
      </c>
      <c r="CE37" s="83">
        <v>1.5201199999999999</v>
      </c>
      <c r="CF37" s="83">
        <v>0.16459199999999999</v>
      </c>
      <c r="CG37" s="83">
        <v>2.7499E-3</v>
      </c>
      <c r="CH37" s="83">
        <v>1.5240800000000001</v>
      </c>
      <c r="CI37" s="83">
        <v>0.164655</v>
      </c>
      <c r="CJ37" s="83">
        <v>2.7499E-3</v>
      </c>
      <c r="CK37" s="83">
        <v>1.5497000000000001</v>
      </c>
      <c r="CL37" s="83">
        <v>0.16744999999999999</v>
      </c>
      <c r="CM37" s="83">
        <v>2.7499E-3</v>
      </c>
      <c r="CN37" s="83">
        <v>1.5551999999999999</v>
      </c>
      <c r="CO37" s="83">
        <v>0.16797200000000001</v>
      </c>
      <c r="CP37" s="83">
        <v>2.7499E-3</v>
      </c>
      <c r="CQ37" s="83">
        <v>1.5121199999999999</v>
      </c>
      <c r="CR37" s="83">
        <v>0.163384</v>
      </c>
      <c r="CS37" s="83">
        <v>2.7499E-3</v>
      </c>
      <c r="CT37" s="83">
        <v>1.47719</v>
      </c>
      <c r="CU37" s="83">
        <v>0.16009100000000001</v>
      </c>
      <c r="CV37" s="83">
        <v>2.7499E-3</v>
      </c>
      <c r="CW37" s="83">
        <v>1.5260499999999999</v>
      </c>
      <c r="CX37" s="83">
        <v>0.16622899999999999</v>
      </c>
      <c r="CY37" s="83">
        <v>2.7499E-3</v>
      </c>
      <c r="CZ37" s="83">
        <v>1.5452900000000001</v>
      </c>
      <c r="DA37" s="83">
        <v>0.16886699999999999</v>
      </c>
    </row>
    <row r="38" spans="1:105" x14ac:dyDescent="0.2">
      <c r="A38" s="83">
        <v>2.8498999999999998E-3</v>
      </c>
      <c r="B38" s="83">
        <v>1.2558800000000001</v>
      </c>
      <c r="C38" s="83">
        <v>0.15201500000000001</v>
      </c>
      <c r="D38" s="83">
        <v>2.8498999999999998E-3</v>
      </c>
      <c r="E38" s="83">
        <v>1.2816399999999999</v>
      </c>
      <c r="F38" s="83">
        <v>0.15270500000000001</v>
      </c>
      <c r="G38" s="83">
        <v>2.8498999999999998E-3</v>
      </c>
      <c r="H38" s="83">
        <v>1.3123499999999999</v>
      </c>
      <c r="I38" s="83">
        <v>0.15468100000000001</v>
      </c>
      <c r="J38" s="83">
        <v>2.8498999999999998E-3</v>
      </c>
      <c r="K38" s="83">
        <v>1.34575</v>
      </c>
      <c r="L38" s="83">
        <v>0.15685399999999999</v>
      </c>
      <c r="M38" s="83">
        <v>2.8498999999999998E-3</v>
      </c>
      <c r="N38" s="83">
        <v>1.39388</v>
      </c>
      <c r="O38" s="83">
        <v>0.15981899999999999</v>
      </c>
      <c r="P38" s="83">
        <v>2.8498999999999998E-3</v>
      </c>
      <c r="Q38" s="83">
        <v>1.363</v>
      </c>
      <c r="R38" s="83">
        <v>0.154032</v>
      </c>
      <c r="S38" s="83">
        <v>2.8498999999999998E-3</v>
      </c>
      <c r="T38" s="83">
        <v>1.3825499999999999</v>
      </c>
      <c r="U38" s="83">
        <v>0.15443200000000001</v>
      </c>
      <c r="V38" s="83">
        <v>2.8498999999999998E-3</v>
      </c>
      <c r="W38" s="83">
        <v>1.3809199999999999</v>
      </c>
      <c r="X38" s="83">
        <v>0.153479</v>
      </c>
      <c r="Y38" s="83">
        <v>2.8498999999999998E-3</v>
      </c>
      <c r="Z38" s="83">
        <v>1.38602</v>
      </c>
      <c r="AA38" s="83">
        <v>0.153609</v>
      </c>
      <c r="AB38" s="83">
        <v>2.8498999999999998E-3</v>
      </c>
      <c r="AC38" s="83">
        <v>1.3852199999999999</v>
      </c>
      <c r="AD38" s="83">
        <v>0.153004</v>
      </c>
      <c r="AE38" s="83">
        <v>2.8498999999999998E-3</v>
      </c>
      <c r="AF38" s="83">
        <v>1.38168</v>
      </c>
      <c r="AG38" s="83">
        <v>0.15217900000000001</v>
      </c>
      <c r="AH38" s="83">
        <v>2.8498999999999998E-3</v>
      </c>
      <c r="AI38" s="83">
        <v>1.4125799999999999</v>
      </c>
      <c r="AJ38" s="83">
        <v>0.15604699999999999</v>
      </c>
      <c r="AK38" s="83">
        <v>2.8498999999999998E-3</v>
      </c>
      <c r="AL38" s="83">
        <v>1.4523299999999999</v>
      </c>
      <c r="AM38" s="83">
        <v>0.16084799999999999</v>
      </c>
      <c r="AN38" s="83">
        <v>2.8498999999999998E-3</v>
      </c>
      <c r="AO38" s="83">
        <v>1.39032</v>
      </c>
      <c r="AP38" s="83">
        <v>0.15256600000000001</v>
      </c>
      <c r="AQ38" s="83">
        <v>2.8498999999999998E-3</v>
      </c>
      <c r="AR38" s="83">
        <v>1.3890800000000001</v>
      </c>
      <c r="AS38" s="83">
        <v>0.15235099999999999</v>
      </c>
      <c r="AT38" s="83">
        <v>2.8498999999999998E-3</v>
      </c>
      <c r="AU38" s="83">
        <v>1.4236899999999999</v>
      </c>
      <c r="AV38" s="83">
        <v>0.156162</v>
      </c>
      <c r="AW38" s="83">
        <v>2.8498999999999998E-3</v>
      </c>
      <c r="AX38" s="83">
        <v>1.4366399999999999</v>
      </c>
      <c r="AY38" s="83">
        <v>0.15803300000000001</v>
      </c>
      <c r="AZ38" s="83">
        <v>2.8498999999999998E-3</v>
      </c>
      <c r="BA38" s="83">
        <v>1.44486</v>
      </c>
      <c r="BB38" s="83">
        <v>0.15871399999999999</v>
      </c>
      <c r="BC38" s="83">
        <v>2.8498999999999998E-3</v>
      </c>
      <c r="BD38" s="83">
        <v>1.4558199999999999</v>
      </c>
      <c r="BE38" s="83">
        <v>0.159718</v>
      </c>
      <c r="BF38" s="83">
        <v>2.8498999999999998E-3</v>
      </c>
      <c r="BG38" s="83">
        <v>1.43712</v>
      </c>
      <c r="BH38" s="83">
        <v>0.15725700000000001</v>
      </c>
      <c r="BI38" s="83">
        <v>2.8498999999999998E-3</v>
      </c>
      <c r="BJ38" s="83">
        <v>1.4390099999999999</v>
      </c>
      <c r="BK38" s="83">
        <v>0.15742500000000001</v>
      </c>
      <c r="BL38" s="83">
        <v>2.8498999999999998E-3</v>
      </c>
      <c r="BM38" s="83">
        <v>1.4330000000000001</v>
      </c>
      <c r="BN38" s="83">
        <v>0.15643199999999999</v>
      </c>
      <c r="BO38" s="83">
        <v>2.8498999999999998E-3</v>
      </c>
      <c r="BP38" s="83">
        <v>1.43127</v>
      </c>
      <c r="BQ38" s="83">
        <v>0.155947</v>
      </c>
      <c r="BR38" s="83">
        <v>2.8498999999999998E-3</v>
      </c>
      <c r="BS38" s="83">
        <v>1.4634100000000001</v>
      </c>
      <c r="BT38" s="83">
        <v>0.15926399999999999</v>
      </c>
      <c r="BU38" s="83">
        <v>2.8498999999999998E-3</v>
      </c>
      <c r="BV38" s="83">
        <v>1.4502699999999999</v>
      </c>
      <c r="BW38" s="83">
        <v>0.15754499999999999</v>
      </c>
      <c r="BX38" s="83">
        <v>2.8498999999999998E-3</v>
      </c>
      <c r="BY38" s="83">
        <v>1.4173800000000001</v>
      </c>
      <c r="BZ38" s="83">
        <v>0.152922</v>
      </c>
      <c r="CA38" s="83">
        <v>2.8498999999999998E-3</v>
      </c>
      <c r="CB38" s="83">
        <v>1.4475800000000001</v>
      </c>
      <c r="CC38" s="83">
        <v>0.15646399999999999</v>
      </c>
      <c r="CD38" s="83">
        <v>2.8498999999999998E-3</v>
      </c>
      <c r="CE38" s="83">
        <v>1.4449099999999999</v>
      </c>
      <c r="CF38" s="83">
        <v>0.155609</v>
      </c>
      <c r="CG38" s="83">
        <v>2.8498999999999998E-3</v>
      </c>
      <c r="CH38" s="83">
        <v>1.4479599999999999</v>
      </c>
      <c r="CI38" s="83">
        <v>0.15564</v>
      </c>
      <c r="CJ38" s="83">
        <v>2.8498999999999998E-3</v>
      </c>
      <c r="CK38" s="83">
        <v>1.47159</v>
      </c>
      <c r="CL38" s="83">
        <v>0.158413</v>
      </c>
      <c r="CM38" s="83">
        <v>2.8498999999999998E-3</v>
      </c>
      <c r="CN38" s="83">
        <v>1.47614</v>
      </c>
      <c r="CO38" s="83">
        <v>0.158913</v>
      </c>
      <c r="CP38" s="83">
        <v>2.8498999999999998E-3</v>
      </c>
      <c r="CQ38" s="83">
        <v>1.43483</v>
      </c>
      <c r="CR38" s="83">
        <v>0.15443999999999999</v>
      </c>
      <c r="CS38" s="83">
        <v>2.8498999999999998E-3</v>
      </c>
      <c r="CT38" s="83">
        <v>1.40073</v>
      </c>
      <c r="CU38" s="83">
        <v>0.151368</v>
      </c>
      <c r="CV38" s="83">
        <v>2.8498999999999998E-3</v>
      </c>
      <c r="CW38" s="83">
        <v>1.4461599999999999</v>
      </c>
      <c r="CX38" s="83">
        <v>0.15717100000000001</v>
      </c>
      <c r="CY38" s="83">
        <v>2.8498999999999998E-3</v>
      </c>
      <c r="CZ38" s="83">
        <v>1.4634499999999999</v>
      </c>
      <c r="DA38" s="83">
        <v>0.15976799999999999</v>
      </c>
    </row>
    <row r="39" spans="1:105" x14ac:dyDescent="0.2">
      <c r="A39" s="83">
        <v>2.9499000000000001E-3</v>
      </c>
      <c r="B39" s="83">
        <v>1.2033199999999999</v>
      </c>
      <c r="C39" s="83">
        <v>0.143875</v>
      </c>
      <c r="D39" s="83">
        <v>2.9499000000000001E-3</v>
      </c>
      <c r="E39" s="83">
        <v>1.22794</v>
      </c>
      <c r="F39" s="83">
        <v>0.144562</v>
      </c>
      <c r="G39" s="83">
        <v>2.9499000000000001E-3</v>
      </c>
      <c r="H39" s="83">
        <v>1.25745</v>
      </c>
      <c r="I39" s="83">
        <v>0.146425</v>
      </c>
      <c r="J39" s="83">
        <v>2.9499000000000001E-3</v>
      </c>
      <c r="K39" s="83">
        <v>1.28983</v>
      </c>
      <c r="L39" s="83">
        <v>0.14837500000000001</v>
      </c>
      <c r="M39" s="83">
        <v>2.9499000000000001E-3</v>
      </c>
      <c r="N39" s="83">
        <v>1.33535</v>
      </c>
      <c r="O39" s="83">
        <v>0.15105499999999999</v>
      </c>
      <c r="P39" s="83">
        <v>2.9499000000000001E-3</v>
      </c>
      <c r="Q39" s="83">
        <v>1.30528</v>
      </c>
      <c r="R39" s="83">
        <v>0.14586399999999999</v>
      </c>
      <c r="S39" s="83">
        <v>2.9499000000000001E-3</v>
      </c>
      <c r="T39" s="83">
        <v>1.32386</v>
      </c>
      <c r="U39" s="83">
        <v>0.14619499999999999</v>
      </c>
      <c r="V39" s="83">
        <v>2.9499000000000001E-3</v>
      </c>
      <c r="W39" s="83">
        <v>1.32219</v>
      </c>
      <c r="X39" s="83">
        <v>0.145316</v>
      </c>
      <c r="Y39" s="83">
        <v>2.9499000000000001E-3</v>
      </c>
      <c r="Z39" s="83">
        <v>1.3263100000000001</v>
      </c>
      <c r="AA39" s="83">
        <v>0.14543</v>
      </c>
      <c r="AB39" s="83">
        <v>2.9499000000000001E-3</v>
      </c>
      <c r="AC39" s="83">
        <v>1.32491</v>
      </c>
      <c r="AD39" s="83">
        <v>0.14491699999999999</v>
      </c>
      <c r="AE39" s="83">
        <v>2.9499000000000001E-3</v>
      </c>
      <c r="AF39" s="83">
        <v>1.3210900000000001</v>
      </c>
      <c r="AG39" s="83">
        <v>0.14408199999999999</v>
      </c>
      <c r="AH39" s="83">
        <v>2.9499000000000001E-3</v>
      </c>
      <c r="AI39" s="83">
        <v>1.3507499999999999</v>
      </c>
      <c r="AJ39" s="83">
        <v>0.14768200000000001</v>
      </c>
      <c r="AK39" s="83">
        <v>2.9499000000000001E-3</v>
      </c>
      <c r="AL39" s="83">
        <v>1.3889499999999999</v>
      </c>
      <c r="AM39" s="83">
        <v>0.152092</v>
      </c>
      <c r="AN39" s="83">
        <v>2.9499000000000001E-3</v>
      </c>
      <c r="AO39" s="83">
        <v>1.32816</v>
      </c>
      <c r="AP39" s="83">
        <v>0.14446200000000001</v>
      </c>
      <c r="AQ39" s="83">
        <v>2.9499000000000001E-3</v>
      </c>
      <c r="AR39" s="83">
        <v>1.3265</v>
      </c>
      <c r="AS39" s="83">
        <v>0.144261</v>
      </c>
      <c r="AT39" s="83">
        <v>2.9499000000000001E-3</v>
      </c>
      <c r="AU39" s="83">
        <v>1.3596600000000001</v>
      </c>
      <c r="AV39" s="83">
        <v>0.14776400000000001</v>
      </c>
      <c r="AW39" s="83">
        <v>2.9499000000000001E-3</v>
      </c>
      <c r="AX39" s="83">
        <v>1.3721699999999999</v>
      </c>
      <c r="AY39" s="83">
        <v>0.14946899999999999</v>
      </c>
      <c r="AZ39" s="83">
        <v>2.9499000000000001E-3</v>
      </c>
      <c r="BA39" s="83">
        <v>1.3789100000000001</v>
      </c>
      <c r="BB39" s="83">
        <v>0.15007000000000001</v>
      </c>
      <c r="BC39" s="83">
        <v>2.9499000000000001E-3</v>
      </c>
      <c r="BD39" s="83">
        <v>1.38906</v>
      </c>
      <c r="BE39" s="83">
        <v>0.15101800000000001</v>
      </c>
      <c r="BF39" s="83">
        <v>2.9499000000000001E-3</v>
      </c>
      <c r="BG39" s="83">
        <v>1.3705099999999999</v>
      </c>
      <c r="BH39" s="83">
        <v>0.148786</v>
      </c>
      <c r="BI39" s="83">
        <v>2.9499000000000001E-3</v>
      </c>
      <c r="BJ39" s="83">
        <v>1.37202</v>
      </c>
      <c r="BK39" s="83">
        <v>0.14895</v>
      </c>
      <c r="BL39" s="83">
        <v>2.9499000000000001E-3</v>
      </c>
      <c r="BM39" s="83">
        <v>1.3663000000000001</v>
      </c>
      <c r="BN39" s="83">
        <v>0.14805599999999999</v>
      </c>
      <c r="BO39" s="83">
        <v>2.9499000000000001E-3</v>
      </c>
      <c r="BP39" s="83">
        <v>1.3633999999999999</v>
      </c>
      <c r="BQ39" s="83">
        <v>0.14760100000000001</v>
      </c>
      <c r="BR39" s="83">
        <v>2.9499000000000001E-3</v>
      </c>
      <c r="BS39" s="83">
        <v>1.39357</v>
      </c>
      <c r="BT39" s="83">
        <v>0.15060999999999999</v>
      </c>
      <c r="BU39" s="83">
        <v>2.9499000000000001E-3</v>
      </c>
      <c r="BV39" s="83">
        <v>1.3805700000000001</v>
      </c>
      <c r="BW39" s="83">
        <v>0.14901900000000001</v>
      </c>
      <c r="BX39" s="83">
        <v>2.9499000000000001E-3</v>
      </c>
      <c r="BY39" s="83">
        <v>1.3476699999999999</v>
      </c>
      <c r="BZ39" s="83">
        <v>0.144788</v>
      </c>
      <c r="CA39" s="83">
        <v>2.9499000000000001E-3</v>
      </c>
      <c r="CB39" s="83">
        <v>1.3766400000000001</v>
      </c>
      <c r="CC39" s="83">
        <v>0.14802000000000001</v>
      </c>
      <c r="CD39" s="83">
        <v>2.9499000000000001E-3</v>
      </c>
      <c r="CE39" s="83">
        <v>1.37337</v>
      </c>
      <c r="CF39" s="83">
        <v>0.147289</v>
      </c>
      <c r="CG39" s="83">
        <v>2.9499000000000001E-3</v>
      </c>
      <c r="CH39" s="83">
        <v>1.3754999999999999</v>
      </c>
      <c r="CI39" s="83">
        <v>0.14729700000000001</v>
      </c>
      <c r="CJ39" s="83">
        <v>2.9499000000000001E-3</v>
      </c>
      <c r="CK39" s="83">
        <v>1.3971800000000001</v>
      </c>
      <c r="CL39" s="83">
        <v>0.149784</v>
      </c>
      <c r="CM39" s="83">
        <v>2.9499000000000001E-3</v>
      </c>
      <c r="CN39" s="83">
        <v>1.4010199999999999</v>
      </c>
      <c r="CO39" s="83">
        <v>0.15030399999999999</v>
      </c>
      <c r="CP39" s="83">
        <v>2.9499000000000001E-3</v>
      </c>
      <c r="CQ39" s="83">
        <v>1.3608199999999999</v>
      </c>
      <c r="CR39" s="83">
        <v>0.146172</v>
      </c>
      <c r="CS39" s="83">
        <v>2.9499000000000001E-3</v>
      </c>
      <c r="CT39" s="83">
        <v>1.3273299999999999</v>
      </c>
      <c r="CU39" s="83">
        <v>0.14330599999999999</v>
      </c>
      <c r="CV39" s="83">
        <v>2.9499000000000001E-3</v>
      </c>
      <c r="CW39" s="83">
        <v>1.3703799999999999</v>
      </c>
      <c r="CX39" s="83">
        <v>0.148697</v>
      </c>
      <c r="CY39" s="83">
        <v>2.9499000000000001E-3</v>
      </c>
      <c r="CZ39" s="83">
        <v>1.38626</v>
      </c>
      <c r="DA39" s="83">
        <v>0.15106700000000001</v>
      </c>
    </row>
    <row r="40" spans="1:105" x14ac:dyDescent="0.2">
      <c r="A40" s="83">
        <v>3.0498999999999999E-3</v>
      </c>
      <c r="B40" s="83">
        <v>1.15235</v>
      </c>
      <c r="C40" s="83">
        <v>0.13624600000000001</v>
      </c>
      <c r="D40" s="83">
        <v>3.0498999999999999E-3</v>
      </c>
      <c r="E40" s="83">
        <v>1.17578</v>
      </c>
      <c r="F40" s="83">
        <v>0.13694600000000001</v>
      </c>
      <c r="G40" s="83">
        <v>3.0498999999999999E-3</v>
      </c>
      <c r="H40" s="83">
        <v>1.20441</v>
      </c>
      <c r="I40" s="83">
        <v>0.138684</v>
      </c>
      <c r="J40" s="83">
        <v>3.0498999999999999E-3</v>
      </c>
      <c r="K40" s="83">
        <v>1.2352300000000001</v>
      </c>
      <c r="L40" s="83">
        <v>0.14052400000000001</v>
      </c>
      <c r="M40" s="83">
        <v>3.0498999999999999E-3</v>
      </c>
      <c r="N40" s="83">
        <v>1.27902</v>
      </c>
      <c r="O40" s="83">
        <v>0.143044</v>
      </c>
      <c r="P40" s="83">
        <v>3.0498999999999999E-3</v>
      </c>
      <c r="Q40" s="83">
        <v>1.2500199999999999</v>
      </c>
      <c r="R40" s="83">
        <v>0.13819300000000001</v>
      </c>
      <c r="S40" s="83">
        <v>3.0498999999999999E-3</v>
      </c>
      <c r="T40" s="83">
        <v>1.26698</v>
      </c>
      <c r="U40" s="83">
        <v>0.13849800000000001</v>
      </c>
      <c r="V40" s="83">
        <v>3.0498999999999999E-3</v>
      </c>
      <c r="W40" s="83">
        <v>1.2653399999999999</v>
      </c>
      <c r="X40" s="83">
        <v>0.137657</v>
      </c>
      <c r="Y40" s="83">
        <v>3.0498999999999999E-3</v>
      </c>
      <c r="Z40" s="83">
        <v>1.2686200000000001</v>
      </c>
      <c r="AA40" s="83">
        <v>0.13780600000000001</v>
      </c>
      <c r="AB40" s="83">
        <v>3.0498999999999999E-3</v>
      </c>
      <c r="AC40" s="83">
        <v>1.2669600000000001</v>
      </c>
      <c r="AD40" s="83">
        <v>0.13727400000000001</v>
      </c>
      <c r="AE40" s="83">
        <v>3.0498999999999999E-3</v>
      </c>
      <c r="AF40" s="83">
        <v>1.26312</v>
      </c>
      <c r="AG40" s="83">
        <v>0.136492</v>
      </c>
      <c r="AH40" s="83">
        <v>3.0498999999999999E-3</v>
      </c>
      <c r="AI40" s="83">
        <v>1.29088</v>
      </c>
      <c r="AJ40" s="83">
        <v>0.139907</v>
      </c>
      <c r="AK40" s="83">
        <v>3.0498999999999999E-3</v>
      </c>
      <c r="AL40" s="83">
        <v>1.32775</v>
      </c>
      <c r="AM40" s="83">
        <v>0.14402100000000001</v>
      </c>
      <c r="AN40" s="83">
        <v>3.0498999999999999E-3</v>
      </c>
      <c r="AO40" s="83">
        <v>1.2682899999999999</v>
      </c>
      <c r="AP40" s="83">
        <v>0.13686400000000001</v>
      </c>
      <c r="AQ40" s="83">
        <v>3.0498999999999999E-3</v>
      </c>
      <c r="AR40" s="83">
        <v>1.2665999999999999</v>
      </c>
      <c r="AS40" s="83">
        <v>0.13666300000000001</v>
      </c>
      <c r="AT40" s="83">
        <v>3.0498999999999999E-3</v>
      </c>
      <c r="AU40" s="83">
        <v>1.2978000000000001</v>
      </c>
      <c r="AV40" s="83">
        <v>0.139986</v>
      </c>
      <c r="AW40" s="83">
        <v>3.0498999999999999E-3</v>
      </c>
      <c r="AX40" s="83">
        <v>1.30907</v>
      </c>
      <c r="AY40" s="83">
        <v>0.14158999999999999</v>
      </c>
      <c r="AZ40" s="83">
        <v>3.0498999999999999E-3</v>
      </c>
      <c r="BA40" s="83">
        <v>1.31532</v>
      </c>
      <c r="BB40" s="83">
        <v>0.14214499999999999</v>
      </c>
      <c r="BC40" s="83">
        <v>3.0498999999999999E-3</v>
      </c>
      <c r="BD40" s="83">
        <v>1.3245199999999999</v>
      </c>
      <c r="BE40" s="83">
        <v>0.143039</v>
      </c>
      <c r="BF40" s="83">
        <v>3.0498999999999999E-3</v>
      </c>
      <c r="BG40" s="83">
        <v>1.3060499999999999</v>
      </c>
      <c r="BH40" s="83">
        <v>0.14091899999999999</v>
      </c>
      <c r="BI40" s="83">
        <v>3.0498999999999999E-3</v>
      </c>
      <c r="BJ40" s="83">
        <v>1.3068200000000001</v>
      </c>
      <c r="BK40" s="83">
        <v>0.14111699999999999</v>
      </c>
      <c r="BL40" s="83">
        <v>3.0498999999999999E-3</v>
      </c>
      <c r="BM40" s="83">
        <v>1.30105</v>
      </c>
      <c r="BN40" s="83">
        <v>0.14025399999999999</v>
      </c>
      <c r="BO40" s="83">
        <v>3.0498999999999999E-3</v>
      </c>
      <c r="BP40" s="83">
        <v>1.29752</v>
      </c>
      <c r="BQ40" s="83">
        <v>0.139823</v>
      </c>
      <c r="BR40" s="83">
        <v>3.0498999999999999E-3</v>
      </c>
      <c r="BS40" s="83">
        <v>1.32613</v>
      </c>
      <c r="BT40" s="83">
        <v>0.14263000000000001</v>
      </c>
      <c r="BU40" s="83">
        <v>3.0498999999999999E-3</v>
      </c>
      <c r="BV40" s="83">
        <v>1.31334</v>
      </c>
      <c r="BW40" s="83">
        <v>0.14115800000000001</v>
      </c>
      <c r="BX40" s="83">
        <v>3.0498999999999999E-3</v>
      </c>
      <c r="BY40" s="83">
        <v>1.2807599999999999</v>
      </c>
      <c r="BZ40" s="83">
        <v>0.13717699999999999</v>
      </c>
      <c r="CA40" s="83">
        <v>3.0498999999999999E-3</v>
      </c>
      <c r="CB40" s="83">
        <v>1.30775</v>
      </c>
      <c r="CC40" s="83">
        <v>0.14020099999999999</v>
      </c>
      <c r="CD40" s="83">
        <v>3.0498999999999999E-3</v>
      </c>
      <c r="CE40" s="83">
        <v>1.30402</v>
      </c>
      <c r="CF40" s="83">
        <v>0.13947100000000001</v>
      </c>
      <c r="CG40" s="83">
        <v>3.0498999999999999E-3</v>
      </c>
      <c r="CH40" s="83">
        <v>1.30568</v>
      </c>
      <c r="CI40" s="83">
        <v>0.139514</v>
      </c>
      <c r="CJ40" s="83">
        <v>3.0498999999999999E-3</v>
      </c>
      <c r="CK40" s="83">
        <v>1.32623</v>
      </c>
      <c r="CL40" s="83">
        <v>0.14186299999999999</v>
      </c>
      <c r="CM40" s="83">
        <v>3.0498999999999999E-3</v>
      </c>
      <c r="CN40" s="83">
        <v>1.3287500000000001</v>
      </c>
      <c r="CO40" s="83">
        <v>0.142316</v>
      </c>
      <c r="CP40" s="83">
        <v>3.0498999999999999E-3</v>
      </c>
      <c r="CQ40" s="83">
        <v>1.28942</v>
      </c>
      <c r="CR40" s="83">
        <v>0.13845199999999999</v>
      </c>
      <c r="CS40" s="83">
        <v>3.0498999999999999E-3</v>
      </c>
      <c r="CT40" s="83">
        <v>1.2573099999999999</v>
      </c>
      <c r="CU40" s="83">
        <v>0.13575400000000001</v>
      </c>
      <c r="CV40" s="83">
        <v>3.0498999999999999E-3</v>
      </c>
      <c r="CW40" s="83">
        <v>1.2978499999999999</v>
      </c>
      <c r="CX40" s="83">
        <v>0.140852</v>
      </c>
      <c r="CY40" s="83">
        <v>3.0498999999999999E-3</v>
      </c>
      <c r="CZ40" s="83">
        <v>1.3125199999999999</v>
      </c>
      <c r="DA40" s="83">
        <v>0.143064</v>
      </c>
    </row>
    <row r="41" spans="1:105" x14ac:dyDescent="0.2">
      <c r="A41" s="83">
        <v>3.1499000000000002E-3</v>
      </c>
      <c r="B41" s="83">
        <v>1.1031200000000001</v>
      </c>
      <c r="C41" s="83">
        <v>0.12911900000000001</v>
      </c>
      <c r="D41" s="83">
        <v>3.1499000000000002E-3</v>
      </c>
      <c r="E41" s="83">
        <v>1.12571</v>
      </c>
      <c r="F41" s="83">
        <v>0.12978100000000001</v>
      </c>
      <c r="G41" s="83">
        <v>3.1499000000000002E-3</v>
      </c>
      <c r="H41" s="83">
        <v>1.153</v>
      </c>
      <c r="I41" s="83">
        <v>0.13139200000000001</v>
      </c>
      <c r="J41" s="83">
        <v>3.1499000000000002E-3</v>
      </c>
      <c r="K41" s="83">
        <v>1.1818599999999999</v>
      </c>
      <c r="L41" s="83">
        <v>0.13316800000000001</v>
      </c>
      <c r="M41" s="83">
        <v>3.1499000000000002E-3</v>
      </c>
      <c r="N41" s="83">
        <v>1.2239800000000001</v>
      </c>
      <c r="O41" s="83">
        <v>0.13550100000000001</v>
      </c>
      <c r="P41" s="83">
        <v>3.1499000000000002E-3</v>
      </c>
      <c r="Q41" s="83">
        <v>1.1958599999999999</v>
      </c>
      <c r="R41" s="83">
        <v>0.130995</v>
      </c>
      <c r="S41" s="83">
        <v>3.1499000000000002E-3</v>
      </c>
      <c r="T41" s="83">
        <v>1.2123900000000001</v>
      </c>
      <c r="U41" s="83">
        <v>0.13125300000000001</v>
      </c>
      <c r="V41" s="83">
        <v>3.1499000000000002E-3</v>
      </c>
      <c r="W41" s="83">
        <v>1.2097899999999999</v>
      </c>
      <c r="X41" s="83">
        <v>0.13045200000000001</v>
      </c>
      <c r="Y41" s="83">
        <v>3.1499000000000002E-3</v>
      </c>
      <c r="Z41" s="83">
        <v>1.21238</v>
      </c>
      <c r="AA41" s="83">
        <v>0.13059200000000001</v>
      </c>
      <c r="AB41" s="83">
        <v>3.1499000000000002E-3</v>
      </c>
      <c r="AC41" s="83">
        <v>1.2105699999999999</v>
      </c>
      <c r="AD41" s="83">
        <v>0.130111</v>
      </c>
      <c r="AE41" s="83">
        <v>3.1499000000000002E-3</v>
      </c>
      <c r="AF41" s="83">
        <v>1.2063299999999999</v>
      </c>
      <c r="AG41" s="83">
        <v>0.12936400000000001</v>
      </c>
      <c r="AH41" s="83">
        <v>3.1499000000000002E-3</v>
      </c>
      <c r="AI41" s="83">
        <v>1.23323</v>
      </c>
      <c r="AJ41" s="83">
        <v>0.132608</v>
      </c>
      <c r="AK41" s="83">
        <v>3.1499000000000002E-3</v>
      </c>
      <c r="AL41" s="83">
        <v>1.26827</v>
      </c>
      <c r="AM41" s="83">
        <v>0.13647599999999999</v>
      </c>
      <c r="AN41" s="83">
        <v>3.1499000000000002E-3</v>
      </c>
      <c r="AO41" s="83">
        <v>1.21021</v>
      </c>
      <c r="AP41" s="83">
        <v>0.129715</v>
      </c>
      <c r="AQ41" s="83">
        <v>3.1499000000000002E-3</v>
      </c>
      <c r="AR41" s="83">
        <v>1.2081500000000001</v>
      </c>
      <c r="AS41" s="83">
        <v>0.129521</v>
      </c>
      <c r="AT41" s="83">
        <v>3.1499000000000002E-3</v>
      </c>
      <c r="AU41" s="83">
        <v>1.2379199999999999</v>
      </c>
      <c r="AV41" s="83">
        <v>0.13262099999999999</v>
      </c>
      <c r="AW41" s="83">
        <v>3.1499000000000002E-3</v>
      </c>
      <c r="AX41" s="83">
        <v>1.2489699999999999</v>
      </c>
      <c r="AY41" s="83">
        <v>0.13414999999999999</v>
      </c>
      <c r="AZ41" s="83">
        <v>3.1499000000000002E-3</v>
      </c>
      <c r="BA41" s="83">
        <v>1.2535000000000001</v>
      </c>
      <c r="BB41" s="83">
        <v>0.134683</v>
      </c>
      <c r="BC41" s="83">
        <v>3.1499000000000002E-3</v>
      </c>
      <c r="BD41" s="83">
        <v>1.2622599999999999</v>
      </c>
      <c r="BE41" s="83">
        <v>0.135516</v>
      </c>
      <c r="BF41" s="83">
        <v>3.1499000000000002E-3</v>
      </c>
      <c r="BG41" s="83">
        <v>1.24359</v>
      </c>
      <c r="BH41" s="83">
        <v>0.13351299999999999</v>
      </c>
      <c r="BI41" s="83">
        <v>3.1499000000000002E-3</v>
      </c>
      <c r="BJ41" s="83">
        <v>1.24464</v>
      </c>
      <c r="BK41" s="83">
        <v>0.13372700000000001</v>
      </c>
      <c r="BL41" s="83">
        <v>3.1499000000000002E-3</v>
      </c>
      <c r="BM41" s="83">
        <v>1.23841</v>
      </c>
      <c r="BN41" s="83">
        <v>0.13294400000000001</v>
      </c>
      <c r="BO41" s="83">
        <v>3.1499000000000002E-3</v>
      </c>
      <c r="BP41" s="83">
        <v>1.23458</v>
      </c>
      <c r="BQ41" s="83">
        <v>0.132518</v>
      </c>
      <c r="BR41" s="83">
        <v>3.1499000000000002E-3</v>
      </c>
      <c r="BS41" s="83">
        <v>1.2612300000000001</v>
      </c>
      <c r="BT41" s="83">
        <v>0.135129</v>
      </c>
      <c r="BU41" s="83">
        <v>3.1499000000000002E-3</v>
      </c>
      <c r="BV41" s="83">
        <v>1.2484999999999999</v>
      </c>
      <c r="BW41" s="83">
        <v>0.133769</v>
      </c>
      <c r="BX41" s="83">
        <v>3.1499000000000002E-3</v>
      </c>
      <c r="BY41" s="83">
        <v>1.21675</v>
      </c>
      <c r="BZ41" s="83">
        <v>0.129964</v>
      </c>
      <c r="CA41" s="83">
        <v>3.1499000000000002E-3</v>
      </c>
      <c r="CB41" s="83">
        <v>1.24217</v>
      </c>
      <c r="CC41" s="83">
        <v>0.13281799999999999</v>
      </c>
      <c r="CD41" s="83">
        <v>3.1499000000000002E-3</v>
      </c>
      <c r="CE41" s="83">
        <v>1.2380500000000001</v>
      </c>
      <c r="CF41" s="83">
        <v>0.13217699999999999</v>
      </c>
      <c r="CG41" s="83">
        <v>3.1499000000000002E-3</v>
      </c>
      <c r="CH41" s="83">
        <v>1.2386699999999999</v>
      </c>
      <c r="CI41" s="83">
        <v>0.13220299999999999</v>
      </c>
      <c r="CJ41" s="83">
        <v>3.1499000000000002E-3</v>
      </c>
      <c r="CK41" s="83">
        <v>1.25756</v>
      </c>
      <c r="CL41" s="83">
        <v>0.134405</v>
      </c>
      <c r="CM41" s="83">
        <v>3.1499000000000002E-3</v>
      </c>
      <c r="CN41" s="83">
        <v>1.2596000000000001</v>
      </c>
      <c r="CO41" s="83">
        <v>0.13484299999999999</v>
      </c>
      <c r="CP41" s="83">
        <v>3.1499000000000002E-3</v>
      </c>
      <c r="CQ41" s="83">
        <v>1.2217199999999999</v>
      </c>
      <c r="CR41" s="83">
        <v>0.13120699999999999</v>
      </c>
      <c r="CS41" s="83">
        <v>3.1499000000000002E-3</v>
      </c>
      <c r="CT41" s="83">
        <v>1.18971</v>
      </c>
      <c r="CU41" s="83">
        <v>0.12865499999999999</v>
      </c>
      <c r="CV41" s="83">
        <v>3.1499000000000002E-3</v>
      </c>
      <c r="CW41" s="83">
        <v>1.2286300000000001</v>
      </c>
      <c r="CX41" s="83">
        <v>0.13342899999999999</v>
      </c>
      <c r="CY41" s="83">
        <v>3.1499000000000002E-3</v>
      </c>
      <c r="CZ41" s="83">
        <v>1.24194</v>
      </c>
      <c r="DA41" s="83">
        <v>0.135542</v>
      </c>
    </row>
    <row r="42" spans="1:105" x14ac:dyDescent="0.2">
      <c r="A42" s="83">
        <v>3.2499E-3</v>
      </c>
      <c r="B42" s="83">
        <v>1.0563</v>
      </c>
      <c r="C42" s="83">
        <v>0.122394</v>
      </c>
      <c r="D42" s="83">
        <v>3.2499E-3</v>
      </c>
      <c r="E42" s="83">
        <v>1.0778799999999999</v>
      </c>
      <c r="F42" s="83">
        <v>0.123011</v>
      </c>
      <c r="G42" s="83">
        <v>3.2499E-3</v>
      </c>
      <c r="H42" s="83">
        <v>1.10334</v>
      </c>
      <c r="I42" s="83">
        <v>0.12456299999999999</v>
      </c>
      <c r="J42" s="83">
        <v>3.2499E-3</v>
      </c>
      <c r="K42" s="83">
        <v>1.1308499999999999</v>
      </c>
      <c r="L42" s="83">
        <v>0.126224</v>
      </c>
      <c r="M42" s="83">
        <v>3.2499E-3</v>
      </c>
      <c r="N42" s="83">
        <v>1.1711100000000001</v>
      </c>
      <c r="O42" s="83">
        <v>0.12842899999999999</v>
      </c>
      <c r="P42" s="83">
        <v>3.2499E-3</v>
      </c>
      <c r="Q42" s="83">
        <v>1.1444300000000001</v>
      </c>
      <c r="R42" s="83">
        <v>0.124263</v>
      </c>
      <c r="S42" s="83">
        <v>3.2499E-3</v>
      </c>
      <c r="T42" s="83">
        <v>1.1595200000000001</v>
      </c>
      <c r="U42" s="83">
        <v>0.12442400000000001</v>
      </c>
      <c r="V42" s="83">
        <v>3.2499E-3</v>
      </c>
      <c r="W42" s="83">
        <v>1.1561699999999999</v>
      </c>
      <c r="X42" s="83">
        <v>0.123672</v>
      </c>
      <c r="Y42" s="83">
        <v>3.2499E-3</v>
      </c>
      <c r="Z42" s="83">
        <v>1.1588499999999999</v>
      </c>
      <c r="AA42" s="83">
        <v>0.123817</v>
      </c>
      <c r="AB42" s="83">
        <v>3.2499E-3</v>
      </c>
      <c r="AC42" s="83">
        <v>1.15621</v>
      </c>
      <c r="AD42" s="83">
        <v>0.12337099999999999</v>
      </c>
      <c r="AE42" s="83">
        <v>3.2499E-3</v>
      </c>
      <c r="AF42" s="83">
        <v>1.1513500000000001</v>
      </c>
      <c r="AG42" s="83">
        <v>0.122641</v>
      </c>
      <c r="AH42" s="83">
        <v>3.2499E-3</v>
      </c>
      <c r="AI42" s="83">
        <v>1.17717</v>
      </c>
      <c r="AJ42" s="83">
        <v>0.12573699999999999</v>
      </c>
      <c r="AK42" s="83">
        <v>3.2499E-3</v>
      </c>
      <c r="AL42" s="83">
        <v>1.2111499999999999</v>
      </c>
      <c r="AM42" s="83">
        <v>0.129361</v>
      </c>
      <c r="AN42" s="83">
        <v>3.2499E-3</v>
      </c>
      <c r="AO42" s="83">
        <v>1.15473</v>
      </c>
      <c r="AP42" s="83">
        <v>0.122999</v>
      </c>
      <c r="AQ42" s="83">
        <v>3.2499E-3</v>
      </c>
      <c r="AR42" s="83">
        <v>1.15229</v>
      </c>
      <c r="AS42" s="83">
        <v>0.12281</v>
      </c>
      <c r="AT42" s="83">
        <v>3.2499E-3</v>
      </c>
      <c r="AU42" s="83">
        <v>1.18028</v>
      </c>
      <c r="AV42" s="83">
        <v>0.12573300000000001</v>
      </c>
      <c r="AW42" s="83">
        <v>3.2499E-3</v>
      </c>
      <c r="AX42" s="83">
        <v>1.19049</v>
      </c>
      <c r="AY42" s="83">
        <v>0.127194</v>
      </c>
      <c r="AZ42" s="83">
        <v>3.2499E-3</v>
      </c>
      <c r="BA42" s="83">
        <v>1.1946099999999999</v>
      </c>
      <c r="BB42" s="83">
        <v>0.12767700000000001</v>
      </c>
      <c r="BC42" s="83">
        <v>3.2499E-3</v>
      </c>
      <c r="BD42" s="83">
        <v>1.2019</v>
      </c>
      <c r="BE42" s="83">
        <v>0.128438</v>
      </c>
      <c r="BF42" s="83">
        <v>3.2499E-3</v>
      </c>
      <c r="BG42" s="83">
        <v>1.18343</v>
      </c>
      <c r="BH42" s="83">
        <v>0.126578</v>
      </c>
      <c r="BI42" s="83">
        <v>3.2499E-3</v>
      </c>
      <c r="BJ42" s="83">
        <v>1.1844399999999999</v>
      </c>
      <c r="BK42" s="83">
        <v>0.12679699999999999</v>
      </c>
      <c r="BL42" s="83">
        <v>3.2499E-3</v>
      </c>
      <c r="BM42" s="83">
        <v>1.1778200000000001</v>
      </c>
      <c r="BN42" s="83">
        <v>0.12607499999999999</v>
      </c>
      <c r="BO42" s="83">
        <v>3.2499E-3</v>
      </c>
      <c r="BP42" s="83">
        <v>1.17391</v>
      </c>
      <c r="BQ42" s="83">
        <v>0.125639</v>
      </c>
      <c r="BR42" s="83">
        <v>3.2499E-3</v>
      </c>
      <c r="BS42" s="83">
        <v>1.1986300000000001</v>
      </c>
      <c r="BT42" s="83">
        <v>0.12809999999999999</v>
      </c>
      <c r="BU42" s="83">
        <v>3.2499E-3</v>
      </c>
      <c r="BV42" s="83">
        <v>1.18577</v>
      </c>
      <c r="BW42" s="83">
        <v>0.12678400000000001</v>
      </c>
      <c r="BX42" s="83">
        <v>3.2499E-3</v>
      </c>
      <c r="BY42" s="83">
        <v>1.15551</v>
      </c>
      <c r="BZ42" s="83">
        <v>0.123256</v>
      </c>
      <c r="CA42" s="83">
        <v>3.2499E-3</v>
      </c>
      <c r="CB42" s="83">
        <v>1.1792100000000001</v>
      </c>
      <c r="CC42" s="83">
        <v>0.125891</v>
      </c>
      <c r="CD42" s="83">
        <v>3.2499E-3</v>
      </c>
      <c r="CE42" s="83">
        <v>1.1747300000000001</v>
      </c>
      <c r="CF42" s="83">
        <v>0.125307</v>
      </c>
      <c r="CG42" s="83">
        <v>3.2499E-3</v>
      </c>
      <c r="CH42" s="83">
        <v>1.17493</v>
      </c>
      <c r="CI42" s="83">
        <v>0.12531500000000001</v>
      </c>
      <c r="CJ42" s="83">
        <v>3.2499E-3</v>
      </c>
      <c r="CK42" s="83">
        <v>1.1920500000000001</v>
      </c>
      <c r="CL42" s="83">
        <v>0.12740099999999999</v>
      </c>
      <c r="CM42" s="83">
        <v>3.2499E-3</v>
      </c>
      <c r="CN42" s="83">
        <v>1.1938599999999999</v>
      </c>
      <c r="CO42" s="83">
        <v>0.12779699999999999</v>
      </c>
      <c r="CP42" s="83">
        <v>3.2499E-3</v>
      </c>
      <c r="CQ42" s="83">
        <v>1.15676</v>
      </c>
      <c r="CR42" s="83">
        <v>0.124364</v>
      </c>
      <c r="CS42" s="83">
        <v>3.2499E-3</v>
      </c>
      <c r="CT42" s="83">
        <v>1.1259399999999999</v>
      </c>
      <c r="CU42" s="83">
        <v>0.121998</v>
      </c>
      <c r="CV42" s="83">
        <v>3.2499E-3</v>
      </c>
      <c r="CW42" s="83">
        <v>1.16262</v>
      </c>
      <c r="CX42" s="83">
        <v>0.126475</v>
      </c>
      <c r="CY42" s="83">
        <v>3.2499E-3</v>
      </c>
      <c r="CZ42" s="83">
        <v>1.17438</v>
      </c>
      <c r="DA42" s="83">
        <v>0.12845400000000001</v>
      </c>
    </row>
    <row r="43" spans="1:105" x14ac:dyDescent="0.2">
      <c r="A43" s="83">
        <v>3.3498999999999998E-3</v>
      </c>
      <c r="B43" s="83">
        <v>1.0104500000000001</v>
      </c>
      <c r="C43" s="83">
        <v>0.11605600000000001</v>
      </c>
      <c r="D43" s="83">
        <v>3.3498999999999998E-3</v>
      </c>
      <c r="E43" s="83">
        <v>1.0310699999999999</v>
      </c>
      <c r="F43" s="83">
        <v>0.116633</v>
      </c>
      <c r="G43" s="83">
        <v>3.3498999999999998E-3</v>
      </c>
      <c r="H43" s="83">
        <v>1.05545</v>
      </c>
      <c r="I43" s="83">
        <v>0.118075</v>
      </c>
      <c r="J43" s="83">
        <v>3.3498999999999998E-3</v>
      </c>
      <c r="K43" s="83">
        <v>1.0823400000000001</v>
      </c>
      <c r="L43" s="83">
        <v>0.11967700000000001</v>
      </c>
      <c r="M43" s="83">
        <v>3.3498999999999998E-3</v>
      </c>
      <c r="N43" s="83">
        <v>1.12018</v>
      </c>
      <c r="O43" s="83">
        <v>0.121737</v>
      </c>
      <c r="P43" s="83">
        <v>3.3498999999999998E-3</v>
      </c>
      <c r="Q43" s="83">
        <v>1.0944</v>
      </c>
      <c r="R43" s="83">
        <v>0.117794</v>
      </c>
      <c r="S43" s="83">
        <v>3.3498999999999998E-3</v>
      </c>
      <c r="T43" s="83">
        <v>1.1084799999999999</v>
      </c>
      <c r="U43" s="83">
        <v>0.117961</v>
      </c>
      <c r="V43" s="83">
        <v>3.3498999999999998E-3</v>
      </c>
      <c r="W43" s="83">
        <v>1.1050599999999999</v>
      </c>
      <c r="X43" s="83">
        <v>0.117286</v>
      </c>
      <c r="Y43" s="83">
        <v>3.3498999999999998E-3</v>
      </c>
      <c r="Z43" s="83">
        <v>1.10731</v>
      </c>
      <c r="AA43" s="83">
        <v>0.117449</v>
      </c>
      <c r="AB43" s="83">
        <v>3.3498999999999998E-3</v>
      </c>
      <c r="AC43" s="83">
        <v>1.1039399999999999</v>
      </c>
      <c r="AD43" s="83">
        <v>0.116994</v>
      </c>
      <c r="AE43" s="83">
        <v>3.3498999999999998E-3</v>
      </c>
      <c r="AF43" s="83">
        <v>1.0994600000000001</v>
      </c>
      <c r="AG43" s="83">
        <v>0.11629100000000001</v>
      </c>
      <c r="AH43" s="83">
        <v>3.3498999999999998E-3</v>
      </c>
      <c r="AI43" s="83">
        <v>1.12348</v>
      </c>
      <c r="AJ43" s="83">
        <v>0.119213</v>
      </c>
      <c r="AK43" s="83">
        <v>3.3498999999999998E-3</v>
      </c>
      <c r="AL43" s="83">
        <v>1.1556</v>
      </c>
      <c r="AM43" s="83">
        <v>0.122679</v>
      </c>
      <c r="AN43" s="83">
        <v>3.3498999999999998E-3</v>
      </c>
      <c r="AO43" s="83">
        <v>1.10134</v>
      </c>
      <c r="AP43" s="83">
        <v>0.116635</v>
      </c>
      <c r="AQ43" s="83">
        <v>3.3498999999999998E-3</v>
      </c>
      <c r="AR43" s="83">
        <v>1.0984400000000001</v>
      </c>
      <c r="AS43" s="83">
        <v>0.116452</v>
      </c>
      <c r="AT43" s="83">
        <v>3.3498999999999998E-3</v>
      </c>
      <c r="AU43" s="83">
        <v>1.12493</v>
      </c>
      <c r="AV43" s="83">
        <v>0.11920600000000001</v>
      </c>
      <c r="AW43" s="83">
        <v>3.3498999999999998E-3</v>
      </c>
      <c r="AX43" s="83">
        <v>1.1338600000000001</v>
      </c>
      <c r="AY43" s="83">
        <v>0.120611</v>
      </c>
      <c r="AZ43" s="83">
        <v>3.3498999999999998E-3</v>
      </c>
      <c r="BA43" s="83">
        <v>1.1376900000000001</v>
      </c>
      <c r="BB43" s="83">
        <v>0.121035</v>
      </c>
      <c r="BC43" s="83">
        <v>3.3498999999999998E-3</v>
      </c>
      <c r="BD43" s="83">
        <v>1.1441699999999999</v>
      </c>
      <c r="BE43" s="83">
        <v>0.12179</v>
      </c>
      <c r="BF43" s="83">
        <v>3.3498999999999998E-3</v>
      </c>
      <c r="BG43" s="83">
        <v>1.1258699999999999</v>
      </c>
      <c r="BH43" s="83">
        <v>0.119977</v>
      </c>
      <c r="BI43" s="83">
        <v>3.3498999999999998E-3</v>
      </c>
      <c r="BJ43" s="83">
        <v>1.1263799999999999</v>
      </c>
      <c r="BK43" s="83">
        <v>0.120244</v>
      </c>
      <c r="BL43" s="83">
        <v>3.3498999999999998E-3</v>
      </c>
      <c r="BM43" s="83">
        <v>1.1199300000000001</v>
      </c>
      <c r="BN43" s="83">
        <v>0.119576</v>
      </c>
      <c r="BO43" s="83">
        <v>3.3498999999999998E-3</v>
      </c>
      <c r="BP43" s="83">
        <v>1.1155200000000001</v>
      </c>
      <c r="BQ43" s="83">
        <v>0.119132</v>
      </c>
      <c r="BR43" s="83">
        <v>3.3498999999999998E-3</v>
      </c>
      <c r="BS43" s="83">
        <v>1.1387499999999999</v>
      </c>
      <c r="BT43" s="83">
        <v>0.121474</v>
      </c>
      <c r="BU43" s="83">
        <v>3.3498999999999998E-3</v>
      </c>
      <c r="BV43" s="83">
        <v>1.1266400000000001</v>
      </c>
      <c r="BW43" s="83">
        <v>0.12023</v>
      </c>
      <c r="BX43" s="83">
        <v>3.3498999999999998E-3</v>
      </c>
      <c r="BY43" s="83">
        <v>1.0964700000000001</v>
      </c>
      <c r="BZ43" s="83">
        <v>0.116872</v>
      </c>
      <c r="CA43" s="83">
        <v>3.3498999999999998E-3</v>
      </c>
      <c r="CB43" s="83">
        <v>1.1185099999999999</v>
      </c>
      <c r="CC43" s="83">
        <v>0.11934599999999999</v>
      </c>
      <c r="CD43" s="83">
        <v>3.3498999999999998E-3</v>
      </c>
      <c r="CE43" s="83">
        <v>1.11389</v>
      </c>
      <c r="CF43" s="83">
        <v>0.11880300000000001</v>
      </c>
      <c r="CG43" s="83">
        <v>3.3498999999999998E-3</v>
      </c>
      <c r="CH43" s="83">
        <v>1.1140099999999999</v>
      </c>
      <c r="CI43" s="83">
        <v>0.118782</v>
      </c>
      <c r="CJ43" s="83">
        <v>3.3498999999999998E-3</v>
      </c>
      <c r="CK43" s="83">
        <v>1.1298699999999999</v>
      </c>
      <c r="CL43" s="83">
        <v>0.12078899999999999</v>
      </c>
      <c r="CM43" s="83">
        <v>3.3498999999999998E-3</v>
      </c>
      <c r="CN43" s="83">
        <v>1.13123</v>
      </c>
      <c r="CO43" s="83">
        <v>0.121182</v>
      </c>
      <c r="CP43" s="83">
        <v>3.3498999999999998E-3</v>
      </c>
      <c r="CQ43" s="83">
        <v>1.0956399999999999</v>
      </c>
      <c r="CR43" s="83">
        <v>0.11791500000000001</v>
      </c>
      <c r="CS43" s="83">
        <v>3.3498999999999998E-3</v>
      </c>
      <c r="CT43" s="83">
        <v>1.0654600000000001</v>
      </c>
      <c r="CU43" s="83">
        <v>0.115675</v>
      </c>
      <c r="CV43" s="83">
        <v>3.3498999999999998E-3</v>
      </c>
      <c r="CW43" s="83">
        <v>1.0997600000000001</v>
      </c>
      <c r="CX43" s="83">
        <v>0.119935</v>
      </c>
      <c r="CY43" s="83">
        <v>3.3498999999999998E-3</v>
      </c>
      <c r="CZ43" s="83">
        <v>1.11103</v>
      </c>
      <c r="DA43" s="83">
        <v>0.12184</v>
      </c>
    </row>
    <row r="44" spans="1:105" x14ac:dyDescent="0.2">
      <c r="A44" s="83">
        <v>3.4499000000000001E-3</v>
      </c>
      <c r="B44" s="83">
        <v>0.965754</v>
      </c>
      <c r="C44" s="83">
        <v>0.110072</v>
      </c>
      <c r="D44" s="83">
        <v>3.4499000000000001E-3</v>
      </c>
      <c r="E44" s="83">
        <v>0.98557600000000001</v>
      </c>
      <c r="F44" s="83">
        <v>0.110621</v>
      </c>
      <c r="G44" s="83">
        <v>3.4499000000000001E-3</v>
      </c>
      <c r="H44" s="83">
        <v>1.00936</v>
      </c>
      <c r="I44" s="83">
        <v>0.111983</v>
      </c>
      <c r="J44" s="83">
        <v>3.4499000000000001E-3</v>
      </c>
      <c r="K44" s="83">
        <v>1.0350699999999999</v>
      </c>
      <c r="L44" s="83">
        <v>0.11348900000000001</v>
      </c>
      <c r="M44" s="83">
        <v>3.4499000000000001E-3</v>
      </c>
      <c r="N44" s="83">
        <v>1.0714900000000001</v>
      </c>
      <c r="O44" s="83">
        <v>0.11543100000000001</v>
      </c>
      <c r="P44" s="83">
        <v>3.4499000000000001E-3</v>
      </c>
      <c r="Q44" s="83">
        <v>1.0461499999999999</v>
      </c>
      <c r="R44" s="83">
        <v>0.111786</v>
      </c>
      <c r="S44" s="83">
        <v>3.4499000000000001E-3</v>
      </c>
      <c r="T44" s="83">
        <v>1.0594300000000001</v>
      </c>
      <c r="U44" s="83">
        <v>0.111899</v>
      </c>
      <c r="V44" s="83">
        <v>3.4499000000000001E-3</v>
      </c>
      <c r="W44" s="83">
        <v>1.0557300000000001</v>
      </c>
      <c r="X44" s="83">
        <v>0.111245</v>
      </c>
      <c r="Y44" s="83">
        <v>3.4499000000000001E-3</v>
      </c>
      <c r="Z44" s="83">
        <v>1.05725</v>
      </c>
      <c r="AA44" s="83">
        <v>0.111426</v>
      </c>
      <c r="AB44" s="83">
        <v>3.4499000000000001E-3</v>
      </c>
      <c r="AC44" s="83">
        <v>1.0542</v>
      </c>
      <c r="AD44" s="83">
        <v>0.110971</v>
      </c>
      <c r="AE44" s="83">
        <v>3.4499000000000001E-3</v>
      </c>
      <c r="AF44" s="83">
        <v>1.0493699999999999</v>
      </c>
      <c r="AG44" s="83">
        <v>0.11032599999999999</v>
      </c>
      <c r="AH44" s="83">
        <v>3.4499000000000001E-3</v>
      </c>
      <c r="AI44" s="83">
        <v>1.0728</v>
      </c>
      <c r="AJ44" s="83">
        <v>0.113067</v>
      </c>
      <c r="AK44" s="83">
        <v>3.4499000000000001E-3</v>
      </c>
      <c r="AL44" s="83">
        <v>1.10246</v>
      </c>
      <c r="AM44" s="83">
        <v>0.116345</v>
      </c>
      <c r="AN44" s="83">
        <v>3.4499000000000001E-3</v>
      </c>
      <c r="AO44" s="83">
        <v>1.0499400000000001</v>
      </c>
      <c r="AP44" s="83">
        <v>0.11065899999999999</v>
      </c>
      <c r="AQ44" s="83">
        <v>3.4499000000000001E-3</v>
      </c>
      <c r="AR44" s="83">
        <v>1.04661</v>
      </c>
      <c r="AS44" s="83">
        <v>0.11049299999999999</v>
      </c>
      <c r="AT44" s="83">
        <v>3.4499000000000001E-3</v>
      </c>
      <c r="AU44" s="83">
        <v>1.0718300000000001</v>
      </c>
      <c r="AV44" s="83">
        <v>0.113077</v>
      </c>
      <c r="AW44" s="83">
        <v>3.4499000000000001E-3</v>
      </c>
      <c r="AX44" s="83">
        <v>1.0804100000000001</v>
      </c>
      <c r="AY44" s="83">
        <v>0.114383</v>
      </c>
      <c r="AZ44" s="83">
        <v>3.4499000000000001E-3</v>
      </c>
      <c r="BA44" s="83">
        <v>1.08375</v>
      </c>
      <c r="BB44" s="83">
        <v>0.114828</v>
      </c>
      <c r="BC44" s="83">
        <v>3.4499000000000001E-3</v>
      </c>
      <c r="BD44" s="83">
        <v>1.0890599999999999</v>
      </c>
      <c r="BE44" s="83">
        <v>0.115491</v>
      </c>
      <c r="BF44" s="83">
        <v>3.4499000000000001E-3</v>
      </c>
      <c r="BG44" s="83">
        <v>1.0713600000000001</v>
      </c>
      <c r="BH44" s="83">
        <v>0.113787</v>
      </c>
      <c r="BI44" s="83">
        <v>3.4499000000000001E-3</v>
      </c>
      <c r="BJ44" s="83">
        <v>1.07192</v>
      </c>
      <c r="BK44" s="83">
        <v>0.114079</v>
      </c>
      <c r="BL44" s="83">
        <v>3.4499000000000001E-3</v>
      </c>
      <c r="BM44" s="83">
        <v>1.0652600000000001</v>
      </c>
      <c r="BN44" s="83">
        <v>0.113464</v>
      </c>
      <c r="BO44" s="83">
        <v>3.4499000000000001E-3</v>
      </c>
      <c r="BP44" s="83">
        <v>1.0605500000000001</v>
      </c>
      <c r="BQ44" s="83">
        <v>0.112993</v>
      </c>
      <c r="BR44" s="83">
        <v>3.4499000000000001E-3</v>
      </c>
      <c r="BS44" s="83">
        <v>1.0821700000000001</v>
      </c>
      <c r="BT44" s="83">
        <v>0.115185</v>
      </c>
      <c r="BU44" s="83">
        <v>3.4499000000000001E-3</v>
      </c>
      <c r="BV44" s="83">
        <v>1.07046</v>
      </c>
      <c r="BW44" s="83">
        <v>0.114052</v>
      </c>
      <c r="BX44" s="83">
        <v>3.4499000000000001E-3</v>
      </c>
      <c r="BY44" s="83">
        <v>1.04068</v>
      </c>
      <c r="BZ44" s="83">
        <v>0.110903</v>
      </c>
      <c r="CA44" s="83">
        <v>3.4499000000000001E-3</v>
      </c>
      <c r="CB44" s="83">
        <v>1.0614300000000001</v>
      </c>
      <c r="CC44" s="83">
        <v>0.113218</v>
      </c>
      <c r="CD44" s="83">
        <v>3.4499000000000001E-3</v>
      </c>
      <c r="CE44" s="83">
        <v>1.0560099999999999</v>
      </c>
      <c r="CF44" s="83">
        <v>0.112692</v>
      </c>
      <c r="CG44" s="83">
        <v>3.4499000000000001E-3</v>
      </c>
      <c r="CH44" s="83">
        <v>1.05613</v>
      </c>
      <c r="CI44" s="83">
        <v>0.112679</v>
      </c>
      <c r="CJ44" s="83">
        <v>3.4499000000000001E-3</v>
      </c>
      <c r="CK44" s="83">
        <v>1.0709599999999999</v>
      </c>
      <c r="CL44" s="83">
        <v>0.114537</v>
      </c>
      <c r="CM44" s="83">
        <v>3.4499000000000001E-3</v>
      </c>
      <c r="CN44" s="83">
        <v>1.0717099999999999</v>
      </c>
      <c r="CO44" s="83">
        <v>0.114952</v>
      </c>
      <c r="CP44" s="83">
        <v>3.4499000000000001E-3</v>
      </c>
      <c r="CQ44" s="83">
        <v>1.03674</v>
      </c>
      <c r="CR44" s="83">
        <v>0.111843</v>
      </c>
      <c r="CS44" s="83">
        <v>3.4499000000000001E-3</v>
      </c>
      <c r="CT44" s="83">
        <v>1.0081899999999999</v>
      </c>
      <c r="CU44" s="83">
        <v>0.109777</v>
      </c>
      <c r="CV44" s="83">
        <v>3.4499000000000001E-3</v>
      </c>
      <c r="CW44" s="83">
        <v>1.04016</v>
      </c>
      <c r="CX44" s="83">
        <v>0.113728</v>
      </c>
      <c r="CY44" s="83">
        <v>3.4499000000000001E-3</v>
      </c>
      <c r="CZ44" s="83">
        <v>1.0503</v>
      </c>
      <c r="DA44" s="83">
        <v>0.115541</v>
      </c>
    </row>
    <row r="45" spans="1:105" x14ac:dyDescent="0.2">
      <c r="A45" s="83">
        <v>3.5498999999999999E-3</v>
      </c>
      <c r="B45" s="83">
        <v>0.923346</v>
      </c>
      <c r="C45" s="83">
        <v>0.104464</v>
      </c>
      <c r="D45" s="83">
        <v>3.5498999999999999E-3</v>
      </c>
      <c r="E45" s="83">
        <v>0.94206100000000004</v>
      </c>
      <c r="F45" s="83">
        <v>0.104952</v>
      </c>
      <c r="G45" s="83">
        <v>3.5498999999999999E-3</v>
      </c>
      <c r="H45" s="83">
        <v>0.96464399999999995</v>
      </c>
      <c r="I45" s="83">
        <v>0.106225</v>
      </c>
      <c r="J45" s="83">
        <v>3.5498999999999999E-3</v>
      </c>
      <c r="K45" s="83">
        <v>0.98905799999999999</v>
      </c>
      <c r="L45" s="83">
        <v>0.10771500000000001</v>
      </c>
      <c r="M45" s="83">
        <v>3.5498999999999999E-3</v>
      </c>
      <c r="N45" s="83">
        <v>1.02393</v>
      </c>
      <c r="O45" s="83">
        <v>0.109496</v>
      </c>
      <c r="P45" s="83">
        <v>3.5498999999999999E-3</v>
      </c>
      <c r="Q45" s="83">
        <v>0.99937399999999998</v>
      </c>
      <c r="R45" s="83">
        <v>0.106119</v>
      </c>
      <c r="S45" s="83">
        <v>3.5498999999999999E-3</v>
      </c>
      <c r="T45" s="83">
        <v>1.01128</v>
      </c>
      <c r="U45" s="83">
        <v>0.106171</v>
      </c>
      <c r="V45" s="83">
        <v>3.5498999999999999E-3</v>
      </c>
      <c r="W45" s="83">
        <v>1.00762</v>
      </c>
      <c r="X45" s="83">
        <v>0.105541</v>
      </c>
      <c r="Y45" s="83">
        <v>3.5498999999999999E-3</v>
      </c>
      <c r="Z45" s="83">
        <v>1.0092300000000001</v>
      </c>
      <c r="AA45" s="83">
        <v>0.105739</v>
      </c>
      <c r="AB45" s="83">
        <v>3.5498999999999999E-3</v>
      </c>
      <c r="AC45" s="83">
        <v>1.0056799999999999</v>
      </c>
      <c r="AD45" s="83">
        <v>0.105295</v>
      </c>
      <c r="AE45" s="83">
        <v>3.5498999999999999E-3</v>
      </c>
      <c r="AF45" s="83">
        <v>1.0007600000000001</v>
      </c>
      <c r="AG45" s="83">
        <v>0.104703</v>
      </c>
      <c r="AH45" s="83">
        <v>3.5498999999999999E-3</v>
      </c>
      <c r="AI45" s="83">
        <v>1.0230999999999999</v>
      </c>
      <c r="AJ45" s="83">
        <v>0.10727200000000001</v>
      </c>
      <c r="AK45" s="83">
        <v>3.5498999999999999E-3</v>
      </c>
      <c r="AL45" s="83">
        <v>1.05158</v>
      </c>
      <c r="AM45" s="83">
        <v>0.110392</v>
      </c>
      <c r="AN45" s="83">
        <v>3.5498999999999999E-3</v>
      </c>
      <c r="AO45" s="83">
        <v>1.00048</v>
      </c>
      <c r="AP45" s="83">
        <v>0.10498499999999999</v>
      </c>
      <c r="AQ45" s="83">
        <v>3.5498999999999999E-3</v>
      </c>
      <c r="AR45" s="83">
        <v>0.99676299999999995</v>
      </c>
      <c r="AS45" s="83">
        <v>0.104837</v>
      </c>
      <c r="AT45" s="83">
        <v>3.5498999999999999E-3</v>
      </c>
      <c r="AU45" s="83">
        <v>1.02094</v>
      </c>
      <c r="AV45" s="83">
        <v>0.107297</v>
      </c>
      <c r="AW45" s="83">
        <v>3.5498999999999999E-3</v>
      </c>
      <c r="AX45" s="83">
        <v>1.02847</v>
      </c>
      <c r="AY45" s="83">
        <v>0.108529</v>
      </c>
      <c r="AZ45" s="83">
        <v>3.5498999999999999E-3</v>
      </c>
      <c r="BA45" s="83">
        <v>1.0309600000000001</v>
      </c>
      <c r="BB45" s="83">
        <v>0.108975</v>
      </c>
      <c r="BC45" s="83">
        <v>3.5498999999999999E-3</v>
      </c>
      <c r="BD45" s="83">
        <v>1.03668</v>
      </c>
      <c r="BE45" s="83">
        <v>0.109573</v>
      </c>
      <c r="BF45" s="83">
        <v>3.5498999999999999E-3</v>
      </c>
      <c r="BG45" s="83">
        <v>1.01888</v>
      </c>
      <c r="BH45" s="83">
        <v>0.107973</v>
      </c>
      <c r="BI45" s="83">
        <v>3.5498999999999999E-3</v>
      </c>
      <c r="BJ45" s="83">
        <v>1.0192600000000001</v>
      </c>
      <c r="BK45" s="83">
        <v>0.10826</v>
      </c>
      <c r="BL45" s="83">
        <v>3.5498999999999999E-3</v>
      </c>
      <c r="BM45" s="83">
        <v>1.01214</v>
      </c>
      <c r="BN45" s="83">
        <v>0.10767699999999999</v>
      </c>
      <c r="BO45" s="83">
        <v>3.5498999999999999E-3</v>
      </c>
      <c r="BP45" s="83">
        <v>1.0071099999999999</v>
      </c>
      <c r="BQ45" s="83">
        <v>0.10721799999999999</v>
      </c>
      <c r="BR45" s="83">
        <v>3.5498999999999999E-3</v>
      </c>
      <c r="BS45" s="83">
        <v>1.0278400000000001</v>
      </c>
      <c r="BT45" s="83">
        <v>0.109302</v>
      </c>
      <c r="BU45" s="83">
        <v>3.5498999999999999E-3</v>
      </c>
      <c r="BV45" s="83">
        <v>1.01562</v>
      </c>
      <c r="BW45" s="83">
        <v>0.108209</v>
      </c>
      <c r="BX45" s="83">
        <v>3.5498999999999999E-3</v>
      </c>
      <c r="BY45" s="83">
        <v>0.98735700000000004</v>
      </c>
      <c r="BZ45" s="83">
        <v>0.10523200000000001</v>
      </c>
      <c r="CA45" s="83">
        <v>3.5498999999999999E-3</v>
      </c>
      <c r="CB45" s="83">
        <v>1.0062</v>
      </c>
      <c r="CC45" s="83">
        <v>0.107387</v>
      </c>
      <c r="CD45" s="83">
        <v>3.5498999999999999E-3</v>
      </c>
      <c r="CE45" s="83">
        <v>1.0011099999999999</v>
      </c>
      <c r="CF45" s="83">
        <v>0.106892</v>
      </c>
      <c r="CG45" s="83">
        <v>3.5498999999999999E-3</v>
      </c>
      <c r="CH45" s="83">
        <v>1.0003899999999999</v>
      </c>
      <c r="CI45" s="83">
        <v>0.106892</v>
      </c>
      <c r="CJ45" s="83">
        <v>3.5498999999999999E-3</v>
      </c>
      <c r="CK45" s="83">
        <v>1.01403</v>
      </c>
      <c r="CL45" s="83">
        <v>0.10871699999999999</v>
      </c>
      <c r="CM45" s="83">
        <v>3.5498999999999999E-3</v>
      </c>
      <c r="CN45" s="83">
        <v>1.0144200000000001</v>
      </c>
      <c r="CO45" s="83">
        <v>0.109051</v>
      </c>
      <c r="CP45" s="83">
        <v>3.5498999999999999E-3</v>
      </c>
      <c r="CQ45" s="83">
        <v>0.98079000000000005</v>
      </c>
      <c r="CR45" s="83">
        <v>0.106117</v>
      </c>
      <c r="CS45" s="83">
        <v>3.5498999999999999E-3</v>
      </c>
      <c r="CT45" s="83">
        <v>0.95328100000000004</v>
      </c>
      <c r="CU45" s="83">
        <v>0.104174</v>
      </c>
      <c r="CV45" s="83">
        <v>3.5498999999999999E-3</v>
      </c>
      <c r="CW45" s="83">
        <v>0.98297900000000005</v>
      </c>
      <c r="CX45" s="83">
        <v>0.107916</v>
      </c>
      <c r="CY45" s="83">
        <v>3.5498999999999999E-3</v>
      </c>
      <c r="CZ45" s="83">
        <v>0.99256800000000001</v>
      </c>
      <c r="DA45" s="83">
        <v>0.109606</v>
      </c>
    </row>
    <row r="46" spans="1:105" x14ac:dyDescent="0.2">
      <c r="A46" s="83">
        <v>3.6499000000000002E-3</v>
      </c>
      <c r="B46" s="83">
        <v>0.882131</v>
      </c>
      <c r="C46" s="83">
        <v>9.9147700000000005E-2</v>
      </c>
      <c r="D46" s="83">
        <v>3.6499000000000002E-3</v>
      </c>
      <c r="E46" s="83">
        <v>0.89983900000000006</v>
      </c>
      <c r="F46" s="83">
        <v>9.9625599999999995E-2</v>
      </c>
      <c r="G46" s="83">
        <v>3.6499000000000002E-3</v>
      </c>
      <c r="H46" s="83">
        <v>0.921485</v>
      </c>
      <c r="I46" s="83">
        <v>0.100811</v>
      </c>
      <c r="J46" s="83">
        <v>3.6499000000000002E-3</v>
      </c>
      <c r="K46" s="83">
        <v>0.94506400000000002</v>
      </c>
      <c r="L46" s="83">
        <v>0.102186</v>
      </c>
      <c r="M46" s="83">
        <v>3.6499000000000002E-3</v>
      </c>
      <c r="N46" s="83">
        <v>0.97809000000000001</v>
      </c>
      <c r="O46" s="83">
        <v>0.103878</v>
      </c>
      <c r="P46" s="83">
        <v>3.6499000000000002E-3</v>
      </c>
      <c r="Q46" s="83">
        <v>0.95416900000000004</v>
      </c>
      <c r="R46" s="83">
        <v>0.100729</v>
      </c>
      <c r="S46" s="83">
        <v>3.6499000000000002E-3</v>
      </c>
      <c r="T46" s="83">
        <v>0.96513300000000002</v>
      </c>
      <c r="U46" s="83">
        <v>0.100774</v>
      </c>
      <c r="V46" s="83">
        <v>3.6499000000000002E-3</v>
      </c>
      <c r="W46" s="83">
        <v>0.96147899999999997</v>
      </c>
      <c r="X46" s="83">
        <v>0.100173</v>
      </c>
      <c r="Y46" s="83">
        <v>3.6499000000000002E-3</v>
      </c>
      <c r="Z46" s="83">
        <v>0.96297900000000003</v>
      </c>
      <c r="AA46" s="83">
        <v>0.100373</v>
      </c>
      <c r="AB46" s="83">
        <v>3.6499000000000002E-3</v>
      </c>
      <c r="AC46" s="83">
        <v>0.95908800000000005</v>
      </c>
      <c r="AD46" s="83">
        <v>9.9951399999999996E-2</v>
      </c>
      <c r="AE46" s="83">
        <v>3.6499000000000002E-3</v>
      </c>
      <c r="AF46" s="83">
        <v>0.95439099999999999</v>
      </c>
      <c r="AG46" s="83">
        <v>9.9371699999999993E-2</v>
      </c>
      <c r="AH46" s="83">
        <v>3.6499000000000002E-3</v>
      </c>
      <c r="AI46" s="83">
        <v>0.974638</v>
      </c>
      <c r="AJ46" s="83">
        <v>0.10181800000000001</v>
      </c>
      <c r="AK46" s="83">
        <v>3.6499000000000002E-3</v>
      </c>
      <c r="AL46" s="83">
        <v>1.00214</v>
      </c>
      <c r="AM46" s="83">
        <v>0.104755</v>
      </c>
      <c r="AN46" s="83">
        <v>3.6499000000000002E-3</v>
      </c>
      <c r="AO46" s="83">
        <v>0.95271899999999998</v>
      </c>
      <c r="AP46" s="83">
        <v>9.9675399999999997E-2</v>
      </c>
      <c r="AQ46" s="83">
        <v>3.6499000000000002E-3</v>
      </c>
      <c r="AR46" s="83">
        <v>0.94892600000000005</v>
      </c>
      <c r="AS46" s="83">
        <v>9.9514000000000005E-2</v>
      </c>
      <c r="AT46" s="83">
        <v>3.6499000000000002E-3</v>
      </c>
      <c r="AU46" s="83">
        <v>0.97144399999999997</v>
      </c>
      <c r="AV46" s="83">
        <v>0.101815</v>
      </c>
      <c r="AW46" s="83">
        <v>3.6499000000000002E-3</v>
      </c>
      <c r="AX46" s="83">
        <v>0.97850999999999999</v>
      </c>
      <c r="AY46" s="83">
        <v>0.10299700000000001</v>
      </c>
      <c r="AZ46" s="83">
        <v>3.6499000000000002E-3</v>
      </c>
      <c r="BA46" s="83">
        <v>0.98068</v>
      </c>
      <c r="BB46" s="83">
        <v>0.10338700000000001</v>
      </c>
      <c r="BC46" s="83">
        <v>3.6499000000000002E-3</v>
      </c>
      <c r="BD46" s="83">
        <v>0.985483</v>
      </c>
      <c r="BE46" s="83">
        <v>0.103959</v>
      </c>
      <c r="BF46" s="83">
        <v>3.6499000000000002E-3</v>
      </c>
      <c r="BG46" s="83">
        <v>0.96794599999999997</v>
      </c>
      <c r="BH46" s="83">
        <v>0.102425</v>
      </c>
      <c r="BI46" s="83">
        <v>3.6499000000000002E-3</v>
      </c>
      <c r="BJ46" s="83">
        <v>0.96778500000000001</v>
      </c>
      <c r="BK46" s="83">
        <v>0.102726</v>
      </c>
      <c r="BL46" s="83">
        <v>3.6499000000000002E-3</v>
      </c>
      <c r="BM46" s="83">
        <v>0.96199500000000004</v>
      </c>
      <c r="BN46" s="83">
        <v>0.10223599999999999</v>
      </c>
      <c r="BO46" s="83">
        <v>3.6499000000000002E-3</v>
      </c>
      <c r="BP46" s="83">
        <v>0.956094</v>
      </c>
      <c r="BQ46" s="83">
        <v>0.101767</v>
      </c>
      <c r="BR46" s="83">
        <v>3.6499000000000002E-3</v>
      </c>
      <c r="BS46" s="83">
        <v>0.975244</v>
      </c>
      <c r="BT46" s="83">
        <v>0.103688</v>
      </c>
      <c r="BU46" s="83">
        <v>3.6499000000000002E-3</v>
      </c>
      <c r="BV46" s="83">
        <v>0.96326900000000004</v>
      </c>
      <c r="BW46" s="83">
        <v>0.102691</v>
      </c>
      <c r="BX46" s="83">
        <v>3.6499000000000002E-3</v>
      </c>
      <c r="BY46" s="83">
        <v>0.93601500000000004</v>
      </c>
      <c r="BZ46" s="83">
        <v>9.9887799999999999E-2</v>
      </c>
      <c r="CA46" s="83">
        <v>3.6499000000000002E-3</v>
      </c>
      <c r="CB46" s="83">
        <v>0.95368900000000001</v>
      </c>
      <c r="CC46" s="83">
        <v>0.10188700000000001</v>
      </c>
      <c r="CD46" s="83">
        <v>3.6499000000000002E-3</v>
      </c>
      <c r="CE46" s="83">
        <v>0.94822200000000001</v>
      </c>
      <c r="CF46" s="83">
        <v>0.10144</v>
      </c>
      <c r="CG46" s="83">
        <v>3.6499000000000002E-3</v>
      </c>
      <c r="CH46" s="83">
        <v>0.94713000000000003</v>
      </c>
      <c r="CI46" s="83">
        <v>0.101477</v>
      </c>
      <c r="CJ46" s="83">
        <v>3.6499000000000002E-3</v>
      </c>
      <c r="CK46" s="83">
        <v>0.96002399999999999</v>
      </c>
      <c r="CL46" s="83">
        <v>0.103135</v>
      </c>
      <c r="CM46" s="83">
        <v>3.6499000000000002E-3</v>
      </c>
      <c r="CN46" s="83">
        <v>0.96014900000000003</v>
      </c>
      <c r="CO46" s="83">
        <v>0.103487</v>
      </c>
      <c r="CP46" s="83">
        <v>3.6499000000000002E-3</v>
      </c>
      <c r="CQ46" s="83">
        <v>0.92768899999999999</v>
      </c>
      <c r="CR46" s="83">
        <v>0.100684</v>
      </c>
      <c r="CS46" s="83">
        <v>3.6499000000000002E-3</v>
      </c>
      <c r="CT46" s="83">
        <v>0.90083999999999997</v>
      </c>
      <c r="CU46" s="83">
        <v>9.8905800000000002E-2</v>
      </c>
      <c r="CV46" s="83">
        <v>3.6499000000000002E-3</v>
      </c>
      <c r="CW46" s="83">
        <v>0.92850699999999997</v>
      </c>
      <c r="CX46" s="83">
        <v>0.10238899999999999</v>
      </c>
      <c r="CY46" s="83">
        <v>3.6499000000000002E-3</v>
      </c>
      <c r="CZ46" s="83">
        <v>0.93739700000000004</v>
      </c>
      <c r="DA46" s="83">
        <v>0.103992</v>
      </c>
    </row>
    <row r="47" spans="1:105" x14ac:dyDescent="0.2">
      <c r="A47" s="83">
        <v>3.7499E-3</v>
      </c>
      <c r="B47" s="83">
        <v>0.84274099999999996</v>
      </c>
      <c r="C47" s="83">
        <v>9.4193600000000002E-2</v>
      </c>
      <c r="D47" s="83">
        <v>3.7499E-3</v>
      </c>
      <c r="E47" s="83">
        <v>0.85930200000000001</v>
      </c>
      <c r="F47" s="83">
        <v>9.4604099999999997E-2</v>
      </c>
      <c r="G47" s="83">
        <v>3.7499E-3</v>
      </c>
      <c r="H47" s="83">
        <v>0.88002999999999998</v>
      </c>
      <c r="I47" s="83">
        <v>9.5739099999999994E-2</v>
      </c>
      <c r="J47" s="83">
        <v>3.7499E-3</v>
      </c>
      <c r="K47" s="83">
        <v>0.90216399999999997</v>
      </c>
      <c r="L47" s="83">
        <v>9.7041600000000006E-2</v>
      </c>
      <c r="M47" s="83">
        <v>3.7499E-3</v>
      </c>
      <c r="N47" s="83">
        <v>0.93362199999999995</v>
      </c>
      <c r="O47" s="83">
        <v>9.8605600000000002E-2</v>
      </c>
      <c r="P47" s="83">
        <v>3.7499E-3</v>
      </c>
      <c r="Q47" s="83">
        <v>0.91051700000000002</v>
      </c>
      <c r="R47" s="83">
        <v>9.5705799999999994E-2</v>
      </c>
      <c r="S47" s="83">
        <v>3.7499E-3</v>
      </c>
      <c r="T47" s="83">
        <v>0.92103599999999997</v>
      </c>
      <c r="U47" s="83">
        <v>9.5673099999999997E-2</v>
      </c>
      <c r="V47" s="83">
        <v>3.7499E-3</v>
      </c>
      <c r="W47" s="83">
        <v>0.91740200000000005</v>
      </c>
      <c r="X47" s="83">
        <v>9.5139100000000004E-2</v>
      </c>
      <c r="Y47" s="83">
        <v>3.7499E-3</v>
      </c>
      <c r="Z47" s="83">
        <v>0.91819899999999999</v>
      </c>
      <c r="AA47" s="83">
        <v>9.5380900000000005E-2</v>
      </c>
      <c r="AB47" s="83">
        <v>3.7499E-3</v>
      </c>
      <c r="AC47" s="83">
        <v>0.91401900000000003</v>
      </c>
      <c r="AD47" s="83">
        <v>9.4920199999999996E-2</v>
      </c>
      <c r="AE47" s="83">
        <v>3.7499E-3</v>
      </c>
      <c r="AF47" s="83">
        <v>0.90918600000000005</v>
      </c>
      <c r="AG47" s="83">
        <v>9.4379500000000005E-2</v>
      </c>
      <c r="AH47" s="83">
        <v>3.7499E-3</v>
      </c>
      <c r="AI47" s="83">
        <v>0.92857299999999998</v>
      </c>
      <c r="AJ47" s="83">
        <v>9.6698400000000004E-2</v>
      </c>
      <c r="AK47" s="83">
        <v>3.7499E-3</v>
      </c>
      <c r="AL47" s="83">
        <v>0.95481799999999994</v>
      </c>
      <c r="AM47" s="83">
        <v>9.9443599999999993E-2</v>
      </c>
      <c r="AN47" s="83">
        <v>3.7499E-3</v>
      </c>
      <c r="AO47" s="83">
        <v>0.90721099999999999</v>
      </c>
      <c r="AP47" s="83">
        <v>9.4669500000000004E-2</v>
      </c>
      <c r="AQ47" s="83">
        <v>3.7499E-3</v>
      </c>
      <c r="AR47" s="83">
        <v>0.90284200000000003</v>
      </c>
      <c r="AS47" s="83">
        <v>9.4535499999999995E-2</v>
      </c>
      <c r="AT47" s="83">
        <v>3.7499E-3</v>
      </c>
      <c r="AU47" s="83">
        <v>0.92427099999999995</v>
      </c>
      <c r="AV47" s="83">
        <v>9.6667699999999995E-2</v>
      </c>
      <c r="AW47" s="83">
        <v>3.7499E-3</v>
      </c>
      <c r="AX47" s="83">
        <v>0.93157199999999996</v>
      </c>
      <c r="AY47" s="83">
        <v>9.7805400000000001E-2</v>
      </c>
      <c r="AZ47" s="83">
        <v>3.7499E-3</v>
      </c>
      <c r="BA47" s="83">
        <v>0.93220899999999995</v>
      </c>
      <c r="BB47" s="83">
        <v>9.8151199999999994E-2</v>
      </c>
      <c r="BC47" s="83">
        <v>3.7499E-3</v>
      </c>
      <c r="BD47" s="83">
        <v>0.93631799999999998</v>
      </c>
      <c r="BE47" s="83">
        <v>9.8705100000000004E-2</v>
      </c>
      <c r="BF47" s="83">
        <v>3.7499E-3</v>
      </c>
      <c r="BG47" s="83">
        <v>0.91962500000000003</v>
      </c>
      <c r="BH47" s="83">
        <v>9.7265000000000004E-2</v>
      </c>
      <c r="BI47" s="83">
        <v>3.7499E-3</v>
      </c>
      <c r="BJ47" s="83">
        <v>0.91971400000000003</v>
      </c>
      <c r="BK47" s="83">
        <v>9.7561200000000001E-2</v>
      </c>
      <c r="BL47" s="83">
        <v>3.7499E-3</v>
      </c>
      <c r="BM47" s="83">
        <v>0.91288400000000003</v>
      </c>
      <c r="BN47" s="83">
        <v>9.7085000000000005E-2</v>
      </c>
      <c r="BO47" s="83">
        <v>3.7499E-3</v>
      </c>
      <c r="BP47" s="83">
        <v>0.90687099999999998</v>
      </c>
      <c r="BQ47" s="83">
        <v>9.6627699999999997E-2</v>
      </c>
      <c r="BR47" s="83">
        <v>3.7499E-3</v>
      </c>
      <c r="BS47" s="83">
        <v>0.92503899999999994</v>
      </c>
      <c r="BT47" s="83">
        <v>9.8469000000000001E-2</v>
      </c>
      <c r="BU47" s="83">
        <v>3.7499E-3</v>
      </c>
      <c r="BV47" s="83">
        <v>0.91348799999999997</v>
      </c>
      <c r="BW47" s="83">
        <v>9.7500299999999998E-2</v>
      </c>
      <c r="BX47" s="83">
        <v>3.7499E-3</v>
      </c>
      <c r="BY47" s="83">
        <v>0.88746000000000003</v>
      </c>
      <c r="BZ47" s="83">
        <v>9.4900499999999999E-2</v>
      </c>
      <c r="CA47" s="83">
        <v>3.7499E-3</v>
      </c>
      <c r="CB47" s="83">
        <v>0.90356700000000001</v>
      </c>
      <c r="CC47" s="83">
        <v>9.6732899999999997E-2</v>
      </c>
      <c r="CD47" s="83">
        <v>3.7499E-3</v>
      </c>
      <c r="CE47" s="83">
        <v>0.89823600000000003</v>
      </c>
      <c r="CF47" s="83">
        <v>9.6324999999999994E-2</v>
      </c>
      <c r="CG47" s="83">
        <v>3.7499E-3</v>
      </c>
      <c r="CH47" s="83">
        <v>0.89643700000000004</v>
      </c>
      <c r="CI47" s="83">
        <v>9.6317200000000006E-2</v>
      </c>
      <c r="CJ47" s="83">
        <v>3.7499E-3</v>
      </c>
      <c r="CK47" s="83">
        <v>0.90866199999999997</v>
      </c>
      <c r="CL47" s="83">
        <v>9.7917299999999999E-2</v>
      </c>
      <c r="CM47" s="83">
        <v>3.7499E-3</v>
      </c>
      <c r="CN47" s="83">
        <v>0.90795199999999998</v>
      </c>
      <c r="CO47" s="83">
        <v>9.82122E-2</v>
      </c>
      <c r="CP47" s="83">
        <v>3.7499E-3</v>
      </c>
      <c r="CQ47" s="83">
        <v>0.876444</v>
      </c>
      <c r="CR47" s="83">
        <v>9.5589300000000002E-2</v>
      </c>
      <c r="CS47" s="83">
        <v>3.7499E-3</v>
      </c>
      <c r="CT47" s="83">
        <v>0.85137700000000005</v>
      </c>
      <c r="CU47" s="83">
        <v>9.3967400000000006E-2</v>
      </c>
      <c r="CV47" s="83">
        <v>3.7499E-3</v>
      </c>
      <c r="CW47" s="83">
        <v>0.87720299999999995</v>
      </c>
      <c r="CX47" s="83">
        <v>9.7207299999999996E-2</v>
      </c>
      <c r="CY47" s="83">
        <v>3.7499E-3</v>
      </c>
      <c r="CZ47" s="83">
        <v>0.88542500000000002</v>
      </c>
      <c r="DA47" s="83">
        <v>9.8717899999999997E-2</v>
      </c>
    </row>
    <row r="48" spans="1:105" x14ac:dyDescent="0.2">
      <c r="A48" s="83">
        <v>3.8498999999999999E-3</v>
      </c>
      <c r="B48" s="83">
        <v>0.80457699999999999</v>
      </c>
      <c r="C48" s="83">
        <v>8.9382100000000006E-2</v>
      </c>
      <c r="D48" s="83">
        <v>3.8498999999999999E-3</v>
      </c>
      <c r="E48" s="83">
        <v>0.82011199999999995</v>
      </c>
      <c r="F48" s="83">
        <v>8.9770100000000005E-2</v>
      </c>
      <c r="G48" s="83">
        <v>3.8498999999999999E-3</v>
      </c>
      <c r="H48" s="83">
        <v>0.83971799999999996</v>
      </c>
      <c r="I48" s="83">
        <v>9.0861200000000003E-2</v>
      </c>
      <c r="J48" s="83">
        <v>3.8498999999999999E-3</v>
      </c>
      <c r="K48" s="83">
        <v>0.86045000000000005</v>
      </c>
      <c r="L48" s="83">
        <v>9.2126600000000003E-2</v>
      </c>
      <c r="M48" s="83">
        <v>3.8498999999999999E-3</v>
      </c>
      <c r="N48" s="83">
        <v>0.89097599999999999</v>
      </c>
      <c r="O48" s="83">
        <v>9.3640699999999993E-2</v>
      </c>
      <c r="P48" s="83">
        <v>3.8498999999999999E-3</v>
      </c>
      <c r="Q48" s="83">
        <v>0.86909099999999995</v>
      </c>
      <c r="R48" s="83">
        <v>9.0842500000000007E-2</v>
      </c>
      <c r="S48" s="83">
        <v>3.8498999999999999E-3</v>
      </c>
      <c r="T48" s="83">
        <v>0.87864399999999998</v>
      </c>
      <c r="U48" s="83">
        <v>9.0815699999999999E-2</v>
      </c>
      <c r="V48" s="83">
        <v>3.8498999999999999E-3</v>
      </c>
      <c r="W48" s="83">
        <v>0.87452099999999999</v>
      </c>
      <c r="X48" s="83">
        <v>9.0307999999999999E-2</v>
      </c>
      <c r="Y48" s="83">
        <v>3.8498999999999999E-3</v>
      </c>
      <c r="Z48" s="83">
        <v>0.87519599999999997</v>
      </c>
      <c r="AA48" s="83">
        <v>9.0525400000000006E-2</v>
      </c>
      <c r="AB48" s="83">
        <v>3.8498999999999999E-3</v>
      </c>
      <c r="AC48" s="83">
        <v>0.87067499999999998</v>
      </c>
      <c r="AD48" s="83">
        <v>9.0094999999999995E-2</v>
      </c>
      <c r="AE48" s="83">
        <v>3.8498999999999999E-3</v>
      </c>
      <c r="AF48" s="83">
        <v>0.86590999999999996</v>
      </c>
      <c r="AG48" s="83">
        <v>8.9585499999999998E-2</v>
      </c>
      <c r="AH48" s="83">
        <v>3.8498999999999999E-3</v>
      </c>
      <c r="AI48" s="83">
        <v>0.884413</v>
      </c>
      <c r="AJ48" s="83">
        <v>9.1843900000000006E-2</v>
      </c>
      <c r="AK48" s="83">
        <v>3.8498999999999999E-3</v>
      </c>
      <c r="AL48" s="83">
        <v>0.90891</v>
      </c>
      <c r="AM48" s="83">
        <v>9.4485600000000003E-2</v>
      </c>
      <c r="AN48" s="83">
        <v>3.8498999999999999E-3</v>
      </c>
      <c r="AO48" s="83">
        <v>0.86305100000000001</v>
      </c>
      <c r="AP48" s="83">
        <v>8.9850200000000005E-2</v>
      </c>
      <c r="AQ48" s="83">
        <v>3.8498999999999999E-3</v>
      </c>
      <c r="AR48" s="83">
        <v>0.85868699999999998</v>
      </c>
      <c r="AS48" s="83">
        <v>8.9723999999999998E-2</v>
      </c>
      <c r="AT48" s="83">
        <v>3.8498999999999999E-3</v>
      </c>
      <c r="AU48" s="83">
        <v>0.87905199999999994</v>
      </c>
      <c r="AV48" s="83">
        <v>9.1822000000000001E-2</v>
      </c>
      <c r="AW48" s="83">
        <v>3.8498999999999999E-3</v>
      </c>
      <c r="AX48" s="83">
        <v>0.88531199999999999</v>
      </c>
      <c r="AY48" s="83">
        <v>9.2899200000000001E-2</v>
      </c>
      <c r="AZ48" s="83">
        <v>3.8498999999999999E-3</v>
      </c>
      <c r="BA48" s="83">
        <v>0.88633499999999998</v>
      </c>
      <c r="BB48" s="83">
        <v>9.3262499999999998E-2</v>
      </c>
      <c r="BC48" s="83">
        <v>3.8498999999999999E-3</v>
      </c>
      <c r="BD48" s="83">
        <v>0.88962799999999997</v>
      </c>
      <c r="BE48" s="83">
        <v>9.3748999999999999E-2</v>
      </c>
      <c r="BF48" s="83">
        <v>3.8498999999999999E-3</v>
      </c>
      <c r="BG48" s="83">
        <v>0.87316499999999997</v>
      </c>
      <c r="BH48" s="83">
        <v>9.2371499999999995E-2</v>
      </c>
      <c r="BI48" s="83">
        <v>3.8498999999999999E-3</v>
      </c>
      <c r="BJ48" s="83">
        <v>0.87308799999999998</v>
      </c>
      <c r="BK48" s="83">
        <v>9.2685199999999995E-2</v>
      </c>
      <c r="BL48" s="83">
        <v>3.8498999999999999E-3</v>
      </c>
      <c r="BM48" s="83">
        <v>0.86668299999999998</v>
      </c>
      <c r="BN48" s="83">
        <v>9.2218800000000004E-2</v>
      </c>
      <c r="BO48" s="83">
        <v>3.8498999999999999E-3</v>
      </c>
      <c r="BP48" s="83">
        <v>0.86065000000000003</v>
      </c>
      <c r="BQ48" s="83">
        <v>9.1737100000000002E-2</v>
      </c>
      <c r="BR48" s="83">
        <v>3.8498999999999999E-3</v>
      </c>
      <c r="BS48" s="83">
        <v>0.87742600000000004</v>
      </c>
      <c r="BT48" s="83">
        <v>9.3529600000000004E-2</v>
      </c>
      <c r="BU48" s="83">
        <v>3.8498999999999999E-3</v>
      </c>
      <c r="BV48" s="83">
        <v>0.86595900000000003</v>
      </c>
      <c r="BW48" s="83">
        <v>9.2588199999999996E-2</v>
      </c>
      <c r="BX48" s="83">
        <v>3.8498999999999999E-3</v>
      </c>
      <c r="BY48" s="83">
        <v>0.84082400000000002</v>
      </c>
      <c r="BZ48" s="83">
        <v>9.0056700000000003E-2</v>
      </c>
      <c r="CA48" s="83">
        <v>3.8498999999999999E-3</v>
      </c>
      <c r="CB48" s="83">
        <v>0.855711</v>
      </c>
      <c r="CC48" s="83">
        <v>9.1866699999999996E-2</v>
      </c>
      <c r="CD48" s="83">
        <v>3.8498999999999999E-3</v>
      </c>
      <c r="CE48" s="83">
        <v>0.85006300000000001</v>
      </c>
      <c r="CF48" s="83">
        <v>9.1415800000000005E-2</v>
      </c>
      <c r="CG48" s="83">
        <v>3.8498999999999999E-3</v>
      </c>
      <c r="CH48" s="83">
        <v>0.84847300000000003</v>
      </c>
      <c r="CI48" s="83">
        <v>9.1453900000000005E-2</v>
      </c>
      <c r="CJ48" s="83">
        <v>3.8498999999999999E-3</v>
      </c>
      <c r="CK48" s="83">
        <v>0.85967700000000002</v>
      </c>
      <c r="CL48" s="83">
        <v>9.2996400000000007E-2</v>
      </c>
      <c r="CM48" s="83">
        <v>3.8498999999999999E-3</v>
      </c>
      <c r="CN48" s="83">
        <v>0.85903600000000002</v>
      </c>
      <c r="CO48" s="83">
        <v>9.3306899999999998E-2</v>
      </c>
      <c r="CP48" s="83">
        <v>3.8498999999999999E-3</v>
      </c>
      <c r="CQ48" s="83">
        <v>0.82802600000000004</v>
      </c>
      <c r="CR48" s="83">
        <v>9.0708499999999997E-2</v>
      </c>
      <c r="CS48" s="83">
        <v>3.8498999999999999E-3</v>
      </c>
      <c r="CT48" s="83">
        <v>0.80457500000000004</v>
      </c>
      <c r="CU48" s="83">
        <v>8.9195899999999995E-2</v>
      </c>
      <c r="CV48" s="83">
        <v>3.8498999999999999E-3</v>
      </c>
      <c r="CW48" s="83">
        <v>0.82794999999999996</v>
      </c>
      <c r="CX48" s="83">
        <v>9.2300099999999996E-2</v>
      </c>
      <c r="CY48" s="83">
        <v>3.8498999999999999E-3</v>
      </c>
      <c r="CZ48" s="83">
        <v>0.83552199999999999</v>
      </c>
      <c r="DA48" s="83">
        <v>9.3749100000000002E-2</v>
      </c>
    </row>
    <row r="49" spans="1:105" x14ac:dyDescent="0.2">
      <c r="A49" s="83">
        <v>3.9499000000000001E-3</v>
      </c>
      <c r="B49" s="83">
        <v>0.76775599999999999</v>
      </c>
      <c r="C49" s="83">
        <v>8.4844900000000001E-2</v>
      </c>
      <c r="D49" s="83">
        <v>3.9499000000000001E-3</v>
      </c>
      <c r="E49" s="83">
        <v>0.78269100000000003</v>
      </c>
      <c r="F49" s="83">
        <v>8.5228100000000001E-2</v>
      </c>
      <c r="G49" s="83">
        <v>3.9499000000000001E-3</v>
      </c>
      <c r="H49" s="83">
        <v>0.80128500000000003</v>
      </c>
      <c r="I49" s="83">
        <v>8.6262599999999995E-2</v>
      </c>
      <c r="J49" s="83">
        <v>3.9499000000000001E-3</v>
      </c>
      <c r="K49" s="83">
        <v>0.82093300000000002</v>
      </c>
      <c r="L49" s="83">
        <v>8.7451799999999996E-2</v>
      </c>
      <c r="M49" s="83">
        <v>3.9499000000000001E-3</v>
      </c>
      <c r="N49" s="83">
        <v>0.85036599999999996</v>
      </c>
      <c r="O49" s="83">
        <v>8.8873199999999999E-2</v>
      </c>
      <c r="P49" s="83">
        <v>3.9499000000000001E-3</v>
      </c>
      <c r="Q49" s="83">
        <v>0.82876399999999995</v>
      </c>
      <c r="R49" s="83">
        <v>8.6251700000000001E-2</v>
      </c>
      <c r="S49" s="83">
        <v>3.9499000000000001E-3</v>
      </c>
      <c r="T49" s="83">
        <v>0.83753999999999995</v>
      </c>
      <c r="U49" s="83">
        <v>8.6239499999999997E-2</v>
      </c>
      <c r="V49" s="83">
        <v>3.9499000000000001E-3</v>
      </c>
      <c r="W49" s="83">
        <v>0.83325099999999996</v>
      </c>
      <c r="X49" s="83">
        <v>8.5762099999999994E-2</v>
      </c>
      <c r="Y49" s="83">
        <v>3.9499000000000001E-3</v>
      </c>
      <c r="Z49" s="83">
        <v>0.83440499999999995</v>
      </c>
      <c r="AA49" s="83">
        <v>8.6003899999999994E-2</v>
      </c>
      <c r="AB49" s="83">
        <v>3.9499000000000001E-3</v>
      </c>
      <c r="AC49" s="83">
        <v>0.82926800000000001</v>
      </c>
      <c r="AD49" s="83">
        <v>8.5590100000000002E-2</v>
      </c>
      <c r="AE49" s="83">
        <v>3.9499000000000001E-3</v>
      </c>
      <c r="AF49" s="83">
        <v>0.82420499999999997</v>
      </c>
      <c r="AG49" s="83">
        <v>8.50601E-2</v>
      </c>
      <c r="AH49" s="83">
        <v>3.9499000000000001E-3</v>
      </c>
      <c r="AI49" s="83">
        <v>0.84157099999999996</v>
      </c>
      <c r="AJ49" s="83">
        <v>8.7192500000000006E-2</v>
      </c>
      <c r="AK49" s="83">
        <v>3.9499000000000001E-3</v>
      </c>
      <c r="AL49" s="83">
        <v>0.86548700000000001</v>
      </c>
      <c r="AM49" s="83">
        <v>8.96956E-2</v>
      </c>
      <c r="AN49" s="83">
        <v>3.9499000000000001E-3</v>
      </c>
      <c r="AO49" s="83">
        <v>0.82114100000000001</v>
      </c>
      <c r="AP49" s="83">
        <v>8.5350200000000001E-2</v>
      </c>
      <c r="AQ49" s="83">
        <v>3.9499000000000001E-3</v>
      </c>
      <c r="AR49" s="83">
        <v>0.81664099999999995</v>
      </c>
      <c r="AS49" s="83">
        <v>8.5225899999999993E-2</v>
      </c>
      <c r="AT49" s="83">
        <v>3.9499000000000001E-3</v>
      </c>
      <c r="AU49" s="83">
        <v>0.835951</v>
      </c>
      <c r="AV49" s="83">
        <v>8.7147199999999994E-2</v>
      </c>
      <c r="AW49" s="83">
        <v>3.9499000000000001E-3</v>
      </c>
      <c r="AX49" s="83">
        <v>0.841611</v>
      </c>
      <c r="AY49" s="83">
        <v>8.8173600000000005E-2</v>
      </c>
      <c r="AZ49" s="83">
        <v>3.9499000000000001E-3</v>
      </c>
      <c r="BA49" s="83">
        <v>0.84199900000000005</v>
      </c>
      <c r="BB49" s="83">
        <v>8.8516399999999995E-2</v>
      </c>
      <c r="BC49" s="83">
        <v>3.9499000000000001E-3</v>
      </c>
      <c r="BD49" s="83">
        <v>0.84509199999999995</v>
      </c>
      <c r="BE49" s="83">
        <v>8.8982400000000003E-2</v>
      </c>
      <c r="BF49" s="83">
        <v>3.9499000000000001E-3</v>
      </c>
      <c r="BG49" s="83">
        <v>0.82873200000000002</v>
      </c>
      <c r="BH49" s="83">
        <v>8.7662500000000004E-2</v>
      </c>
      <c r="BI49" s="83">
        <v>3.9499000000000001E-3</v>
      </c>
      <c r="BJ49" s="83">
        <v>0.82890799999999998</v>
      </c>
      <c r="BK49" s="83">
        <v>8.8014300000000004E-2</v>
      </c>
      <c r="BL49" s="83">
        <v>3.9499000000000001E-3</v>
      </c>
      <c r="BM49" s="83">
        <v>0.82226399999999999</v>
      </c>
      <c r="BN49" s="83">
        <v>8.7556700000000001E-2</v>
      </c>
      <c r="BO49" s="83">
        <v>3.9499000000000001E-3</v>
      </c>
      <c r="BP49" s="83">
        <v>0.81569899999999995</v>
      </c>
      <c r="BQ49" s="83">
        <v>8.7108099999999994E-2</v>
      </c>
      <c r="BR49" s="83">
        <v>3.9499000000000001E-3</v>
      </c>
      <c r="BS49" s="83">
        <v>0.83156200000000002</v>
      </c>
      <c r="BT49" s="83">
        <v>8.8792300000000005E-2</v>
      </c>
      <c r="BU49" s="83">
        <v>3.9499000000000001E-3</v>
      </c>
      <c r="BV49" s="83">
        <v>0.82055400000000001</v>
      </c>
      <c r="BW49" s="83">
        <v>8.7906600000000001E-2</v>
      </c>
      <c r="BX49" s="83">
        <v>3.9499000000000001E-3</v>
      </c>
      <c r="BY49" s="83">
        <v>0.79631200000000002</v>
      </c>
      <c r="BZ49" s="83">
        <v>8.5563500000000001E-2</v>
      </c>
      <c r="CA49" s="83">
        <v>3.9499000000000001E-3</v>
      </c>
      <c r="CB49" s="83">
        <v>0.81040800000000002</v>
      </c>
      <c r="CC49" s="83">
        <v>8.7178199999999997E-2</v>
      </c>
      <c r="CD49" s="83">
        <v>3.9499000000000001E-3</v>
      </c>
      <c r="CE49" s="83">
        <v>0.80435000000000001</v>
      </c>
      <c r="CF49" s="83">
        <v>8.6807400000000007E-2</v>
      </c>
      <c r="CG49" s="83">
        <v>3.9499000000000001E-3</v>
      </c>
      <c r="CH49" s="83">
        <v>0.80295499999999997</v>
      </c>
      <c r="CI49" s="83">
        <v>8.6805499999999994E-2</v>
      </c>
      <c r="CJ49" s="83">
        <v>3.9499000000000001E-3</v>
      </c>
      <c r="CK49" s="83">
        <v>0.81254800000000005</v>
      </c>
      <c r="CL49" s="83">
        <v>8.8273799999999999E-2</v>
      </c>
      <c r="CM49" s="83">
        <v>3.9499000000000001E-3</v>
      </c>
      <c r="CN49" s="83">
        <v>0.81183300000000003</v>
      </c>
      <c r="CO49" s="83">
        <v>8.8543200000000002E-2</v>
      </c>
      <c r="CP49" s="83">
        <v>3.9499000000000001E-3</v>
      </c>
      <c r="CQ49" s="83">
        <v>0.78228900000000001</v>
      </c>
      <c r="CR49" s="83">
        <v>8.6146899999999998E-2</v>
      </c>
      <c r="CS49" s="83">
        <v>3.9499000000000001E-3</v>
      </c>
      <c r="CT49" s="83">
        <v>0.75980899999999996</v>
      </c>
      <c r="CU49" s="83">
        <v>8.4739800000000004E-2</v>
      </c>
      <c r="CV49" s="83">
        <v>3.9499000000000001E-3</v>
      </c>
      <c r="CW49" s="83">
        <v>0.78171000000000002</v>
      </c>
      <c r="CX49" s="83">
        <v>8.7615499999999999E-2</v>
      </c>
      <c r="CY49" s="83">
        <v>3.9499000000000001E-3</v>
      </c>
      <c r="CZ49" s="83">
        <v>0.788076</v>
      </c>
      <c r="DA49" s="83">
        <v>8.8976600000000003E-2</v>
      </c>
    </row>
    <row r="50" spans="1:105" x14ac:dyDescent="0.2">
      <c r="A50" s="83">
        <v>4.0499000000000004E-3</v>
      </c>
      <c r="B50" s="83">
        <v>0.73271200000000003</v>
      </c>
      <c r="C50" s="83">
        <v>8.06008E-2</v>
      </c>
      <c r="D50" s="83">
        <v>4.0499000000000004E-3</v>
      </c>
      <c r="E50" s="83">
        <v>0.74669399999999997</v>
      </c>
      <c r="F50" s="83">
        <v>8.0901899999999999E-2</v>
      </c>
      <c r="G50" s="83">
        <v>4.0499000000000004E-3</v>
      </c>
      <c r="H50" s="83">
        <v>0.76376999999999995</v>
      </c>
      <c r="I50" s="83">
        <v>8.19159E-2</v>
      </c>
      <c r="J50" s="83">
        <v>4.0499000000000004E-3</v>
      </c>
      <c r="K50" s="83">
        <v>0.78338399999999997</v>
      </c>
      <c r="L50" s="83">
        <v>8.3080699999999993E-2</v>
      </c>
      <c r="M50" s="83">
        <v>4.0499000000000004E-3</v>
      </c>
      <c r="N50" s="83">
        <v>0.81066800000000006</v>
      </c>
      <c r="O50" s="83">
        <v>8.4408300000000006E-2</v>
      </c>
      <c r="P50" s="83">
        <v>4.0499000000000004E-3</v>
      </c>
      <c r="Q50" s="83">
        <v>0.78965300000000005</v>
      </c>
      <c r="R50" s="83">
        <v>8.19246E-2</v>
      </c>
      <c r="S50" s="83">
        <v>4.0499000000000004E-3</v>
      </c>
      <c r="T50" s="83">
        <v>0.79802799999999996</v>
      </c>
      <c r="U50" s="83">
        <v>8.1902600000000006E-2</v>
      </c>
      <c r="V50" s="83">
        <v>4.0499000000000004E-3</v>
      </c>
      <c r="W50" s="83">
        <v>0.794462</v>
      </c>
      <c r="X50" s="83">
        <v>8.1462300000000001E-2</v>
      </c>
      <c r="Y50" s="83">
        <v>4.0499000000000004E-3</v>
      </c>
      <c r="Z50" s="83">
        <v>0.79481000000000002</v>
      </c>
      <c r="AA50" s="83">
        <v>8.1717799999999993E-2</v>
      </c>
      <c r="AB50" s="83">
        <v>4.0499000000000004E-3</v>
      </c>
      <c r="AC50" s="83">
        <v>0.78939999999999999</v>
      </c>
      <c r="AD50" s="83">
        <v>8.1277600000000005E-2</v>
      </c>
      <c r="AE50" s="83">
        <v>4.0499000000000004E-3</v>
      </c>
      <c r="AF50" s="83">
        <v>0.78481599999999996</v>
      </c>
      <c r="AG50" s="83">
        <v>8.0807199999999996E-2</v>
      </c>
      <c r="AH50" s="83">
        <v>4.0499000000000004E-3</v>
      </c>
      <c r="AI50" s="83">
        <v>0.80135199999999995</v>
      </c>
      <c r="AJ50" s="83">
        <v>8.2834099999999994E-2</v>
      </c>
      <c r="AK50" s="83">
        <v>4.0499000000000004E-3</v>
      </c>
      <c r="AL50" s="83">
        <v>0.82343100000000002</v>
      </c>
      <c r="AM50" s="83">
        <v>8.5194599999999995E-2</v>
      </c>
      <c r="AN50" s="83">
        <v>4.0499000000000004E-3</v>
      </c>
      <c r="AO50" s="83">
        <v>0.78085300000000002</v>
      </c>
      <c r="AP50" s="83">
        <v>8.1076700000000002E-2</v>
      </c>
      <c r="AQ50" s="83">
        <v>4.0499000000000004E-3</v>
      </c>
      <c r="AR50" s="83">
        <v>0.77617700000000001</v>
      </c>
      <c r="AS50" s="83">
        <v>8.0975000000000005E-2</v>
      </c>
      <c r="AT50" s="83">
        <v>4.0499000000000004E-3</v>
      </c>
      <c r="AU50" s="83">
        <v>0.79427599999999998</v>
      </c>
      <c r="AV50" s="83">
        <v>8.27595E-2</v>
      </c>
      <c r="AW50" s="83">
        <v>4.0499000000000004E-3</v>
      </c>
      <c r="AX50" s="83">
        <v>0.79927700000000002</v>
      </c>
      <c r="AY50" s="83">
        <v>8.3750699999999997E-2</v>
      </c>
      <c r="AZ50" s="83">
        <v>4.0499000000000004E-3</v>
      </c>
      <c r="BA50" s="83">
        <v>0.79995799999999995</v>
      </c>
      <c r="BB50" s="83">
        <v>8.4078E-2</v>
      </c>
      <c r="BC50" s="83">
        <v>4.0499000000000004E-3</v>
      </c>
      <c r="BD50" s="83">
        <v>0.80199699999999996</v>
      </c>
      <c r="BE50" s="83">
        <v>8.4512699999999996E-2</v>
      </c>
      <c r="BF50" s="83">
        <v>4.0499000000000004E-3</v>
      </c>
      <c r="BG50" s="83">
        <v>0.78639800000000004</v>
      </c>
      <c r="BH50" s="83">
        <v>8.3261100000000005E-2</v>
      </c>
      <c r="BI50" s="83">
        <v>4.0499000000000004E-3</v>
      </c>
      <c r="BJ50" s="83">
        <v>0.78624700000000003</v>
      </c>
      <c r="BK50" s="83">
        <v>8.3632499999999999E-2</v>
      </c>
      <c r="BL50" s="83">
        <v>4.0499000000000004E-3</v>
      </c>
      <c r="BM50" s="83">
        <v>0.77963199999999999</v>
      </c>
      <c r="BN50" s="83">
        <v>8.3186599999999999E-2</v>
      </c>
      <c r="BO50" s="83">
        <v>4.0499000000000004E-3</v>
      </c>
      <c r="BP50" s="83">
        <v>0.77333099999999999</v>
      </c>
      <c r="BQ50" s="83">
        <v>8.2751699999999997E-2</v>
      </c>
      <c r="BR50" s="83">
        <v>4.0499000000000004E-3</v>
      </c>
      <c r="BS50" s="83">
        <v>0.78807099999999997</v>
      </c>
      <c r="BT50" s="83">
        <v>8.4356700000000007E-2</v>
      </c>
      <c r="BU50" s="83">
        <v>4.0499000000000004E-3</v>
      </c>
      <c r="BV50" s="83">
        <v>0.77719400000000005</v>
      </c>
      <c r="BW50" s="83">
        <v>8.3494499999999999E-2</v>
      </c>
      <c r="BX50" s="83">
        <v>4.0499000000000004E-3</v>
      </c>
      <c r="BY50" s="83">
        <v>0.75429599999999997</v>
      </c>
      <c r="BZ50" s="83">
        <v>8.1272499999999998E-2</v>
      </c>
      <c r="CA50" s="83">
        <v>4.0499000000000004E-3</v>
      </c>
      <c r="CB50" s="83">
        <v>0.76684399999999997</v>
      </c>
      <c r="CC50" s="83">
        <v>8.2810099999999998E-2</v>
      </c>
      <c r="CD50" s="83">
        <v>4.0499000000000004E-3</v>
      </c>
      <c r="CE50" s="83">
        <v>0.760795</v>
      </c>
      <c r="CF50" s="83">
        <v>8.24265E-2</v>
      </c>
      <c r="CG50" s="83">
        <v>4.0499000000000004E-3</v>
      </c>
      <c r="CH50" s="83">
        <v>0.75928300000000004</v>
      </c>
      <c r="CI50" s="83">
        <v>8.2443199999999994E-2</v>
      </c>
      <c r="CJ50" s="83">
        <v>4.0499000000000004E-3</v>
      </c>
      <c r="CK50" s="83">
        <v>0.768598</v>
      </c>
      <c r="CL50" s="83">
        <v>8.3839200000000003E-2</v>
      </c>
      <c r="CM50" s="83">
        <v>4.0499000000000004E-3</v>
      </c>
      <c r="CN50" s="83">
        <v>0.76736599999999999</v>
      </c>
      <c r="CO50" s="83">
        <v>8.4112599999999996E-2</v>
      </c>
      <c r="CP50" s="83">
        <v>4.0499000000000004E-3</v>
      </c>
      <c r="CQ50" s="83">
        <v>0.73853899999999995</v>
      </c>
      <c r="CR50" s="83">
        <v>8.1815899999999997E-2</v>
      </c>
      <c r="CS50" s="83">
        <v>4.0499000000000004E-3</v>
      </c>
      <c r="CT50" s="83">
        <v>0.71711400000000003</v>
      </c>
      <c r="CU50" s="83">
        <v>8.0495700000000003E-2</v>
      </c>
      <c r="CV50" s="83">
        <v>4.0499000000000004E-3</v>
      </c>
      <c r="CW50" s="83">
        <v>0.73774499999999998</v>
      </c>
      <c r="CX50" s="83">
        <v>8.3209199999999997E-2</v>
      </c>
      <c r="CY50" s="83">
        <v>4.0499000000000004E-3</v>
      </c>
      <c r="CZ50" s="83">
        <v>0.74359900000000001</v>
      </c>
      <c r="DA50" s="83">
        <v>8.4509799999999996E-2</v>
      </c>
    </row>
    <row r="51" spans="1:105" x14ac:dyDescent="0.2">
      <c r="A51" s="83">
        <v>4.1498999999999998E-3</v>
      </c>
      <c r="B51" s="83">
        <v>0.69905399999999995</v>
      </c>
      <c r="C51" s="83">
        <v>7.6579300000000003E-2</v>
      </c>
      <c r="D51" s="83">
        <v>4.1498999999999998E-3</v>
      </c>
      <c r="E51" s="83">
        <v>0.71196300000000001</v>
      </c>
      <c r="F51" s="83">
        <v>7.6880500000000004E-2</v>
      </c>
      <c r="G51" s="83">
        <v>4.1498999999999998E-3</v>
      </c>
      <c r="H51" s="83">
        <v>0.72833099999999995</v>
      </c>
      <c r="I51" s="83">
        <v>7.7831899999999996E-2</v>
      </c>
      <c r="J51" s="83">
        <v>4.1498999999999998E-3</v>
      </c>
      <c r="K51" s="83">
        <v>0.74695400000000001</v>
      </c>
      <c r="L51" s="83">
        <v>7.8934199999999996E-2</v>
      </c>
      <c r="M51" s="83">
        <v>4.1498999999999998E-3</v>
      </c>
      <c r="N51" s="83">
        <v>0.77293900000000004</v>
      </c>
      <c r="O51" s="83">
        <v>8.0162200000000003E-2</v>
      </c>
      <c r="P51" s="83">
        <v>4.1498999999999998E-3</v>
      </c>
      <c r="Q51" s="83">
        <v>0.75281699999999996</v>
      </c>
      <c r="R51" s="83">
        <v>7.7844499999999997E-2</v>
      </c>
      <c r="S51" s="83">
        <v>4.1498999999999998E-3</v>
      </c>
      <c r="T51" s="83">
        <v>0.76029400000000003</v>
      </c>
      <c r="U51" s="83">
        <v>7.7822500000000003E-2</v>
      </c>
      <c r="V51" s="83">
        <v>4.1498999999999998E-3</v>
      </c>
      <c r="W51" s="83">
        <v>0.75656199999999996</v>
      </c>
      <c r="X51" s="83">
        <v>7.7437900000000004E-2</v>
      </c>
      <c r="Y51" s="83">
        <v>4.1498999999999998E-3</v>
      </c>
      <c r="Z51" s="83">
        <v>0.75671900000000003</v>
      </c>
      <c r="AA51" s="83">
        <v>7.7667E-2</v>
      </c>
      <c r="AB51" s="83">
        <v>4.1498999999999998E-3</v>
      </c>
      <c r="AC51" s="83">
        <v>0.75165599999999999</v>
      </c>
      <c r="AD51" s="83">
        <v>7.7250200000000005E-2</v>
      </c>
      <c r="AE51" s="83">
        <v>4.1498999999999998E-3</v>
      </c>
      <c r="AF51" s="83">
        <v>0.74657899999999999</v>
      </c>
      <c r="AG51" s="83">
        <v>7.6801300000000003E-2</v>
      </c>
      <c r="AH51" s="83">
        <v>4.1498999999999998E-3</v>
      </c>
      <c r="AI51" s="83">
        <v>0.762401</v>
      </c>
      <c r="AJ51" s="83">
        <v>7.8758900000000007E-2</v>
      </c>
      <c r="AK51" s="83">
        <v>4.1498999999999998E-3</v>
      </c>
      <c r="AL51" s="83">
        <v>0.783358</v>
      </c>
      <c r="AM51" s="83">
        <v>8.0941700000000005E-2</v>
      </c>
      <c r="AN51" s="83">
        <v>4.1498999999999998E-3</v>
      </c>
      <c r="AO51" s="83">
        <v>0.742147</v>
      </c>
      <c r="AP51" s="83">
        <v>7.7040600000000001E-2</v>
      </c>
      <c r="AQ51" s="83">
        <v>4.1498999999999998E-3</v>
      </c>
      <c r="AR51" s="83">
        <v>0.73768999999999996</v>
      </c>
      <c r="AS51" s="83">
        <v>7.6975000000000002E-2</v>
      </c>
      <c r="AT51" s="83">
        <v>4.1498999999999998E-3</v>
      </c>
      <c r="AU51" s="83">
        <v>0.75443199999999999</v>
      </c>
      <c r="AV51" s="83">
        <v>7.8677499999999997E-2</v>
      </c>
      <c r="AW51" s="83">
        <v>4.1498999999999998E-3</v>
      </c>
      <c r="AX51" s="83">
        <v>0.75925699999999996</v>
      </c>
      <c r="AY51" s="83">
        <v>7.9614000000000004E-2</v>
      </c>
      <c r="AZ51" s="83">
        <v>4.1498999999999998E-3</v>
      </c>
      <c r="BA51" s="83">
        <v>0.75951800000000003</v>
      </c>
      <c r="BB51" s="83">
        <v>7.9889500000000002E-2</v>
      </c>
      <c r="BC51" s="83">
        <v>4.1498999999999998E-3</v>
      </c>
      <c r="BD51" s="83">
        <v>0.76109800000000005</v>
      </c>
      <c r="BE51" s="83">
        <v>8.0288999999999999E-2</v>
      </c>
      <c r="BF51" s="83">
        <v>4.1498999999999998E-3</v>
      </c>
      <c r="BG51" s="83">
        <v>0.74573400000000001</v>
      </c>
      <c r="BH51" s="83">
        <v>7.9111699999999993E-2</v>
      </c>
      <c r="BI51" s="83">
        <v>4.1498999999999998E-3</v>
      </c>
      <c r="BJ51" s="83">
        <v>0.74554900000000002</v>
      </c>
      <c r="BK51" s="83">
        <v>7.9474299999999998E-2</v>
      </c>
      <c r="BL51" s="83">
        <v>4.1498999999999998E-3</v>
      </c>
      <c r="BM51" s="83">
        <v>0.73949500000000001</v>
      </c>
      <c r="BN51" s="83">
        <v>7.9081100000000001E-2</v>
      </c>
      <c r="BO51" s="83">
        <v>4.1498999999999998E-3</v>
      </c>
      <c r="BP51" s="83">
        <v>0.73259799999999997</v>
      </c>
      <c r="BQ51" s="83">
        <v>7.8636499999999998E-2</v>
      </c>
      <c r="BR51" s="83">
        <v>4.1498999999999998E-3</v>
      </c>
      <c r="BS51" s="83">
        <v>0.74674300000000005</v>
      </c>
      <c r="BT51" s="83">
        <v>8.0159400000000006E-2</v>
      </c>
      <c r="BU51" s="83">
        <v>4.1498999999999998E-3</v>
      </c>
      <c r="BV51" s="83">
        <v>0.73622299999999996</v>
      </c>
      <c r="BW51" s="83">
        <v>7.9330399999999995E-2</v>
      </c>
      <c r="BX51" s="83">
        <v>4.1498999999999998E-3</v>
      </c>
      <c r="BY51" s="83">
        <v>0.71383200000000002</v>
      </c>
      <c r="BZ51" s="83">
        <v>7.7254900000000001E-2</v>
      </c>
      <c r="CA51" s="83">
        <v>4.1498999999999998E-3</v>
      </c>
      <c r="CB51" s="83">
        <v>0.72555899999999995</v>
      </c>
      <c r="CC51" s="83">
        <v>7.8680200000000006E-2</v>
      </c>
      <c r="CD51" s="83">
        <v>4.1498999999999998E-3</v>
      </c>
      <c r="CE51" s="83">
        <v>0.71956900000000001</v>
      </c>
      <c r="CF51" s="83">
        <v>7.8332799999999994E-2</v>
      </c>
      <c r="CG51" s="83">
        <v>4.1498999999999998E-3</v>
      </c>
      <c r="CH51" s="83">
        <v>0.71795500000000001</v>
      </c>
      <c r="CI51" s="83">
        <v>7.8340599999999996E-2</v>
      </c>
      <c r="CJ51" s="83">
        <v>4.1498999999999998E-3</v>
      </c>
      <c r="CK51" s="83">
        <v>0.72642499999999999</v>
      </c>
      <c r="CL51" s="83">
        <v>7.9667299999999996E-2</v>
      </c>
      <c r="CM51" s="83">
        <v>4.1498999999999998E-3</v>
      </c>
      <c r="CN51" s="83">
        <v>0.72498300000000004</v>
      </c>
      <c r="CO51" s="83">
        <v>7.9927999999999999E-2</v>
      </c>
      <c r="CP51" s="83">
        <v>4.1498999999999998E-3</v>
      </c>
      <c r="CQ51" s="83">
        <v>0.69763600000000003</v>
      </c>
      <c r="CR51" s="83">
        <v>7.7773900000000007E-2</v>
      </c>
      <c r="CS51" s="83">
        <v>4.1498999999999998E-3</v>
      </c>
      <c r="CT51" s="83">
        <v>0.67688000000000004</v>
      </c>
      <c r="CU51" s="83">
        <v>7.6516200000000006E-2</v>
      </c>
      <c r="CV51" s="83">
        <v>4.1498999999999998E-3</v>
      </c>
      <c r="CW51" s="83">
        <v>0.69580200000000003</v>
      </c>
      <c r="CX51" s="83">
        <v>7.9064700000000002E-2</v>
      </c>
      <c r="CY51" s="83">
        <v>4.1498999999999998E-3</v>
      </c>
      <c r="CZ51" s="83">
        <v>0.70142599999999999</v>
      </c>
      <c r="DA51" s="83">
        <v>8.0271599999999999E-2</v>
      </c>
    </row>
    <row r="52" spans="1:105" x14ac:dyDescent="0.2">
      <c r="A52" s="83">
        <v>4.2499E-3</v>
      </c>
      <c r="B52" s="83">
        <v>0.66598299999999999</v>
      </c>
      <c r="C52" s="83">
        <v>7.27912E-2</v>
      </c>
      <c r="D52" s="83">
        <v>4.2499E-3</v>
      </c>
      <c r="E52" s="83">
        <v>0.67815899999999996</v>
      </c>
      <c r="F52" s="83">
        <v>7.3078699999999996E-2</v>
      </c>
      <c r="G52" s="83">
        <v>4.2499E-3</v>
      </c>
      <c r="H52" s="83">
        <v>0.69458600000000004</v>
      </c>
      <c r="I52" s="83">
        <v>7.39403E-2</v>
      </c>
      <c r="J52" s="83">
        <v>4.2499E-3</v>
      </c>
      <c r="K52" s="83">
        <v>0.71149499999999999</v>
      </c>
      <c r="L52" s="83">
        <v>7.5033799999999998E-2</v>
      </c>
      <c r="M52" s="83">
        <v>4.2499E-3</v>
      </c>
      <c r="N52" s="83">
        <v>0.73663999999999996</v>
      </c>
      <c r="O52" s="83">
        <v>7.6179800000000006E-2</v>
      </c>
      <c r="P52" s="83">
        <v>4.2499E-3</v>
      </c>
      <c r="Q52" s="83">
        <v>0.71701099999999995</v>
      </c>
      <c r="R52" s="83">
        <v>7.3996800000000001E-2</v>
      </c>
      <c r="S52" s="83">
        <v>4.2499E-3</v>
      </c>
      <c r="T52" s="83">
        <v>0.72422500000000001</v>
      </c>
      <c r="U52" s="83">
        <v>7.3968999999999993E-2</v>
      </c>
      <c r="V52" s="83">
        <v>4.2499E-3</v>
      </c>
      <c r="W52" s="83">
        <v>0.720244</v>
      </c>
      <c r="X52" s="83">
        <v>7.3618600000000006E-2</v>
      </c>
      <c r="Y52" s="83">
        <v>4.2499E-3</v>
      </c>
      <c r="Z52" s="83">
        <v>0.72055199999999997</v>
      </c>
      <c r="AA52" s="83">
        <v>7.3820300000000005E-2</v>
      </c>
      <c r="AB52" s="83">
        <v>4.2499E-3</v>
      </c>
      <c r="AC52" s="83">
        <v>0.71507900000000002</v>
      </c>
      <c r="AD52" s="83">
        <v>7.3430899999999993E-2</v>
      </c>
      <c r="AE52" s="83">
        <v>4.2499E-3</v>
      </c>
      <c r="AF52" s="83">
        <v>0.71034299999999995</v>
      </c>
      <c r="AG52" s="83">
        <v>7.2977100000000003E-2</v>
      </c>
      <c r="AH52" s="83">
        <v>4.2499E-3</v>
      </c>
      <c r="AI52" s="83">
        <v>0.72531199999999996</v>
      </c>
      <c r="AJ52" s="83">
        <v>7.4816499999999994E-2</v>
      </c>
      <c r="AK52" s="83">
        <v>4.2499E-3</v>
      </c>
      <c r="AL52" s="83">
        <v>0.744672</v>
      </c>
      <c r="AM52" s="83">
        <v>7.6945600000000003E-2</v>
      </c>
      <c r="AN52" s="83">
        <v>4.2499E-3</v>
      </c>
      <c r="AO52" s="83">
        <v>0.70509699999999997</v>
      </c>
      <c r="AP52" s="83">
        <v>7.3234900000000006E-2</v>
      </c>
      <c r="AQ52" s="83">
        <v>4.2499E-3</v>
      </c>
      <c r="AR52" s="83">
        <v>0.70104500000000003</v>
      </c>
      <c r="AS52" s="83">
        <v>7.3171200000000006E-2</v>
      </c>
      <c r="AT52" s="83">
        <v>4.2499E-3</v>
      </c>
      <c r="AU52" s="83">
        <v>0.71643900000000005</v>
      </c>
      <c r="AV52" s="83">
        <v>7.4756600000000006E-2</v>
      </c>
      <c r="AW52" s="83">
        <v>4.2499E-3</v>
      </c>
      <c r="AX52" s="83">
        <v>0.72073699999999996</v>
      </c>
      <c r="AY52" s="83">
        <v>7.5681399999999996E-2</v>
      </c>
      <c r="AZ52" s="83">
        <v>4.2499E-3</v>
      </c>
      <c r="BA52" s="83">
        <v>0.720773</v>
      </c>
      <c r="BB52" s="83">
        <v>7.5930499999999998E-2</v>
      </c>
      <c r="BC52" s="83">
        <v>4.2499E-3</v>
      </c>
      <c r="BD52" s="83">
        <v>0.72274899999999997</v>
      </c>
      <c r="BE52" s="83">
        <v>7.6303700000000002E-2</v>
      </c>
      <c r="BF52" s="83">
        <v>4.2499E-3</v>
      </c>
      <c r="BG52" s="83">
        <v>0.70761399999999997</v>
      </c>
      <c r="BH52" s="83">
        <v>7.5190800000000002E-2</v>
      </c>
      <c r="BI52" s="83">
        <v>4.2499E-3</v>
      </c>
      <c r="BJ52" s="83">
        <v>0.70759000000000005</v>
      </c>
      <c r="BK52" s="83">
        <v>7.5559200000000007E-2</v>
      </c>
      <c r="BL52" s="83">
        <v>4.2499E-3</v>
      </c>
      <c r="BM52" s="83">
        <v>0.70088200000000001</v>
      </c>
      <c r="BN52" s="83">
        <v>7.5147500000000006E-2</v>
      </c>
      <c r="BO52" s="83">
        <v>4.2499E-3</v>
      </c>
      <c r="BP52" s="83">
        <v>0.69431699999999996</v>
      </c>
      <c r="BQ52" s="83">
        <v>7.4765399999999996E-2</v>
      </c>
      <c r="BR52" s="83">
        <v>4.2499E-3</v>
      </c>
      <c r="BS52" s="83">
        <v>0.70754399999999995</v>
      </c>
      <c r="BT52" s="83">
        <v>7.6182899999999998E-2</v>
      </c>
      <c r="BU52" s="83">
        <v>4.2499E-3</v>
      </c>
      <c r="BV52" s="83">
        <v>0.69718999999999998</v>
      </c>
      <c r="BW52" s="83">
        <v>7.5400700000000001E-2</v>
      </c>
      <c r="BX52" s="83">
        <v>4.2499E-3</v>
      </c>
      <c r="BY52" s="83">
        <v>0.67578499999999997</v>
      </c>
      <c r="BZ52" s="83">
        <v>7.3446399999999995E-2</v>
      </c>
      <c r="CA52" s="83">
        <v>4.2499E-3</v>
      </c>
      <c r="CB52" s="83">
        <v>0.68612099999999998</v>
      </c>
      <c r="CC52" s="83">
        <v>7.4754399999999999E-2</v>
      </c>
      <c r="CD52" s="83">
        <v>4.2499E-3</v>
      </c>
      <c r="CE52" s="83">
        <v>0.68066800000000005</v>
      </c>
      <c r="CF52" s="83">
        <v>7.4437299999999998E-2</v>
      </c>
      <c r="CG52" s="83">
        <v>4.2499E-3</v>
      </c>
      <c r="CH52" s="83">
        <v>0.67893700000000001</v>
      </c>
      <c r="CI52" s="83">
        <v>7.4461700000000006E-2</v>
      </c>
      <c r="CJ52" s="83">
        <v>4.2499E-3</v>
      </c>
      <c r="CK52" s="83">
        <v>0.68673300000000004</v>
      </c>
      <c r="CL52" s="83">
        <v>7.5727900000000001E-2</v>
      </c>
      <c r="CM52" s="83">
        <v>4.2499E-3</v>
      </c>
      <c r="CN52" s="83">
        <v>0.68501199999999995</v>
      </c>
      <c r="CO52" s="83">
        <v>7.5959200000000004E-2</v>
      </c>
      <c r="CP52" s="83">
        <v>4.2499E-3</v>
      </c>
      <c r="CQ52" s="83">
        <v>0.65837299999999999</v>
      </c>
      <c r="CR52" s="83">
        <v>7.3881299999999997E-2</v>
      </c>
      <c r="CS52" s="83">
        <v>4.2499E-3</v>
      </c>
      <c r="CT52" s="83">
        <v>0.63886699999999996</v>
      </c>
      <c r="CU52" s="83">
        <v>7.2721300000000003E-2</v>
      </c>
      <c r="CV52" s="83">
        <v>4.2499E-3</v>
      </c>
      <c r="CW52" s="83">
        <v>0.65624099999999996</v>
      </c>
      <c r="CX52" s="83">
        <v>7.5118400000000002E-2</v>
      </c>
      <c r="CY52" s="83">
        <v>4.2499E-3</v>
      </c>
      <c r="CZ52" s="83">
        <v>0.66107899999999997</v>
      </c>
      <c r="DA52" s="83">
        <v>7.6313599999999995E-2</v>
      </c>
    </row>
    <row r="53" spans="1:105" x14ac:dyDescent="0.2">
      <c r="A53" s="83">
        <v>4.3499000000000003E-3</v>
      </c>
      <c r="B53" s="83">
        <v>0.63494300000000004</v>
      </c>
      <c r="C53" s="83">
        <v>6.9201399999999996E-2</v>
      </c>
      <c r="D53" s="83">
        <v>4.3499000000000003E-3</v>
      </c>
      <c r="E53" s="83">
        <v>0.64649400000000001</v>
      </c>
      <c r="F53" s="83">
        <v>6.9459599999999996E-2</v>
      </c>
      <c r="G53" s="83">
        <v>4.3499000000000003E-3</v>
      </c>
      <c r="H53" s="83">
        <v>0.66132400000000002</v>
      </c>
      <c r="I53" s="83">
        <v>7.0307499999999995E-2</v>
      </c>
      <c r="J53" s="83">
        <v>4.3499000000000003E-3</v>
      </c>
      <c r="K53" s="83">
        <v>0.67810099999999995</v>
      </c>
      <c r="L53" s="83">
        <v>7.1311200000000005E-2</v>
      </c>
      <c r="M53" s="83">
        <v>4.3499000000000003E-3</v>
      </c>
      <c r="N53" s="83">
        <v>0.70208400000000004</v>
      </c>
      <c r="O53" s="83">
        <v>7.2404399999999994E-2</v>
      </c>
      <c r="P53" s="83">
        <v>4.3499000000000003E-3</v>
      </c>
      <c r="Q53" s="83">
        <v>0.68291400000000002</v>
      </c>
      <c r="R53" s="83">
        <v>7.03709E-2</v>
      </c>
      <c r="S53" s="83">
        <v>4.3499000000000003E-3</v>
      </c>
      <c r="T53" s="83">
        <v>0.68947400000000003</v>
      </c>
      <c r="U53" s="83">
        <v>7.0315699999999995E-2</v>
      </c>
      <c r="V53" s="83">
        <v>4.3499000000000003E-3</v>
      </c>
      <c r="W53" s="83">
        <v>0.685473</v>
      </c>
      <c r="X53" s="83">
        <v>6.9977899999999996E-2</v>
      </c>
      <c r="Y53" s="83">
        <v>4.3499000000000003E-3</v>
      </c>
      <c r="Z53" s="83">
        <v>0.68584100000000003</v>
      </c>
      <c r="AA53" s="83">
        <v>7.0191400000000001E-2</v>
      </c>
      <c r="AB53" s="83">
        <v>4.3499000000000003E-3</v>
      </c>
      <c r="AC53" s="83">
        <v>0.67998099999999995</v>
      </c>
      <c r="AD53" s="83">
        <v>6.9814699999999993E-2</v>
      </c>
      <c r="AE53" s="83">
        <v>4.3499000000000003E-3</v>
      </c>
      <c r="AF53" s="83">
        <v>0.67494799999999999</v>
      </c>
      <c r="AG53" s="83">
        <v>6.9397E-2</v>
      </c>
      <c r="AH53" s="83">
        <v>4.3499000000000003E-3</v>
      </c>
      <c r="AI53" s="83">
        <v>0.68965699999999996</v>
      </c>
      <c r="AJ53" s="83">
        <v>7.1137800000000001E-2</v>
      </c>
      <c r="AK53" s="83">
        <v>4.3499000000000003E-3</v>
      </c>
      <c r="AL53" s="83">
        <v>0.70800200000000002</v>
      </c>
      <c r="AM53" s="83">
        <v>7.3134000000000005E-2</v>
      </c>
      <c r="AN53" s="83">
        <v>4.3499000000000003E-3</v>
      </c>
      <c r="AO53" s="83">
        <v>0.66967699999999997</v>
      </c>
      <c r="AP53" s="83">
        <v>6.9627499999999995E-2</v>
      </c>
      <c r="AQ53" s="83">
        <v>4.3499000000000003E-3</v>
      </c>
      <c r="AR53" s="83">
        <v>0.66561499999999996</v>
      </c>
      <c r="AS53" s="83">
        <v>6.9560899999999995E-2</v>
      </c>
      <c r="AT53" s="83">
        <v>4.3499000000000003E-3</v>
      </c>
      <c r="AU53" s="83">
        <v>0.68002799999999997</v>
      </c>
      <c r="AV53" s="83">
        <v>7.1048600000000003E-2</v>
      </c>
      <c r="AW53" s="83">
        <v>4.3499000000000003E-3</v>
      </c>
      <c r="AX53" s="83">
        <v>0.68422300000000003</v>
      </c>
      <c r="AY53" s="83">
        <v>7.1935299999999994E-2</v>
      </c>
      <c r="AZ53" s="83">
        <v>4.3499000000000003E-3</v>
      </c>
      <c r="BA53" s="83">
        <v>0.68381999999999998</v>
      </c>
      <c r="BB53" s="83">
        <v>7.2188299999999997E-2</v>
      </c>
      <c r="BC53" s="83">
        <v>4.3499000000000003E-3</v>
      </c>
      <c r="BD53" s="83">
        <v>0.68545900000000004</v>
      </c>
      <c r="BE53" s="83">
        <v>7.2546899999999997E-2</v>
      </c>
      <c r="BF53" s="83">
        <v>4.3499000000000003E-3</v>
      </c>
      <c r="BG53" s="83">
        <v>0.67071400000000003</v>
      </c>
      <c r="BH53" s="83">
        <v>7.1508199999999994E-2</v>
      </c>
      <c r="BI53" s="83">
        <v>4.3499000000000003E-3</v>
      </c>
      <c r="BJ53" s="83">
        <v>0.67066099999999995</v>
      </c>
      <c r="BK53" s="83">
        <v>7.1813100000000005E-2</v>
      </c>
      <c r="BL53" s="83">
        <v>4.3499000000000003E-3</v>
      </c>
      <c r="BM53" s="83">
        <v>0.66411900000000001</v>
      </c>
      <c r="BN53" s="83">
        <v>7.1451200000000006E-2</v>
      </c>
      <c r="BO53" s="83">
        <v>4.3499000000000003E-3</v>
      </c>
      <c r="BP53" s="83">
        <v>0.65771000000000002</v>
      </c>
      <c r="BQ53" s="83">
        <v>7.1061299999999994E-2</v>
      </c>
      <c r="BR53" s="83">
        <v>4.3499000000000003E-3</v>
      </c>
      <c r="BS53" s="83">
        <v>0.66950600000000005</v>
      </c>
      <c r="BT53" s="83">
        <v>7.2412400000000002E-2</v>
      </c>
      <c r="BU53" s="83">
        <v>4.3499000000000003E-3</v>
      </c>
      <c r="BV53" s="83">
        <v>0.65996299999999997</v>
      </c>
      <c r="BW53" s="83">
        <v>7.16976E-2</v>
      </c>
      <c r="BX53" s="83">
        <v>4.3499000000000003E-3</v>
      </c>
      <c r="BY53" s="83">
        <v>0.63927100000000003</v>
      </c>
      <c r="BZ53" s="83">
        <v>6.9829199999999994E-2</v>
      </c>
      <c r="CA53" s="83">
        <v>4.3499000000000003E-3</v>
      </c>
      <c r="CB53" s="83">
        <v>0.64887499999999998</v>
      </c>
      <c r="CC53" s="83">
        <v>7.1067900000000003E-2</v>
      </c>
      <c r="CD53" s="83">
        <v>4.3499000000000003E-3</v>
      </c>
      <c r="CE53" s="83">
        <v>0.64395400000000003</v>
      </c>
      <c r="CF53" s="83">
        <v>7.0803500000000005E-2</v>
      </c>
      <c r="CG53" s="83">
        <v>4.3499000000000003E-3</v>
      </c>
      <c r="CH53" s="83">
        <v>0.64142699999999997</v>
      </c>
      <c r="CI53" s="83">
        <v>7.0801500000000003E-2</v>
      </c>
      <c r="CJ53" s="83">
        <v>4.3499000000000003E-3</v>
      </c>
      <c r="CK53" s="83">
        <v>0.64867600000000003</v>
      </c>
      <c r="CL53" s="83">
        <v>7.1965199999999993E-2</v>
      </c>
      <c r="CM53" s="83">
        <v>4.3499000000000003E-3</v>
      </c>
      <c r="CN53" s="83">
        <v>0.64662799999999998</v>
      </c>
      <c r="CO53" s="83">
        <v>7.2200500000000001E-2</v>
      </c>
      <c r="CP53" s="83">
        <v>4.3499000000000003E-3</v>
      </c>
      <c r="CQ53" s="83">
        <v>0.62153199999999997</v>
      </c>
      <c r="CR53" s="83">
        <v>7.0238700000000001E-2</v>
      </c>
      <c r="CS53" s="83">
        <v>4.3499000000000003E-3</v>
      </c>
      <c r="CT53" s="83">
        <v>0.60246999999999995</v>
      </c>
      <c r="CU53" s="83">
        <v>6.9137299999999999E-2</v>
      </c>
      <c r="CV53" s="83">
        <v>4.3499000000000003E-3</v>
      </c>
      <c r="CW53" s="83">
        <v>0.618892</v>
      </c>
      <c r="CX53" s="83">
        <v>7.1430900000000006E-2</v>
      </c>
      <c r="CY53" s="83">
        <v>4.3499000000000003E-3</v>
      </c>
      <c r="CZ53" s="83">
        <v>0.62344699999999997</v>
      </c>
      <c r="DA53" s="83">
        <v>7.2544999999999998E-2</v>
      </c>
    </row>
    <row r="54" spans="1:105" x14ac:dyDescent="0.2">
      <c r="A54" s="83">
        <v>4.4498999999999997E-3</v>
      </c>
      <c r="B54" s="83">
        <v>0.60507</v>
      </c>
      <c r="C54" s="83">
        <v>6.5809800000000002E-2</v>
      </c>
      <c r="D54" s="83">
        <v>4.4498999999999997E-3</v>
      </c>
      <c r="E54" s="83">
        <v>0.61554200000000003</v>
      </c>
      <c r="F54" s="83">
        <v>6.6058199999999997E-2</v>
      </c>
      <c r="G54" s="83">
        <v>4.4498999999999997E-3</v>
      </c>
      <c r="H54" s="83">
        <v>0.63021099999999997</v>
      </c>
      <c r="I54" s="83">
        <v>6.6856299999999994E-2</v>
      </c>
      <c r="J54" s="83">
        <v>4.4498999999999997E-3</v>
      </c>
      <c r="K54" s="83">
        <v>0.64547399999999999</v>
      </c>
      <c r="L54" s="83">
        <v>6.7794599999999997E-2</v>
      </c>
      <c r="M54" s="83">
        <v>4.4498999999999997E-3</v>
      </c>
      <c r="N54" s="83">
        <v>0.66848600000000002</v>
      </c>
      <c r="O54" s="83">
        <v>6.8838999999999997E-2</v>
      </c>
      <c r="P54" s="83">
        <v>4.4498999999999997E-3</v>
      </c>
      <c r="Q54" s="83">
        <v>0.64985300000000001</v>
      </c>
      <c r="R54" s="83">
        <v>6.6919699999999999E-2</v>
      </c>
      <c r="S54" s="83">
        <v>4.4498999999999997E-3</v>
      </c>
      <c r="T54" s="83">
        <v>0.65614899999999998</v>
      </c>
      <c r="U54" s="83">
        <v>6.6881099999999999E-2</v>
      </c>
      <c r="V54" s="83">
        <v>4.4498999999999997E-3</v>
      </c>
      <c r="W54" s="83">
        <v>0.65269999999999995</v>
      </c>
      <c r="X54" s="83">
        <v>6.6574599999999998E-2</v>
      </c>
      <c r="Y54" s="83">
        <v>4.4498999999999997E-3</v>
      </c>
      <c r="Z54" s="83">
        <v>0.65210000000000001</v>
      </c>
      <c r="AA54" s="83">
        <v>6.6778299999999999E-2</v>
      </c>
      <c r="AB54" s="83">
        <v>4.4498999999999997E-3</v>
      </c>
      <c r="AC54" s="83">
        <v>0.64641199999999999</v>
      </c>
      <c r="AD54" s="83">
        <v>6.6377199999999997E-2</v>
      </c>
      <c r="AE54" s="83">
        <v>4.4498999999999997E-3</v>
      </c>
      <c r="AF54" s="83">
        <v>0.641544</v>
      </c>
      <c r="AG54" s="83">
        <v>6.5976099999999996E-2</v>
      </c>
      <c r="AH54" s="83">
        <v>4.4498999999999997E-3</v>
      </c>
      <c r="AI54" s="83">
        <v>0.65533600000000003</v>
      </c>
      <c r="AJ54" s="83">
        <v>6.7663200000000007E-2</v>
      </c>
      <c r="AK54" s="83">
        <v>4.4498999999999997E-3</v>
      </c>
      <c r="AL54" s="83">
        <v>0.67260600000000004</v>
      </c>
      <c r="AM54" s="83">
        <v>6.9538299999999997E-2</v>
      </c>
      <c r="AN54" s="83">
        <v>4.4498999999999997E-3</v>
      </c>
      <c r="AO54" s="83">
        <v>0.63589200000000001</v>
      </c>
      <c r="AP54" s="83">
        <v>6.6225199999999998E-2</v>
      </c>
      <c r="AQ54" s="83">
        <v>4.4498999999999997E-3</v>
      </c>
      <c r="AR54" s="83">
        <v>0.63207500000000005</v>
      </c>
      <c r="AS54" s="83">
        <v>6.6145899999999994E-2</v>
      </c>
      <c r="AT54" s="83">
        <v>4.4498999999999997E-3</v>
      </c>
      <c r="AU54" s="83">
        <v>0.64572099999999999</v>
      </c>
      <c r="AV54" s="83">
        <v>6.7565200000000006E-2</v>
      </c>
      <c r="AW54" s="83">
        <v>4.4498999999999997E-3</v>
      </c>
      <c r="AX54" s="83">
        <v>0.64960399999999996</v>
      </c>
      <c r="AY54" s="83">
        <v>6.8388400000000002E-2</v>
      </c>
      <c r="AZ54" s="83">
        <v>4.4498999999999997E-3</v>
      </c>
      <c r="BA54" s="83">
        <v>0.64839999999999998</v>
      </c>
      <c r="BB54" s="83">
        <v>6.8640499999999993E-2</v>
      </c>
      <c r="BC54" s="83">
        <v>4.4498999999999997E-3</v>
      </c>
      <c r="BD54" s="83">
        <v>0.64951599999999998</v>
      </c>
      <c r="BE54" s="83">
        <v>6.8963899999999995E-2</v>
      </c>
      <c r="BF54" s="83">
        <v>4.4498999999999997E-3</v>
      </c>
      <c r="BG54" s="83">
        <v>0.63579200000000002</v>
      </c>
      <c r="BH54" s="83">
        <v>6.7973000000000006E-2</v>
      </c>
      <c r="BI54" s="83">
        <v>4.4498999999999997E-3</v>
      </c>
      <c r="BJ54" s="83">
        <v>0.63559299999999996</v>
      </c>
      <c r="BK54" s="83">
        <v>6.8298499999999998E-2</v>
      </c>
      <c r="BL54" s="83">
        <v>4.4498999999999997E-3</v>
      </c>
      <c r="BM54" s="83">
        <v>0.62945600000000002</v>
      </c>
      <c r="BN54" s="83">
        <v>6.79366E-2</v>
      </c>
      <c r="BO54" s="83">
        <v>4.4498999999999997E-3</v>
      </c>
      <c r="BP54" s="83">
        <v>0.62276399999999998</v>
      </c>
      <c r="BQ54" s="83">
        <v>6.7570099999999994E-2</v>
      </c>
      <c r="BR54" s="83">
        <v>4.4498999999999997E-3</v>
      </c>
      <c r="BS54" s="83">
        <v>0.63433099999999998</v>
      </c>
      <c r="BT54" s="83">
        <v>6.8865499999999996E-2</v>
      </c>
      <c r="BU54" s="83">
        <v>4.4498999999999997E-3</v>
      </c>
      <c r="BV54" s="83">
        <v>0.62473299999999998</v>
      </c>
      <c r="BW54" s="83">
        <v>6.8165400000000001E-2</v>
      </c>
      <c r="BX54" s="83">
        <v>4.4498999999999997E-3</v>
      </c>
      <c r="BY54" s="83">
        <v>0.60453999999999997</v>
      </c>
      <c r="BZ54" s="83">
        <v>6.6404400000000002E-2</v>
      </c>
      <c r="CA54" s="83">
        <v>4.4498999999999997E-3</v>
      </c>
      <c r="CB54" s="83">
        <v>0.61388500000000001</v>
      </c>
      <c r="CC54" s="83">
        <v>6.7560099999999998E-2</v>
      </c>
      <c r="CD54" s="83">
        <v>4.4498999999999997E-3</v>
      </c>
      <c r="CE54" s="83">
        <v>0.608456</v>
      </c>
      <c r="CF54" s="83">
        <v>6.7322099999999996E-2</v>
      </c>
      <c r="CG54" s="83">
        <v>4.4498999999999997E-3</v>
      </c>
      <c r="CH54" s="83">
        <v>0.60606599999999999</v>
      </c>
      <c r="CI54" s="83">
        <v>6.7319100000000007E-2</v>
      </c>
      <c r="CJ54" s="83">
        <v>4.4498999999999997E-3</v>
      </c>
      <c r="CK54" s="83">
        <v>0.61275800000000002</v>
      </c>
      <c r="CL54" s="83">
        <v>6.8416299999999999E-2</v>
      </c>
      <c r="CM54" s="83">
        <v>4.4498999999999997E-3</v>
      </c>
      <c r="CN54" s="83">
        <v>0.610456</v>
      </c>
      <c r="CO54" s="83">
        <v>6.8668199999999999E-2</v>
      </c>
      <c r="CP54" s="83">
        <v>4.4498999999999997E-3</v>
      </c>
      <c r="CQ54" s="83">
        <v>0.58631200000000006</v>
      </c>
      <c r="CR54" s="83">
        <v>6.6810999999999995E-2</v>
      </c>
      <c r="CS54" s="83">
        <v>4.4498999999999997E-3</v>
      </c>
      <c r="CT54" s="83">
        <v>0.56833999999999996</v>
      </c>
      <c r="CU54" s="83">
        <v>6.5756400000000007E-2</v>
      </c>
      <c r="CV54" s="83">
        <v>4.4498999999999997E-3</v>
      </c>
      <c r="CW54" s="83">
        <v>0.58370200000000005</v>
      </c>
      <c r="CX54" s="83">
        <v>6.7912399999999998E-2</v>
      </c>
      <c r="CY54" s="83">
        <v>4.4498999999999997E-3</v>
      </c>
      <c r="CZ54" s="83">
        <v>0.58781300000000003</v>
      </c>
      <c r="DA54" s="83">
        <v>6.8958099999999994E-2</v>
      </c>
    </row>
    <row r="55" spans="1:105" x14ac:dyDescent="0.2">
      <c r="A55" s="83">
        <v>4.5499E-3</v>
      </c>
      <c r="B55" s="83">
        <v>0.57589500000000005</v>
      </c>
      <c r="C55" s="83">
        <v>6.2597899999999998E-2</v>
      </c>
      <c r="D55" s="83">
        <v>4.5499E-3</v>
      </c>
      <c r="E55" s="83">
        <v>0.58649899999999999</v>
      </c>
      <c r="F55" s="83">
        <v>6.28277E-2</v>
      </c>
      <c r="G55" s="83">
        <v>4.5499E-3</v>
      </c>
      <c r="H55" s="83">
        <v>0.59991799999999995</v>
      </c>
      <c r="I55" s="83">
        <v>6.3592599999999999E-2</v>
      </c>
      <c r="J55" s="83">
        <v>4.5499E-3</v>
      </c>
      <c r="K55" s="83">
        <v>0.61465899999999996</v>
      </c>
      <c r="L55" s="83">
        <v>6.4475199999999996E-2</v>
      </c>
      <c r="M55" s="83">
        <v>4.5499E-3</v>
      </c>
      <c r="N55" s="83">
        <v>0.63615699999999997</v>
      </c>
      <c r="O55" s="83">
        <v>6.5458100000000005E-2</v>
      </c>
      <c r="P55" s="83">
        <v>4.5499E-3</v>
      </c>
      <c r="Q55" s="83">
        <v>0.61870000000000003</v>
      </c>
      <c r="R55" s="83">
        <v>6.3666799999999996E-2</v>
      </c>
      <c r="S55" s="83">
        <v>4.5499E-3</v>
      </c>
      <c r="T55" s="83">
        <v>0.62423899999999999</v>
      </c>
      <c r="U55" s="83">
        <v>6.3605700000000001E-2</v>
      </c>
      <c r="V55" s="83">
        <v>4.5499E-3</v>
      </c>
      <c r="W55" s="83">
        <v>0.62082499999999996</v>
      </c>
      <c r="X55" s="83">
        <v>6.3305100000000003E-2</v>
      </c>
      <c r="Y55" s="83">
        <v>4.5499E-3</v>
      </c>
      <c r="Z55" s="83">
        <v>0.620313</v>
      </c>
      <c r="AA55" s="83">
        <v>6.3526399999999997E-2</v>
      </c>
      <c r="AB55" s="83">
        <v>4.5499E-3</v>
      </c>
      <c r="AC55" s="83">
        <v>0.61472199999999999</v>
      </c>
      <c r="AD55" s="83">
        <v>6.3150600000000001E-2</v>
      </c>
      <c r="AE55" s="83">
        <v>4.5499E-3</v>
      </c>
      <c r="AF55" s="83">
        <v>0.60915200000000003</v>
      </c>
      <c r="AG55" s="83">
        <v>6.2780799999999998E-2</v>
      </c>
      <c r="AH55" s="83">
        <v>4.5499E-3</v>
      </c>
      <c r="AI55" s="83">
        <v>0.62191300000000005</v>
      </c>
      <c r="AJ55" s="83">
        <v>6.4360500000000001E-2</v>
      </c>
      <c r="AK55" s="83">
        <v>4.5499E-3</v>
      </c>
      <c r="AL55" s="83">
        <v>0.63908100000000001</v>
      </c>
      <c r="AM55" s="83">
        <v>6.6153600000000007E-2</v>
      </c>
      <c r="AN55" s="83">
        <v>4.5499E-3</v>
      </c>
      <c r="AO55" s="83">
        <v>0.603661</v>
      </c>
      <c r="AP55" s="83">
        <v>6.2991800000000001E-2</v>
      </c>
      <c r="AQ55" s="83">
        <v>4.5499E-3</v>
      </c>
      <c r="AR55" s="83">
        <v>0.599746</v>
      </c>
      <c r="AS55" s="83">
        <v>6.2900700000000004E-2</v>
      </c>
      <c r="AT55" s="83">
        <v>4.5499E-3</v>
      </c>
      <c r="AU55" s="83">
        <v>0.61246</v>
      </c>
      <c r="AV55" s="83">
        <v>6.4283999999999994E-2</v>
      </c>
      <c r="AW55" s="83">
        <v>4.5499E-3</v>
      </c>
      <c r="AX55" s="83">
        <v>0.61594700000000002</v>
      </c>
      <c r="AY55" s="83">
        <v>6.5073000000000006E-2</v>
      </c>
      <c r="AZ55" s="83">
        <v>4.5499E-3</v>
      </c>
      <c r="BA55" s="83">
        <v>0.61491399999999996</v>
      </c>
      <c r="BB55" s="83">
        <v>6.5292799999999998E-2</v>
      </c>
      <c r="BC55" s="83">
        <v>4.5499E-3</v>
      </c>
      <c r="BD55" s="83">
        <v>0.61583900000000003</v>
      </c>
      <c r="BE55" s="83">
        <v>6.5556600000000007E-2</v>
      </c>
      <c r="BF55" s="83">
        <v>4.5499E-3</v>
      </c>
      <c r="BG55" s="83">
        <v>0.60223800000000005</v>
      </c>
      <c r="BH55" s="83">
        <v>6.4677100000000001E-2</v>
      </c>
      <c r="BI55" s="83">
        <v>4.5499E-3</v>
      </c>
      <c r="BJ55" s="83">
        <v>0.60208200000000001</v>
      </c>
      <c r="BK55" s="83">
        <v>6.4982100000000001E-2</v>
      </c>
      <c r="BL55" s="83">
        <v>4.5499E-3</v>
      </c>
      <c r="BM55" s="83">
        <v>0.59611099999999995</v>
      </c>
      <c r="BN55" s="83">
        <v>6.4618200000000001E-2</v>
      </c>
      <c r="BO55" s="83">
        <v>4.5499E-3</v>
      </c>
      <c r="BP55" s="83">
        <v>0.58913599999999999</v>
      </c>
      <c r="BQ55" s="83">
        <v>6.4285900000000007E-2</v>
      </c>
      <c r="BR55" s="83">
        <v>4.5499E-3</v>
      </c>
      <c r="BS55" s="83">
        <v>0.59994599999999998</v>
      </c>
      <c r="BT55" s="83">
        <v>6.5498299999999995E-2</v>
      </c>
      <c r="BU55" s="83">
        <v>4.5499E-3</v>
      </c>
      <c r="BV55" s="83">
        <v>0.590642</v>
      </c>
      <c r="BW55" s="83">
        <v>6.4851900000000004E-2</v>
      </c>
      <c r="BX55" s="83">
        <v>4.5499E-3</v>
      </c>
      <c r="BY55" s="83">
        <v>0.57187399999999999</v>
      </c>
      <c r="BZ55" s="83">
        <v>6.3174900000000006E-2</v>
      </c>
      <c r="CA55" s="83">
        <v>4.5499E-3</v>
      </c>
      <c r="CB55" s="83">
        <v>0.58000300000000005</v>
      </c>
      <c r="CC55" s="83">
        <v>6.4275899999999997E-2</v>
      </c>
      <c r="CD55" s="83">
        <v>4.5499E-3</v>
      </c>
      <c r="CE55" s="83">
        <v>0.57482800000000001</v>
      </c>
      <c r="CF55" s="83">
        <v>6.4040799999999995E-2</v>
      </c>
      <c r="CG55" s="83">
        <v>4.5499E-3</v>
      </c>
      <c r="CH55" s="83">
        <v>0.57224699999999995</v>
      </c>
      <c r="CI55" s="83">
        <v>6.4058400000000001E-2</v>
      </c>
      <c r="CJ55" s="83">
        <v>4.5499E-3</v>
      </c>
      <c r="CK55" s="83">
        <v>0.578349</v>
      </c>
      <c r="CL55" s="83">
        <v>6.5084299999999998E-2</v>
      </c>
      <c r="CM55" s="83">
        <v>4.5499E-3</v>
      </c>
      <c r="CN55" s="83">
        <v>0.57580299999999995</v>
      </c>
      <c r="CO55" s="83">
        <v>6.5286399999999994E-2</v>
      </c>
      <c r="CP55" s="83">
        <v>4.5499E-3</v>
      </c>
      <c r="CQ55" s="83">
        <v>0.55311399999999999</v>
      </c>
      <c r="CR55" s="83">
        <v>6.3525799999999993E-2</v>
      </c>
      <c r="CS55" s="83">
        <v>4.5499E-3</v>
      </c>
      <c r="CT55" s="83">
        <v>0.53559100000000004</v>
      </c>
      <c r="CU55" s="83">
        <v>6.2558199999999994E-2</v>
      </c>
      <c r="CV55" s="83">
        <v>4.5499E-3</v>
      </c>
      <c r="CW55" s="83">
        <v>0.55021100000000001</v>
      </c>
      <c r="CX55" s="83">
        <v>6.4599900000000002E-2</v>
      </c>
      <c r="CY55" s="83">
        <v>4.5499E-3</v>
      </c>
      <c r="CZ55" s="83">
        <v>0.553643</v>
      </c>
      <c r="DA55" s="83">
        <v>6.5588999999999995E-2</v>
      </c>
    </row>
    <row r="56" spans="1:105" x14ac:dyDescent="0.2">
      <c r="A56" s="83">
        <v>4.6499000000000002E-3</v>
      </c>
      <c r="B56" s="83">
        <v>0.54863499999999998</v>
      </c>
      <c r="C56" s="83">
        <v>5.9528499999999998E-2</v>
      </c>
      <c r="D56" s="83">
        <v>4.6499000000000002E-3</v>
      </c>
      <c r="E56" s="83">
        <v>0.55803199999999997</v>
      </c>
      <c r="F56" s="83">
        <v>5.9750600000000001E-2</v>
      </c>
      <c r="G56" s="83">
        <v>4.6499000000000002E-3</v>
      </c>
      <c r="H56" s="83">
        <v>0.57134799999999997</v>
      </c>
      <c r="I56" s="83">
        <v>6.0491099999999999E-2</v>
      </c>
      <c r="J56" s="83">
        <v>4.6499000000000002E-3</v>
      </c>
      <c r="K56" s="83">
        <v>0.58497100000000002</v>
      </c>
      <c r="L56" s="83">
        <v>6.1340499999999999E-2</v>
      </c>
      <c r="M56" s="83">
        <v>4.6499000000000002E-3</v>
      </c>
      <c r="N56" s="83">
        <v>0.60571200000000003</v>
      </c>
      <c r="O56" s="83">
        <v>6.2271600000000003E-2</v>
      </c>
      <c r="P56" s="83">
        <v>4.6499000000000002E-3</v>
      </c>
      <c r="Q56" s="83">
        <v>0.58828499999999995</v>
      </c>
      <c r="R56" s="83">
        <v>6.0550600000000003E-2</v>
      </c>
      <c r="S56" s="83">
        <v>4.6499000000000002E-3</v>
      </c>
      <c r="T56" s="83">
        <v>0.59375100000000003</v>
      </c>
      <c r="U56" s="83">
        <v>6.04798E-2</v>
      </c>
      <c r="V56" s="83">
        <v>4.6499000000000002E-3</v>
      </c>
      <c r="W56" s="83">
        <v>0.59011199999999997</v>
      </c>
      <c r="X56" s="83">
        <v>6.0256299999999999E-2</v>
      </c>
      <c r="Y56" s="83">
        <v>4.6499000000000002E-3</v>
      </c>
      <c r="Z56" s="83">
        <v>0.589835</v>
      </c>
      <c r="AA56" s="83">
        <v>6.0449200000000002E-2</v>
      </c>
      <c r="AB56" s="83">
        <v>4.6499000000000002E-3</v>
      </c>
      <c r="AC56" s="83">
        <v>0.58359399999999995</v>
      </c>
      <c r="AD56" s="83">
        <v>6.0100800000000003E-2</v>
      </c>
      <c r="AE56" s="83">
        <v>4.6499000000000002E-3</v>
      </c>
      <c r="AF56" s="83">
        <v>0.57871700000000004</v>
      </c>
      <c r="AG56" s="83">
        <v>5.9709499999999999E-2</v>
      </c>
      <c r="AH56" s="83">
        <v>4.6499000000000002E-3</v>
      </c>
      <c r="AI56" s="83">
        <v>0.59075599999999995</v>
      </c>
      <c r="AJ56" s="83">
        <v>6.1226700000000002E-2</v>
      </c>
      <c r="AK56" s="83">
        <v>4.6499000000000002E-3</v>
      </c>
      <c r="AL56" s="83">
        <v>0.60669799999999996</v>
      </c>
      <c r="AM56" s="83">
        <v>6.2937699999999999E-2</v>
      </c>
      <c r="AN56" s="83">
        <v>4.6499000000000002E-3</v>
      </c>
      <c r="AO56" s="83">
        <v>0.572465</v>
      </c>
      <c r="AP56" s="83">
        <v>5.9908799999999998E-2</v>
      </c>
      <c r="AQ56" s="83">
        <v>4.6499000000000002E-3</v>
      </c>
      <c r="AR56" s="83">
        <v>0.56876000000000004</v>
      </c>
      <c r="AS56" s="83">
        <v>5.9867499999999997E-2</v>
      </c>
      <c r="AT56" s="83">
        <v>4.6499000000000002E-3</v>
      </c>
      <c r="AU56" s="83">
        <v>0.58070699999999997</v>
      </c>
      <c r="AV56" s="83">
        <v>6.1152100000000001E-2</v>
      </c>
      <c r="AW56" s="83">
        <v>4.6499000000000002E-3</v>
      </c>
      <c r="AX56" s="83">
        <v>0.58381300000000003</v>
      </c>
      <c r="AY56" s="83">
        <v>6.1901100000000001E-2</v>
      </c>
      <c r="AZ56" s="83">
        <v>4.6499000000000002E-3</v>
      </c>
      <c r="BA56" s="83">
        <v>0.58312699999999995</v>
      </c>
      <c r="BB56" s="83">
        <v>6.2121900000000001E-2</v>
      </c>
      <c r="BC56" s="83">
        <v>4.6499000000000002E-3</v>
      </c>
      <c r="BD56" s="83">
        <v>0.58302699999999996</v>
      </c>
      <c r="BE56" s="83">
        <v>6.23984E-2</v>
      </c>
      <c r="BF56" s="83">
        <v>4.6499000000000002E-3</v>
      </c>
      <c r="BG56" s="83">
        <v>0.57001100000000005</v>
      </c>
      <c r="BH56" s="83">
        <v>6.1515E-2</v>
      </c>
      <c r="BI56" s="83">
        <v>4.6499000000000002E-3</v>
      </c>
      <c r="BJ56" s="83">
        <v>0.57008000000000003</v>
      </c>
      <c r="BK56" s="83">
        <v>6.1821899999999999E-2</v>
      </c>
      <c r="BL56" s="83">
        <v>4.6499000000000002E-3</v>
      </c>
      <c r="BM56" s="83">
        <v>0.56400700000000004</v>
      </c>
      <c r="BN56" s="83">
        <v>6.1501E-2</v>
      </c>
      <c r="BO56" s="83">
        <v>4.6499000000000002E-3</v>
      </c>
      <c r="BP56" s="83">
        <v>0.557168</v>
      </c>
      <c r="BQ56" s="83">
        <v>6.1165799999999999E-2</v>
      </c>
      <c r="BR56" s="83">
        <v>4.6499000000000002E-3</v>
      </c>
      <c r="BS56" s="83">
        <v>0.56732400000000005</v>
      </c>
      <c r="BT56" s="83">
        <v>6.2343000000000003E-2</v>
      </c>
      <c r="BU56" s="83">
        <v>4.6499000000000002E-3</v>
      </c>
      <c r="BV56" s="83">
        <v>0.558674</v>
      </c>
      <c r="BW56" s="83">
        <v>6.1700499999999998E-2</v>
      </c>
      <c r="BX56" s="83">
        <v>4.6499000000000002E-3</v>
      </c>
      <c r="BY56" s="83">
        <v>0.54025299999999998</v>
      </c>
      <c r="BZ56" s="83">
        <v>6.01036E-2</v>
      </c>
      <c r="CA56" s="83">
        <v>4.6499000000000002E-3</v>
      </c>
      <c r="CB56" s="83">
        <v>0.54830800000000002</v>
      </c>
      <c r="CC56" s="83">
        <v>6.1102099999999999E-2</v>
      </c>
      <c r="CD56" s="83">
        <v>4.6499000000000002E-3</v>
      </c>
      <c r="CE56" s="83">
        <v>0.54295800000000005</v>
      </c>
      <c r="CF56" s="83">
        <v>6.0908999999999998E-2</v>
      </c>
      <c r="CG56" s="83">
        <v>4.6499000000000002E-3</v>
      </c>
      <c r="CH56" s="83">
        <v>0.54017199999999999</v>
      </c>
      <c r="CI56" s="83">
        <v>6.08963E-2</v>
      </c>
      <c r="CJ56" s="83">
        <v>4.6499000000000002E-3</v>
      </c>
      <c r="CK56" s="83">
        <v>0.54585899999999998</v>
      </c>
      <c r="CL56" s="83">
        <v>6.1923199999999998E-2</v>
      </c>
      <c r="CM56" s="83">
        <v>4.6499000000000002E-3</v>
      </c>
      <c r="CN56" s="83">
        <v>0.54376199999999997</v>
      </c>
      <c r="CO56" s="83">
        <v>6.2126199999999999E-2</v>
      </c>
      <c r="CP56" s="83">
        <v>4.6499000000000002E-3</v>
      </c>
      <c r="CQ56" s="83">
        <v>0.52140500000000001</v>
      </c>
      <c r="CR56" s="83">
        <v>6.0455500000000002E-2</v>
      </c>
      <c r="CS56" s="83">
        <v>4.6499000000000002E-3</v>
      </c>
      <c r="CT56" s="83">
        <v>0.50519999999999998</v>
      </c>
      <c r="CU56" s="83">
        <v>5.9519099999999998E-2</v>
      </c>
      <c r="CV56" s="83">
        <v>4.6499000000000002E-3</v>
      </c>
      <c r="CW56" s="83">
        <v>0.518204</v>
      </c>
      <c r="CX56" s="83">
        <v>6.1468000000000002E-2</v>
      </c>
      <c r="CY56" s="83">
        <v>4.6499000000000002E-3</v>
      </c>
      <c r="CZ56" s="83">
        <v>0.52095199999999997</v>
      </c>
      <c r="DA56" s="83">
        <v>6.2412200000000001E-2</v>
      </c>
    </row>
    <row r="57" spans="1:105" x14ac:dyDescent="0.2">
      <c r="A57" s="83">
        <v>4.7498999999999996E-3</v>
      </c>
      <c r="B57" s="83">
        <v>0.52184699999999995</v>
      </c>
      <c r="C57" s="83">
        <v>5.6627200000000003E-2</v>
      </c>
      <c r="D57" s="83">
        <v>4.7498999999999996E-3</v>
      </c>
      <c r="E57" s="83">
        <v>0.53068899999999997</v>
      </c>
      <c r="F57" s="83">
        <v>5.68443E-2</v>
      </c>
      <c r="G57" s="83">
        <v>4.7498999999999996E-3</v>
      </c>
      <c r="H57" s="83">
        <v>0.54341399999999995</v>
      </c>
      <c r="I57" s="83">
        <v>5.7520399999999999E-2</v>
      </c>
      <c r="J57" s="83">
        <v>4.7498999999999996E-3</v>
      </c>
      <c r="K57" s="83">
        <v>0.55671899999999996</v>
      </c>
      <c r="L57" s="83">
        <v>5.8323800000000002E-2</v>
      </c>
      <c r="M57" s="83">
        <v>4.7498999999999996E-3</v>
      </c>
      <c r="N57" s="83">
        <v>0.57611800000000002</v>
      </c>
      <c r="O57" s="83">
        <v>5.9203199999999997E-2</v>
      </c>
      <c r="P57" s="83">
        <v>4.7498999999999996E-3</v>
      </c>
      <c r="Q57" s="83">
        <v>0.55988700000000002</v>
      </c>
      <c r="R57" s="83">
        <v>5.7598400000000001E-2</v>
      </c>
      <c r="S57" s="83">
        <v>4.7498999999999996E-3</v>
      </c>
      <c r="T57" s="83">
        <v>0.56460999999999995</v>
      </c>
      <c r="U57" s="83">
        <v>5.7560800000000002E-2</v>
      </c>
      <c r="V57" s="83">
        <v>4.7498999999999996E-3</v>
      </c>
      <c r="W57" s="83">
        <v>0.56098599999999998</v>
      </c>
      <c r="X57" s="83">
        <v>5.73158E-2</v>
      </c>
      <c r="Y57" s="83">
        <v>4.7498999999999996E-3</v>
      </c>
      <c r="Z57" s="83">
        <v>0.56079699999999999</v>
      </c>
      <c r="AA57" s="83">
        <v>5.7502900000000003E-2</v>
      </c>
      <c r="AB57" s="83">
        <v>4.7498999999999996E-3</v>
      </c>
      <c r="AC57" s="83">
        <v>0.55456099999999997</v>
      </c>
      <c r="AD57" s="83">
        <v>5.7164300000000001E-2</v>
      </c>
      <c r="AE57" s="83">
        <v>4.7498999999999996E-3</v>
      </c>
      <c r="AF57" s="83">
        <v>0.54950299999999996</v>
      </c>
      <c r="AG57" s="83">
        <v>5.6805300000000003E-2</v>
      </c>
      <c r="AH57" s="83">
        <v>4.7498999999999996E-3</v>
      </c>
      <c r="AI57" s="83">
        <v>0.56100000000000005</v>
      </c>
      <c r="AJ57" s="83">
        <v>5.8224699999999997E-2</v>
      </c>
      <c r="AK57" s="83">
        <v>4.7498999999999996E-3</v>
      </c>
      <c r="AL57" s="83">
        <v>0.57588300000000003</v>
      </c>
      <c r="AM57" s="83">
        <v>5.9893799999999997E-2</v>
      </c>
      <c r="AN57" s="83">
        <v>4.7498999999999996E-3</v>
      </c>
      <c r="AO57" s="83">
        <v>0.54351400000000005</v>
      </c>
      <c r="AP57" s="83">
        <v>5.7016200000000003E-2</v>
      </c>
      <c r="AQ57" s="83">
        <v>4.7498999999999996E-3</v>
      </c>
      <c r="AR57" s="83">
        <v>0.53917000000000004</v>
      </c>
      <c r="AS57" s="83">
        <v>5.69437E-2</v>
      </c>
      <c r="AT57" s="83">
        <v>4.7498999999999996E-3</v>
      </c>
      <c r="AU57" s="83">
        <v>0.55077500000000001</v>
      </c>
      <c r="AV57" s="83">
        <v>5.8163800000000002E-2</v>
      </c>
      <c r="AW57" s="83">
        <v>4.7498999999999996E-3</v>
      </c>
      <c r="AX57" s="83">
        <v>0.55368600000000001</v>
      </c>
      <c r="AY57" s="83">
        <v>5.8914800000000003E-2</v>
      </c>
      <c r="AZ57" s="83">
        <v>4.7498999999999996E-3</v>
      </c>
      <c r="BA57" s="83">
        <v>0.55272600000000005</v>
      </c>
      <c r="BB57" s="83">
        <v>5.9098499999999998E-2</v>
      </c>
      <c r="BC57" s="83">
        <v>4.7498999999999996E-3</v>
      </c>
      <c r="BD57" s="83">
        <v>0.55229899999999998</v>
      </c>
      <c r="BE57" s="83">
        <v>5.9339799999999998E-2</v>
      </c>
      <c r="BF57" s="83">
        <v>4.7498999999999996E-3</v>
      </c>
      <c r="BG57" s="83">
        <v>0.53983499999999995</v>
      </c>
      <c r="BH57" s="83">
        <v>5.8511100000000003E-2</v>
      </c>
      <c r="BI57" s="83">
        <v>4.7498999999999996E-3</v>
      </c>
      <c r="BJ57" s="83">
        <v>0.53979200000000005</v>
      </c>
      <c r="BK57" s="83">
        <v>5.8826799999999999E-2</v>
      </c>
      <c r="BL57" s="83">
        <v>4.7498999999999996E-3</v>
      </c>
      <c r="BM57" s="83">
        <v>0.53340100000000001</v>
      </c>
      <c r="BN57" s="83">
        <v>5.8507900000000002E-2</v>
      </c>
      <c r="BO57" s="83">
        <v>4.7498999999999996E-3</v>
      </c>
      <c r="BP57" s="83">
        <v>0.52713900000000002</v>
      </c>
      <c r="BQ57" s="83">
        <v>5.81746E-2</v>
      </c>
      <c r="BR57" s="83">
        <v>4.7498999999999996E-3</v>
      </c>
      <c r="BS57" s="83">
        <v>0.53653799999999996</v>
      </c>
      <c r="BT57" s="83">
        <v>5.9300100000000001E-2</v>
      </c>
      <c r="BU57" s="83">
        <v>4.7498999999999996E-3</v>
      </c>
      <c r="BV57" s="83">
        <v>0.52795099999999995</v>
      </c>
      <c r="BW57" s="83">
        <v>5.8655600000000002E-2</v>
      </c>
      <c r="BX57" s="83">
        <v>4.7498999999999996E-3</v>
      </c>
      <c r="BY57" s="83">
        <v>0.51085400000000003</v>
      </c>
      <c r="BZ57" s="83">
        <v>5.7187599999999998E-2</v>
      </c>
      <c r="CA57" s="83">
        <v>4.7498999999999996E-3</v>
      </c>
      <c r="CB57" s="83">
        <v>0.51783999999999997</v>
      </c>
      <c r="CC57" s="83">
        <v>5.8155800000000001E-2</v>
      </c>
      <c r="CD57" s="83">
        <v>4.7498999999999996E-3</v>
      </c>
      <c r="CE57" s="83">
        <v>0.51237200000000005</v>
      </c>
      <c r="CF57" s="83">
        <v>5.7919699999999998E-2</v>
      </c>
      <c r="CG57" s="83">
        <v>4.7498999999999996E-3</v>
      </c>
      <c r="CH57" s="83">
        <v>0.51005999999999996</v>
      </c>
      <c r="CI57" s="83">
        <v>5.7938299999999998E-2</v>
      </c>
      <c r="CJ57" s="83">
        <v>4.7498999999999996E-3</v>
      </c>
      <c r="CK57" s="83">
        <v>0.51437500000000003</v>
      </c>
      <c r="CL57" s="83">
        <v>5.8863600000000002E-2</v>
      </c>
      <c r="CM57" s="83">
        <v>4.7498999999999996E-3</v>
      </c>
      <c r="CN57" s="83">
        <v>0.51261900000000005</v>
      </c>
      <c r="CO57" s="83">
        <v>5.9099899999999997E-2</v>
      </c>
      <c r="CP57" s="83">
        <v>4.7498999999999996E-3</v>
      </c>
      <c r="CQ57" s="83">
        <v>0.49190299999999998</v>
      </c>
      <c r="CR57" s="83">
        <v>5.7488699999999997E-2</v>
      </c>
      <c r="CS57" s="83">
        <v>4.7498999999999996E-3</v>
      </c>
      <c r="CT57" s="83">
        <v>0.47590300000000002</v>
      </c>
      <c r="CU57" s="83">
        <v>5.6632399999999999E-2</v>
      </c>
      <c r="CV57" s="83">
        <v>4.7498999999999996E-3</v>
      </c>
      <c r="CW57" s="83">
        <v>0.48821399999999998</v>
      </c>
      <c r="CX57" s="83">
        <v>5.8457299999999997E-2</v>
      </c>
      <c r="CY57" s="83">
        <v>4.7498999999999996E-3</v>
      </c>
      <c r="CZ57" s="83">
        <v>0.49053200000000002</v>
      </c>
      <c r="DA57" s="83">
        <v>5.9358500000000002E-2</v>
      </c>
    </row>
    <row r="58" spans="1:105" x14ac:dyDescent="0.2">
      <c r="A58" s="83">
        <v>4.8498999999999999E-3</v>
      </c>
      <c r="B58" s="83">
        <v>0.49619799999999997</v>
      </c>
      <c r="C58" s="83">
        <v>5.3884000000000001E-2</v>
      </c>
      <c r="D58" s="83">
        <v>4.8498999999999999E-3</v>
      </c>
      <c r="E58" s="83">
        <v>0.50510699999999997</v>
      </c>
      <c r="F58" s="83">
        <v>5.4082600000000002E-2</v>
      </c>
      <c r="G58" s="83">
        <v>4.8498999999999999E-3</v>
      </c>
      <c r="H58" s="83">
        <v>0.51687099999999997</v>
      </c>
      <c r="I58" s="83">
        <v>5.4749899999999997E-2</v>
      </c>
      <c r="J58" s="83">
        <v>4.8498999999999999E-3</v>
      </c>
      <c r="K58" s="83">
        <v>0.52950699999999995</v>
      </c>
      <c r="L58" s="83">
        <v>5.5505499999999999E-2</v>
      </c>
      <c r="M58" s="83">
        <v>4.8498999999999999E-3</v>
      </c>
      <c r="N58" s="83">
        <v>0.54756800000000005</v>
      </c>
      <c r="O58" s="83">
        <v>5.6326300000000003E-2</v>
      </c>
      <c r="P58" s="83">
        <v>4.8498999999999999E-3</v>
      </c>
      <c r="Q58" s="83">
        <v>0.53221099999999999</v>
      </c>
      <c r="R58" s="83">
        <v>5.4798600000000003E-2</v>
      </c>
      <c r="S58" s="83">
        <v>4.8498999999999999E-3</v>
      </c>
      <c r="T58" s="83">
        <v>0.53689600000000004</v>
      </c>
      <c r="U58" s="83">
        <v>5.4770800000000001E-2</v>
      </c>
      <c r="V58" s="83">
        <v>4.8498999999999999E-3</v>
      </c>
      <c r="W58" s="83">
        <v>0.53276299999999999</v>
      </c>
      <c r="X58" s="83">
        <v>5.4545299999999998E-2</v>
      </c>
      <c r="Y58" s="83">
        <v>4.8498999999999999E-3</v>
      </c>
      <c r="Z58" s="83">
        <v>0.53268099999999996</v>
      </c>
      <c r="AA58" s="83">
        <v>5.47324E-2</v>
      </c>
      <c r="AB58" s="83">
        <v>4.8498999999999999E-3</v>
      </c>
      <c r="AC58" s="83">
        <v>0.52669500000000002</v>
      </c>
      <c r="AD58" s="83">
        <v>5.4381100000000002E-2</v>
      </c>
      <c r="AE58" s="83">
        <v>4.8498999999999999E-3</v>
      </c>
      <c r="AF58" s="83">
        <v>0.52116799999999996</v>
      </c>
      <c r="AG58" s="83">
        <v>5.4058200000000001E-2</v>
      </c>
      <c r="AH58" s="83">
        <v>4.8498999999999999E-3</v>
      </c>
      <c r="AI58" s="83">
        <v>0.53205000000000002</v>
      </c>
      <c r="AJ58" s="83">
        <v>5.5389800000000003E-2</v>
      </c>
      <c r="AK58" s="83">
        <v>4.8498999999999999E-3</v>
      </c>
      <c r="AL58" s="83">
        <v>0.54661999999999999</v>
      </c>
      <c r="AM58" s="83">
        <v>5.6966099999999999E-2</v>
      </c>
      <c r="AN58" s="83">
        <v>4.8498999999999999E-3</v>
      </c>
      <c r="AO58" s="83">
        <v>0.51539900000000005</v>
      </c>
      <c r="AP58" s="83">
        <v>5.4233000000000003E-2</v>
      </c>
      <c r="AQ58" s="83">
        <v>4.8498999999999999E-3</v>
      </c>
      <c r="AR58" s="83">
        <v>0.51094200000000001</v>
      </c>
      <c r="AS58" s="83">
        <v>5.4199600000000001E-2</v>
      </c>
      <c r="AT58" s="83">
        <v>4.8498999999999999E-3</v>
      </c>
      <c r="AU58" s="83">
        <v>0.52142900000000003</v>
      </c>
      <c r="AV58" s="83">
        <v>5.53552E-2</v>
      </c>
      <c r="AW58" s="83">
        <v>4.8498999999999999E-3</v>
      </c>
      <c r="AX58" s="83">
        <v>0.524594</v>
      </c>
      <c r="AY58" s="83">
        <v>5.6022200000000001E-2</v>
      </c>
      <c r="AZ58" s="83">
        <v>4.8498999999999999E-3</v>
      </c>
      <c r="BA58" s="83">
        <v>0.52358099999999996</v>
      </c>
      <c r="BB58" s="83">
        <v>5.6227399999999997E-2</v>
      </c>
      <c r="BC58" s="83">
        <v>4.8498999999999999E-3</v>
      </c>
      <c r="BD58" s="83">
        <v>0.52287099999999997</v>
      </c>
      <c r="BE58" s="83">
        <v>5.6459000000000002E-2</v>
      </c>
      <c r="BF58" s="83">
        <v>4.8498999999999999E-3</v>
      </c>
      <c r="BG58" s="83">
        <v>0.51080199999999998</v>
      </c>
      <c r="BH58" s="83">
        <v>5.5673199999999999E-2</v>
      </c>
      <c r="BI58" s="83">
        <v>4.8498999999999999E-3</v>
      </c>
      <c r="BJ58" s="83">
        <v>0.51052500000000001</v>
      </c>
      <c r="BK58" s="83">
        <v>5.5990900000000003E-2</v>
      </c>
      <c r="BL58" s="83">
        <v>4.8498999999999999E-3</v>
      </c>
      <c r="BM58" s="83">
        <v>0.50495900000000005</v>
      </c>
      <c r="BN58" s="83">
        <v>5.56778E-2</v>
      </c>
      <c r="BO58" s="83">
        <v>4.8498999999999999E-3</v>
      </c>
      <c r="BP58" s="83">
        <v>0.49858400000000003</v>
      </c>
      <c r="BQ58" s="83">
        <v>5.5337600000000001E-2</v>
      </c>
      <c r="BR58" s="83">
        <v>4.8498999999999999E-3</v>
      </c>
      <c r="BS58" s="83">
        <v>0.50720699999999996</v>
      </c>
      <c r="BT58" s="83">
        <v>5.6424099999999998E-2</v>
      </c>
      <c r="BU58" s="83">
        <v>4.8498999999999999E-3</v>
      </c>
      <c r="BV58" s="83">
        <v>0.49924000000000002</v>
      </c>
      <c r="BW58" s="83">
        <v>5.5821599999999999E-2</v>
      </c>
      <c r="BX58" s="83">
        <v>4.8498999999999999E-3</v>
      </c>
      <c r="BY58" s="83">
        <v>0.48268</v>
      </c>
      <c r="BZ58" s="83">
        <v>5.4428799999999999E-2</v>
      </c>
      <c r="CA58" s="83">
        <v>4.8498999999999999E-3</v>
      </c>
      <c r="CB58" s="83">
        <v>0.48873800000000001</v>
      </c>
      <c r="CC58" s="83">
        <v>5.53296E-2</v>
      </c>
      <c r="CD58" s="83">
        <v>4.8498999999999999E-3</v>
      </c>
      <c r="CE58" s="83">
        <v>0.48366599999999998</v>
      </c>
      <c r="CF58" s="83">
        <v>5.5126700000000001E-2</v>
      </c>
      <c r="CG58" s="83">
        <v>4.8498999999999999E-3</v>
      </c>
      <c r="CH58" s="83">
        <v>0.48120200000000002</v>
      </c>
      <c r="CI58" s="83">
        <v>5.5129699999999997E-2</v>
      </c>
      <c r="CJ58" s="83">
        <v>4.8498999999999999E-3</v>
      </c>
      <c r="CK58" s="83">
        <v>0.485454</v>
      </c>
      <c r="CL58" s="83">
        <v>5.6002299999999998E-2</v>
      </c>
      <c r="CM58" s="83">
        <v>4.8498999999999999E-3</v>
      </c>
      <c r="CN58" s="83">
        <v>0.483352</v>
      </c>
      <c r="CO58" s="83">
        <v>5.62415E-2</v>
      </c>
      <c r="CP58" s="83">
        <v>4.8498999999999999E-3</v>
      </c>
      <c r="CQ58" s="83">
        <v>0.46296300000000001</v>
      </c>
      <c r="CR58" s="83">
        <v>5.4715300000000001E-2</v>
      </c>
      <c r="CS58" s="83">
        <v>4.8498999999999999E-3</v>
      </c>
      <c r="CT58" s="83">
        <v>0.44819300000000001</v>
      </c>
      <c r="CU58" s="83">
        <v>5.38883E-2</v>
      </c>
      <c r="CV58" s="83">
        <v>4.8498999999999999E-3</v>
      </c>
      <c r="CW58" s="83">
        <v>0.45999600000000002</v>
      </c>
      <c r="CX58" s="83">
        <v>5.5631100000000003E-2</v>
      </c>
      <c r="CY58" s="83">
        <v>4.8498999999999999E-3</v>
      </c>
      <c r="CZ58" s="83">
        <v>0.46238299999999999</v>
      </c>
      <c r="DA58" s="83">
        <v>5.64669E-2</v>
      </c>
    </row>
    <row r="59" spans="1:105" x14ac:dyDescent="0.2">
      <c r="A59" s="83">
        <v>4.9499000000000001E-3</v>
      </c>
      <c r="B59" s="83">
        <v>0.47248200000000001</v>
      </c>
      <c r="C59" s="83">
        <v>5.1275599999999998E-2</v>
      </c>
      <c r="D59" s="83">
        <v>4.9499000000000001E-3</v>
      </c>
      <c r="E59" s="83">
        <v>0.48015600000000003</v>
      </c>
      <c r="F59" s="83">
        <v>5.14644E-2</v>
      </c>
      <c r="G59" s="83">
        <v>4.9499000000000001E-3</v>
      </c>
      <c r="H59" s="83">
        <v>0.49192000000000002</v>
      </c>
      <c r="I59" s="83">
        <v>5.2100399999999998E-2</v>
      </c>
      <c r="J59" s="83">
        <v>4.9499000000000001E-3</v>
      </c>
      <c r="K59" s="83">
        <v>0.50301799999999997</v>
      </c>
      <c r="L59" s="83">
        <v>5.2825799999999999E-2</v>
      </c>
      <c r="M59" s="83">
        <v>4.9499000000000001E-3</v>
      </c>
      <c r="N59" s="83">
        <v>0.52077099999999998</v>
      </c>
      <c r="O59" s="83">
        <v>5.3586099999999998E-2</v>
      </c>
      <c r="P59" s="83">
        <v>4.9499000000000001E-3</v>
      </c>
      <c r="Q59" s="83">
        <v>0.50551199999999996</v>
      </c>
      <c r="R59" s="83">
        <v>5.2164799999999997E-2</v>
      </c>
      <c r="S59" s="83">
        <v>4.9499000000000001E-3</v>
      </c>
      <c r="T59" s="83">
        <v>0.50968899999999995</v>
      </c>
      <c r="U59" s="83">
        <v>5.2105699999999998E-2</v>
      </c>
      <c r="V59" s="83">
        <v>4.9499000000000001E-3</v>
      </c>
      <c r="W59" s="83">
        <v>0.50593200000000005</v>
      </c>
      <c r="X59" s="83">
        <v>5.1944700000000003E-2</v>
      </c>
      <c r="Y59" s="83">
        <v>4.9499000000000001E-3</v>
      </c>
      <c r="Z59" s="83">
        <v>0.50565499999999997</v>
      </c>
      <c r="AA59" s="83">
        <v>5.21065E-2</v>
      </c>
      <c r="AB59" s="83">
        <v>4.9499000000000001E-3</v>
      </c>
      <c r="AC59" s="83">
        <v>0.49984400000000001</v>
      </c>
      <c r="AD59" s="83">
        <v>5.17834E-2</v>
      </c>
      <c r="AE59" s="83">
        <v>4.9499000000000001E-3</v>
      </c>
      <c r="AF59" s="83">
        <v>0.49495299999999998</v>
      </c>
      <c r="AG59" s="83">
        <v>5.1457599999999999E-2</v>
      </c>
      <c r="AH59" s="83">
        <v>4.9499000000000001E-3</v>
      </c>
      <c r="AI59" s="83">
        <v>0.50514999999999999</v>
      </c>
      <c r="AJ59" s="83">
        <v>5.2751100000000002E-2</v>
      </c>
      <c r="AK59" s="83">
        <v>4.9499000000000001E-3</v>
      </c>
      <c r="AL59" s="83">
        <v>0.51818699999999995</v>
      </c>
      <c r="AM59" s="83">
        <v>5.4205299999999998E-2</v>
      </c>
      <c r="AN59" s="83">
        <v>4.9499000000000001E-3</v>
      </c>
      <c r="AO59" s="83">
        <v>0.48787999999999998</v>
      </c>
      <c r="AP59" s="83">
        <v>5.1628500000000001E-2</v>
      </c>
      <c r="AQ59" s="83">
        <v>4.9499000000000001E-3</v>
      </c>
      <c r="AR59" s="83">
        <v>0.48447800000000002</v>
      </c>
      <c r="AS59" s="83">
        <v>5.1570699999999997E-2</v>
      </c>
      <c r="AT59" s="83">
        <v>4.9499000000000001E-3</v>
      </c>
      <c r="AU59" s="83">
        <v>0.49427100000000002</v>
      </c>
      <c r="AV59" s="83">
        <v>5.26668E-2</v>
      </c>
      <c r="AW59" s="83">
        <v>4.9499000000000001E-3</v>
      </c>
      <c r="AX59" s="83">
        <v>0.49682100000000001</v>
      </c>
      <c r="AY59" s="83">
        <v>5.33357E-2</v>
      </c>
      <c r="AZ59" s="83">
        <v>4.9499000000000001E-3</v>
      </c>
      <c r="BA59" s="83">
        <v>0.49559700000000001</v>
      </c>
      <c r="BB59" s="83">
        <v>5.35565E-2</v>
      </c>
      <c r="BC59" s="83">
        <v>4.9499000000000001E-3</v>
      </c>
      <c r="BD59" s="83">
        <v>0.494892</v>
      </c>
      <c r="BE59" s="83">
        <v>5.3710899999999999E-2</v>
      </c>
      <c r="BF59" s="83">
        <v>4.9499000000000001E-3</v>
      </c>
      <c r="BG59" s="83">
        <v>0.48369299999999998</v>
      </c>
      <c r="BH59" s="83">
        <v>5.2986699999999998E-2</v>
      </c>
      <c r="BI59" s="83">
        <v>4.9499000000000001E-3</v>
      </c>
      <c r="BJ59" s="83">
        <v>0.483572</v>
      </c>
      <c r="BK59" s="83">
        <v>5.3269200000000003E-2</v>
      </c>
      <c r="BL59" s="83">
        <v>4.9499000000000001E-3</v>
      </c>
      <c r="BM59" s="83">
        <v>0.47806900000000002</v>
      </c>
      <c r="BN59" s="83">
        <v>5.3005900000000002E-2</v>
      </c>
      <c r="BO59" s="83">
        <v>4.9499000000000001E-3</v>
      </c>
      <c r="BP59" s="83">
        <v>0.47127999999999998</v>
      </c>
      <c r="BQ59" s="83">
        <v>5.2688199999999998E-2</v>
      </c>
      <c r="BR59" s="83">
        <v>4.9499000000000001E-3</v>
      </c>
      <c r="BS59" s="83">
        <v>0.47944300000000001</v>
      </c>
      <c r="BT59" s="83">
        <v>5.3696599999999997E-2</v>
      </c>
      <c r="BU59" s="83">
        <v>4.9499000000000001E-3</v>
      </c>
      <c r="BV59" s="83">
        <v>0.47182800000000003</v>
      </c>
      <c r="BW59" s="83">
        <v>5.31224E-2</v>
      </c>
      <c r="BX59" s="83">
        <v>4.9499000000000001E-3</v>
      </c>
      <c r="BY59" s="83">
        <v>0.45578999999999997</v>
      </c>
      <c r="BZ59" s="83">
        <v>5.1826200000000003E-2</v>
      </c>
      <c r="CA59" s="83">
        <v>4.9499000000000001E-3</v>
      </c>
      <c r="CB59" s="83">
        <v>0.46113999999999999</v>
      </c>
      <c r="CC59" s="83">
        <v>5.26509E-2</v>
      </c>
      <c r="CD59" s="83">
        <v>4.9499000000000001E-3</v>
      </c>
      <c r="CE59" s="83">
        <v>0.456654</v>
      </c>
      <c r="CF59" s="83">
        <v>5.2453899999999998E-2</v>
      </c>
      <c r="CG59" s="83">
        <v>4.9499000000000001E-3</v>
      </c>
      <c r="CH59" s="83">
        <v>0.454264</v>
      </c>
      <c r="CI59" s="83">
        <v>5.2455799999999997E-2</v>
      </c>
      <c r="CJ59" s="83">
        <v>4.9499000000000001E-3</v>
      </c>
      <c r="CK59" s="83">
        <v>0.457959</v>
      </c>
      <c r="CL59" s="83">
        <v>5.3293300000000002E-2</v>
      </c>
      <c r="CM59" s="83">
        <v>4.9499000000000001E-3</v>
      </c>
      <c r="CN59" s="83">
        <v>0.45573999999999998</v>
      </c>
      <c r="CO59" s="83">
        <v>5.3500300000000001E-2</v>
      </c>
      <c r="CP59" s="83">
        <v>4.9499000000000001E-3</v>
      </c>
      <c r="CQ59" s="83">
        <v>0.436195</v>
      </c>
      <c r="CR59" s="83">
        <v>5.2081500000000003E-2</v>
      </c>
      <c r="CS59" s="83">
        <v>4.9499000000000001E-3</v>
      </c>
      <c r="CT59" s="83">
        <v>0.42192400000000002</v>
      </c>
      <c r="CU59" s="83">
        <v>5.1312099999999999E-2</v>
      </c>
      <c r="CV59" s="83">
        <v>4.9499000000000001E-3</v>
      </c>
      <c r="CW59" s="83">
        <v>0.43244700000000003</v>
      </c>
      <c r="CX59" s="83">
        <v>5.2927000000000002E-2</v>
      </c>
      <c r="CY59" s="83">
        <v>4.9499000000000001E-3</v>
      </c>
      <c r="CZ59" s="83">
        <v>0.43507299999999999</v>
      </c>
      <c r="DA59" s="83">
        <v>5.3730600000000003E-2</v>
      </c>
    </row>
    <row r="60" spans="1:105" x14ac:dyDescent="0.2">
      <c r="A60" s="83">
        <v>5.0499000000000004E-3</v>
      </c>
      <c r="B60" s="83">
        <v>0.44872699999999999</v>
      </c>
      <c r="C60" s="83">
        <v>4.8814700000000003E-2</v>
      </c>
      <c r="D60" s="83">
        <v>5.0499000000000004E-3</v>
      </c>
      <c r="E60" s="83">
        <v>0.45632299999999998</v>
      </c>
      <c r="F60" s="83">
        <v>4.90074E-2</v>
      </c>
      <c r="G60" s="83">
        <v>5.0499000000000004E-3</v>
      </c>
      <c r="H60" s="83">
        <v>0.46743200000000001</v>
      </c>
      <c r="I60" s="83">
        <v>4.9609199999999999E-2</v>
      </c>
      <c r="J60" s="83">
        <v>5.0499000000000004E-3</v>
      </c>
      <c r="K60" s="83">
        <v>0.47811599999999999</v>
      </c>
      <c r="L60" s="83">
        <v>5.0267199999999998E-2</v>
      </c>
      <c r="M60" s="83">
        <v>5.0499000000000004E-3</v>
      </c>
      <c r="N60" s="83">
        <v>0.49484299999999998</v>
      </c>
      <c r="O60" s="83">
        <v>5.0991300000000003E-2</v>
      </c>
      <c r="P60" s="83">
        <v>5.0499000000000004E-3</v>
      </c>
      <c r="Q60" s="83">
        <v>0.48014099999999998</v>
      </c>
      <c r="R60" s="83">
        <v>4.9666799999999997E-2</v>
      </c>
      <c r="S60" s="83">
        <v>5.0499000000000004E-3</v>
      </c>
      <c r="T60" s="83">
        <v>0.48430299999999998</v>
      </c>
      <c r="U60" s="83">
        <v>4.9647700000000003E-2</v>
      </c>
      <c r="V60" s="83">
        <v>5.0499000000000004E-3</v>
      </c>
      <c r="W60" s="83">
        <v>0.480991</v>
      </c>
      <c r="X60" s="83">
        <v>4.9467200000000003E-2</v>
      </c>
      <c r="Y60" s="83">
        <v>5.0499000000000004E-3</v>
      </c>
      <c r="Z60" s="83">
        <v>0.48005399999999998</v>
      </c>
      <c r="AA60" s="83">
        <v>4.9601600000000003E-2</v>
      </c>
      <c r="AB60" s="83">
        <v>5.0499000000000004E-3</v>
      </c>
      <c r="AC60" s="83">
        <v>0.47455599999999998</v>
      </c>
      <c r="AD60" s="83">
        <v>4.9297100000000003E-2</v>
      </c>
      <c r="AE60" s="83">
        <v>5.0499000000000004E-3</v>
      </c>
      <c r="AF60" s="83">
        <v>0.46971800000000002</v>
      </c>
      <c r="AG60" s="83">
        <v>4.90318E-2</v>
      </c>
      <c r="AH60" s="83">
        <v>5.0499000000000004E-3</v>
      </c>
      <c r="AI60" s="83">
        <v>0.47874899999999998</v>
      </c>
      <c r="AJ60" s="83">
        <v>5.0217900000000003E-2</v>
      </c>
      <c r="AK60" s="83">
        <v>5.0499000000000004E-3</v>
      </c>
      <c r="AL60" s="83">
        <v>0.491151</v>
      </c>
      <c r="AM60" s="83">
        <v>5.1591999999999999E-2</v>
      </c>
      <c r="AN60" s="83">
        <v>5.0499000000000004E-3</v>
      </c>
      <c r="AO60" s="83">
        <v>0.46238200000000002</v>
      </c>
      <c r="AP60" s="83">
        <v>4.9158800000000002E-2</v>
      </c>
      <c r="AQ60" s="83">
        <v>5.0499000000000004E-3</v>
      </c>
      <c r="AR60" s="83">
        <v>0.459312</v>
      </c>
      <c r="AS60" s="83">
        <v>4.9103899999999999E-2</v>
      </c>
      <c r="AT60" s="83">
        <v>5.0499000000000004E-3</v>
      </c>
      <c r="AU60" s="83">
        <v>0.46785500000000002</v>
      </c>
      <c r="AV60" s="83">
        <v>5.0142399999999997E-2</v>
      </c>
      <c r="AW60" s="83">
        <v>5.0499000000000004E-3</v>
      </c>
      <c r="AX60" s="83">
        <v>0.47063899999999997</v>
      </c>
      <c r="AY60" s="83">
        <v>5.0791700000000002E-2</v>
      </c>
      <c r="AZ60" s="83">
        <v>5.0499000000000004E-3</v>
      </c>
      <c r="BA60" s="83">
        <v>0.46951300000000001</v>
      </c>
      <c r="BB60" s="83">
        <v>5.0961699999999999E-2</v>
      </c>
      <c r="BC60" s="83">
        <v>5.0499000000000004E-3</v>
      </c>
      <c r="BD60" s="83">
        <v>0.46835900000000003</v>
      </c>
      <c r="BE60" s="83">
        <v>5.1137700000000001E-2</v>
      </c>
      <c r="BF60" s="83">
        <v>5.0499000000000004E-3</v>
      </c>
      <c r="BG60" s="83">
        <v>0.45760899999999999</v>
      </c>
      <c r="BH60" s="83">
        <v>5.04555E-2</v>
      </c>
      <c r="BI60" s="83">
        <v>5.0499000000000004E-3</v>
      </c>
      <c r="BJ60" s="83">
        <v>0.45718999999999999</v>
      </c>
      <c r="BK60" s="83">
        <v>5.07272E-2</v>
      </c>
      <c r="BL60" s="83">
        <v>5.0499000000000004E-3</v>
      </c>
      <c r="BM60" s="83">
        <v>0.45199</v>
      </c>
      <c r="BN60" s="83">
        <v>5.0442399999999998E-2</v>
      </c>
      <c r="BO60" s="83">
        <v>5.0499000000000004E-3</v>
      </c>
      <c r="BP60" s="83">
        <v>0.44549899999999998</v>
      </c>
      <c r="BQ60" s="83">
        <v>5.0167700000000003E-2</v>
      </c>
      <c r="BR60" s="83">
        <v>5.0499000000000004E-3</v>
      </c>
      <c r="BS60" s="83">
        <v>0.45334400000000002</v>
      </c>
      <c r="BT60" s="83">
        <v>5.1110599999999999E-2</v>
      </c>
      <c r="BU60" s="83">
        <v>5.0499000000000004E-3</v>
      </c>
      <c r="BV60" s="83">
        <v>0.44519199999999998</v>
      </c>
      <c r="BW60" s="83">
        <v>5.05706E-2</v>
      </c>
      <c r="BX60" s="83">
        <v>5.0499000000000004E-3</v>
      </c>
      <c r="BY60" s="83">
        <v>0.43039899999999998</v>
      </c>
      <c r="BZ60" s="83">
        <v>4.93467E-2</v>
      </c>
      <c r="CA60" s="83">
        <v>5.0499000000000004E-3</v>
      </c>
      <c r="CB60" s="83">
        <v>0.435784</v>
      </c>
      <c r="CC60" s="83">
        <v>5.0141100000000001E-2</v>
      </c>
      <c r="CD60" s="83">
        <v>5.0499000000000004E-3</v>
      </c>
      <c r="CE60" s="83">
        <v>0.43103900000000001</v>
      </c>
      <c r="CF60" s="83">
        <v>4.9918700000000003E-2</v>
      </c>
      <c r="CG60" s="83">
        <v>5.0499000000000004E-3</v>
      </c>
      <c r="CH60" s="83">
        <v>0.42819400000000002</v>
      </c>
      <c r="CI60" s="83">
        <v>4.9928500000000001E-2</v>
      </c>
      <c r="CJ60" s="83">
        <v>5.0499000000000004E-3</v>
      </c>
      <c r="CK60" s="83">
        <v>0.43142000000000003</v>
      </c>
      <c r="CL60" s="83">
        <v>5.0743499999999997E-2</v>
      </c>
      <c r="CM60" s="83">
        <v>5.0499000000000004E-3</v>
      </c>
      <c r="CN60" s="83">
        <v>0.42898700000000001</v>
      </c>
      <c r="CO60" s="83">
        <v>5.0929000000000002E-2</v>
      </c>
      <c r="CP60" s="83">
        <v>5.0499000000000004E-3</v>
      </c>
      <c r="CQ60" s="83">
        <v>0.41099999999999998</v>
      </c>
      <c r="CR60" s="83">
        <v>4.9561000000000001E-2</v>
      </c>
      <c r="CS60" s="83">
        <v>5.0499000000000004E-3</v>
      </c>
      <c r="CT60" s="83">
        <v>0.39757799999999999</v>
      </c>
      <c r="CU60" s="83">
        <v>4.88805E-2</v>
      </c>
      <c r="CV60" s="83">
        <v>5.0499000000000004E-3</v>
      </c>
      <c r="CW60" s="83">
        <v>0.40737899999999999</v>
      </c>
      <c r="CX60" s="83">
        <v>5.0393800000000002E-2</v>
      </c>
      <c r="CY60" s="83">
        <v>5.0499000000000004E-3</v>
      </c>
      <c r="CZ60" s="83">
        <v>0.408999</v>
      </c>
      <c r="DA60" s="83">
        <v>5.117E-2</v>
      </c>
    </row>
    <row r="61" spans="1:105" x14ac:dyDescent="0.2">
      <c r="A61" s="83">
        <v>5.1498999999999998E-3</v>
      </c>
      <c r="B61" s="83">
        <v>0.42660799999999999</v>
      </c>
      <c r="C61" s="83">
        <v>4.64865E-2</v>
      </c>
      <c r="D61" s="83">
        <v>5.1498999999999998E-3</v>
      </c>
      <c r="E61" s="83">
        <v>0.43349100000000002</v>
      </c>
      <c r="F61" s="83">
        <v>4.6629499999999997E-2</v>
      </c>
      <c r="G61" s="83">
        <v>5.1498999999999998E-3</v>
      </c>
      <c r="H61" s="83">
        <v>0.44417600000000002</v>
      </c>
      <c r="I61" s="83">
        <v>4.7228399999999997E-2</v>
      </c>
      <c r="J61" s="83">
        <v>5.1498999999999998E-3</v>
      </c>
      <c r="K61" s="83">
        <v>0.45438499999999998</v>
      </c>
      <c r="L61" s="83">
        <v>4.7866800000000001E-2</v>
      </c>
      <c r="M61" s="83">
        <v>5.1498999999999998E-3</v>
      </c>
      <c r="N61" s="83">
        <v>0.47017500000000001</v>
      </c>
      <c r="O61" s="83">
        <v>4.8544999999999998E-2</v>
      </c>
      <c r="P61" s="83">
        <v>5.1498999999999998E-3</v>
      </c>
      <c r="Q61" s="83">
        <v>0.45653700000000003</v>
      </c>
      <c r="R61" s="83">
        <v>4.7309299999999999E-2</v>
      </c>
      <c r="S61" s="83">
        <v>5.1498999999999998E-3</v>
      </c>
      <c r="T61" s="83">
        <v>0.46022099999999999</v>
      </c>
      <c r="U61" s="83">
        <v>4.7267799999999999E-2</v>
      </c>
      <c r="V61" s="83">
        <v>5.1498999999999998E-3</v>
      </c>
      <c r="W61" s="83">
        <v>0.45691399999999999</v>
      </c>
      <c r="X61" s="83">
        <v>4.7102900000000003E-2</v>
      </c>
      <c r="Y61" s="83">
        <v>5.1498999999999998E-3</v>
      </c>
      <c r="Z61" s="83">
        <v>0.45574799999999999</v>
      </c>
      <c r="AA61" s="83">
        <v>4.7213900000000003E-2</v>
      </c>
      <c r="AB61" s="83">
        <v>5.1498999999999998E-3</v>
      </c>
      <c r="AC61" s="83">
        <v>0.44997100000000001</v>
      </c>
      <c r="AD61" s="83">
        <v>4.6948499999999997E-2</v>
      </c>
      <c r="AE61" s="83">
        <v>5.1498999999999998E-3</v>
      </c>
      <c r="AF61" s="83">
        <v>0.44528000000000001</v>
      </c>
      <c r="AG61" s="83">
        <v>4.6668500000000002E-2</v>
      </c>
      <c r="AH61" s="83">
        <v>5.1498999999999998E-3</v>
      </c>
      <c r="AI61" s="83">
        <v>0.45429599999999998</v>
      </c>
      <c r="AJ61" s="83">
        <v>4.7812599999999997E-2</v>
      </c>
      <c r="AK61" s="83">
        <v>5.1498999999999998E-3</v>
      </c>
      <c r="AL61" s="83">
        <v>0.46590199999999998</v>
      </c>
      <c r="AM61" s="83">
        <v>4.9145800000000003E-2</v>
      </c>
      <c r="AN61" s="83">
        <v>5.1498999999999998E-3</v>
      </c>
      <c r="AO61" s="83">
        <v>0.43792900000000001</v>
      </c>
      <c r="AP61" s="83">
        <v>4.6805300000000001E-2</v>
      </c>
      <c r="AQ61" s="83">
        <v>5.1498999999999998E-3</v>
      </c>
      <c r="AR61" s="83">
        <v>0.434668</v>
      </c>
      <c r="AS61" s="83">
        <v>4.6744500000000001E-2</v>
      </c>
      <c r="AT61" s="83">
        <v>5.1498999999999998E-3</v>
      </c>
      <c r="AU61" s="83">
        <v>0.44336799999999998</v>
      </c>
      <c r="AV61" s="83">
        <v>4.7756600000000003E-2</v>
      </c>
      <c r="AW61" s="83">
        <v>5.1498999999999998E-3</v>
      </c>
      <c r="AX61" s="83">
        <v>0.44574599999999998</v>
      </c>
      <c r="AY61" s="83">
        <v>4.8357200000000003E-2</v>
      </c>
      <c r="AZ61" s="83">
        <v>5.1498999999999998E-3</v>
      </c>
      <c r="BA61" s="83">
        <v>0.44437700000000002</v>
      </c>
      <c r="BB61" s="83">
        <v>4.8529099999999999E-2</v>
      </c>
      <c r="BC61" s="83">
        <v>5.1498999999999998E-3</v>
      </c>
      <c r="BD61" s="83">
        <v>0.44312000000000001</v>
      </c>
      <c r="BE61" s="83">
        <v>4.8709000000000002E-2</v>
      </c>
      <c r="BF61" s="83">
        <v>5.1498999999999998E-3</v>
      </c>
      <c r="BG61" s="83">
        <v>0.43268200000000001</v>
      </c>
      <c r="BH61" s="83">
        <v>4.8028700000000001E-2</v>
      </c>
      <c r="BI61" s="83">
        <v>5.1498999999999998E-3</v>
      </c>
      <c r="BJ61" s="83">
        <v>0.43203799999999998</v>
      </c>
      <c r="BK61" s="83">
        <v>4.8318E-2</v>
      </c>
      <c r="BL61" s="83">
        <v>5.1498999999999998E-3</v>
      </c>
      <c r="BM61" s="83">
        <v>0.427566</v>
      </c>
      <c r="BN61" s="83">
        <v>4.80499E-2</v>
      </c>
      <c r="BO61" s="83">
        <v>5.1498999999999998E-3</v>
      </c>
      <c r="BP61" s="83">
        <v>0.42099700000000001</v>
      </c>
      <c r="BQ61" s="83">
        <v>4.7772200000000001E-2</v>
      </c>
      <c r="BR61" s="83">
        <v>5.1498999999999998E-3</v>
      </c>
      <c r="BS61" s="83">
        <v>0.42809000000000003</v>
      </c>
      <c r="BT61" s="83">
        <v>4.8688700000000001E-2</v>
      </c>
      <c r="BU61" s="83">
        <v>5.1498999999999998E-3</v>
      </c>
      <c r="BV61" s="83">
        <v>0.42088599999999998</v>
      </c>
      <c r="BW61" s="83">
        <v>4.81585E-2</v>
      </c>
      <c r="BX61" s="83">
        <v>5.1498999999999998E-3</v>
      </c>
      <c r="BY61" s="83">
        <v>0.40635599999999999</v>
      </c>
      <c r="BZ61" s="83">
        <v>4.6977600000000001E-2</v>
      </c>
      <c r="CA61" s="83">
        <v>5.1498999999999998E-3</v>
      </c>
      <c r="CB61" s="83">
        <v>0.41112599999999999</v>
      </c>
      <c r="CC61" s="83">
        <v>4.7711400000000001E-2</v>
      </c>
      <c r="CD61" s="83">
        <v>5.1498999999999998E-3</v>
      </c>
      <c r="CE61" s="83">
        <v>0.40619499999999997</v>
      </c>
      <c r="CF61" s="83">
        <v>4.7544700000000002E-2</v>
      </c>
      <c r="CG61" s="83">
        <v>5.1498999999999998E-3</v>
      </c>
      <c r="CH61" s="83">
        <v>0.40378500000000001</v>
      </c>
      <c r="CI61" s="83">
        <v>4.7534899999999998E-2</v>
      </c>
      <c r="CJ61" s="83">
        <v>5.1498999999999998E-3</v>
      </c>
      <c r="CK61" s="83">
        <v>0.40692299999999998</v>
      </c>
      <c r="CL61" s="83">
        <v>4.8286500000000003E-2</v>
      </c>
      <c r="CM61" s="83">
        <v>5.1498999999999998E-3</v>
      </c>
      <c r="CN61" s="83">
        <v>0.40431400000000001</v>
      </c>
      <c r="CO61" s="83">
        <v>4.8521700000000001E-2</v>
      </c>
      <c r="CP61" s="83">
        <v>5.1498999999999998E-3</v>
      </c>
      <c r="CQ61" s="83">
        <v>0.38718599999999997</v>
      </c>
      <c r="CR61" s="83">
        <v>4.7199699999999997E-2</v>
      </c>
      <c r="CS61" s="83">
        <v>5.1498999999999998E-3</v>
      </c>
      <c r="CT61" s="83">
        <v>0.374726</v>
      </c>
      <c r="CU61" s="83">
        <v>4.6531799999999998E-2</v>
      </c>
      <c r="CV61" s="83">
        <v>5.1498999999999998E-3</v>
      </c>
      <c r="CW61" s="83">
        <v>0.38347199999999998</v>
      </c>
      <c r="CX61" s="83">
        <v>4.7971899999999998E-2</v>
      </c>
      <c r="CY61" s="83">
        <v>5.1498999999999998E-3</v>
      </c>
      <c r="CZ61" s="83">
        <v>0.38516600000000001</v>
      </c>
      <c r="DA61" s="83">
        <v>4.8730599999999999E-2</v>
      </c>
    </row>
    <row r="62" spans="1:105" x14ac:dyDescent="0.2">
      <c r="A62" s="83">
        <v>5.2499000000000001E-3</v>
      </c>
      <c r="B62" s="83">
        <v>0.40539700000000001</v>
      </c>
      <c r="C62" s="83">
        <v>4.42356E-2</v>
      </c>
      <c r="D62" s="83">
        <v>5.2499000000000001E-3</v>
      </c>
      <c r="E62" s="83">
        <v>0.41172399999999998</v>
      </c>
      <c r="F62" s="83">
        <v>4.4416600000000001E-2</v>
      </c>
      <c r="G62" s="83">
        <v>5.2499000000000001E-3</v>
      </c>
      <c r="H62" s="83">
        <v>0.42203200000000002</v>
      </c>
      <c r="I62" s="83">
        <v>4.4960800000000002E-2</v>
      </c>
      <c r="J62" s="83">
        <v>5.2499000000000001E-3</v>
      </c>
      <c r="K62" s="83">
        <v>0.43118699999999999</v>
      </c>
      <c r="L62" s="83">
        <v>4.5577800000000002E-2</v>
      </c>
      <c r="M62" s="83">
        <v>5.2499000000000001E-3</v>
      </c>
      <c r="N62" s="83">
        <v>0.44651800000000003</v>
      </c>
      <c r="O62" s="83">
        <v>4.62628E-2</v>
      </c>
      <c r="P62" s="83">
        <v>5.2499000000000001E-3</v>
      </c>
      <c r="Q62" s="83">
        <v>0.43312400000000001</v>
      </c>
      <c r="R62" s="83">
        <v>4.5050600000000003E-2</v>
      </c>
      <c r="S62" s="83">
        <v>5.2499000000000001E-3</v>
      </c>
      <c r="T62" s="83">
        <v>0.43697399999999997</v>
      </c>
      <c r="U62" s="83">
        <v>4.50266E-2</v>
      </c>
      <c r="V62" s="83">
        <v>5.2499000000000001E-3</v>
      </c>
      <c r="W62" s="83">
        <v>0.43318800000000002</v>
      </c>
      <c r="X62" s="83">
        <v>4.4884199999999999E-2</v>
      </c>
      <c r="Y62" s="83">
        <v>5.2499000000000001E-3</v>
      </c>
      <c r="Z62" s="83">
        <v>0.43221700000000002</v>
      </c>
      <c r="AA62" s="83">
        <v>4.49629E-2</v>
      </c>
      <c r="AB62" s="83">
        <v>5.2499000000000001E-3</v>
      </c>
      <c r="AC62" s="83">
        <v>0.426514</v>
      </c>
      <c r="AD62" s="83">
        <v>4.46907E-2</v>
      </c>
      <c r="AE62" s="83">
        <v>5.2499000000000001E-3</v>
      </c>
      <c r="AF62" s="83">
        <v>0.422155</v>
      </c>
      <c r="AG62" s="83">
        <v>4.4453699999999999E-2</v>
      </c>
      <c r="AH62" s="83">
        <v>5.2499000000000001E-3</v>
      </c>
      <c r="AI62" s="83">
        <v>0.43036999999999997</v>
      </c>
      <c r="AJ62" s="83">
        <v>4.5562600000000002E-2</v>
      </c>
      <c r="AK62" s="83">
        <v>5.2499000000000001E-3</v>
      </c>
      <c r="AL62" s="83">
        <v>0.44153199999999998</v>
      </c>
      <c r="AM62" s="83">
        <v>4.6801000000000002E-2</v>
      </c>
      <c r="AN62" s="83">
        <v>5.2499000000000001E-3</v>
      </c>
      <c r="AO62" s="83">
        <v>0.41500900000000002</v>
      </c>
      <c r="AP62" s="83">
        <v>4.4547400000000001E-2</v>
      </c>
      <c r="AQ62" s="83">
        <v>5.2499000000000001E-3</v>
      </c>
      <c r="AR62" s="83">
        <v>0.41181200000000001</v>
      </c>
      <c r="AS62" s="83">
        <v>4.45218E-2</v>
      </c>
      <c r="AT62" s="83">
        <v>5.2499000000000001E-3</v>
      </c>
      <c r="AU62" s="83">
        <v>0.419408</v>
      </c>
      <c r="AV62" s="83">
        <v>4.5483200000000001E-2</v>
      </c>
      <c r="AW62" s="83">
        <v>5.2499000000000001E-3</v>
      </c>
      <c r="AX62" s="83">
        <v>0.42180600000000001</v>
      </c>
      <c r="AY62" s="83">
        <v>4.6063199999999999E-2</v>
      </c>
      <c r="AZ62" s="83">
        <v>5.2499000000000001E-3</v>
      </c>
      <c r="BA62" s="83">
        <v>0.42047499999999999</v>
      </c>
      <c r="BB62" s="83">
        <v>4.6213700000000003E-2</v>
      </c>
      <c r="BC62" s="83">
        <v>5.2499000000000001E-3</v>
      </c>
      <c r="BD62" s="83">
        <v>0.41895500000000002</v>
      </c>
      <c r="BE62" s="83">
        <v>4.6371099999999998E-2</v>
      </c>
      <c r="BF62" s="83">
        <v>5.2499000000000001E-3</v>
      </c>
      <c r="BG62" s="83">
        <v>0.40887299999999999</v>
      </c>
      <c r="BH62" s="83">
        <v>4.5754299999999998E-2</v>
      </c>
      <c r="BI62" s="83">
        <v>5.2499000000000001E-3</v>
      </c>
      <c r="BJ62" s="83">
        <v>0.40895700000000001</v>
      </c>
      <c r="BK62" s="83">
        <v>4.6042600000000003E-2</v>
      </c>
      <c r="BL62" s="83">
        <v>5.2499000000000001E-3</v>
      </c>
      <c r="BM62" s="83">
        <v>0.403748</v>
      </c>
      <c r="BN62" s="83">
        <v>4.5782299999999998E-2</v>
      </c>
      <c r="BO62" s="83">
        <v>5.2499000000000001E-3</v>
      </c>
      <c r="BP62" s="83">
        <v>0.39773500000000001</v>
      </c>
      <c r="BQ62" s="83">
        <v>4.5470499999999997E-2</v>
      </c>
      <c r="BR62" s="83">
        <v>5.2499000000000001E-3</v>
      </c>
      <c r="BS62" s="83">
        <v>0.40450199999999997</v>
      </c>
      <c r="BT62" s="83">
        <v>4.6365499999999997E-2</v>
      </c>
      <c r="BU62" s="83">
        <v>5.2499000000000001E-3</v>
      </c>
      <c r="BV62" s="83">
        <v>0.39705800000000002</v>
      </c>
      <c r="BW62" s="83">
        <v>4.5869500000000001E-2</v>
      </c>
      <c r="BX62" s="83">
        <v>5.2499000000000001E-3</v>
      </c>
      <c r="BY62" s="83">
        <v>0.38351000000000002</v>
      </c>
      <c r="BZ62" s="83">
        <v>4.4735400000000002E-2</v>
      </c>
      <c r="CA62" s="83">
        <v>5.2499000000000001E-3</v>
      </c>
      <c r="CB62" s="83">
        <v>0.38772699999999999</v>
      </c>
      <c r="CC62" s="83">
        <v>4.5466300000000001E-2</v>
      </c>
      <c r="CD62" s="83">
        <v>5.2499000000000001E-3</v>
      </c>
      <c r="CE62" s="83">
        <v>0.38317299999999999</v>
      </c>
      <c r="CF62" s="83">
        <v>4.5272300000000001E-2</v>
      </c>
      <c r="CG62" s="83">
        <v>5.2499000000000001E-3</v>
      </c>
      <c r="CH62" s="83">
        <v>0.38048900000000002</v>
      </c>
      <c r="CI62" s="83">
        <v>4.5278100000000002E-2</v>
      </c>
      <c r="CJ62" s="83">
        <v>5.2499000000000001E-3</v>
      </c>
      <c r="CK62" s="83">
        <v>0.38350499999999998</v>
      </c>
      <c r="CL62" s="83">
        <v>4.6001300000000002E-2</v>
      </c>
      <c r="CM62" s="83">
        <v>5.2499000000000001E-3</v>
      </c>
      <c r="CN62" s="83">
        <v>0.38117899999999999</v>
      </c>
      <c r="CO62" s="83">
        <v>4.6178999999999998E-2</v>
      </c>
      <c r="CP62" s="83">
        <v>5.2499000000000001E-3</v>
      </c>
      <c r="CQ62" s="83">
        <v>0.36419299999999999</v>
      </c>
      <c r="CR62" s="83">
        <v>4.4948700000000001E-2</v>
      </c>
      <c r="CS62" s="83">
        <v>5.2499000000000001E-3</v>
      </c>
      <c r="CT62" s="83">
        <v>0.35208499999999998</v>
      </c>
      <c r="CU62" s="83">
        <v>4.43092E-2</v>
      </c>
      <c r="CV62" s="83">
        <v>5.2499000000000001E-3</v>
      </c>
      <c r="CW62" s="83">
        <v>0.36039599999999999</v>
      </c>
      <c r="CX62" s="83">
        <v>4.5697500000000002E-2</v>
      </c>
      <c r="CY62" s="83">
        <v>5.2499000000000001E-3</v>
      </c>
      <c r="CZ62" s="83">
        <v>0.36187000000000002</v>
      </c>
      <c r="DA62" s="83">
        <v>4.6404399999999998E-2</v>
      </c>
    </row>
    <row r="63" spans="1:105" x14ac:dyDescent="0.2">
      <c r="A63" s="83">
        <v>5.3499000000000003E-3</v>
      </c>
      <c r="B63" s="83">
        <v>0.38518200000000002</v>
      </c>
      <c r="C63" s="83">
        <v>4.2150600000000003E-2</v>
      </c>
      <c r="D63" s="83">
        <v>5.3499000000000003E-3</v>
      </c>
      <c r="E63" s="83">
        <v>0.39126</v>
      </c>
      <c r="F63" s="83">
        <v>4.2258400000000002E-2</v>
      </c>
      <c r="G63" s="83">
        <v>5.3499000000000003E-3</v>
      </c>
      <c r="H63" s="83">
        <v>0.40059600000000001</v>
      </c>
      <c r="I63" s="83">
        <v>4.2825099999999998E-2</v>
      </c>
      <c r="J63" s="83">
        <v>5.3499000000000003E-3</v>
      </c>
      <c r="K63" s="83">
        <v>0.40962500000000002</v>
      </c>
      <c r="L63" s="83">
        <v>4.3385399999999998E-2</v>
      </c>
      <c r="M63" s="83">
        <v>5.3499000000000003E-3</v>
      </c>
      <c r="N63" s="83">
        <v>0.42405700000000002</v>
      </c>
      <c r="O63" s="83">
        <v>4.4021600000000001E-2</v>
      </c>
      <c r="P63" s="83">
        <v>5.3499000000000003E-3</v>
      </c>
      <c r="Q63" s="83">
        <v>0.41085899999999997</v>
      </c>
      <c r="R63" s="83">
        <v>4.2894300000000003E-2</v>
      </c>
      <c r="S63" s="83">
        <v>5.3499000000000003E-3</v>
      </c>
      <c r="T63" s="83">
        <v>0.41442000000000001</v>
      </c>
      <c r="U63" s="83">
        <v>4.2872300000000002E-2</v>
      </c>
      <c r="V63" s="83">
        <v>5.3499000000000003E-3</v>
      </c>
      <c r="W63" s="83">
        <v>0.41125400000000001</v>
      </c>
      <c r="X63" s="83">
        <v>4.2742599999999999E-2</v>
      </c>
      <c r="Y63" s="83">
        <v>5.3499000000000003E-3</v>
      </c>
      <c r="Z63" s="83">
        <v>0.41034700000000002</v>
      </c>
      <c r="AA63" s="83">
        <v>4.28008E-2</v>
      </c>
      <c r="AB63" s="83">
        <v>5.3499000000000003E-3</v>
      </c>
      <c r="AC63" s="83">
        <v>0.40431699999999998</v>
      </c>
      <c r="AD63" s="83">
        <v>4.2546100000000003E-2</v>
      </c>
      <c r="AE63" s="83">
        <v>5.3499000000000003E-3</v>
      </c>
      <c r="AF63" s="83">
        <v>0.40003100000000003</v>
      </c>
      <c r="AG63" s="83">
        <v>4.2313999999999997E-2</v>
      </c>
      <c r="AH63" s="83">
        <v>5.3499000000000003E-3</v>
      </c>
      <c r="AI63" s="83">
        <v>0.40781600000000001</v>
      </c>
      <c r="AJ63" s="83">
        <v>4.33546E-2</v>
      </c>
      <c r="AK63" s="83">
        <v>5.3499000000000003E-3</v>
      </c>
      <c r="AL63" s="83">
        <v>0.41819200000000001</v>
      </c>
      <c r="AM63" s="83">
        <v>4.4558800000000003E-2</v>
      </c>
      <c r="AN63" s="83">
        <v>5.3499000000000003E-3</v>
      </c>
      <c r="AO63" s="83">
        <v>0.392816</v>
      </c>
      <c r="AP63" s="83">
        <v>4.2457599999999998E-2</v>
      </c>
      <c r="AQ63" s="83">
        <v>5.3499000000000003E-3</v>
      </c>
      <c r="AR63" s="83">
        <v>0.38975100000000001</v>
      </c>
      <c r="AS63" s="83">
        <v>4.23802E-2</v>
      </c>
      <c r="AT63" s="83">
        <v>5.3499000000000003E-3</v>
      </c>
      <c r="AU63" s="83">
        <v>0.39726</v>
      </c>
      <c r="AV63" s="83">
        <v>4.3295699999999999E-2</v>
      </c>
      <c r="AW63" s="83">
        <v>5.3499000000000003E-3</v>
      </c>
      <c r="AX63" s="83">
        <v>0.398974</v>
      </c>
      <c r="AY63" s="83">
        <v>4.3870800000000001E-2</v>
      </c>
      <c r="AZ63" s="83">
        <v>5.3499000000000003E-3</v>
      </c>
      <c r="BA63" s="83">
        <v>0.39762900000000001</v>
      </c>
      <c r="BB63" s="83">
        <v>4.4014499999999998E-2</v>
      </c>
      <c r="BC63" s="83">
        <v>5.3499000000000003E-3</v>
      </c>
      <c r="BD63" s="83">
        <v>0.39634200000000003</v>
      </c>
      <c r="BE63" s="83">
        <v>4.41357E-2</v>
      </c>
      <c r="BF63" s="83">
        <v>5.3499000000000003E-3</v>
      </c>
      <c r="BG63" s="83">
        <v>0.38642199999999999</v>
      </c>
      <c r="BH63" s="83">
        <v>4.3551199999999998E-2</v>
      </c>
      <c r="BI63" s="83">
        <v>5.3499000000000003E-3</v>
      </c>
      <c r="BJ63" s="83">
        <v>0.38640400000000003</v>
      </c>
      <c r="BK63" s="83">
        <v>4.3822899999999998E-2</v>
      </c>
      <c r="BL63" s="83">
        <v>5.3499000000000003E-3</v>
      </c>
      <c r="BM63" s="83">
        <v>0.38109700000000002</v>
      </c>
      <c r="BN63" s="83">
        <v>4.3583999999999998E-2</v>
      </c>
      <c r="BO63" s="83">
        <v>5.3499000000000003E-3</v>
      </c>
      <c r="BP63" s="83">
        <v>0.37544</v>
      </c>
      <c r="BQ63" s="83">
        <v>4.3334699999999997E-2</v>
      </c>
      <c r="BR63" s="83">
        <v>5.3499000000000003E-3</v>
      </c>
      <c r="BS63" s="83">
        <v>0.381826</v>
      </c>
      <c r="BT63" s="83">
        <v>4.4158500000000003E-2</v>
      </c>
      <c r="BU63" s="83">
        <v>5.3499000000000003E-3</v>
      </c>
      <c r="BV63" s="83">
        <v>0.37488500000000002</v>
      </c>
      <c r="BW63" s="83">
        <v>4.3657500000000002E-2</v>
      </c>
      <c r="BX63" s="83">
        <v>5.3499000000000003E-3</v>
      </c>
      <c r="BY63" s="83">
        <v>0.36188900000000002</v>
      </c>
      <c r="BZ63" s="83">
        <v>4.2590900000000001E-2</v>
      </c>
      <c r="CA63" s="83">
        <v>5.3499000000000003E-3</v>
      </c>
      <c r="CB63" s="83">
        <v>0.365506</v>
      </c>
      <c r="CC63" s="83">
        <v>4.3259300000000001E-2</v>
      </c>
      <c r="CD63" s="83">
        <v>5.3499000000000003E-3</v>
      </c>
      <c r="CE63" s="83">
        <v>0.36114200000000002</v>
      </c>
      <c r="CF63" s="83">
        <v>4.3085699999999998E-2</v>
      </c>
      <c r="CG63" s="83">
        <v>5.3499000000000003E-3</v>
      </c>
      <c r="CH63" s="83">
        <v>0.35859999999999997</v>
      </c>
      <c r="CI63" s="83">
        <v>4.3117000000000003E-2</v>
      </c>
      <c r="CJ63" s="83">
        <v>5.3499000000000003E-3</v>
      </c>
      <c r="CK63" s="83">
        <v>0.36047299999999999</v>
      </c>
      <c r="CL63" s="83">
        <v>4.3775700000000001E-2</v>
      </c>
      <c r="CM63" s="83">
        <v>5.3499000000000003E-3</v>
      </c>
      <c r="CN63" s="83">
        <v>0.35884500000000003</v>
      </c>
      <c r="CO63" s="83">
        <v>4.3951400000000002E-2</v>
      </c>
      <c r="CP63" s="83">
        <v>5.3499000000000003E-3</v>
      </c>
      <c r="CQ63" s="83">
        <v>0.34270400000000001</v>
      </c>
      <c r="CR63" s="83">
        <v>4.2784599999999999E-2</v>
      </c>
      <c r="CS63" s="83">
        <v>5.3499000000000003E-3</v>
      </c>
      <c r="CT63" s="83">
        <v>0.33152799999999999</v>
      </c>
      <c r="CU63" s="83">
        <v>4.2190999999999999E-2</v>
      </c>
      <c r="CV63" s="83">
        <v>5.3499000000000003E-3</v>
      </c>
      <c r="CW63" s="83">
        <v>0.33940999999999999</v>
      </c>
      <c r="CX63" s="83">
        <v>4.3505099999999998E-2</v>
      </c>
      <c r="CY63" s="83">
        <v>5.3499000000000003E-3</v>
      </c>
      <c r="CZ63" s="83">
        <v>0.3402</v>
      </c>
      <c r="DA63" s="83">
        <v>4.4170000000000001E-2</v>
      </c>
    </row>
    <row r="64" spans="1:105" x14ac:dyDescent="0.2">
      <c r="A64" s="83">
        <v>5.4498999999999997E-3</v>
      </c>
      <c r="B64" s="83">
        <v>0.365676</v>
      </c>
      <c r="C64" s="83">
        <v>4.0138899999999998E-2</v>
      </c>
      <c r="D64" s="83">
        <v>5.4498999999999997E-3</v>
      </c>
      <c r="E64" s="83">
        <v>0.37139699999999998</v>
      </c>
      <c r="F64" s="83">
        <v>4.0263300000000002E-2</v>
      </c>
      <c r="G64" s="83">
        <v>5.4498999999999997E-3</v>
      </c>
      <c r="H64" s="83">
        <v>0.38030399999999998</v>
      </c>
      <c r="I64" s="83">
        <v>4.0750799999999997E-2</v>
      </c>
      <c r="J64" s="83">
        <v>5.4498999999999997E-3</v>
      </c>
      <c r="K64" s="83">
        <v>0.38883299999999998</v>
      </c>
      <c r="L64" s="83">
        <v>4.1337499999999999E-2</v>
      </c>
      <c r="M64" s="83">
        <v>5.4498999999999997E-3</v>
      </c>
      <c r="N64" s="83">
        <v>0.403032</v>
      </c>
      <c r="O64" s="83">
        <v>4.1931799999999998E-2</v>
      </c>
      <c r="P64" s="83">
        <v>5.4498999999999997E-3</v>
      </c>
      <c r="Q64" s="83">
        <v>0.39041900000000002</v>
      </c>
      <c r="R64" s="83">
        <v>4.0863099999999999E-2</v>
      </c>
      <c r="S64" s="83">
        <v>5.4498999999999997E-3</v>
      </c>
      <c r="T64" s="83">
        <v>0.39335599999999998</v>
      </c>
      <c r="U64" s="83">
        <v>4.0823499999999999E-2</v>
      </c>
      <c r="V64" s="83">
        <v>5.4498999999999997E-3</v>
      </c>
      <c r="W64" s="83">
        <v>0.39016099999999998</v>
      </c>
      <c r="X64" s="83">
        <v>4.0760200000000003E-2</v>
      </c>
      <c r="Y64" s="83">
        <v>5.4498999999999997E-3</v>
      </c>
      <c r="Z64" s="83">
        <v>0.38893100000000003</v>
      </c>
      <c r="AA64" s="83">
        <v>4.0774400000000002E-2</v>
      </c>
      <c r="AB64" s="83">
        <v>5.4498999999999997E-3</v>
      </c>
      <c r="AC64" s="83">
        <v>0.38311099999999998</v>
      </c>
      <c r="AD64" s="83">
        <v>4.05178E-2</v>
      </c>
      <c r="AE64" s="83">
        <v>5.4498999999999997E-3</v>
      </c>
      <c r="AF64" s="83">
        <v>0.378996</v>
      </c>
      <c r="AG64" s="83">
        <v>4.0308200000000002E-2</v>
      </c>
      <c r="AH64" s="83">
        <v>5.4498999999999997E-3</v>
      </c>
      <c r="AI64" s="83">
        <v>0.38639099999999998</v>
      </c>
      <c r="AJ64" s="83">
        <v>4.1308699999999997E-2</v>
      </c>
      <c r="AK64" s="83">
        <v>5.4498999999999997E-3</v>
      </c>
      <c r="AL64" s="83">
        <v>0.39581899999999998</v>
      </c>
      <c r="AM64" s="83">
        <v>4.2426999999999999E-2</v>
      </c>
      <c r="AN64" s="83">
        <v>5.4498999999999997E-3</v>
      </c>
      <c r="AO64" s="83">
        <v>0.371722</v>
      </c>
      <c r="AP64" s="83">
        <v>4.0408800000000002E-2</v>
      </c>
      <c r="AQ64" s="83">
        <v>5.4498999999999997E-3</v>
      </c>
      <c r="AR64" s="83">
        <v>0.36852499999999999</v>
      </c>
      <c r="AS64" s="83">
        <v>4.0388E-2</v>
      </c>
      <c r="AT64" s="83">
        <v>5.4498999999999997E-3</v>
      </c>
      <c r="AU64" s="83">
        <v>0.37573099999999998</v>
      </c>
      <c r="AV64" s="83">
        <v>4.12439E-2</v>
      </c>
      <c r="AW64" s="83">
        <v>5.4498999999999997E-3</v>
      </c>
      <c r="AX64" s="83">
        <v>0.377216</v>
      </c>
      <c r="AY64" s="83">
        <v>4.1786900000000002E-2</v>
      </c>
      <c r="AZ64" s="83">
        <v>5.4498999999999997E-3</v>
      </c>
      <c r="BA64" s="83">
        <v>0.37597799999999998</v>
      </c>
      <c r="BB64" s="83">
        <v>4.1896299999999997E-2</v>
      </c>
      <c r="BC64" s="83">
        <v>5.4498999999999997E-3</v>
      </c>
      <c r="BD64" s="83">
        <v>0.37390600000000002</v>
      </c>
      <c r="BE64" s="83">
        <v>4.2028299999999998E-2</v>
      </c>
      <c r="BF64" s="83">
        <v>5.4498999999999997E-3</v>
      </c>
      <c r="BG64" s="83">
        <v>0.36526500000000001</v>
      </c>
      <c r="BH64" s="83">
        <v>4.1515999999999997E-2</v>
      </c>
      <c r="BI64" s="83">
        <v>5.4498999999999997E-3</v>
      </c>
      <c r="BJ64" s="83">
        <v>0.36475800000000003</v>
      </c>
      <c r="BK64" s="83">
        <v>4.1738900000000002E-2</v>
      </c>
      <c r="BL64" s="83">
        <v>5.4498999999999997E-3</v>
      </c>
      <c r="BM64" s="83">
        <v>0.35960300000000001</v>
      </c>
      <c r="BN64" s="83">
        <v>4.1536200000000002E-2</v>
      </c>
      <c r="BO64" s="83">
        <v>5.4498999999999997E-3</v>
      </c>
      <c r="BP64" s="83">
        <v>0.35482000000000002</v>
      </c>
      <c r="BQ64" s="83">
        <v>4.1266299999999999E-2</v>
      </c>
      <c r="BR64" s="83">
        <v>5.4498999999999997E-3</v>
      </c>
      <c r="BS64" s="83">
        <v>0.36033700000000002</v>
      </c>
      <c r="BT64" s="83">
        <v>4.2064699999999997E-2</v>
      </c>
      <c r="BU64" s="83">
        <v>5.4498999999999997E-3</v>
      </c>
      <c r="BV64" s="83">
        <v>0.35403000000000001</v>
      </c>
      <c r="BW64" s="83">
        <v>4.1580400000000003E-2</v>
      </c>
      <c r="BX64" s="83">
        <v>5.4498999999999997E-3</v>
      </c>
      <c r="BY64" s="83">
        <v>0.340727</v>
      </c>
      <c r="BZ64" s="83">
        <v>4.0598700000000001E-2</v>
      </c>
      <c r="CA64" s="83">
        <v>5.4498999999999997E-3</v>
      </c>
      <c r="CB64" s="83">
        <v>0.345086</v>
      </c>
      <c r="CC64" s="83">
        <v>4.12212E-2</v>
      </c>
      <c r="CD64" s="83">
        <v>5.4498999999999997E-3</v>
      </c>
      <c r="CE64" s="83">
        <v>0.34048200000000001</v>
      </c>
      <c r="CF64" s="83">
        <v>4.1054500000000001E-2</v>
      </c>
      <c r="CG64" s="83">
        <v>5.4498999999999997E-3</v>
      </c>
      <c r="CH64" s="83">
        <v>0.33804800000000002</v>
      </c>
      <c r="CI64" s="83">
        <v>4.1068199999999999E-2</v>
      </c>
      <c r="CJ64" s="83">
        <v>5.4498999999999997E-3</v>
      </c>
      <c r="CK64" s="83">
        <v>0.33998499999999998</v>
      </c>
      <c r="CL64" s="83">
        <v>4.1695599999999999E-2</v>
      </c>
      <c r="CM64" s="83">
        <v>5.4498999999999997E-3</v>
      </c>
      <c r="CN64" s="83">
        <v>0.338088</v>
      </c>
      <c r="CO64" s="83">
        <v>4.1852800000000003E-2</v>
      </c>
      <c r="CP64" s="83">
        <v>5.4498999999999997E-3</v>
      </c>
      <c r="CQ64" s="83">
        <v>0.32259599999999999</v>
      </c>
      <c r="CR64" s="83">
        <v>4.0785599999999998E-2</v>
      </c>
      <c r="CS64" s="83">
        <v>5.4498999999999997E-3</v>
      </c>
      <c r="CT64" s="83">
        <v>0.31174299999999999</v>
      </c>
      <c r="CU64" s="83">
        <v>4.0206600000000002E-2</v>
      </c>
      <c r="CV64" s="83">
        <v>5.4498999999999997E-3</v>
      </c>
      <c r="CW64" s="83">
        <v>0.31902399999999997</v>
      </c>
      <c r="CX64" s="83">
        <v>4.1424099999999998E-2</v>
      </c>
      <c r="CY64" s="83">
        <v>5.4498999999999997E-3</v>
      </c>
      <c r="CZ64" s="83">
        <v>0.31989699999999999</v>
      </c>
      <c r="DA64" s="83">
        <v>4.2059699999999998E-2</v>
      </c>
    </row>
    <row r="65" spans="1:105" x14ac:dyDescent="0.2">
      <c r="A65" s="83">
        <v>5.5499E-3</v>
      </c>
      <c r="B65" s="83">
        <v>0.34748200000000001</v>
      </c>
      <c r="C65" s="83">
        <v>3.8239500000000003E-2</v>
      </c>
      <c r="D65" s="83">
        <v>5.5499E-3</v>
      </c>
      <c r="E65" s="83">
        <v>0.35264699999999999</v>
      </c>
      <c r="F65" s="83">
        <v>3.8335500000000002E-2</v>
      </c>
      <c r="G65" s="83">
        <v>5.5499E-3</v>
      </c>
      <c r="H65" s="83">
        <v>0.36095300000000002</v>
      </c>
      <c r="I65" s="83">
        <v>3.8843599999999999E-2</v>
      </c>
      <c r="J65" s="83">
        <v>5.5499E-3</v>
      </c>
      <c r="K65" s="83">
        <v>0.36917</v>
      </c>
      <c r="L65" s="83">
        <v>3.9364900000000001E-2</v>
      </c>
      <c r="M65" s="83">
        <v>5.5499E-3</v>
      </c>
      <c r="N65" s="83">
        <v>0.382465</v>
      </c>
      <c r="O65" s="83">
        <v>3.9932700000000002E-2</v>
      </c>
      <c r="P65" s="83">
        <v>5.5499E-3</v>
      </c>
      <c r="Q65" s="83">
        <v>0.37000899999999998</v>
      </c>
      <c r="R65" s="83">
        <v>3.8926500000000003E-2</v>
      </c>
      <c r="S65" s="83">
        <v>5.5499E-3</v>
      </c>
      <c r="T65" s="83">
        <v>0.37260900000000002</v>
      </c>
      <c r="U65" s="83">
        <v>3.8906499999999997E-2</v>
      </c>
      <c r="V65" s="83">
        <v>5.5499E-3</v>
      </c>
      <c r="W65" s="83">
        <v>0.36987300000000001</v>
      </c>
      <c r="X65" s="83">
        <v>3.8844200000000002E-2</v>
      </c>
      <c r="Y65" s="83">
        <v>5.5499E-3</v>
      </c>
      <c r="Z65" s="83">
        <v>0.36844300000000002</v>
      </c>
      <c r="AA65" s="83">
        <v>3.8856500000000002E-2</v>
      </c>
      <c r="AB65" s="83">
        <v>5.5499E-3</v>
      </c>
      <c r="AC65" s="83">
        <v>0.36266700000000002</v>
      </c>
      <c r="AD65" s="83">
        <v>3.8586200000000001E-2</v>
      </c>
      <c r="AE65" s="83">
        <v>5.5499E-3</v>
      </c>
      <c r="AF65" s="83">
        <v>0.35918600000000001</v>
      </c>
      <c r="AG65" s="83">
        <v>3.8422400000000002E-2</v>
      </c>
      <c r="AH65" s="83">
        <v>5.5499E-3</v>
      </c>
      <c r="AI65" s="83">
        <v>0.36577100000000001</v>
      </c>
      <c r="AJ65" s="83">
        <v>3.9354600000000003E-2</v>
      </c>
      <c r="AK65" s="83">
        <v>5.5499E-3</v>
      </c>
      <c r="AL65" s="83">
        <v>0.375087</v>
      </c>
      <c r="AM65" s="83">
        <v>4.04319E-2</v>
      </c>
      <c r="AN65" s="83">
        <v>5.5499E-3</v>
      </c>
      <c r="AO65" s="83">
        <v>0.35133199999999998</v>
      </c>
      <c r="AP65" s="83">
        <v>3.8499600000000002E-2</v>
      </c>
      <c r="AQ65" s="83">
        <v>5.5499E-3</v>
      </c>
      <c r="AR65" s="83">
        <v>0.34881800000000002</v>
      </c>
      <c r="AS65" s="83">
        <v>3.8489599999999999E-2</v>
      </c>
      <c r="AT65" s="83">
        <v>5.5499E-3</v>
      </c>
      <c r="AU65" s="83">
        <v>0.35515999999999998</v>
      </c>
      <c r="AV65" s="83">
        <v>3.9277100000000002E-2</v>
      </c>
      <c r="AW65" s="83">
        <v>5.5499E-3</v>
      </c>
      <c r="AX65" s="83">
        <v>0.35669899999999999</v>
      </c>
      <c r="AY65" s="83">
        <v>3.98074E-2</v>
      </c>
      <c r="AZ65" s="83">
        <v>5.5499E-3</v>
      </c>
      <c r="BA65" s="83">
        <v>0.35522599999999999</v>
      </c>
      <c r="BB65" s="83">
        <v>3.9914900000000003E-2</v>
      </c>
      <c r="BC65" s="83">
        <v>5.5499E-3</v>
      </c>
      <c r="BD65" s="83">
        <v>0.35334900000000002</v>
      </c>
      <c r="BE65" s="83">
        <v>4.0051700000000003E-2</v>
      </c>
      <c r="BF65" s="83">
        <v>5.5499E-3</v>
      </c>
      <c r="BG65" s="83">
        <v>0.34486</v>
      </c>
      <c r="BH65" s="83">
        <v>3.9566799999999999E-2</v>
      </c>
      <c r="BI65" s="83">
        <v>5.5499E-3</v>
      </c>
      <c r="BJ65" s="83">
        <v>0.34483599999999998</v>
      </c>
      <c r="BK65" s="83">
        <v>3.97799E-2</v>
      </c>
      <c r="BL65" s="83">
        <v>5.5499E-3</v>
      </c>
      <c r="BM65" s="83">
        <v>0.33985599999999999</v>
      </c>
      <c r="BN65" s="83">
        <v>3.9540100000000002E-2</v>
      </c>
      <c r="BO65" s="83">
        <v>5.5499E-3</v>
      </c>
      <c r="BP65" s="83">
        <v>0.33469300000000002</v>
      </c>
      <c r="BQ65" s="83">
        <v>3.9316200000000003E-2</v>
      </c>
      <c r="BR65" s="83">
        <v>5.5499E-3</v>
      </c>
      <c r="BS65" s="83">
        <v>0.34018999999999999</v>
      </c>
      <c r="BT65" s="83">
        <v>4.00989E-2</v>
      </c>
      <c r="BU65" s="83">
        <v>5.5499E-3</v>
      </c>
      <c r="BV65" s="83">
        <v>0.33361499999999999</v>
      </c>
      <c r="BW65" s="83">
        <v>3.9608699999999997E-2</v>
      </c>
      <c r="BX65" s="83">
        <v>5.5499E-3</v>
      </c>
      <c r="BY65" s="83">
        <v>0.32184499999999999</v>
      </c>
      <c r="BZ65" s="83">
        <v>3.8654399999999998E-2</v>
      </c>
      <c r="CA65" s="83">
        <v>5.5499E-3</v>
      </c>
      <c r="CB65" s="83">
        <v>0.32468000000000002</v>
      </c>
      <c r="CC65" s="83">
        <v>3.9267099999999999E-2</v>
      </c>
      <c r="CD65" s="83">
        <v>5.5499E-3</v>
      </c>
      <c r="CE65" s="83">
        <v>0.320766</v>
      </c>
      <c r="CF65" s="83">
        <v>3.9090600000000003E-2</v>
      </c>
      <c r="CG65" s="83">
        <v>5.5499E-3</v>
      </c>
      <c r="CH65" s="83">
        <v>0.318102</v>
      </c>
      <c r="CI65" s="83">
        <v>3.9132599999999997E-2</v>
      </c>
      <c r="CJ65" s="83">
        <v>5.5499E-3</v>
      </c>
      <c r="CK65" s="83">
        <v>0.32008700000000001</v>
      </c>
      <c r="CL65" s="83">
        <v>3.9743500000000001E-2</v>
      </c>
      <c r="CM65" s="83">
        <v>5.5499E-3</v>
      </c>
      <c r="CN65" s="83">
        <v>0.31771700000000003</v>
      </c>
      <c r="CO65" s="83">
        <v>3.9879199999999997E-2</v>
      </c>
      <c r="CP65" s="83">
        <v>5.5499E-3</v>
      </c>
      <c r="CQ65" s="83">
        <v>0.30346099999999998</v>
      </c>
      <c r="CR65" s="83">
        <v>3.8804199999999997E-2</v>
      </c>
      <c r="CS65" s="83">
        <v>5.5499E-3</v>
      </c>
      <c r="CT65" s="83">
        <v>0.293325</v>
      </c>
      <c r="CU65" s="83">
        <v>3.83101E-2</v>
      </c>
      <c r="CV65" s="83">
        <v>5.5499E-3</v>
      </c>
      <c r="CW65" s="83">
        <v>0.30002499999999999</v>
      </c>
      <c r="CX65" s="83">
        <v>3.9476799999999999E-2</v>
      </c>
      <c r="CY65" s="83">
        <v>5.5499E-3</v>
      </c>
      <c r="CZ65" s="83">
        <v>0.30054700000000001</v>
      </c>
      <c r="DA65" s="83">
        <v>4.0075300000000001E-2</v>
      </c>
    </row>
    <row r="66" spans="1:105" x14ac:dyDescent="0.2">
      <c r="A66" s="83">
        <v>5.6499000000000002E-3</v>
      </c>
      <c r="B66" s="83">
        <v>0.32941100000000001</v>
      </c>
      <c r="C66" s="83">
        <v>3.6463099999999998E-2</v>
      </c>
      <c r="D66" s="83">
        <v>5.6499000000000002E-3</v>
      </c>
      <c r="E66" s="83">
        <v>0.33467799999999998</v>
      </c>
      <c r="F66" s="83">
        <v>3.6539599999999998E-2</v>
      </c>
      <c r="G66" s="83">
        <v>5.6499000000000002E-3</v>
      </c>
      <c r="H66" s="83">
        <v>0.34229599999999999</v>
      </c>
      <c r="I66" s="83">
        <v>3.69979E-2</v>
      </c>
      <c r="J66" s="83">
        <v>5.6499000000000002E-3</v>
      </c>
      <c r="K66" s="83">
        <v>0.349385</v>
      </c>
      <c r="L66" s="83">
        <v>3.7488899999999999E-2</v>
      </c>
      <c r="M66" s="83">
        <v>5.6499000000000002E-3</v>
      </c>
      <c r="N66" s="83">
        <v>0.36210399999999998</v>
      </c>
      <c r="O66" s="83">
        <v>3.8048899999999997E-2</v>
      </c>
      <c r="P66" s="83">
        <v>5.6499000000000002E-3</v>
      </c>
      <c r="Q66" s="83">
        <v>0.35107300000000002</v>
      </c>
      <c r="R66" s="83">
        <v>3.7126699999999999E-2</v>
      </c>
      <c r="S66" s="83">
        <v>5.6499000000000002E-3</v>
      </c>
      <c r="T66" s="83">
        <v>0.353302</v>
      </c>
      <c r="U66" s="83">
        <v>3.7075499999999997E-2</v>
      </c>
      <c r="V66" s="83">
        <v>5.6499000000000002E-3</v>
      </c>
      <c r="W66" s="83">
        <v>0.350356</v>
      </c>
      <c r="X66" s="83">
        <v>3.7014100000000001E-2</v>
      </c>
      <c r="Y66" s="83">
        <v>5.6499000000000002E-3</v>
      </c>
      <c r="Z66" s="83">
        <v>0.34928799999999999</v>
      </c>
      <c r="AA66" s="83">
        <v>3.7016599999999997E-2</v>
      </c>
      <c r="AB66" s="83">
        <v>5.6499000000000002E-3</v>
      </c>
      <c r="AC66" s="83">
        <v>0.34328700000000001</v>
      </c>
      <c r="AD66" s="83">
        <v>3.6775599999999999E-2</v>
      </c>
      <c r="AE66" s="83">
        <v>5.6499000000000002E-3</v>
      </c>
      <c r="AF66" s="83">
        <v>0.34014299999999997</v>
      </c>
      <c r="AG66" s="83">
        <v>3.6597200000000003E-2</v>
      </c>
      <c r="AH66" s="83">
        <v>5.6499000000000002E-3</v>
      </c>
      <c r="AI66" s="83">
        <v>0.346225</v>
      </c>
      <c r="AJ66" s="83">
        <v>3.7488399999999998E-2</v>
      </c>
      <c r="AK66" s="83">
        <v>5.6499000000000002E-3</v>
      </c>
      <c r="AL66" s="83">
        <v>0.35500399999999999</v>
      </c>
      <c r="AM66" s="83">
        <v>3.8518799999999999E-2</v>
      </c>
      <c r="AN66" s="83">
        <v>5.6499000000000002E-3</v>
      </c>
      <c r="AO66" s="83">
        <v>0.33268900000000001</v>
      </c>
      <c r="AP66" s="83">
        <v>3.6671500000000003E-2</v>
      </c>
      <c r="AQ66" s="83">
        <v>5.6499000000000002E-3</v>
      </c>
      <c r="AR66" s="83">
        <v>0.329683</v>
      </c>
      <c r="AS66" s="83">
        <v>3.6673200000000003E-2</v>
      </c>
      <c r="AT66" s="83">
        <v>5.6499000000000002E-3</v>
      </c>
      <c r="AU66" s="83">
        <v>0.33581899999999998</v>
      </c>
      <c r="AV66" s="83">
        <v>3.7418699999999999E-2</v>
      </c>
      <c r="AW66" s="83">
        <v>5.6499000000000002E-3</v>
      </c>
      <c r="AX66" s="83">
        <v>0.33742100000000003</v>
      </c>
      <c r="AY66" s="83">
        <v>3.7938199999999998E-2</v>
      </c>
      <c r="AZ66" s="83">
        <v>5.6499000000000002E-3</v>
      </c>
      <c r="BA66" s="83">
        <v>0.33578799999999998</v>
      </c>
      <c r="BB66" s="83">
        <v>3.8030099999999997E-2</v>
      </c>
      <c r="BC66" s="83">
        <v>5.6499000000000002E-3</v>
      </c>
      <c r="BD66" s="83">
        <v>0.33391999999999999</v>
      </c>
      <c r="BE66" s="83">
        <v>3.8140599999999997E-2</v>
      </c>
      <c r="BF66" s="83">
        <v>5.6499000000000002E-3</v>
      </c>
      <c r="BG66" s="83">
        <v>0.32616299999999998</v>
      </c>
      <c r="BH66" s="83">
        <v>3.7684000000000002E-2</v>
      </c>
      <c r="BI66" s="83">
        <v>5.6499000000000002E-3</v>
      </c>
      <c r="BJ66" s="83">
        <v>0.32558300000000001</v>
      </c>
      <c r="BK66" s="83">
        <v>3.7884399999999999E-2</v>
      </c>
      <c r="BL66" s="83">
        <v>5.6499000000000002E-3</v>
      </c>
      <c r="BM66" s="83">
        <v>0.320965</v>
      </c>
      <c r="BN66" s="83">
        <v>3.76827E-2</v>
      </c>
      <c r="BO66" s="83">
        <v>5.6499000000000002E-3</v>
      </c>
      <c r="BP66" s="83">
        <v>0.31578699999999998</v>
      </c>
      <c r="BQ66" s="83">
        <v>3.7458699999999998E-2</v>
      </c>
      <c r="BR66" s="83">
        <v>5.6499000000000002E-3</v>
      </c>
      <c r="BS66" s="83">
        <v>0.32065900000000003</v>
      </c>
      <c r="BT66" s="83">
        <v>3.81897E-2</v>
      </c>
      <c r="BU66" s="83">
        <v>5.6499000000000002E-3</v>
      </c>
      <c r="BV66" s="83">
        <v>0.314836</v>
      </c>
      <c r="BW66" s="83">
        <v>3.7754200000000002E-2</v>
      </c>
      <c r="BX66" s="83">
        <v>5.6499000000000002E-3</v>
      </c>
      <c r="BY66" s="83">
        <v>0.30323099999999997</v>
      </c>
      <c r="BZ66" s="83">
        <v>3.6824299999999997E-2</v>
      </c>
      <c r="CA66" s="83">
        <v>5.6499000000000002E-3</v>
      </c>
      <c r="CB66" s="83">
        <v>0.30592999999999998</v>
      </c>
      <c r="CC66" s="83">
        <v>3.7408700000000003E-2</v>
      </c>
      <c r="CD66" s="83">
        <v>5.6499000000000002E-3</v>
      </c>
      <c r="CE66" s="83">
        <v>0.30245</v>
      </c>
      <c r="CF66" s="83">
        <v>3.7258600000000003E-2</v>
      </c>
      <c r="CG66" s="83">
        <v>5.6499000000000002E-3</v>
      </c>
      <c r="CH66" s="83">
        <v>0.29962499999999997</v>
      </c>
      <c r="CI66" s="83">
        <v>3.7258600000000003E-2</v>
      </c>
      <c r="CJ66" s="83">
        <v>5.6499000000000002E-3</v>
      </c>
      <c r="CK66" s="83">
        <v>0.30127399999999999</v>
      </c>
      <c r="CL66" s="83">
        <v>3.7803099999999999E-2</v>
      </c>
      <c r="CM66" s="83">
        <v>5.6499000000000002E-3</v>
      </c>
      <c r="CN66" s="83">
        <v>0.29919200000000001</v>
      </c>
      <c r="CO66" s="83">
        <v>3.7971900000000003E-2</v>
      </c>
      <c r="CP66" s="83">
        <v>5.6499000000000002E-3</v>
      </c>
      <c r="CQ66" s="83">
        <v>0.28517500000000001</v>
      </c>
      <c r="CR66" s="83">
        <v>3.6984799999999998E-2</v>
      </c>
      <c r="CS66" s="83">
        <v>5.6499000000000002E-3</v>
      </c>
      <c r="CT66" s="83">
        <v>0.275781</v>
      </c>
      <c r="CU66" s="83">
        <v>3.6489800000000003E-2</v>
      </c>
      <c r="CV66" s="83">
        <v>5.6499000000000002E-3</v>
      </c>
      <c r="CW66" s="83">
        <v>0.28180300000000003</v>
      </c>
      <c r="CX66" s="83">
        <v>3.7581299999999998E-2</v>
      </c>
      <c r="CY66" s="83">
        <v>5.6499000000000002E-3</v>
      </c>
      <c r="CZ66" s="83">
        <v>0.28225600000000001</v>
      </c>
      <c r="DA66" s="83">
        <v>3.8180699999999998E-2</v>
      </c>
    </row>
    <row r="67" spans="1:105" x14ac:dyDescent="0.2">
      <c r="A67" s="83">
        <v>5.7498999999999996E-3</v>
      </c>
      <c r="B67" s="83">
        <v>0.31229200000000001</v>
      </c>
      <c r="C67" s="83">
        <v>3.4719899999999998E-2</v>
      </c>
      <c r="D67" s="83">
        <v>5.7498999999999996E-3</v>
      </c>
      <c r="E67" s="83">
        <v>0.31706600000000001</v>
      </c>
      <c r="F67" s="83">
        <v>3.4794499999999999E-2</v>
      </c>
      <c r="G67" s="83">
        <v>5.7498999999999996E-3</v>
      </c>
      <c r="H67" s="83">
        <v>0.32510800000000001</v>
      </c>
      <c r="I67" s="83">
        <v>3.5225399999999997E-2</v>
      </c>
      <c r="J67" s="83">
        <v>5.7498999999999996E-3</v>
      </c>
      <c r="K67" s="83">
        <v>0.33179199999999998</v>
      </c>
      <c r="L67" s="83">
        <v>3.5755500000000003E-2</v>
      </c>
      <c r="M67" s="83">
        <v>5.7498999999999996E-3</v>
      </c>
      <c r="N67" s="83">
        <v>0.34379799999999999</v>
      </c>
      <c r="O67" s="83">
        <v>3.6249099999999999E-2</v>
      </c>
      <c r="P67" s="83">
        <v>5.7498999999999996E-3</v>
      </c>
      <c r="Q67" s="83">
        <v>0.33234799999999998</v>
      </c>
      <c r="R67" s="83">
        <v>3.5359099999999997E-2</v>
      </c>
      <c r="S67" s="83">
        <v>5.7498999999999996E-3</v>
      </c>
      <c r="T67" s="83">
        <v>0.33478599999999997</v>
      </c>
      <c r="U67" s="83">
        <v>3.53225E-2</v>
      </c>
      <c r="V67" s="83">
        <v>5.7498999999999996E-3</v>
      </c>
      <c r="W67" s="83">
        <v>0.33246999999999999</v>
      </c>
      <c r="X67" s="83">
        <v>3.5273800000000001E-2</v>
      </c>
      <c r="Y67" s="83">
        <v>5.7498999999999996E-3</v>
      </c>
      <c r="Z67" s="83">
        <v>0.33113300000000001</v>
      </c>
      <c r="AA67" s="83">
        <v>3.5290099999999998E-2</v>
      </c>
      <c r="AB67" s="83">
        <v>5.7498999999999996E-3</v>
      </c>
      <c r="AC67" s="83">
        <v>0.32533800000000002</v>
      </c>
      <c r="AD67" s="83">
        <v>3.5055900000000001E-2</v>
      </c>
      <c r="AE67" s="83">
        <v>5.7498999999999996E-3</v>
      </c>
      <c r="AF67" s="83">
        <v>0.32220799999999999</v>
      </c>
      <c r="AG67" s="83">
        <v>3.48785E-2</v>
      </c>
      <c r="AH67" s="83">
        <v>5.7498999999999996E-3</v>
      </c>
      <c r="AI67" s="83">
        <v>0.32759199999999999</v>
      </c>
      <c r="AJ67" s="83">
        <v>3.5719899999999999E-2</v>
      </c>
      <c r="AK67" s="83">
        <v>5.7498999999999996E-3</v>
      </c>
      <c r="AL67" s="83">
        <v>0.33596599999999999</v>
      </c>
      <c r="AM67" s="83">
        <v>3.6705300000000003E-2</v>
      </c>
      <c r="AN67" s="83">
        <v>5.7498999999999996E-3</v>
      </c>
      <c r="AO67" s="83">
        <v>0.31455</v>
      </c>
      <c r="AP67" s="83">
        <v>3.4933199999999998E-2</v>
      </c>
      <c r="AQ67" s="83">
        <v>5.7498999999999996E-3</v>
      </c>
      <c r="AR67" s="83">
        <v>0.31170399999999998</v>
      </c>
      <c r="AS67" s="83">
        <v>3.4932999999999999E-2</v>
      </c>
      <c r="AT67" s="83">
        <v>5.7498999999999996E-3</v>
      </c>
      <c r="AU67" s="83">
        <v>0.31762099999999999</v>
      </c>
      <c r="AV67" s="83">
        <v>3.5678500000000002E-2</v>
      </c>
      <c r="AW67" s="83">
        <v>5.7498999999999996E-3</v>
      </c>
      <c r="AX67" s="83">
        <v>0.31908599999999998</v>
      </c>
      <c r="AY67" s="83">
        <v>3.6158900000000001E-2</v>
      </c>
      <c r="AZ67" s="83">
        <v>5.7498999999999996E-3</v>
      </c>
      <c r="BA67" s="83">
        <v>0.317575</v>
      </c>
      <c r="BB67" s="83">
        <v>3.6257600000000001E-2</v>
      </c>
      <c r="BC67" s="83">
        <v>5.7498999999999996E-3</v>
      </c>
      <c r="BD67" s="83">
        <v>0.31539</v>
      </c>
      <c r="BE67" s="83">
        <v>3.6339799999999998E-2</v>
      </c>
      <c r="BF67" s="83">
        <v>5.7498999999999996E-3</v>
      </c>
      <c r="BG67" s="83">
        <v>0.308112</v>
      </c>
      <c r="BH67" s="83">
        <v>3.5900799999999997E-2</v>
      </c>
      <c r="BI67" s="83">
        <v>5.7498999999999996E-3</v>
      </c>
      <c r="BJ67" s="83">
        <v>0.30758999999999997</v>
      </c>
      <c r="BK67" s="83">
        <v>3.6096299999999998E-2</v>
      </c>
      <c r="BL67" s="83">
        <v>5.7498999999999996E-3</v>
      </c>
      <c r="BM67" s="83">
        <v>0.30301099999999997</v>
      </c>
      <c r="BN67" s="83">
        <v>3.5902400000000001E-2</v>
      </c>
      <c r="BO67" s="83">
        <v>5.7498999999999996E-3</v>
      </c>
      <c r="BP67" s="83">
        <v>0.29748599999999997</v>
      </c>
      <c r="BQ67" s="83">
        <v>3.5710699999999998E-2</v>
      </c>
      <c r="BR67" s="83">
        <v>5.7498999999999996E-3</v>
      </c>
      <c r="BS67" s="83">
        <v>0.30232900000000001</v>
      </c>
      <c r="BT67" s="83">
        <v>3.6367499999999997E-2</v>
      </c>
      <c r="BU67" s="83">
        <v>5.7498999999999996E-3</v>
      </c>
      <c r="BV67" s="83">
        <v>0.297155</v>
      </c>
      <c r="BW67" s="83">
        <v>3.5989599999999997E-2</v>
      </c>
      <c r="BX67" s="83">
        <v>5.7498999999999996E-3</v>
      </c>
      <c r="BY67" s="83">
        <v>0.28535100000000002</v>
      </c>
      <c r="BZ67" s="83">
        <v>3.5108500000000001E-2</v>
      </c>
      <c r="CA67" s="83">
        <v>5.7498999999999996E-3</v>
      </c>
      <c r="CB67" s="83">
        <v>0.28802</v>
      </c>
      <c r="CC67" s="83">
        <v>3.5659700000000003E-2</v>
      </c>
      <c r="CD67" s="83">
        <v>5.7498999999999996E-3</v>
      </c>
      <c r="CE67" s="83">
        <v>0.28463300000000002</v>
      </c>
      <c r="CF67" s="83">
        <v>3.5494900000000003E-2</v>
      </c>
      <c r="CG67" s="83">
        <v>5.7498999999999996E-3</v>
      </c>
      <c r="CH67" s="83">
        <v>0.282252</v>
      </c>
      <c r="CI67" s="83">
        <v>3.5517399999999998E-2</v>
      </c>
      <c r="CJ67" s="83">
        <v>5.7498999999999996E-3</v>
      </c>
      <c r="CK67" s="83">
        <v>0.28332000000000002</v>
      </c>
      <c r="CL67" s="83">
        <v>3.6033500000000003E-2</v>
      </c>
      <c r="CM67" s="83">
        <v>5.7498999999999996E-3</v>
      </c>
      <c r="CN67" s="83">
        <v>0.28130100000000002</v>
      </c>
      <c r="CO67" s="83">
        <v>3.6196600000000002E-2</v>
      </c>
      <c r="CP67" s="83">
        <v>5.7498999999999996E-3</v>
      </c>
      <c r="CQ67" s="83">
        <v>0.26815299999999997</v>
      </c>
      <c r="CR67" s="83">
        <v>3.5206500000000002E-2</v>
      </c>
      <c r="CS67" s="83">
        <v>5.7498999999999996E-3</v>
      </c>
      <c r="CT67" s="83">
        <v>0.259243</v>
      </c>
      <c r="CU67" s="83">
        <v>3.47535E-2</v>
      </c>
      <c r="CV67" s="83">
        <v>5.7498999999999996E-3</v>
      </c>
      <c r="CW67" s="83">
        <v>0.26457599999999998</v>
      </c>
      <c r="CX67" s="83">
        <v>3.5836199999999999E-2</v>
      </c>
      <c r="CY67" s="83">
        <v>5.7498999999999996E-3</v>
      </c>
      <c r="CZ67" s="83">
        <v>0.26528299999999999</v>
      </c>
      <c r="DA67" s="83">
        <v>3.6373099999999998E-2</v>
      </c>
    </row>
    <row r="68" spans="1:105" x14ac:dyDescent="0.2">
      <c r="A68" s="83">
        <v>5.8498999999999999E-3</v>
      </c>
      <c r="B68" s="83">
        <v>0.29647600000000002</v>
      </c>
      <c r="C68" s="83">
        <v>3.30383E-2</v>
      </c>
      <c r="D68" s="83">
        <v>5.8498999999999999E-3</v>
      </c>
      <c r="E68" s="83">
        <v>0.30042999999999997</v>
      </c>
      <c r="F68" s="83">
        <v>3.3105099999999998E-2</v>
      </c>
      <c r="G68" s="83">
        <v>5.8498999999999999E-3</v>
      </c>
      <c r="H68" s="83">
        <v>0.30788199999999999</v>
      </c>
      <c r="I68" s="83">
        <v>3.3549700000000002E-2</v>
      </c>
      <c r="J68" s="83">
        <v>5.8498999999999999E-3</v>
      </c>
      <c r="K68" s="83">
        <v>0.31440000000000001</v>
      </c>
      <c r="L68" s="83">
        <v>3.4032800000000002E-2</v>
      </c>
      <c r="M68" s="83">
        <v>5.8498999999999999E-3</v>
      </c>
      <c r="N68" s="83">
        <v>0.32599499999999998</v>
      </c>
      <c r="O68" s="83">
        <v>3.4528400000000001E-2</v>
      </c>
      <c r="P68" s="83">
        <v>5.8498999999999999E-3</v>
      </c>
      <c r="Q68" s="83">
        <v>0.31523400000000001</v>
      </c>
      <c r="R68" s="83">
        <v>3.3644300000000002E-2</v>
      </c>
      <c r="S68" s="83">
        <v>5.8498999999999999E-3</v>
      </c>
      <c r="T68" s="83">
        <v>0.31738899999999998</v>
      </c>
      <c r="U68" s="83">
        <v>3.3635999999999999E-2</v>
      </c>
      <c r="V68" s="83">
        <v>5.8498999999999999E-3</v>
      </c>
      <c r="W68" s="83">
        <v>0.31490200000000002</v>
      </c>
      <c r="X68" s="83">
        <v>3.3573600000000002E-2</v>
      </c>
      <c r="Y68" s="83">
        <v>5.8498999999999999E-3</v>
      </c>
      <c r="Z68" s="83">
        <v>0.31301800000000002</v>
      </c>
      <c r="AA68" s="83">
        <v>3.3570299999999997E-2</v>
      </c>
      <c r="AB68" s="83">
        <v>5.8498999999999999E-3</v>
      </c>
      <c r="AC68" s="83">
        <v>0.308087</v>
      </c>
      <c r="AD68" s="83">
        <v>3.3357699999999997E-2</v>
      </c>
      <c r="AE68" s="83">
        <v>5.8498999999999999E-3</v>
      </c>
      <c r="AF68" s="83">
        <v>0.30458099999999999</v>
      </c>
      <c r="AG68" s="83">
        <v>3.3175400000000001E-2</v>
      </c>
      <c r="AH68" s="83">
        <v>5.8498999999999999E-3</v>
      </c>
      <c r="AI68" s="83">
        <v>0.30993100000000001</v>
      </c>
      <c r="AJ68" s="83">
        <v>3.4009900000000003E-2</v>
      </c>
      <c r="AK68" s="83">
        <v>5.8498999999999999E-3</v>
      </c>
      <c r="AL68" s="83">
        <v>0.31795299999999999</v>
      </c>
      <c r="AM68" s="83">
        <v>3.4982699999999999E-2</v>
      </c>
      <c r="AN68" s="83">
        <v>5.8498999999999999E-3</v>
      </c>
      <c r="AO68" s="83">
        <v>0.296962</v>
      </c>
      <c r="AP68" s="83">
        <v>3.3262300000000002E-2</v>
      </c>
      <c r="AQ68" s="83">
        <v>5.8498999999999999E-3</v>
      </c>
      <c r="AR68" s="83">
        <v>0.29469699999999999</v>
      </c>
      <c r="AS68" s="83">
        <v>3.3263000000000001E-2</v>
      </c>
      <c r="AT68" s="83">
        <v>5.8498999999999999E-3</v>
      </c>
      <c r="AU68" s="83">
        <v>0.30019400000000002</v>
      </c>
      <c r="AV68" s="83">
        <v>3.3991E-2</v>
      </c>
      <c r="AW68" s="83">
        <v>5.8498999999999999E-3</v>
      </c>
      <c r="AX68" s="83">
        <v>0.30141000000000001</v>
      </c>
      <c r="AY68" s="83">
        <v>3.4442100000000003E-2</v>
      </c>
      <c r="AZ68" s="83">
        <v>5.8498999999999999E-3</v>
      </c>
      <c r="BA68" s="83">
        <v>0.29993799999999998</v>
      </c>
      <c r="BB68" s="83">
        <v>3.4495900000000003E-2</v>
      </c>
      <c r="BC68" s="83">
        <v>5.8498999999999999E-3</v>
      </c>
      <c r="BD68" s="83">
        <v>0.297734</v>
      </c>
      <c r="BE68" s="83">
        <v>3.46133E-2</v>
      </c>
      <c r="BF68" s="83">
        <v>5.8498999999999999E-3</v>
      </c>
      <c r="BG68" s="83">
        <v>0.29027999999999998</v>
      </c>
      <c r="BH68" s="83">
        <v>3.4150800000000002E-2</v>
      </c>
      <c r="BI68" s="83">
        <v>5.8498999999999999E-3</v>
      </c>
      <c r="BJ68" s="83">
        <v>0.29007100000000002</v>
      </c>
      <c r="BK68" s="83">
        <v>3.43971E-2</v>
      </c>
      <c r="BL68" s="83">
        <v>5.8498999999999999E-3</v>
      </c>
      <c r="BM68" s="83">
        <v>0.28616999999999998</v>
      </c>
      <c r="BN68" s="83">
        <v>3.4190499999999999E-2</v>
      </c>
      <c r="BO68" s="83">
        <v>5.8498999999999999E-3</v>
      </c>
      <c r="BP68" s="83">
        <v>0.280528</v>
      </c>
      <c r="BQ68" s="83">
        <v>3.3981200000000003E-2</v>
      </c>
      <c r="BR68" s="83">
        <v>5.8498999999999999E-3</v>
      </c>
      <c r="BS68" s="83">
        <v>0.284858</v>
      </c>
      <c r="BT68" s="83">
        <v>3.4670199999999998E-2</v>
      </c>
      <c r="BU68" s="83">
        <v>5.8498999999999999E-3</v>
      </c>
      <c r="BV68" s="83">
        <v>0.27993400000000002</v>
      </c>
      <c r="BW68" s="83">
        <v>3.42376E-2</v>
      </c>
      <c r="BX68" s="83">
        <v>5.8498999999999999E-3</v>
      </c>
      <c r="BY68" s="83">
        <v>0.26889099999999999</v>
      </c>
      <c r="BZ68" s="83">
        <v>3.3405299999999999E-2</v>
      </c>
      <c r="CA68" s="83">
        <v>5.8498999999999999E-3</v>
      </c>
      <c r="CB68" s="83">
        <v>0.27150200000000002</v>
      </c>
      <c r="CC68" s="83">
        <v>3.3914600000000003E-2</v>
      </c>
      <c r="CD68" s="83">
        <v>5.8498999999999999E-3</v>
      </c>
      <c r="CE68" s="83">
        <v>0.26817800000000003</v>
      </c>
      <c r="CF68" s="83">
        <v>3.3808400000000002E-2</v>
      </c>
      <c r="CG68" s="83">
        <v>5.8498999999999999E-3</v>
      </c>
      <c r="CH68" s="83">
        <v>0.26545000000000002</v>
      </c>
      <c r="CI68" s="83">
        <v>3.38211E-2</v>
      </c>
      <c r="CJ68" s="83">
        <v>5.8498999999999999E-3</v>
      </c>
      <c r="CK68" s="83">
        <v>0.26663999999999999</v>
      </c>
      <c r="CL68" s="83">
        <v>3.4303100000000003E-2</v>
      </c>
      <c r="CM68" s="83">
        <v>5.8498999999999999E-3</v>
      </c>
      <c r="CN68" s="83">
        <v>0.264436</v>
      </c>
      <c r="CO68" s="83">
        <v>3.4472900000000001E-2</v>
      </c>
      <c r="CP68" s="83">
        <v>5.8498999999999999E-3</v>
      </c>
      <c r="CQ68" s="83">
        <v>0.25201099999999999</v>
      </c>
      <c r="CR68" s="83">
        <v>3.3509200000000003E-2</v>
      </c>
      <c r="CS68" s="83">
        <v>5.8498999999999999E-3</v>
      </c>
      <c r="CT68" s="83">
        <v>0.24340800000000001</v>
      </c>
      <c r="CU68" s="83">
        <v>3.30885E-2</v>
      </c>
      <c r="CV68" s="83">
        <v>5.8498999999999999E-3</v>
      </c>
      <c r="CW68" s="83">
        <v>0.24881900000000001</v>
      </c>
      <c r="CX68" s="83">
        <v>3.4086199999999997E-2</v>
      </c>
      <c r="CY68" s="83">
        <v>5.8498999999999999E-3</v>
      </c>
      <c r="CZ68" s="83">
        <v>0.24926300000000001</v>
      </c>
      <c r="DA68" s="83">
        <v>3.4651500000000002E-2</v>
      </c>
    </row>
    <row r="69" spans="1:105" x14ac:dyDescent="0.2">
      <c r="A69" s="83">
        <v>5.9499000000000002E-3</v>
      </c>
      <c r="B69" s="83">
        <v>0.28091500000000003</v>
      </c>
      <c r="C69" s="83">
        <v>3.1507100000000003E-2</v>
      </c>
      <c r="D69" s="83">
        <v>5.9499000000000002E-3</v>
      </c>
      <c r="E69" s="83">
        <v>0.28448200000000001</v>
      </c>
      <c r="F69" s="83">
        <v>3.1539600000000001E-2</v>
      </c>
      <c r="G69" s="83">
        <v>5.9499000000000002E-3</v>
      </c>
      <c r="H69" s="83">
        <v>0.29202699999999998</v>
      </c>
      <c r="I69" s="83">
        <v>3.1947099999999999E-2</v>
      </c>
      <c r="J69" s="83">
        <v>5.9499000000000002E-3</v>
      </c>
      <c r="K69" s="83">
        <v>0.29794999999999999</v>
      </c>
      <c r="L69" s="83">
        <v>3.23834E-2</v>
      </c>
      <c r="M69" s="83">
        <v>5.9499000000000002E-3</v>
      </c>
      <c r="N69" s="83">
        <v>0.308618</v>
      </c>
      <c r="O69" s="83">
        <v>3.28595E-2</v>
      </c>
      <c r="P69" s="83">
        <v>5.9499000000000002E-3</v>
      </c>
      <c r="Q69" s="83">
        <v>0.29889100000000002</v>
      </c>
      <c r="R69" s="83">
        <v>3.2058400000000001E-2</v>
      </c>
      <c r="S69" s="83">
        <v>5.9499000000000002E-3</v>
      </c>
      <c r="T69" s="83">
        <v>0.30078700000000003</v>
      </c>
      <c r="U69" s="83">
        <v>3.2004199999999997E-2</v>
      </c>
      <c r="V69" s="83">
        <v>5.9499000000000002E-3</v>
      </c>
      <c r="W69" s="83">
        <v>0.29851499999999997</v>
      </c>
      <c r="X69" s="83">
        <v>3.2000399999999998E-2</v>
      </c>
      <c r="Y69" s="83">
        <v>5.9499000000000002E-3</v>
      </c>
      <c r="Z69" s="83">
        <v>0.29623100000000002</v>
      </c>
      <c r="AA69" s="83">
        <v>3.1967799999999998E-2</v>
      </c>
      <c r="AB69" s="83">
        <v>5.9499000000000002E-3</v>
      </c>
      <c r="AC69" s="83">
        <v>0.291016</v>
      </c>
      <c r="AD69" s="83">
        <v>3.1784399999999997E-2</v>
      </c>
      <c r="AE69" s="83">
        <v>5.9499000000000002E-3</v>
      </c>
      <c r="AF69" s="83">
        <v>0.28772599999999998</v>
      </c>
      <c r="AG69" s="83">
        <v>3.1627500000000003E-2</v>
      </c>
      <c r="AH69" s="83">
        <v>5.9499000000000002E-3</v>
      </c>
      <c r="AI69" s="83">
        <v>0.29305100000000001</v>
      </c>
      <c r="AJ69" s="83">
        <v>3.2391700000000002E-2</v>
      </c>
      <c r="AK69" s="83">
        <v>5.9499000000000002E-3</v>
      </c>
      <c r="AL69" s="83">
        <v>0.30058000000000001</v>
      </c>
      <c r="AM69" s="83">
        <v>3.3292200000000001E-2</v>
      </c>
      <c r="AN69" s="83">
        <v>5.9499000000000002E-3</v>
      </c>
      <c r="AO69" s="83">
        <v>0.28045300000000001</v>
      </c>
      <c r="AP69" s="83">
        <v>3.1668500000000002E-2</v>
      </c>
      <c r="AQ69" s="83">
        <v>5.9499000000000002E-3</v>
      </c>
      <c r="AR69" s="83">
        <v>0.27823700000000001</v>
      </c>
      <c r="AS69" s="83">
        <v>3.1683900000000001E-2</v>
      </c>
      <c r="AT69" s="83">
        <v>5.9499000000000002E-3</v>
      </c>
      <c r="AU69" s="83">
        <v>0.28357300000000002</v>
      </c>
      <c r="AV69" s="83">
        <v>3.23513E-2</v>
      </c>
      <c r="AW69" s="83">
        <v>5.9499000000000002E-3</v>
      </c>
      <c r="AX69" s="83">
        <v>0.28454000000000002</v>
      </c>
      <c r="AY69" s="83">
        <v>3.2789800000000001E-2</v>
      </c>
      <c r="AZ69" s="83">
        <v>5.9499000000000002E-3</v>
      </c>
      <c r="BA69" s="83">
        <v>0.282912</v>
      </c>
      <c r="BB69" s="83">
        <v>3.28612E-2</v>
      </c>
      <c r="BC69" s="83">
        <v>5.9499000000000002E-3</v>
      </c>
      <c r="BD69" s="83">
        <v>0.28077099999999999</v>
      </c>
      <c r="BE69" s="83">
        <v>3.2935499999999999E-2</v>
      </c>
      <c r="BF69" s="83">
        <v>5.9499000000000002E-3</v>
      </c>
      <c r="BG69" s="83">
        <v>0.27391700000000002</v>
      </c>
      <c r="BH69" s="83">
        <v>3.2537499999999997E-2</v>
      </c>
      <c r="BI69" s="83">
        <v>5.9499000000000002E-3</v>
      </c>
      <c r="BJ69" s="83">
        <v>0.273982</v>
      </c>
      <c r="BK69" s="83">
        <v>3.2746699999999997E-2</v>
      </c>
      <c r="BL69" s="83">
        <v>5.9499000000000002E-3</v>
      </c>
      <c r="BM69" s="83">
        <v>0.26957799999999998</v>
      </c>
      <c r="BN69" s="83">
        <v>3.2541100000000003E-2</v>
      </c>
      <c r="BO69" s="83">
        <v>5.9499000000000002E-3</v>
      </c>
      <c r="BP69" s="83">
        <v>0.26462000000000002</v>
      </c>
      <c r="BQ69" s="83">
        <v>3.23542E-2</v>
      </c>
      <c r="BR69" s="83">
        <v>5.9499000000000002E-3</v>
      </c>
      <c r="BS69" s="83">
        <v>0.26868599999999998</v>
      </c>
      <c r="BT69" s="83">
        <v>3.3009999999999998E-2</v>
      </c>
      <c r="BU69" s="83">
        <v>5.9499000000000002E-3</v>
      </c>
      <c r="BV69" s="83">
        <v>0.26328800000000002</v>
      </c>
      <c r="BW69" s="83">
        <v>3.2627299999999998E-2</v>
      </c>
      <c r="BX69" s="83">
        <v>5.9499000000000002E-3</v>
      </c>
      <c r="BY69" s="83">
        <v>0.25336799999999998</v>
      </c>
      <c r="BZ69" s="83">
        <v>3.18243E-2</v>
      </c>
      <c r="CA69" s="83">
        <v>5.9499000000000002E-3</v>
      </c>
      <c r="CB69" s="83">
        <v>0.25586700000000001</v>
      </c>
      <c r="CC69" s="83">
        <v>3.2302299999999999E-2</v>
      </c>
      <c r="CD69" s="83">
        <v>5.9499000000000002E-3</v>
      </c>
      <c r="CE69" s="83">
        <v>0.25269399999999997</v>
      </c>
      <c r="CF69" s="83">
        <v>3.2165800000000001E-2</v>
      </c>
      <c r="CG69" s="83">
        <v>5.9499000000000002E-3</v>
      </c>
      <c r="CH69" s="83">
        <v>0.24984999999999999</v>
      </c>
      <c r="CI69" s="83">
        <v>3.2181399999999999E-2</v>
      </c>
      <c r="CJ69" s="83">
        <v>5.9499000000000002E-3</v>
      </c>
      <c r="CK69" s="83">
        <v>0.25070799999999999</v>
      </c>
      <c r="CL69" s="83">
        <v>3.2648799999999999E-2</v>
      </c>
      <c r="CM69" s="83">
        <v>5.9499000000000002E-3</v>
      </c>
      <c r="CN69" s="83">
        <v>0.248894</v>
      </c>
      <c r="CO69" s="83">
        <v>3.2816699999999997E-2</v>
      </c>
      <c r="CP69" s="83">
        <v>5.9499000000000002E-3</v>
      </c>
      <c r="CQ69" s="83">
        <v>0.236508</v>
      </c>
      <c r="CR69" s="83">
        <v>3.1943800000000001E-2</v>
      </c>
      <c r="CS69" s="83">
        <v>5.9499000000000002E-3</v>
      </c>
      <c r="CT69" s="83">
        <v>0.22927700000000001</v>
      </c>
      <c r="CU69" s="83">
        <v>3.1522099999999997E-2</v>
      </c>
      <c r="CV69" s="83">
        <v>5.9499000000000002E-3</v>
      </c>
      <c r="CW69" s="83">
        <v>0.233682</v>
      </c>
      <c r="CX69" s="83">
        <v>3.2461200000000003E-2</v>
      </c>
      <c r="CY69" s="83">
        <v>5.9499000000000002E-3</v>
      </c>
      <c r="CZ69" s="83">
        <v>0.23391600000000001</v>
      </c>
      <c r="DA69" s="83">
        <v>3.2992300000000002E-2</v>
      </c>
    </row>
    <row r="70" spans="1:105" x14ac:dyDescent="0.2">
      <c r="A70" s="83">
        <v>6.0499000000000004E-3</v>
      </c>
      <c r="B70" s="83">
        <v>0.26622200000000001</v>
      </c>
      <c r="C70" s="83">
        <v>3.0014900000000001E-2</v>
      </c>
      <c r="D70" s="83">
        <v>6.0499000000000004E-3</v>
      </c>
      <c r="E70" s="83">
        <v>0.26986300000000002</v>
      </c>
      <c r="F70" s="83">
        <v>3.0038700000000002E-2</v>
      </c>
      <c r="G70" s="83">
        <v>6.0499000000000004E-3</v>
      </c>
      <c r="H70" s="83">
        <v>0.27612399999999998</v>
      </c>
      <c r="I70" s="83">
        <v>3.04403E-2</v>
      </c>
      <c r="J70" s="83">
        <v>6.0499000000000004E-3</v>
      </c>
      <c r="K70" s="83">
        <v>0.28218799999999999</v>
      </c>
      <c r="L70" s="83">
        <v>3.0862899999999999E-2</v>
      </c>
      <c r="M70" s="83">
        <v>6.0499000000000004E-3</v>
      </c>
      <c r="N70" s="83">
        <v>0.29225000000000001</v>
      </c>
      <c r="O70" s="83">
        <v>3.1301900000000001E-2</v>
      </c>
      <c r="P70" s="83">
        <v>6.0499000000000004E-3</v>
      </c>
      <c r="Q70" s="83">
        <v>0.282939</v>
      </c>
      <c r="R70" s="83">
        <v>3.05261E-2</v>
      </c>
      <c r="S70" s="83">
        <v>6.0499000000000004E-3</v>
      </c>
      <c r="T70" s="83">
        <v>0.284557</v>
      </c>
      <c r="U70" s="83">
        <v>3.0518799999999999E-2</v>
      </c>
      <c r="V70" s="83">
        <v>6.0499000000000004E-3</v>
      </c>
      <c r="W70" s="83">
        <v>0.28255799999999998</v>
      </c>
      <c r="X70" s="83">
        <v>3.0463299999999999E-2</v>
      </c>
      <c r="Y70" s="83">
        <v>6.0499000000000004E-3</v>
      </c>
      <c r="Z70" s="83">
        <v>0.28052300000000002</v>
      </c>
      <c r="AA70" s="83">
        <v>3.0495100000000001E-2</v>
      </c>
      <c r="AB70" s="83">
        <v>6.0499000000000004E-3</v>
      </c>
      <c r="AC70" s="83">
        <v>0.27545999999999998</v>
      </c>
      <c r="AD70" s="83">
        <v>3.0278599999999999E-2</v>
      </c>
      <c r="AE70" s="83">
        <v>6.0499000000000004E-3</v>
      </c>
      <c r="AF70" s="83">
        <v>0.27196399999999998</v>
      </c>
      <c r="AG70" s="83">
        <v>3.0106000000000001E-2</v>
      </c>
      <c r="AH70" s="83">
        <v>6.0499000000000004E-3</v>
      </c>
      <c r="AI70" s="83">
        <v>0.27665899999999999</v>
      </c>
      <c r="AJ70" s="83">
        <v>3.0847800000000002E-2</v>
      </c>
      <c r="AK70" s="83">
        <v>6.0499000000000004E-3</v>
      </c>
      <c r="AL70" s="83">
        <v>0.28392899999999999</v>
      </c>
      <c r="AM70" s="83">
        <v>3.1731700000000002E-2</v>
      </c>
      <c r="AN70" s="83">
        <v>6.0499000000000004E-3</v>
      </c>
      <c r="AO70" s="83">
        <v>0.26487699999999997</v>
      </c>
      <c r="AP70" s="83">
        <v>3.0187100000000001E-2</v>
      </c>
      <c r="AQ70" s="83">
        <v>6.0499000000000004E-3</v>
      </c>
      <c r="AR70" s="83">
        <v>0.26285599999999998</v>
      </c>
      <c r="AS70" s="83">
        <v>3.01791E-2</v>
      </c>
      <c r="AT70" s="83">
        <v>6.0499000000000004E-3</v>
      </c>
      <c r="AU70" s="83">
        <v>0.26727400000000001</v>
      </c>
      <c r="AV70" s="83">
        <v>3.0798599999999999E-2</v>
      </c>
      <c r="AW70" s="83">
        <v>6.0499000000000004E-3</v>
      </c>
      <c r="AX70" s="83">
        <v>0.26867600000000003</v>
      </c>
      <c r="AY70" s="83">
        <v>3.1270300000000001E-2</v>
      </c>
      <c r="AZ70" s="83">
        <v>6.0499000000000004E-3</v>
      </c>
      <c r="BA70" s="83">
        <v>0.26691599999999999</v>
      </c>
      <c r="BB70" s="83">
        <v>3.1310400000000002E-2</v>
      </c>
      <c r="BC70" s="83">
        <v>6.0499000000000004E-3</v>
      </c>
      <c r="BD70" s="83">
        <v>0.26499499999999998</v>
      </c>
      <c r="BE70" s="83">
        <v>3.13808E-2</v>
      </c>
      <c r="BF70" s="83">
        <v>6.0499000000000004E-3</v>
      </c>
      <c r="BG70" s="83">
        <v>0.25851200000000002</v>
      </c>
      <c r="BH70" s="83">
        <v>3.1018E-2</v>
      </c>
      <c r="BI70" s="83">
        <v>6.0499000000000004E-3</v>
      </c>
      <c r="BJ70" s="83">
        <v>0.25806899999999999</v>
      </c>
      <c r="BK70" s="83">
        <v>3.12243E-2</v>
      </c>
      <c r="BL70" s="83">
        <v>6.0499000000000004E-3</v>
      </c>
      <c r="BM70" s="83">
        <v>0.25443199999999999</v>
      </c>
      <c r="BN70" s="83">
        <v>3.1020599999999999E-2</v>
      </c>
      <c r="BO70" s="83">
        <v>6.0499000000000004E-3</v>
      </c>
      <c r="BP70" s="83">
        <v>0.24963399999999999</v>
      </c>
      <c r="BQ70" s="83">
        <v>3.08347E-2</v>
      </c>
      <c r="BR70" s="83">
        <v>6.0499000000000004E-3</v>
      </c>
      <c r="BS70" s="83">
        <v>0.25340299999999999</v>
      </c>
      <c r="BT70" s="83">
        <v>3.1444600000000003E-2</v>
      </c>
      <c r="BU70" s="83">
        <v>6.0499000000000004E-3</v>
      </c>
      <c r="BV70" s="83">
        <v>0.24824399999999999</v>
      </c>
      <c r="BW70" s="83">
        <v>3.1084299999999999E-2</v>
      </c>
      <c r="BX70" s="83">
        <v>6.0499000000000004E-3</v>
      </c>
      <c r="BY70" s="83">
        <v>0.238842</v>
      </c>
      <c r="BZ70" s="83">
        <v>3.0323300000000001E-2</v>
      </c>
      <c r="CA70" s="83">
        <v>6.0499000000000004E-3</v>
      </c>
      <c r="CB70" s="83">
        <v>0.24059800000000001</v>
      </c>
      <c r="CC70" s="83">
        <v>3.0790499999999998E-2</v>
      </c>
      <c r="CD70" s="83">
        <v>6.0499000000000004E-3</v>
      </c>
      <c r="CE70" s="83">
        <v>0.23809</v>
      </c>
      <c r="CF70" s="83">
        <v>3.0641399999999999E-2</v>
      </c>
      <c r="CG70" s="83">
        <v>6.0499000000000004E-3</v>
      </c>
      <c r="CH70" s="83">
        <v>0.23516699999999999</v>
      </c>
      <c r="CI70" s="83">
        <v>3.0687300000000001E-2</v>
      </c>
      <c r="CJ70" s="83">
        <v>6.0499000000000004E-3</v>
      </c>
      <c r="CK70" s="83">
        <v>0.23529700000000001</v>
      </c>
      <c r="CL70" s="83">
        <v>3.10941E-2</v>
      </c>
      <c r="CM70" s="83">
        <v>6.0499000000000004E-3</v>
      </c>
      <c r="CN70" s="83">
        <v>0.23393800000000001</v>
      </c>
      <c r="CO70" s="83">
        <v>3.1262999999999999E-2</v>
      </c>
      <c r="CP70" s="83">
        <v>6.0499000000000004E-3</v>
      </c>
      <c r="CQ70" s="83">
        <v>0.222303</v>
      </c>
      <c r="CR70" s="83">
        <v>3.04116E-2</v>
      </c>
      <c r="CS70" s="83">
        <v>6.0499000000000004E-3</v>
      </c>
      <c r="CT70" s="83">
        <v>0.214863</v>
      </c>
      <c r="CU70" s="83">
        <v>3.00133E-2</v>
      </c>
      <c r="CV70" s="83">
        <v>6.0499000000000004E-3</v>
      </c>
      <c r="CW70" s="83">
        <v>0.219356</v>
      </c>
      <c r="CX70" s="83">
        <v>3.0944599999999999E-2</v>
      </c>
      <c r="CY70" s="83">
        <v>6.0499000000000004E-3</v>
      </c>
      <c r="CZ70" s="83">
        <v>0.21972700000000001</v>
      </c>
      <c r="DA70" s="83">
        <v>3.1406299999999998E-2</v>
      </c>
    </row>
    <row r="71" spans="1:105" x14ac:dyDescent="0.2">
      <c r="A71" s="83">
        <v>6.1498999999999998E-3</v>
      </c>
      <c r="B71" s="83">
        <v>0.25235999999999997</v>
      </c>
      <c r="C71" s="83">
        <v>2.8522700000000002E-2</v>
      </c>
      <c r="D71" s="83">
        <v>6.1498999999999998E-3</v>
      </c>
      <c r="E71" s="83">
        <v>0.25560100000000002</v>
      </c>
      <c r="F71" s="83">
        <v>2.85797E-2</v>
      </c>
      <c r="G71" s="83">
        <v>6.1498999999999998E-3</v>
      </c>
      <c r="H71" s="83">
        <v>0.26158300000000001</v>
      </c>
      <c r="I71" s="83">
        <v>2.89559E-2</v>
      </c>
      <c r="J71" s="83">
        <v>6.1498999999999998E-3</v>
      </c>
      <c r="K71" s="83">
        <v>0.26714399999999999</v>
      </c>
      <c r="L71" s="83">
        <v>2.9390300000000001E-2</v>
      </c>
      <c r="M71" s="83">
        <v>6.1498999999999998E-3</v>
      </c>
      <c r="N71" s="83">
        <v>0.27689399999999997</v>
      </c>
      <c r="O71" s="83">
        <v>2.98263E-2</v>
      </c>
      <c r="P71" s="83">
        <v>6.1498999999999998E-3</v>
      </c>
      <c r="Q71" s="83">
        <v>0.26773799999999998</v>
      </c>
      <c r="R71" s="83">
        <v>2.9031000000000001E-2</v>
      </c>
      <c r="S71" s="83">
        <v>6.1498999999999998E-3</v>
      </c>
      <c r="T71" s="83">
        <v>0.26931300000000002</v>
      </c>
      <c r="U71" s="83">
        <v>2.9034399999999998E-2</v>
      </c>
      <c r="V71" s="83">
        <v>6.1498999999999998E-3</v>
      </c>
      <c r="W71" s="83">
        <v>0.26674300000000001</v>
      </c>
      <c r="X71" s="83">
        <v>2.9009199999999999E-2</v>
      </c>
      <c r="Y71" s="83">
        <v>6.1498999999999998E-3</v>
      </c>
      <c r="Z71" s="83">
        <v>0.26588000000000001</v>
      </c>
      <c r="AA71" s="83">
        <v>2.90137E-2</v>
      </c>
      <c r="AB71" s="83">
        <v>6.1498999999999998E-3</v>
      </c>
      <c r="AC71" s="83">
        <v>0.26073299999999999</v>
      </c>
      <c r="AD71" s="83">
        <v>2.8797099999999999E-2</v>
      </c>
      <c r="AE71" s="83">
        <v>6.1498999999999998E-3</v>
      </c>
      <c r="AF71" s="83">
        <v>0.25722800000000001</v>
      </c>
      <c r="AG71" s="83">
        <v>2.8660700000000001E-2</v>
      </c>
      <c r="AH71" s="83">
        <v>6.1498999999999998E-3</v>
      </c>
      <c r="AI71" s="83">
        <v>0.26125900000000002</v>
      </c>
      <c r="AJ71" s="83">
        <v>2.9333100000000001E-2</v>
      </c>
      <c r="AK71" s="83">
        <v>6.1498999999999998E-3</v>
      </c>
      <c r="AL71" s="83">
        <v>0.26799200000000001</v>
      </c>
      <c r="AM71" s="83">
        <v>3.0230699999999999E-2</v>
      </c>
      <c r="AN71" s="83">
        <v>6.1498999999999998E-3</v>
      </c>
      <c r="AO71" s="83">
        <v>0.25024299999999999</v>
      </c>
      <c r="AP71" s="83">
        <v>2.8715399999999999E-2</v>
      </c>
      <c r="AQ71" s="83">
        <v>6.1498999999999998E-3</v>
      </c>
      <c r="AR71" s="83">
        <v>0.24845200000000001</v>
      </c>
      <c r="AS71" s="83">
        <v>2.86947E-2</v>
      </c>
      <c r="AT71" s="83">
        <v>6.1498999999999998E-3</v>
      </c>
      <c r="AU71" s="83">
        <v>0.25273800000000002</v>
      </c>
      <c r="AV71" s="83">
        <v>2.9334699999999998E-2</v>
      </c>
      <c r="AW71" s="83">
        <v>6.1498999999999998E-3</v>
      </c>
      <c r="AX71" s="83">
        <v>0.25375399999999998</v>
      </c>
      <c r="AY71" s="83">
        <v>2.9780000000000001E-2</v>
      </c>
      <c r="AZ71" s="83">
        <v>6.1498999999999998E-3</v>
      </c>
      <c r="BA71" s="83">
        <v>0.25214999999999999</v>
      </c>
      <c r="BB71" s="83">
        <v>2.9838699999999999E-2</v>
      </c>
      <c r="BC71" s="83">
        <v>6.1498999999999998E-3</v>
      </c>
      <c r="BD71" s="83">
        <v>0.24984300000000001</v>
      </c>
      <c r="BE71" s="83">
        <v>2.99121E-2</v>
      </c>
      <c r="BF71" s="83">
        <v>6.1498999999999998E-3</v>
      </c>
      <c r="BG71" s="83">
        <v>0.24385399999999999</v>
      </c>
      <c r="BH71" s="83">
        <v>2.95277E-2</v>
      </c>
      <c r="BI71" s="83">
        <v>6.1498999999999998E-3</v>
      </c>
      <c r="BJ71" s="83">
        <v>0.24335699999999999</v>
      </c>
      <c r="BK71" s="83">
        <v>2.9724299999999999E-2</v>
      </c>
      <c r="BL71" s="83">
        <v>6.1498999999999998E-3</v>
      </c>
      <c r="BM71" s="83">
        <v>0.23955399999999999</v>
      </c>
      <c r="BN71" s="83">
        <v>2.9521499999999999E-2</v>
      </c>
      <c r="BO71" s="83">
        <v>6.1498999999999998E-3</v>
      </c>
      <c r="BP71" s="83">
        <v>0.234961</v>
      </c>
      <c r="BQ71" s="83">
        <v>2.9350299999999999E-2</v>
      </c>
      <c r="BR71" s="83">
        <v>6.1498999999999998E-3</v>
      </c>
      <c r="BS71" s="83">
        <v>0.23869599999999999</v>
      </c>
      <c r="BT71" s="83">
        <v>2.9954399999999999E-2</v>
      </c>
      <c r="BU71" s="83">
        <v>6.1498999999999998E-3</v>
      </c>
      <c r="BV71" s="83">
        <v>0.23386399999999999</v>
      </c>
      <c r="BW71" s="83">
        <v>2.9576499999999999E-2</v>
      </c>
      <c r="BX71" s="83">
        <v>6.1498999999999998E-3</v>
      </c>
      <c r="BY71" s="83">
        <v>0.22464700000000001</v>
      </c>
      <c r="BZ71" s="83">
        <v>2.88419E-2</v>
      </c>
      <c r="CA71" s="83">
        <v>6.1498999999999998E-3</v>
      </c>
      <c r="CB71" s="83">
        <v>0.226609</v>
      </c>
      <c r="CC71" s="83">
        <v>2.9286599999999999E-2</v>
      </c>
      <c r="CD71" s="83">
        <v>6.1498999999999998E-3</v>
      </c>
      <c r="CE71" s="83">
        <v>0.22336800000000001</v>
      </c>
      <c r="CF71" s="83">
        <v>2.9156000000000001E-2</v>
      </c>
      <c r="CG71" s="83">
        <v>6.1498999999999998E-3</v>
      </c>
      <c r="CH71" s="83">
        <v>0.22134899999999999</v>
      </c>
      <c r="CI71" s="83">
        <v>2.9175599999999999E-2</v>
      </c>
      <c r="CJ71" s="83">
        <v>6.1498999999999998E-3</v>
      </c>
      <c r="CK71" s="83">
        <v>0.221494</v>
      </c>
      <c r="CL71" s="83">
        <v>2.96019E-2</v>
      </c>
      <c r="CM71" s="83">
        <v>6.1498999999999998E-3</v>
      </c>
      <c r="CN71" s="83">
        <v>0.22001699999999999</v>
      </c>
      <c r="CO71" s="83">
        <v>2.9760999999999999E-2</v>
      </c>
      <c r="CP71" s="83">
        <v>6.1498999999999998E-3</v>
      </c>
      <c r="CQ71" s="83">
        <v>0.20860200000000001</v>
      </c>
      <c r="CR71" s="83">
        <v>2.89301E-2</v>
      </c>
      <c r="CS71" s="83">
        <v>6.1498999999999998E-3</v>
      </c>
      <c r="CT71" s="83">
        <v>0.20197699999999999</v>
      </c>
      <c r="CU71" s="83">
        <v>2.8586500000000001E-2</v>
      </c>
      <c r="CV71" s="83">
        <v>6.1498999999999998E-3</v>
      </c>
      <c r="CW71" s="83">
        <v>0.205709</v>
      </c>
      <c r="CX71" s="83">
        <v>2.94524E-2</v>
      </c>
      <c r="CY71" s="83">
        <v>6.1498999999999998E-3</v>
      </c>
      <c r="CZ71" s="83">
        <v>0.20572299999999999</v>
      </c>
      <c r="DA71" s="83">
        <v>2.99513E-2</v>
      </c>
    </row>
    <row r="72" spans="1:105" x14ac:dyDescent="0.2">
      <c r="A72" s="83">
        <v>6.2499000000000001E-3</v>
      </c>
      <c r="B72" s="83">
        <v>0.23897599999999999</v>
      </c>
      <c r="C72" s="83">
        <v>2.7196499999999998E-2</v>
      </c>
      <c r="D72" s="83">
        <v>6.2499000000000001E-3</v>
      </c>
      <c r="E72" s="83">
        <v>0.241836</v>
      </c>
      <c r="F72" s="83">
        <v>2.7198799999999999E-2</v>
      </c>
      <c r="G72" s="83">
        <v>6.2499000000000001E-3</v>
      </c>
      <c r="H72" s="83">
        <v>0.247525</v>
      </c>
      <c r="I72" s="83">
        <v>2.7568200000000001E-2</v>
      </c>
      <c r="J72" s="83">
        <v>6.2499000000000001E-3</v>
      </c>
      <c r="K72" s="83">
        <v>0.25319900000000001</v>
      </c>
      <c r="L72" s="83">
        <v>2.7959600000000001E-2</v>
      </c>
      <c r="M72" s="83">
        <v>6.2499000000000001E-3</v>
      </c>
      <c r="N72" s="83">
        <v>0.26212800000000003</v>
      </c>
      <c r="O72" s="83">
        <v>2.83536E-2</v>
      </c>
      <c r="P72" s="83">
        <v>6.2499000000000001E-3</v>
      </c>
      <c r="Q72" s="83">
        <v>0.253554</v>
      </c>
      <c r="R72" s="83">
        <v>2.7657999999999999E-2</v>
      </c>
      <c r="S72" s="83">
        <v>6.2499000000000001E-3</v>
      </c>
      <c r="T72" s="83">
        <v>0.254498</v>
      </c>
      <c r="U72" s="83">
        <v>2.7635E-2</v>
      </c>
      <c r="V72" s="83">
        <v>6.2499000000000001E-3</v>
      </c>
      <c r="W72" s="83">
        <v>0.25244100000000003</v>
      </c>
      <c r="X72" s="83">
        <v>2.76098E-2</v>
      </c>
      <c r="Y72" s="83">
        <v>6.2499000000000001E-3</v>
      </c>
      <c r="Z72" s="83">
        <v>0.25131399999999998</v>
      </c>
      <c r="AA72" s="83">
        <v>2.7626999999999999E-2</v>
      </c>
      <c r="AB72" s="83">
        <v>6.2499000000000001E-3</v>
      </c>
      <c r="AC72" s="83">
        <v>0.24624599999999999</v>
      </c>
      <c r="AD72" s="83">
        <v>2.7431899999999999E-2</v>
      </c>
      <c r="AE72" s="83">
        <v>6.2499000000000001E-3</v>
      </c>
      <c r="AF72" s="83">
        <v>0.24313100000000001</v>
      </c>
      <c r="AG72" s="83">
        <v>2.73219E-2</v>
      </c>
      <c r="AH72" s="83">
        <v>6.2499000000000001E-3</v>
      </c>
      <c r="AI72" s="83">
        <v>0.247196</v>
      </c>
      <c r="AJ72" s="83">
        <v>2.7938600000000001E-2</v>
      </c>
      <c r="AK72" s="83">
        <v>6.2499000000000001E-3</v>
      </c>
      <c r="AL72" s="83">
        <v>0.253104</v>
      </c>
      <c r="AM72" s="83">
        <v>2.8772699999999998E-2</v>
      </c>
      <c r="AN72" s="83">
        <v>6.2499000000000001E-3</v>
      </c>
      <c r="AO72" s="83">
        <v>0.23605400000000001</v>
      </c>
      <c r="AP72" s="83">
        <v>2.7349200000000001E-2</v>
      </c>
      <c r="AQ72" s="83">
        <v>6.2499000000000001E-3</v>
      </c>
      <c r="AR72" s="83">
        <v>0.23444799999999999</v>
      </c>
      <c r="AS72" s="83">
        <v>2.73539E-2</v>
      </c>
      <c r="AT72" s="83">
        <v>6.2499000000000001E-3</v>
      </c>
      <c r="AU72" s="83">
        <v>0.23810400000000001</v>
      </c>
      <c r="AV72" s="83">
        <v>2.7907999999999999E-2</v>
      </c>
      <c r="AW72" s="83">
        <v>6.2499000000000001E-3</v>
      </c>
      <c r="AX72" s="83">
        <v>0.23918400000000001</v>
      </c>
      <c r="AY72" s="83">
        <v>2.82986E-2</v>
      </c>
      <c r="AZ72" s="83">
        <v>6.2499000000000001E-3</v>
      </c>
      <c r="BA72" s="83">
        <v>0.23802899999999999</v>
      </c>
      <c r="BB72" s="83">
        <v>2.8391400000000001E-2</v>
      </c>
      <c r="BC72" s="83">
        <v>6.2499000000000001E-3</v>
      </c>
      <c r="BD72" s="83">
        <v>0.23538000000000001</v>
      </c>
      <c r="BE72" s="83">
        <v>2.8446300000000001E-2</v>
      </c>
      <c r="BF72" s="83">
        <v>6.2499000000000001E-3</v>
      </c>
      <c r="BG72" s="83">
        <v>0.23009399999999999</v>
      </c>
      <c r="BH72" s="83">
        <v>2.8090199999999999E-2</v>
      </c>
      <c r="BI72" s="83">
        <v>6.2499000000000001E-3</v>
      </c>
      <c r="BJ72" s="83">
        <v>0.22983600000000001</v>
      </c>
      <c r="BK72" s="83">
        <v>2.82565E-2</v>
      </c>
      <c r="BL72" s="83">
        <v>6.2499000000000001E-3</v>
      </c>
      <c r="BM72" s="83">
        <v>0.225906</v>
      </c>
      <c r="BN72" s="83">
        <v>2.8089900000000001E-2</v>
      </c>
      <c r="BO72" s="83">
        <v>6.2499000000000001E-3</v>
      </c>
      <c r="BP72" s="83">
        <v>0.221861</v>
      </c>
      <c r="BQ72" s="83">
        <v>2.7937199999999999E-2</v>
      </c>
      <c r="BR72" s="83">
        <v>6.2499000000000001E-3</v>
      </c>
      <c r="BS72" s="83">
        <v>0.22495100000000001</v>
      </c>
      <c r="BT72" s="83">
        <v>2.8496400000000002E-2</v>
      </c>
      <c r="BU72" s="83">
        <v>6.2499000000000001E-3</v>
      </c>
      <c r="BV72" s="83">
        <v>0.220466</v>
      </c>
      <c r="BW72" s="83">
        <v>2.81263E-2</v>
      </c>
      <c r="BX72" s="83">
        <v>6.2499000000000001E-3</v>
      </c>
      <c r="BY72" s="83">
        <v>0.21146400000000001</v>
      </c>
      <c r="BZ72" s="83">
        <v>2.74825E-2</v>
      </c>
      <c r="CA72" s="83">
        <v>6.2499000000000001E-3</v>
      </c>
      <c r="CB72" s="83">
        <v>0.212947</v>
      </c>
      <c r="CC72" s="83">
        <v>2.7896000000000001E-2</v>
      </c>
      <c r="CD72" s="83">
        <v>6.2499000000000001E-3</v>
      </c>
      <c r="CE72" s="83">
        <v>0.21005799999999999</v>
      </c>
      <c r="CF72" s="83">
        <v>2.7761500000000001E-2</v>
      </c>
      <c r="CG72" s="83">
        <v>6.2499000000000001E-3</v>
      </c>
      <c r="CH72" s="83">
        <v>0.20741799999999999</v>
      </c>
      <c r="CI72" s="83">
        <v>2.77957E-2</v>
      </c>
      <c r="CJ72" s="83">
        <v>6.2499000000000001E-3</v>
      </c>
      <c r="CK72" s="83">
        <v>0.20816399999999999</v>
      </c>
      <c r="CL72" s="83">
        <v>2.8172200000000001E-2</v>
      </c>
      <c r="CM72" s="83">
        <v>6.2499000000000001E-3</v>
      </c>
      <c r="CN72" s="83">
        <v>0.206321</v>
      </c>
      <c r="CO72" s="83">
        <v>2.8318599999999999E-2</v>
      </c>
      <c r="CP72" s="83">
        <v>6.2499000000000001E-3</v>
      </c>
      <c r="CQ72" s="83">
        <v>0.196156</v>
      </c>
      <c r="CR72" s="83">
        <v>2.7548300000000001E-2</v>
      </c>
      <c r="CS72" s="83">
        <v>6.2499000000000001E-3</v>
      </c>
      <c r="CT72" s="83">
        <v>0.189804</v>
      </c>
      <c r="CU72" s="83">
        <v>2.7215400000000001E-2</v>
      </c>
      <c r="CV72" s="83">
        <v>6.2499000000000001E-3</v>
      </c>
      <c r="CW72" s="83">
        <v>0.19356999999999999</v>
      </c>
      <c r="CX72" s="83">
        <v>2.8016900000000001E-2</v>
      </c>
      <c r="CY72" s="83">
        <v>6.2499000000000001E-3</v>
      </c>
      <c r="CZ72" s="83">
        <v>0.19345200000000001</v>
      </c>
      <c r="DA72" s="83">
        <v>2.8462999999999999E-2</v>
      </c>
    </row>
    <row r="73" spans="1:105" x14ac:dyDescent="0.2">
      <c r="A73" s="83">
        <v>6.3499000000000003E-3</v>
      </c>
      <c r="B73" s="83">
        <v>0.22600799999999999</v>
      </c>
      <c r="C73" s="83">
        <v>2.59045E-2</v>
      </c>
      <c r="D73" s="83">
        <v>6.3499000000000003E-3</v>
      </c>
      <c r="E73" s="83">
        <v>0.228823</v>
      </c>
      <c r="F73" s="83">
        <v>2.5919500000000002E-2</v>
      </c>
      <c r="G73" s="83">
        <v>6.3499000000000003E-3</v>
      </c>
      <c r="H73" s="83">
        <v>0.23485900000000001</v>
      </c>
      <c r="I73" s="83">
        <v>2.6287899999999999E-2</v>
      </c>
      <c r="J73" s="83">
        <v>6.3499000000000003E-3</v>
      </c>
      <c r="K73" s="83">
        <v>0.239625</v>
      </c>
      <c r="L73" s="83">
        <v>2.6656900000000001E-2</v>
      </c>
      <c r="M73" s="83">
        <v>6.3499000000000003E-3</v>
      </c>
      <c r="N73" s="83">
        <v>0.24792900000000001</v>
      </c>
      <c r="O73" s="83">
        <v>2.7019700000000001E-2</v>
      </c>
      <c r="P73" s="83">
        <v>6.3499000000000003E-3</v>
      </c>
      <c r="Q73" s="83">
        <v>0.23961299999999999</v>
      </c>
      <c r="R73" s="83">
        <v>2.63777E-2</v>
      </c>
      <c r="S73" s="83">
        <v>6.3499000000000003E-3</v>
      </c>
      <c r="T73" s="83">
        <v>0.24079200000000001</v>
      </c>
      <c r="U73" s="83">
        <v>2.6349899999999999E-2</v>
      </c>
      <c r="V73" s="83">
        <v>6.3499000000000003E-3</v>
      </c>
      <c r="W73" s="83">
        <v>0.23916899999999999</v>
      </c>
      <c r="X73" s="83">
        <v>2.63246E-2</v>
      </c>
      <c r="Y73" s="83">
        <v>6.3499000000000003E-3</v>
      </c>
      <c r="Z73" s="83">
        <v>0.23774500000000001</v>
      </c>
      <c r="AA73" s="83">
        <v>2.6318399999999999E-2</v>
      </c>
      <c r="AB73" s="83">
        <v>6.3499000000000003E-3</v>
      </c>
      <c r="AC73" s="83">
        <v>0.23263300000000001</v>
      </c>
      <c r="AD73" s="83">
        <v>2.6134999999999999E-2</v>
      </c>
      <c r="AE73" s="83">
        <v>6.3499000000000003E-3</v>
      </c>
      <c r="AF73" s="83">
        <v>0.229738</v>
      </c>
      <c r="AG73" s="83">
        <v>2.6029900000000002E-2</v>
      </c>
      <c r="AH73" s="83">
        <v>6.3499000000000003E-3</v>
      </c>
      <c r="AI73" s="83">
        <v>0.233427</v>
      </c>
      <c r="AJ73" s="83">
        <v>2.6621200000000001E-2</v>
      </c>
      <c r="AK73" s="83">
        <v>6.3499000000000003E-3</v>
      </c>
      <c r="AL73" s="83">
        <v>0.239091</v>
      </c>
      <c r="AM73" s="83">
        <v>2.7385E-2</v>
      </c>
      <c r="AN73" s="83">
        <v>6.3499000000000003E-3</v>
      </c>
      <c r="AO73" s="83">
        <v>0.222743</v>
      </c>
      <c r="AP73" s="83">
        <v>2.6068899999999999E-2</v>
      </c>
      <c r="AQ73" s="83">
        <v>6.3499000000000003E-3</v>
      </c>
      <c r="AR73" s="83">
        <v>0.221113</v>
      </c>
      <c r="AS73" s="83">
        <v>2.6046199999999999E-2</v>
      </c>
      <c r="AT73" s="83">
        <v>6.3499000000000003E-3</v>
      </c>
      <c r="AU73" s="83">
        <v>0.22453999999999999</v>
      </c>
      <c r="AV73" s="83">
        <v>2.6589600000000001E-2</v>
      </c>
      <c r="AW73" s="83">
        <v>6.3499000000000003E-3</v>
      </c>
      <c r="AX73" s="83">
        <v>0.225937</v>
      </c>
      <c r="AY73" s="83">
        <v>2.6976300000000002E-2</v>
      </c>
      <c r="AZ73" s="83">
        <v>6.3499000000000003E-3</v>
      </c>
      <c r="BA73" s="83">
        <v>0.22469900000000001</v>
      </c>
      <c r="BB73" s="83">
        <v>2.7041800000000001E-2</v>
      </c>
      <c r="BC73" s="83">
        <v>6.3499000000000003E-3</v>
      </c>
      <c r="BD73" s="83">
        <v>0.222382</v>
      </c>
      <c r="BE73" s="83">
        <v>2.71162E-2</v>
      </c>
      <c r="BF73" s="83">
        <v>6.3499000000000003E-3</v>
      </c>
      <c r="BG73" s="83">
        <v>0.2167</v>
      </c>
      <c r="BH73" s="83">
        <v>2.6729900000000001E-2</v>
      </c>
      <c r="BI73" s="83">
        <v>6.3499000000000003E-3</v>
      </c>
      <c r="BJ73" s="83">
        <v>0.21656500000000001</v>
      </c>
      <c r="BK73" s="83">
        <v>2.6952799999999999E-2</v>
      </c>
      <c r="BL73" s="83">
        <v>6.3499000000000003E-3</v>
      </c>
      <c r="BM73" s="83">
        <v>0.21315200000000001</v>
      </c>
      <c r="BN73" s="83">
        <v>2.67715E-2</v>
      </c>
      <c r="BO73" s="83">
        <v>6.3499000000000003E-3</v>
      </c>
      <c r="BP73" s="83">
        <v>0.20872099999999999</v>
      </c>
      <c r="BQ73" s="83">
        <v>2.6622799999999999E-2</v>
      </c>
      <c r="BR73" s="83">
        <v>6.3499000000000003E-3</v>
      </c>
      <c r="BS73" s="83">
        <v>0.21112800000000001</v>
      </c>
      <c r="BT73" s="83">
        <v>2.7137999999999999E-2</v>
      </c>
      <c r="BU73" s="83">
        <v>6.3499000000000003E-3</v>
      </c>
      <c r="BV73" s="83">
        <v>0.207536</v>
      </c>
      <c r="BW73" s="83">
        <v>2.68236E-2</v>
      </c>
      <c r="BX73" s="83">
        <v>6.3499000000000003E-3</v>
      </c>
      <c r="BY73" s="83">
        <v>0.199076</v>
      </c>
      <c r="BZ73" s="83">
        <v>2.61622E-2</v>
      </c>
      <c r="CA73" s="83">
        <v>6.3499000000000003E-3</v>
      </c>
      <c r="CB73" s="83">
        <v>0.20000299999999999</v>
      </c>
      <c r="CC73" s="83">
        <v>2.6578600000000001E-2</v>
      </c>
      <c r="CD73" s="83">
        <v>6.3499000000000003E-3</v>
      </c>
      <c r="CE73" s="83">
        <v>0.197602</v>
      </c>
      <c r="CF73" s="83">
        <v>2.6452900000000001E-2</v>
      </c>
      <c r="CG73" s="83">
        <v>6.3499000000000003E-3</v>
      </c>
      <c r="CH73" s="83">
        <v>0.195162</v>
      </c>
      <c r="CI73" s="83">
        <v>2.6444100000000002E-2</v>
      </c>
      <c r="CJ73" s="83">
        <v>6.3499000000000003E-3</v>
      </c>
      <c r="CK73" s="83">
        <v>0.19575200000000001</v>
      </c>
      <c r="CL73" s="83">
        <v>2.6835299999999999E-2</v>
      </c>
      <c r="CM73" s="83">
        <v>6.3499000000000003E-3</v>
      </c>
      <c r="CN73" s="83">
        <v>0.19425999999999999</v>
      </c>
      <c r="CO73" s="83">
        <v>2.69749E-2</v>
      </c>
      <c r="CP73" s="83">
        <v>6.3499000000000003E-3</v>
      </c>
      <c r="CQ73" s="83">
        <v>0.18407599999999999</v>
      </c>
      <c r="CR73" s="83">
        <v>2.62651E-2</v>
      </c>
      <c r="CS73" s="83">
        <v>6.3499000000000003E-3</v>
      </c>
      <c r="CT73" s="83">
        <v>0.17849599999999999</v>
      </c>
      <c r="CU73" s="83">
        <v>2.5938099999999999E-2</v>
      </c>
      <c r="CV73" s="83">
        <v>6.3499000000000003E-3</v>
      </c>
      <c r="CW73" s="83">
        <v>0.181451</v>
      </c>
      <c r="CX73" s="83">
        <v>2.6706299999999999E-2</v>
      </c>
      <c r="CY73" s="83">
        <v>6.3499000000000003E-3</v>
      </c>
      <c r="CZ73" s="83">
        <v>0.181812</v>
      </c>
      <c r="DA73" s="83">
        <v>2.7106499999999999E-2</v>
      </c>
    </row>
    <row r="74" spans="1:105" x14ac:dyDescent="0.2">
      <c r="A74" s="83">
        <v>6.4498999999999997E-3</v>
      </c>
      <c r="B74" s="83">
        <v>0.213473</v>
      </c>
      <c r="C74" s="83">
        <v>2.46994E-2</v>
      </c>
      <c r="D74" s="83">
        <v>6.4498999999999997E-3</v>
      </c>
      <c r="E74" s="83">
        <v>0.21627399999999999</v>
      </c>
      <c r="F74" s="83">
        <v>2.4714400000000001E-2</v>
      </c>
      <c r="G74" s="83">
        <v>6.4498999999999997E-3</v>
      </c>
      <c r="H74" s="83">
        <v>0.22231000000000001</v>
      </c>
      <c r="I74" s="83">
        <v>2.5035999999999999E-2</v>
      </c>
      <c r="J74" s="83">
        <v>6.4498999999999997E-3</v>
      </c>
      <c r="K74" s="83">
        <v>0.22662599999999999</v>
      </c>
      <c r="L74" s="83">
        <v>2.5390300000000001E-2</v>
      </c>
      <c r="M74" s="83">
        <v>6.4498999999999997E-3</v>
      </c>
      <c r="N74" s="83">
        <v>0.23466200000000001</v>
      </c>
      <c r="O74" s="83">
        <v>2.57433E-2</v>
      </c>
      <c r="P74" s="83">
        <v>6.4498999999999997E-3</v>
      </c>
      <c r="Q74" s="83">
        <v>0.22684000000000001</v>
      </c>
      <c r="R74" s="83">
        <v>2.5142399999999999E-2</v>
      </c>
      <c r="S74" s="83">
        <v>6.4498999999999997E-3</v>
      </c>
      <c r="T74" s="83">
        <v>0.227828</v>
      </c>
      <c r="U74" s="83">
        <v>2.51253E-2</v>
      </c>
      <c r="V74" s="83">
        <v>6.4498999999999997E-3</v>
      </c>
      <c r="W74" s="83">
        <v>0.225825</v>
      </c>
      <c r="X74" s="83">
        <v>2.5101999999999999E-2</v>
      </c>
      <c r="Y74" s="83">
        <v>6.4498999999999997E-3</v>
      </c>
      <c r="Z74" s="83">
        <v>0.22447300000000001</v>
      </c>
      <c r="AA74" s="83">
        <v>2.5092799999999998E-2</v>
      </c>
      <c r="AB74" s="83">
        <v>6.4498999999999997E-3</v>
      </c>
      <c r="AC74" s="83">
        <v>0.22006400000000001</v>
      </c>
      <c r="AD74" s="83">
        <v>2.4930899999999999E-2</v>
      </c>
      <c r="AE74" s="83">
        <v>6.4498999999999997E-3</v>
      </c>
      <c r="AF74" s="83">
        <v>0.217311</v>
      </c>
      <c r="AG74" s="83">
        <v>2.48209E-2</v>
      </c>
      <c r="AH74" s="83">
        <v>6.4498999999999997E-3</v>
      </c>
      <c r="AI74" s="83">
        <v>0.22053600000000001</v>
      </c>
      <c r="AJ74" s="83">
        <v>2.53742E-2</v>
      </c>
      <c r="AK74" s="83">
        <v>6.4498999999999997E-3</v>
      </c>
      <c r="AL74" s="83">
        <v>0.22558</v>
      </c>
      <c r="AM74" s="83">
        <v>2.61067E-2</v>
      </c>
      <c r="AN74" s="83">
        <v>6.4498999999999997E-3</v>
      </c>
      <c r="AO74" s="83">
        <v>0.21030599999999999</v>
      </c>
      <c r="AP74" s="83">
        <v>2.4850199999999999E-2</v>
      </c>
      <c r="AQ74" s="83">
        <v>6.4498999999999997E-3</v>
      </c>
      <c r="AR74" s="83">
        <v>0.20821300000000001</v>
      </c>
      <c r="AS74" s="83">
        <v>2.4838200000000001E-2</v>
      </c>
      <c r="AT74" s="83">
        <v>6.4498999999999997E-3</v>
      </c>
      <c r="AU74" s="83">
        <v>0.21163499999999999</v>
      </c>
      <c r="AV74" s="83">
        <v>2.5340600000000001E-2</v>
      </c>
      <c r="AW74" s="83">
        <v>6.4498999999999997E-3</v>
      </c>
      <c r="AX74" s="83">
        <v>0.21260200000000001</v>
      </c>
      <c r="AY74" s="83">
        <v>2.57253E-2</v>
      </c>
      <c r="AZ74" s="83">
        <v>6.4498999999999997E-3</v>
      </c>
      <c r="BA74" s="83">
        <v>0.21146699999999999</v>
      </c>
      <c r="BB74" s="83">
        <v>2.5789900000000001E-2</v>
      </c>
      <c r="BC74" s="83">
        <v>6.4498999999999997E-3</v>
      </c>
      <c r="BD74" s="83">
        <v>0.20932600000000001</v>
      </c>
      <c r="BE74" s="83">
        <v>2.5860299999999999E-2</v>
      </c>
      <c r="BF74" s="83">
        <v>6.4498999999999997E-3</v>
      </c>
      <c r="BG74" s="83">
        <v>0.20411299999999999</v>
      </c>
      <c r="BH74" s="83">
        <v>2.5522900000000001E-2</v>
      </c>
      <c r="BI74" s="83">
        <v>6.4498999999999997E-3</v>
      </c>
      <c r="BJ74" s="83">
        <v>0.20441100000000001</v>
      </c>
      <c r="BK74" s="83">
        <v>2.5666700000000001E-2</v>
      </c>
      <c r="BL74" s="83">
        <v>6.4498999999999997E-3</v>
      </c>
      <c r="BM74" s="83">
        <v>0.20016900000000001</v>
      </c>
      <c r="BN74" s="83">
        <v>2.5526400000000001E-2</v>
      </c>
      <c r="BO74" s="83">
        <v>6.4498999999999997E-3</v>
      </c>
      <c r="BP74" s="83">
        <v>0.19642599999999999</v>
      </c>
      <c r="BQ74" s="83">
        <v>2.5385499999999998E-2</v>
      </c>
      <c r="BR74" s="83">
        <v>6.4498999999999997E-3</v>
      </c>
      <c r="BS74" s="83">
        <v>0.19911100000000001</v>
      </c>
      <c r="BT74" s="83">
        <v>2.5872300000000001E-2</v>
      </c>
      <c r="BU74" s="83">
        <v>6.4498999999999997E-3</v>
      </c>
      <c r="BV74" s="83">
        <v>0.19516800000000001</v>
      </c>
      <c r="BW74" s="83">
        <v>2.5557900000000001E-2</v>
      </c>
      <c r="BX74" s="83">
        <v>6.4498999999999997E-3</v>
      </c>
      <c r="BY74" s="83">
        <v>0.186977</v>
      </c>
      <c r="BZ74" s="83">
        <v>2.4954199999999999E-2</v>
      </c>
      <c r="CA74" s="83">
        <v>6.4498999999999997E-3</v>
      </c>
      <c r="CB74" s="83">
        <v>0.18842999999999999</v>
      </c>
      <c r="CC74" s="83">
        <v>2.5332500000000001E-2</v>
      </c>
      <c r="CD74" s="83">
        <v>6.4498999999999997E-3</v>
      </c>
      <c r="CE74" s="83">
        <v>0.18602399999999999</v>
      </c>
      <c r="CF74" s="83">
        <v>2.52029E-2</v>
      </c>
      <c r="CG74" s="83">
        <v>6.4498999999999997E-3</v>
      </c>
      <c r="CH74" s="83">
        <v>0.183058</v>
      </c>
      <c r="CI74" s="83">
        <v>2.52322E-2</v>
      </c>
      <c r="CJ74" s="83">
        <v>6.4498999999999997E-3</v>
      </c>
      <c r="CK74" s="83">
        <v>0.18375</v>
      </c>
      <c r="CL74" s="83">
        <v>2.55902E-2</v>
      </c>
      <c r="CM74" s="83">
        <v>6.4498999999999997E-3</v>
      </c>
      <c r="CN74" s="83">
        <v>0.18231700000000001</v>
      </c>
      <c r="CO74" s="83">
        <v>2.5726800000000001E-2</v>
      </c>
      <c r="CP74" s="83">
        <v>6.4498999999999997E-3</v>
      </c>
      <c r="CQ74" s="83">
        <v>0.17291899999999999</v>
      </c>
      <c r="CR74" s="83">
        <v>2.50434E-2</v>
      </c>
      <c r="CS74" s="83">
        <v>6.4498999999999997E-3</v>
      </c>
      <c r="CT74" s="83">
        <v>0.167602</v>
      </c>
      <c r="CU74" s="83">
        <v>2.4725199999999999E-2</v>
      </c>
      <c r="CV74" s="83">
        <v>6.4498999999999997E-3</v>
      </c>
      <c r="CW74" s="83">
        <v>0.170235</v>
      </c>
      <c r="CX74" s="83">
        <v>2.54436E-2</v>
      </c>
      <c r="CY74" s="83">
        <v>6.4498999999999997E-3</v>
      </c>
      <c r="CZ74" s="83">
        <v>0.17038600000000001</v>
      </c>
      <c r="DA74" s="83">
        <v>2.5836999999999999E-2</v>
      </c>
    </row>
    <row r="75" spans="1:105" x14ac:dyDescent="0.2">
      <c r="A75" s="83">
        <v>6.5499E-3</v>
      </c>
      <c r="B75" s="83">
        <v>0.20228199999999999</v>
      </c>
      <c r="C75" s="83">
        <v>2.3539299999999999E-2</v>
      </c>
      <c r="D75" s="83">
        <v>6.5499E-3</v>
      </c>
      <c r="E75" s="83">
        <v>0.204619</v>
      </c>
      <c r="F75" s="83">
        <v>2.3543499999999998E-2</v>
      </c>
      <c r="G75" s="83">
        <v>6.5499E-3</v>
      </c>
      <c r="H75" s="83">
        <v>0.210123</v>
      </c>
      <c r="I75" s="83">
        <v>2.38739E-2</v>
      </c>
      <c r="J75" s="83">
        <v>6.5499E-3</v>
      </c>
      <c r="K75" s="83">
        <v>0.213951</v>
      </c>
      <c r="L75" s="83">
        <v>2.4225199999999999E-2</v>
      </c>
      <c r="M75" s="83">
        <v>6.5499E-3</v>
      </c>
      <c r="N75" s="83">
        <v>0.22187899999999999</v>
      </c>
      <c r="O75" s="83">
        <v>2.45363E-2</v>
      </c>
      <c r="P75" s="83">
        <v>6.5499E-3</v>
      </c>
      <c r="Q75" s="83">
        <v>0.21441299999999999</v>
      </c>
      <c r="R75" s="83">
        <v>2.3958799999999999E-2</v>
      </c>
      <c r="S75" s="83">
        <v>6.5499E-3</v>
      </c>
      <c r="T75" s="83">
        <v>0.215118</v>
      </c>
      <c r="U75" s="83">
        <v>2.3945600000000001E-2</v>
      </c>
      <c r="V75" s="83">
        <v>6.5499E-3</v>
      </c>
      <c r="W75" s="83">
        <v>0.21319299999999999</v>
      </c>
      <c r="X75" s="83">
        <v>2.39213E-2</v>
      </c>
      <c r="Y75" s="83">
        <v>6.5499E-3</v>
      </c>
      <c r="Z75" s="83">
        <v>0.211588</v>
      </c>
      <c r="AA75" s="83">
        <v>2.3909199999999999E-2</v>
      </c>
      <c r="AB75" s="83">
        <v>6.5499E-3</v>
      </c>
      <c r="AC75" s="83">
        <v>0.207511</v>
      </c>
      <c r="AD75" s="83">
        <v>2.3761000000000001E-2</v>
      </c>
      <c r="AE75" s="83">
        <v>6.5499E-3</v>
      </c>
      <c r="AF75" s="83">
        <v>0.20461599999999999</v>
      </c>
      <c r="AG75" s="83">
        <v>2.3666599999999999E-2</v>
      </c>
      <c r="AH75" s="83">
        <v>6.5499E-3</v>
      </c>
      <c r="AI75" s="83">
        <v>0.20782100000000001</v>
      </c>
      <c r="AJ75" s="83">
        <v>2.4194500000000001E-2</v>
      </c>
      <c r="AK75" s="83">
        <v>6.5499E-3</v>
      </c>
      <c r="AL75" s="83">
        <v>0.21290400000000001</v>
      </c>
      <c r="AM75" s="83">
        <v>2.4897699999999998E-2</v>
      </c>
      <c r="AN75" s="83">
        <v>6.5499E-3</v>
      </c>
      <c r="AO75" s="83">
        <v>0.198295</v>
      </c>
      <c r="AP75" s="83">
        <v>2.3687099999999999E-2</v>
      </c>
      <c r="AQ75" s="83">
        <v>6.5499E-3</v>
      </c>
      <c r="AR75" s="83">
        <v>0.196157</v>
      </c>
      <c r="AS75" s="83">
        <v>2.3669300000000001E-2</v>
      </c>
      <c r="AT75" s="83">
        <v>6.5499E-3</v>
      </c>
      <c r="AU75" s="83">
        <v>0.199686</v>
      </c>
      <c r="AV75" s="83">
        <v>2.4154100000000001E-2</v>
      </c>
      <c r="AW75" s="83">
        <v>6.5499E-3</v>
      </c>
      <c r="AX75" s="83">
        <v>0.20080999999999999</v>
      </c>
      <c r="AY75" s="83">
        <v>2.45417E-2</v>
      </c>
      <c r="AZ75" s="83">
        <v>6.5499E-3</v>
      </c>
      <c r="BA75" s="83">
        <v>0.19952300000000001</v>
      </c>
      <c r="BB75" s="83">
        <v>2.4573999999999999E-2</v>
      </c>
      <c r="BC75" s="83">
        <v>6.5499E-3</v>
      </c>
      <c r="BD75" s="83">
        <v>0.19730400000000001</v>
      </c>
      <c r="BE75" s="83">
        <v>2.46474E-2</v>
      </c>
      <c r="BF75" s="83">
        <v>6.5499E-3</v>
      </c>
      <c r="BG75" s="83">
        <v>0.19198399999999999</v>
      </c>
      <c r="BH75" s="83">
        <v>2.4337299999999999E-2</v>
      </c>
      <c r="BI75" s="83">
        <v>6.5499E-3</v>
      </c>
      <c r="BJ75" s="83">
        <v>0.192414</v>
      </c>
      <c r="BK75" s="83">
        <v>2.4500600000000001E-2</v>
      </c>
      <c r="BL75" s="83">
        <v>6.5499E-3</v>
      </c>
      <c r="BM75" s="83">
        <v>0.18901200000000001</v>
      </c>
      <c r="BN75" s="83">
        <v>2.4342800000000001E-2</v>
      </c>
      <c r="BO75" s="83">
        <v>6.5499E-3</v>
      </c>
      <c r="BP75" s="83">
        <v>0.18495200000000001</v>
      </c>
      <c r="BQ75" s="83">
        <v>2.4213599999999998E-2</v>
      </c>
      <c r="BR75" s="83">
        <v>6.5499E-3</v>
      </c>
      <c r="BS75" s="83">
        <v>0.18726000000000001</v>
      </c>
      <c r="BT75" s="83">
        <v>2.46643E-2</v>
      </c>
      <c r="BU75" s="83">
        <v>6.5499E-3</v>
      </c>
      <c r="BV75" s="83">
        <v>0.18401600000000001</v>
      </c>
      <c r="BW75" s="83">
        <v>2.4384099999999999E-2</v>
      </c>
      <c r="BX75" s="83">
        <v>6.5499E-3</v>
      </c>
      <c r="BY75" s="83">
        <v>0.17584900000000001</v>
      </c>
      <c r="BZ75" s="83">
        <v>2.3790100000000002E-2</v>
      </c>
      <c r="CA75" s="83">
        <v>6.5499E-3</v>
      </c>
      <c r="CB75" s="83">
        <v>0.17707800000000001</v>
      </c>
      <c r="CC75" s="83">
        <v>2.41275E-2</v>
      </c>
      <c r="CD75" s="83">
        <v>6.5499E-3</v>
      </c>
      <c r="CE75" s="83">
        <v>0.17460400000000001</v>
      </c>
      <c r="CF75" s="83">
        <v>2.4024199999999999E-2</v>
      </c>
      <c r="CG75" s="83">
        <v>6.5499E-3</v>
      </c>
      <c r="CH75" s="83">
        <v>0.17255499999999999</v>
      </c>
      <c r="CI75" s="83">
        <v>2.4031E-2</v>
      </c>
      <c r="CJ75" s="83">
        <v>6.5499E-3</v>
      </c>
      <c r="CK75" s="83">
        <v>0.17255799999999999</v>
      </c>
      <c r="CL75" s="83">
        <v>2.43734E-2</v>
      </c>
      <c r="CM75" s="83">
        <v>6.5499E-3</v>
      </c>
      <c r="CN75" s="83">
        <v>0.17122299999999999</v>
      </c>
      <c r="CO75" s="83">
        <v>2.4528600000000001E-2</v>
      </c>
      <c r="CP75" s="83">
        <v>6.5499E-3</v>
      </c>
      <c r="CQ75" s="83">
        <v>0.16229399999999999</v>
      </c>
      <c r="CR75" s="83">
        <v>2.3858799999999999E-2</v>
      </c>
      <c r="CS75" s="83">
        <v>6.5499E-3</v>
      </c>
      <c r="CT75" s="83">
        <v>0.157724</v>
      </c>
      <c r="CU75" s="83">
        <v>2.3592399999999999E-2</v>
      </c>
      <c r="CV75" s="83">
        <v>6.5499E-3</v>
      </c>
      <c r="CW75" s="83">
        <v>0.16045499999999999</v>
      </c>
      <c r="CX75" s="83">
        <v>2.42688E-2</v>
      </c>
      <c r="CY75" s="83">
        <v>6.5499E-3</v>
      </c>
      <c r="CZ75" s="83">
        <v>0.16047900000000001</v>
      </c>
      <c r="DA75" s="83">
        <v>2.4644599999999999E-2</v>
      </c>
    </row>
    <row r="76" spans="1:105" x14ac:dyDescent="0.2">
      <c r="A76" s="83">
        <v>6.6499000000000003E-3</v>
      </c>
      <c r="B76" s="83">
        <v>0.190944</v>
      </c>
      <c r="C76" s="83">
        <v>2.2441599999999999E-2</v>
      </c>
      <c r="D76" s="83">
        <v>6.6499000000000003E-3</v>
      </c>
      <c r="E76" s="83">
        <v>0.19300800000000001</v>
      </c>
      <c r="F76" s="83">
        <v>2.2432199999999999E-2</v>
      </c>
      <c r="G76" s="83">
        <v>6.6499000000000003E-3</v>
      </c>
      <c r="H76" s="83">
        <v>0.19867299999999999</v>
      </c>
      <c r="I76" s="83">
        <v>2.2739100000000002E-2</v>
      </c>
      <c r="J76" s="83">
        <v>6.6499000000000003E-3</v>
      </c>
      <c r="K76" s="83">
        <v>0.201958</v>
      </c>
      <c r="L76" s="83">
        <v>2.3089499999999999E-2</v>
      </c>
      <c r="M76" s="83">
        <v>6.6499000000000003E-3</v>
      </c>
      <c r="N76" s="83">
        <v>0.20977000000000001</v>
      </c>
      <c r="O76" s="83">
        <v>2.3389799999999999E-2</v>
      </c>
      <c r="P76" s="83">
        <v>6.6499000000000003E-3</v>
      </c>
      <c r="Q76" s="83">
        <v>0.202538</v>
      </c>
      <c r="R76" s="83">
        <v>2.2826900000000001E-2</v>
      </c>
      <c r="S76" s="83">
        <v>6.6499000000000003E-3</v>
      </c>
      <c r="T76" s="83">
        <v>0.20294100000000001</v>
      </c>
      <c r="U76" s="83">
        <v>2.2804999999999999E-2</v>
      </c>
      <c r="V76" s="83">
        <v>6.6499000000000003E-3</v>
      </c>
      <c r="W76" s="83">
        <v>0.20146900000000001</v>
      </c>
      <c r="X76" s="83">
        <v>2.28002E-2</v>
      </c>
      <c r="Y76" s="83">
        <v>6.6499000000000003E-3</v>
      </c>
      <c r="Z76" s="83">
        <v>0.20013700000000001</v>
      </c>
      <c r="AA76" s="83">
        <v>2.2787100000000001E-2</v>
      </c>
      <c r="AB76" s="83">
        <v>6.6499000000000003E-3</v>
      </c>
      <c r="AC76" s="83">
        <v>0.19606000000000001</v>
      </c>
      <c r="AD76" s="83">
        <v>2.2646699999999999E-2</v>
      </c>
      <c r="AE76" s="83">
        <v>6.6499000000000003E-3</v>
      </c>
      <c r="AF76" s="83">
        <v>0.19289700000000001</v>
      </c>
      <c r="AG76" s="83">
        <v>2.2541599999999998E-2</v>
      </c>
      <c r="AH76" s="83">
        <v>6.6499000000000003E-3</v>
      </c>
      <c r="AI76" s="83">
        <v>0.196049</v>
      </c>
      <c r="AJ76" s="83">
        <v>2.30724E-2</v>
      </c>
      <c r="AK76" s="83">
        <v>6.6499000000000003E-3</v>
      </c>
      <c r="AL76" s="83">
        <v>0.20075999999999999</v>
      </c>
      <c r="AM76" s="83">
        <v>2.3732699999999999E-2</v>
      </c>
      <c r="AN76" s="83">
        <v>6.6499000000000003E-3</v>
      </c>
      <c r="AO76" s="83">
        <v>0.18687899999999999</v>
      </c>
      <c r="AP76" s="83">
        <v>2.25845E-2</v>
      </c>
      <c r="AQ76" s="83">
        <v>6.6499000000000003E-3</v>
      </c>
      <c r="AR76" s="83">
        <v>0.18515599999999999</v>
      </c>
      <c r="AS76" s="83">
        <v>2.2561899999999999E-2</v>
      </c>
      <c r="AT76" s="83">
        <v>6.6499000000000003E-3</v>
      </c>
      <c r="AU76" s="83">
        <v>0.18826499999999999</v>
      </c>
      <c r="AV76" s="83">
        <v>2.30408E-2</v>
      </c>
      <c r="AW76" s="83">
        <v>6.6499000000000003E-3</v>
      </c>
      <c r="AX76" s="83">
        <v>0.18910099999999999</v>
      </c>
      <c r="AY76" s="83">
        <v>2.33581E-2</v>
      </c>
      <c r="AZ76" s="83">
        <v>6.6499000000000003E-3</v>
      </c>
      <c r="BA76" s="83">
        <v>0.187941</v>
      </c>
      <c r="BB76" s="83">
        <v>2.3419800000000001E-2</v>
      </c>
      <c r="BC76" s="83">
        <v>6.6499000000000003E-3</v>
      </c>
      <c r="BD76" s="83">
        <v>0.18579999999999999</v>
      </c>
      <c r="BE76" s="83">
        <v>2.34971E-2</v>
      </c>
      <c r="BF76" s="83">
        <v>6.6499000000000003E-3</v>
      </c>
      <c r="BG76" s="83">
        <v>0.18096799999999999</v>
      </c>
      <c r="BH76" s="83">
        <v>2.3202500000000001E-2</v>
      </c>
      <c r="BI76" s="83">
        <v>6.6499000000000003E-3</v>
      </c>
      <c r="BJ76" s="83">
        <v>0.18110599999999999</v>
      </c>
      <c r="BK76" s="83">
        <v>2.3357099999999999E-2</v>
      </c>
      <c r="BL76" s="83">
        <v>6.6499000000000003E-3</v>
      </c>
      <c r="BM76" s="83">
        <v>0.17819099999999999</v>
      </c>
      <c r="BN76" s="83">
        <v>2.3205099999999999E-2</v>
      </c>
      <c r="BO76" s="83">
        <v>6.6499000000000003E-3</v>
      </c>
      <c r="BP76" s="83">
        <v>0.174322</v>
      </c>
      <c r="BQ76" s="83">
        <v>2.3065200000000001E-2</v>
      </c>
      <c r="BR76" s="83">
        <v>6.6499000000000003E-3</v>
      </c>
      <c r="BS76" s="83">
        <v>0.176479</v>
      </c>
      <c r="BT76" s="83">
        <v>2.3548099999999999E-2</v>
      </c>
      <c r="BU76" s="83">
        <v>6.6499000000000003E-3</v>
      </c>
      <c r="BV76" s="83">
        <v>0.172653</v>
      </c>
      <c r="BW76" s="83">
        <v>2.32132E-2</v>
      </c>
      <c r="BX76" s="83">
        <v>6.6499000000000003E-3</v>
      </c>
      <c r="BY76" s="83">
        <v>0.16561899999999999</v>
      </c>
      <c r="BZ76" s="83">
        <v>2.2678799999999999E-2</v>
      </c>
      <c r="CA76" s="83">
        <v>6.6499000000000003E-3</v>
      </c>
      <c r="CB76" s="83">
        <v>0.16673099999999999</v>
      </c>
      <c r="CC76" s="83">
        <v>2.3008299999999999E-2</v>
      </c>
      <c r="CD76" s="83">
        <v>6.6499000000000003E-3</v>
      </c>
      <c r="CE76" s="83">
        <v>0.16474</v>
      </c>
      <c r="CF76" s="83">
        <v>2.2903099999999999E-2</v>
      </c>
      <c r="CG76" s="83">
        <v>6.6499000000000003E-3</v>
      </c>
      <c r="CH76" s="83">
        <v>0.16217899999999999</v>
      </c>
      <c r="CI76" s="83">
        <v>2.2905999999999999E-2</v>
      </c>
      <c r="CJ76" s="83">
        <v>6.6499000000000003E-3</v>
      </c>
      <c r="CK76" s="83">
        <v>0.16236300000000001</v>
      </c>
      <c r="CL76" s="83">
        <v>2.3245399999999999E-2</v>
      </c>
      <c r="CM76" s="83">
        <v>6.6499000000000003E-3</v>
      </c>
      <c r="CN76" s="83">
        <v>0.161218</v>
      </c>
      <c r="CO76" s="83">
        <v>2.3387000000000002E-2</v>
      </c>
      <c r="CP76" s="83">
        <v>6.6499000000000003E-3</v>
      </c>
      <c r="CQ76" s="83">
        <v>0.15256700000000001</v>
      </c>
      <c r="CR76" s="83">
        <v>2.2734799999999999E-2</v>
      </c>
      <c r="CS76" s="83">
        <v>6.6499000000000003E-3</v>
      </c>
      <c r="CT76" s="83">
        <v>0.14784600000000001</v>
      </c>
      <c r="CU76" s="83">
        <v>2.2460500000000001E-2</v>
      </c>
      <c r="CV76" s="83">
        <v>6.6499000000000003E-3</v>
      </c>
      <c r="CW76" s="83">
        <v>0.15045</v>
      </c>
      <c r="CX76" s="83">
        <v>2.3118400000000001E-2</v>
      </c>
      <c r="CY76" s="83">
        <v>6.6499000000000003E-3</v>
      </c>
      <c r="CZ76" s="83">
        <v>0.15046399999999999</v>
      </c>
      <c r="DA76" s="83">
        <v>2.3504000000000001E-2</v>
      </c>
    </row>
    <row r="77" spans="1:105" x14ac:dyDescent="0.2">
      <c r="A77" s="83">
        <v>6.7498999999999997E-3</v>
      </c>
      <c r="B77" s="83">
        <v>0.18068500000000001</v>
      </c>
      <c r="C77" s="83">
        <v>2.13479E-2</v>
      </c>
      <c r="D77" s="83">
        <v>6.7498999999999997E-3</v>
      </c>
      <c r="E77" s="83">
        <v>0.18273</v>
      </c>
      <c r="F77" s="83">
        <v>2.1374600000000001E-2</v>
      </c>
      <c r="G77" s="83">
        <v>6.7498999999999997E-3</v>
      </c>
      <c r="H77" s="83">
        <v>0.18720800000000001</v>
      </c>
      <c r="I77" s="83">
        <v>2.16639E-2</v>
      </c>
      <c r="J77" s="83">
        <v>6.7498999999999997E-3</v>
      </c>
      <c r="K77" s="83">
        <v>0.191163</v>
      </c>
      <c r="L77" s="83">
        <v>2.1985999999999999E-2</v>
      </c>
      <c r="M77" s="83">
        <v>6.7498999999999997E-3</v>
      </c>
      <c r="N77" s="83">
        <v>0.19804099999999999</v>
      </c>
      <c r="O77" s="83">
        <v>2.2296E-2</v>
      </c>
      <c r="P77" s="83">
        <v>6.7498999999999997E-3</v>
      </c>
      <c r="Q77" s="83">
        <v>0.19125900000000001</v>
      </c>
      <c r="R77" s="83">
        <v>2.1753700000000001E-2</v>
      </c>
      <c r="S77" s="83">
        <v>6.7498999999999997E-3</v>
      </c>
      <c r="T77" s="83">
        <v>0.19194900000000001</v>
      </c>
      <c r="U77" s="83">
        <v>2.1738500000000001E-2</v>
      </c>
      <c r="V77" s="83">
        <v>6.7498999999999997E-3</v>
      </c>
      <c r="W77" s="83">
        <v>0.190078</v>
      </c>
      <c r="X77" s="83">
        <v>2.1730900000000001E-2</v>
      </c>
      <c r="Y77" s="83">
        <v>6.7498999999999997E-3</v>
      </c>
      <c r="Z77" s="83">
        <v>0.18909200000000001</v>
      </c>
      <c r="AA77" s="83">
        <v>2.1720699999999999E-2</v>
      </c>
      <c r="AB77" s="83">
        <v>6.7498999999999997E-3</v>
      </c>
      <c r="AC77" s="83">
        <v>0.18484400000000001</v>
      </c>
      <c r="AD77" s="83">
        <v>2.1579299999999999E-2</v>
      </c>
      <c r="AE77" s="83">
        <v>6.7498999999999997E-3</v>
      </c>
      <c r="AF77" s="83">
        <v>0.181979</v>
      </c>
      <c r="AG77" s="83">
        <v>2.1437100000000001E-2</v>
      </c>
      <c r="AH77" s="83">
        <v>6.7498999999999997E-3</v>
      </c>
      <c r="AI77" s="83">
        <v>0.18490599999999999</v>
      </c>
      <c r="AJ77" s="83">
        <v>2.19904E-2</v>
      </c>
      <c r="AK77" s="83">
        <v>6.7498999999999997E-3</v>
      </c>
      <c r="AL77" s="83">
        <v>0.18911500000000001</v>
      </c>
      <c r="AM77" s="83">
        <v>2.26038E-2</v>
      </c>
      <c r="AN77" s="83">
        <v>6.7498999999999997E-3</v>
      </c>
      <c r="AO77" s="83">
        <v>0.176483</v>
      </c>
      <c r="AP77" s="83">
        <v>2.1518099999999998E-2</v>
      </c>
      <c r="AQ77" s="83">
        <v>6.7498999999999997E-3</v>
      </c>
      <c r="AR77" s="83">
        <v>0.17427699999999999</v>
      </c>
      <c r="AS77" s="83">
        <v>2.1472999999999999E-2</v>
      </c>
      <c r="AT77" s="83">
        <v>6.7498999999999997E-3</v>
      </c>
      <c r="AU77" s="83">
        <v>0.17715700000000001</v>
      </c>
      <c r="AV77" s="83">
        <v>2.1947999999999999E-2</v>
      </c>
      <c r="AW77" s="83">
        <v>6.7498999999999997E-3</v>
      </c>
      <c r="AX77" s="83">
        <v>0.17824200000000001</v>
      </c>
      <c r="AY77" s="83">
        <v>2.2288800000000001E-2</v>
      </c>
      <c r="AZ77" s="83">
        <v>6.7498999999999997E-3</v>
      </c>
      <c r="BA77" s="83">
        <v>0.17677899999999999</v>
      </c>
      <c r="BB77" s="83">
        <v>2.2334799999999998E-2</v>
      </c>
      <c r="BC77" s="83">
        <v>6.7498999999999997E-3</v>
      </c>
      <c r="BD77" s="83">
        <v>0.17525299999999999</v>
      </c>
      <c r="BE77" s="83">
        <v>2.23906E-2</v>
      </c>
      <c r="BF77" s="83">
        <v>6.7498999999999997E-3</v>
      </c>
      <c r="BG77" s="83">
        <v>0.17044100000000001</v>
      </c>
      <c r="BH77" s="83">
        <v>2.2117600000000001E-2</v>
      </c>
      <c r="BI77" s="83">
        <v>6.7498999999999997E-3</v>
      </c>
      <c r="BJ77" s="83">
        <v>0.17036399999999999</v>
      </c>
      <c r="BK77" s="83">
        <v>2.2275099999999999E-2</v>
      </c>
      <c r="BL77" s="83">
        <v>6.7498999999999997E-3</v>
      </c>
      <c r="BM77" s="83">
        <v>0.16781099999999999</v>
      </c>
      <c r="BN77" s="83">
        <v>2.2106500000000001E-2</v>
      </c>
      <c r="BO77" s="83">
        <v>6.7498999999999997E-3</v>
      </c>
      <c r="BP77" s="83">
        <v>0.16395599999999999</v>
      </c>
      <c r="BQ77" s="83">
        <v>2.1977300000000002E-2</v>
      </c>
      <c r="BR77" s="83">
        <v>6.7498999999999997E-3</v>
      </c>
      <c r="BS77" s="83">
        <v>0.165766</v>
      </c>
      <c r="BT77" s="83">
        <v>2.24251E-2</v>
      </c>
      <c r="BU77" s="83">
        <v>6.7498999999999997E-3</v>
      </c>
      <c r="BV77" s="83">
        <v>0.162663</v>
      </c>
      <c r="BW77" s="83">
        <v>2.2136099999999999E-2</v>
      </c>
      <c r="BX77" s="83">
        <v>6.7498999999999997E-3</v>
      </c>
      <c r="BY77" s="83">
        <v>0.155775</v>
      </c>
      <c r="BZ77" s="83">
        <v>2.1574300000000001E-2</v>
      </c>
      <c r="CA77" s="83">
        <v>6.7498999999999997E-3</v>
      </c>
      <c r="CB77" s="83">
        <v>0.15701000000000001</v>
      </c>
      <c r="CC77" s="83">
        <v>2.1917499999999999E-2</v>
      </c>
      <c r="CD77" s="83">
        <v>6.7498999999999997E-3</v>
      </c>
      <c r="CE77" s="83">
        <v>0.15514600000000001</v>
      </c>
      <c r="CF77" s="83">
        <v>2.1814199999999999E-2</v>
      </c>
      <c r="CG77" s="83">
        <v>6.7498999999999997E-3</v>
      </c>
      <c r="CH77" s="83">
        <v>0.15226200000000001</v>
      </c>
      <c r="CI77" s="83">
        <v>2.1817199999999998E-2</v>
      </c>
      <c r="CJ77" s="83">
        <v>6.7498999999999997E-3</v>
      </c>
      <c r="CK77" s="83">
        <v>0.15267</v>
      </c>
      <c r="CL77" s="83">
        <v>2.2147799999999999E-2</v>
      </c>
      <c r="CM77" s="83">
        <v>6.7498999999999997E-3</v>
      </c>
      <c r="CN77" s="83">
        <v>0.15182799999999999</v>
      </c>
      <c r="CO77" s="83">
        <v>2.2284399999999999E-2</v>
      </c>
      <c r="CP77" s="83">
        <v>6.7498999999999997E-3</v>
      </c>
      <c r="CQ77" s="83">
        <v>0.143153</v>
      </c>
      <c r="CR77" s="83">
        <v>2.16557E-2</v>
      </c>
      <c r="CS77" s="83">
        <v>6.7498999999999997E-3</v>
      </c>
      <c r="CT77" s="83">
        <v>0.13831499999999999</v>
      </c>
      <c r="CU77" s="83">
        <v>2.1393100000000002E-2</v>
      </c>
      <c r="CV77" s="83">
        <v>6.7498999999999997E-3</v>
      </c>
      <c r="CW77" s="83">
        <v>0.14102600000000001</v>
      </c>
      <c r="CX77" s="83">
        <v>2.2033500000000001E-2</v>
      </c>
      <c r="CY77" s="83">
        <v>6.7498999999999997E-3</v>
      </c>
      <c r="CZ77" s="83">
        <v>0.14102100000000001</v>
      </c>
      <c r="DA77" s="83">
        <v>2.23848E-2</v>
      </c>
    </row>
    <row r="78" spans="1:105" x14ac:dyDescent="0.2">
      <c r="A78" s="83">
        <v>6.8498999999999999E-3</v>
      </c>
      <c r="B78" s="83">
        <v>0.171149</v>
      </c>
      <c r="C78" s="83">
        <v>2.03606E-2</v>
      </c>
      <c r="D78" s="83">
        <v>6.8498999999999999E-3</v>
      </c>
      <c r="E78" s="83">
        <v>0.17261199999999999</v>
      </c>
      <c r="F78" s="83">
        <v>2.0355999999999999E-2</v>
      </c>
      <c r="G78" s="83">
        <v>6.8498999999999999E-3</v>
      </c>
      <c r="H78" s="83">
        <v>0.17690500000000001</v>
      </c>
      <c r="I78" s="83">
        <v>2.0623900000000001E-2</v>
      </c>
      <c r="J78" s="83">
        <v>6.8498999999999999E-3</v>
      </c>
      <c r="K78" s="83">
        <v>0.18074299999999999</v>
      </c>
      <c r="L78" s="83">
        <v>2.0941999999999999E-2</v>
      </c>
      <c r="M78" s="83">
        <v>6.8498999999999999E-3</v>
      </c>
      <c r="N78" s="83">
        <v>0.187363</v>
      </c>
      <c r="O78" s="83">
        <v>2.1250100000000001E-2</v>
      </c>
      <c r="P78" s="83">
        <v>6.8498999999999999E-3</v>
      </c>
      <c r="Q78" s="83">
        <v>0.180976</v>
      </c>
      <c r="R78" s="83">
        <v>2.0727300000000001E-2</v>
      </c>
      <c r="S78" s="83">
        <v>6.8498999999999999E-3</v>
      </c>
      <c r="T78" s="83">
        <v>0.181285</v>
      </c>
      <c r="U78" s="83">
        <v>2.0690699999999999E-2</v>
      </c>
      <c r="V78" s="83">
        <v>6.8498999999999999E-3</v>
      </c>
      <c r="W78" s="83">
        <v>0.17926700000000001</v>
      </c>
      <c r="X78" s="83">
        <v>2.0693799999999998E-2</v>
      </c>
      <c r="Y78" s="83">
        <v>6.8498999999999999E-3</v>
      </c>
      <c r="Z78" s="83">
        <v>0.17866299999999999</v>
      </c>
      <c r="AA78" s="83">
        <v>2.0664100000000001E-2</v>
      </c>
      <c r="AB78" s="83">
        <v>6.8498999999999999E-3</v>
      </c>
      <c r="AC78" s="83">
        <v>0.174786</v>
      </c>
      <c r="AD78" s="83">
        <v>2.05627E-2</v>
      </c>
      <c r="AE78" s="83">
        <v>6.8498999999999999E-3</v>
      </c>
      <c r="AF78" s="83">
        <v>0.17188600000000001</v>
      </c>
      <c r="AG78" s="83">
        <v>2.0444899999999998E-2</v>
      </c>
      <c r="AH78" s="83">
        <v>6.8498999999999999E-3</v>
      </c>
      <c r="AI78" s="83">
        <v>0.17452999999999999</v>
      </c>
      <c r="AJ78" s="83">
        <v>2.0942499999999999E-2</v>
      </c>
      <c r="AK78" s="83">
        <v>6.8498999999999999E-3</v>
      </c>
      <c r="AL78" s="83">
        <v>0.178451</v>
      </c>
      <c r="AM78" s="83">
        <v>2.15598E-2</v>
      </c>
      <c r="AN78" s="83">
        <v>6.8498999999999999E-3</v>
      </c>
      <c r="AO78" s="83">
        <v>0.16600999999999999</v>
      </c>
      <c r="AP78" s="83">
        <v>2.04791E-2</v>
      </c>
      <c r="AQ78" s="83">
        <v>6.8498999999999999E-3</v>
      </c>
      <c r="AR78" s="83">
        <v>0.164439</v>
      </c>
      <c r="AS78" s="83">
        <v>2.0461300000000002E-2</v>
      </c>
      <c r="AT78" s="83">
        <v>6.8498999999999999E-3</v>
      </c>
      <c r="AU78" s="83">
        <v>0.166884</v>
      </c>
      <c r="AV78" s="83">
        <v>2.0921599999999999E-2</v>
      </c>
      <c r="AW78" s="83">
        <v>6.8498999999999999E-3</v>
      </c>
      <c r="AX78" s="83">
        <v>0.167597</v>
      </c>
      <c r="AY78" s="83">
        <v>2.1221400000000001E-2</v>
      </c>
      <c r="AZ78" s="83">
        <v>6.8498999999999999E-3</v>
      </c>
      <c r="BA78" s="83">
        <v>0.16647100000000001</v>
      </c>
      <c r="BB78" s="83">
        <v>2.1255699999999999E-2</v>
      </c>
      <c r="BC78" s="83">
        <v>6.8498999999999999E-3</v>
      </c>
      <c r="BD78" s="83">
        <v>0.16500899999999999</v>
      </c>
      <c r="BE78" s="83">
        <v>2.1314400000000001E-2</v>
      </c>
      <c r="BF78" s="83">
        <v>6.8498999999999999E-3</v>
      </c>
      <c r="BG78" s="83">
        <v>0.16112399999999999</v>
      </c>
      <c r="BH78" s="83">
        <v>2.10551E-2</v>
      </c>
      <c r="BI78" s="83">
        <v>6.8498999999999999E-3</v>
      </c>
      <c r="BJ78" s="83">
        <v>0.160666</v>
      </c>
      <c r="BK78" s="83">
        <v>2.1227200000000002E-2</v>
      </c>
      <c r="BL78" s="83">
        <v>6.8498999999999999E-3</v>
      </c>
      <c r="BM78" s="83">
        <v>0.15837200000000001</v>
      </c>
      <c r="BN78" s="83">
        <v>2.1040099999999999E-2</v>
      </c>
      <c r="BO78" s="83">
        <v>6.8498999999999999E-3</v>
      </c>
      <c r="BP78" s="83">
        <v>0.15462899999999999</v>
      </c>
      <c r="BQ78" s="83">
        <v>2.09226E-2</v>
      </c>
      <c r="BR78" s="83">
        <v>6.8498999999999999E-3</v>
      </c>
      <c r="BS78" s="83">
        <v>0.156782</v>
      </c>
      <c r="BT78" s="83">
        <v>2.1365499999999999E-2</v>
      </c>
      <c r="BU78" s="83">
        <v>6.8498999999999999E-3</v>
      </c>
      <c r="BV78" s="83">
        <v>0.15349299999999999</v>
      </c>
      <c r="BW78" s="83">
        <v>2.1097999999999999E-2</v>
      </c>
      <c r="BX78" s="83">
        <v>6.8498999999999999E-3</v>
      </c>
      <c r="BY78" s="83">
        <v>0.146703</v>
      </c>
      <c r="BZ78" s="83">
        <v>2.0579199999999999E-2</v>
      </c>
      <c r="CA78" s="83">
        <v>6.8498999999999999E-3</v>
      </c>
      <c r="CB78" s="83">
        <v>0.14807400000000001</v>
      </c>
      <c r="CC78" s="83">
        <v>2.0874500000000001E-2</v>
      </c>
      <c r="CD78" s="83">
        <v>6.8498999999999999E-3</v>
      </c>
      <c r="CE78" s="83">
        <v>0.14593700000000001</v>
      </c>
      <c r="CF78" s="83">
        <v>2.0780099999999999E-2</v>
      </c>
      <c r="CG78" s="83">
        <v>6.8498999999999999E-3</v>
      </c>
      <c r="CH78" s="83">
        <v>0.14294999999999999</v>
      </c>
      <c r="CI78" s="83">
        <v>2.0789800000000001E-2</v>
      </c>
      <c r="CJ78" s="83">
        <v>6.8498999999999999E-3</v>
      </c>
      <c r="CK78" s="83">
        <v>0.14401800000000001</v>
      </c>
      <c r="CL78" s="83">
        <v>2.11136E-2</v>
      </c>
      <c r="CM78" s="83">
        <v>6.8498999999999999E-3</v>
      </c>
      <c r="CN78" s="83">
        <v>0.142619</v>
      </c>
      <c r="CO78" s="83">
        <v>2.1221E-2</v>
      </c>
      <c r="CP78" s="83">
        <v>6.8498999999999999E-3</v>
      </c>
      <c r="CQ78" s="83">
        <v>0.134408</v>
      </c>
      <c r="CR78" s="83">
        <v>2.0609800000000001E-2</v>
      </c>
      <c r="CS78" s="83">
        <v>6.8498999999999999E-3</v>
      </c>
      <c r="CT78" s="83">
        <v>0.13003400000000001</v>
      </c>
      <c r="CU78" s="83">
        <v>2.0383399999999999E-2</v>
      </c>
      <c r="CV78" s="83">
        <v>6.8498999999999999E-3</v>
      </c>
      <c r="CW78" s="83">
        <v>0.13226599999999999</v>
      </c>
      <c r="CX78" s="83">
        <v>2.09915E-2</v>
      </c>
      <c r="CY78" s="83">
        <v>6.8498999999999999E-3</v>
      </c>
      <c r="CZ78" s="83">
        <v>0.132129</v>
      </c>
      <c r="DA78" s="83">
        <v>2.1321400000000001E-2</v>
      </c>
    </row>
    <row r="79" spans="1:105" x14ac:dyDescent="0.2">
      <c r="A79" s="83">
        <v>6.9499000000000002E-3</v>
      </c>
      <c r="B79" s="83">
        <v>0.16182299999999999</v>
      </c>
      <c r="C79" s="83">
        <v>1.9399599999999999E-2</v>
      </c>
      <c r="D79" s="83">
        <v>6.9499000000000002E-3</v>
      </c>
      <c r="E79" s="83">
        <v>0.16306200000000001</v>
      </c>
      <c r="F79" s="83">
        <v>1.93902E-2</v>
      </c>
      <c r="G79" s="83">
        <v>6.9499000000000002E-3</v>
      </c>
      <c r="H79" s="83">
        <v>0.16731499999999999</v>
      </c>
      <c r="I79" s="83">
        <v>1.96542E-2</v>
      </c>
      <c r="J79" s="83">
        <v>6.9499000000000002E-3</v>
      </c>
      <c r="K79" s="83">
        <v>0.17088400000000001</v>
      </c>
      <c r="L79" s="83">
        <v>1.9957599999999999E-2</v>
      </c>
      <c r="M79" s="83">
        <v>6.9499000000000002E-3</v>
      </c>
      <c r="N79" s="83">
        <v>0.17691799999999999</v>
      </c>
      <c r="O79" s="83">
        <v>2.0220800000000001E-2</v>
      </c>
      <c r="P79" s="83">
        <v>6.9499000000000002E-3</v>
      </c>
      <c r="Q79" s="83">
        <v>0.17075099999999999</v>
      </c>
      <c r="R79" s="83">
        <v>1.9771299999999999E-2</v>
      </c>
      <c r="S79" s="83">
        <v>6.9499000000000002E-3</v>
      </c>
      <c r="T79" s="83">
        <v>0.171261</v>
      </c>
      <c r="U79" s="83">
        <v>1.97337E-2</v>
      </c>
      <c r="V79" s="83">
        <v>6.9499000000000002E-3</v>
      </c>
      <c r="W79" s="83">
        <v>0.169047</v>
      </c>
      <c r="X79" s="83">
        <v>1.9722099999999999E-2</v>
      </c>
      <c r="Y79" s="83">
        <v>6.9499000000000002E-3</v>
      </c>
      <c r="Z79" s="83">
        <v>0.16845299999999999</v>
      </c>
      <c r="AA79" s="83">
        <v>1.9706100000000001E-2</v>
      </c>
      <c r="AB79" s="83">
        <v>6.9499000000000002E-3</v>
      </c>
      <c r="AC79" s="83">
        <v>0.16516700000000001</v>
      </c>
      <c r="AD79" s="83">
        <v>1.9592999999999999E-2</v>
      </c>
      <c r="AE79" s="83">
        <v>6.9499000000000002E-3</v>
      </c>
      <c r="AF79" s="83">
        <v>0.16245299999999999</v>
      </c>
      <c r="AG79" s="83">
        <v>1.9499599999999999E-2</v>
      </c>
      <c r="AH79" s="83">
        <v>6.9499000000000002E-3</v>
      </c>
      <c r="AI79" s="83">
        <v>0.16464699999999999</v>
      </c>
      <c r="AJ79" s="83">
        <v>1.9954199999999998E-2</v>
      </c>
      <c r="AK79" s="83">
        <v>6.9499000000000002E-3</v>
      </c>
      <c r="AL79" s="83">
        <v>0.16828000000000001</v>
      </c>
      <c r="AM79" s="83">
        <v>2.05305E-2</v>
      </c>
      <c r="AN79" s="83">
        <v>6.9499000000000002E-3</v>
      </c>
      <c r="AO79" s="83">
        <v>0.15689800000000001</v>
      </c>
      <c r="AP79" s="83">
        <v>1.9520099999999999E-2</v>
      </c>
      <c r="AQ79" s="83">
        <v>6.9499000000000002E-3</v>
      </c>
      <c r="AR79" s="83">
        <v>0.15539600000000001</v>
      </c>
      <c r="AS79" s="83">
        <v>1.9489599999999999E-2</v>
      </c>
      <c r="AT79" s="83">
        <v>6.9499000000000002E-3</v>
      </c>
      <c r="AU79" s="83">
        <v>0.15751799999999999</v>
      </c>
      <c r="AV79" s="83">
        <v>1.99451E-2</v>
      </c>
      <c r="AW79" s="83">
        <v>6.9499000000000002E-3</v>
      </c>
      <c r="AX79" s="83">
        <v>0.158696</v>
      </c>
      <c r="AY79" s="83">
        <v>2.0220499999999999E-2</v>
      </c>
      <c r="AZ79" s="83">
        <v>6.9499000000000002E-3</v>
      </c>
      <c r="BA79" s="83">
        <v>0.157389</v>
      </c>
      <c r="BB79" s="83">
        <v>2.0259599999999999E-2</v>
      </c>
      <c r="BC79" s="83">
        <v>6.9499000000000002E-3</v>
      </c>
      <c r="BD79" s="83">
        <v>0.156054</v>
      </c>
      <c r="BE79" s="83">
        <v>2.0292000000000001E-2</v>
      </c>
      <c r="BF79" s="83">
        <v>6.9499000000000002E-3</v>
      </c>
      <c r="BG79" s="83">
        <v>0.15156900000000001</v>
      </c>
      <c r="BH79" s="83">
        <v>2.0064800000000001E-2</v>
      </c>
      <c r="BI79" s="83">
        <v>6.9499000000000002E-3</v>
      </c>
      <c r="BJ79" s="83">
        <v>0.15180399999999999</v>
      </c>
      <c r="BK79" s="83">
        <v>2.0194E-2</v>
      </c>
      <c r="BL79" s="83">
        <v>6.9499000000000002E-3</v>
      </c>
      <c r="BM79" s="83">
        <v>0.14910899999999999</v>
      </c>
      <c r="BN79" s="83">
        <v>2.00293E-2</v>
      </c>
      <c r="BO79" s="83">
        <v>6.9499000000000002E-3</v>
      </c>
      <c r="BP79" s="83">
        <v>0.14527899999999999</v>
      </c>
      <c r="BQ79" s="83">
        <v>1.9928499999999998E-2</v>
      </c>
      <c r="BR79" s="83">
        <v>6.9499000000000002E-3</v>
      </c>
      <c r="BS79" s="83">
        <v>0.147505</v>
      </c>
      <c r="BT79" s="83">
        <v>2.03587E-2</v>
      </c>
      <c r="BU79" s="83">
        <v>6.9499000000000002E-3</v>
      </c>
      <c r="BV79" s="83">
        <v>0.14444100000000001</v>
      </c>
      <c r="BW79" s="83">
        <v>2.01029E-2</v>
      </c>
      <c r="BX79" s="83">
        <v>6.9499000000000002E-3</v>
      </c>
      <c r="BY79" s="83">
        <v>0.13764100000000001</v>
      </c>
      <c r="BZ79" s="83">
        <v>1.9588000000000001E-2</v>
      </c>
      <c r="CA79" s="83">
        <v>6.9499000000000002E-3</v>
      </c>
      <c r="CB79" s="83">
        <v>0.13868900000000001</v>
      </c>
      <c r="CC79" s="83">
        <v>1.9875500000000001E-2</v>
      </c>
      <c r="CD79" s="83">
        <v>6.9499000000000002E-3</v>
      </c>
      <c r="CE79" s="83">
        <v>0.13683999999999999</v>
      </c>
      <c r="CF79" s="83">
        <v>1.9787900000000001E-2</v>
      </c>
      <c r="CG79" s="83">
        <v>6.9499000000000002E-3</v>
      </c>
      <c r="CH79" s="83">
        <v>0.13456699999999999</v>
      </c>
      <c r="CI79" s="83">
        <v>1.9813299999999999E-2</v>
      </c>
      <c r="CJ79" s="83">
        <v>6.9499000000000002E-3</v>
      </c>
      <c r="CK79" s="83">
        <v>0.13486799999999999</v>
      </c>
      <c r="CL79" s="83">
        <v>2.0086300000000001E-2</v>
      </c>
      <c r="CM79" s="83">
        <v>6.9499000000000002E-3</v>
      </c>
      <c r="CN79" s="83">
        <v>0.13353699999999999</v>
      </c>
      <c r="CO79" s="83">
        <v>2.0187799999999999E-2</v>
      </c>
      <c r="CP79" s="83">
        <v>6.9499000000000002E-3</v>
      </c>
      <c r="CQ79" s="83">
        <v>0.12596099999999999</v>
      </c>
      <c r="CR79" s="83">
        <v>1.9673300000000001E-2</v>
      </c>
      <c r="CS79" s="83">
        <v>6.9499000000000002E-3</v>
      </c>
      <c r="CT79" s="83">
        <v>0.122075</v>
      </c>
      <c r="CU79" s="83">
        <v>1.9421500000000001E-2</v>
      </c>
      <c r="CV79" s="83">
        <v>6.9499000000000002E-3</v>
      </c>
      <c r="CW79" s="83">
        <v>0.12411700000000001</v>
      </c>
      <c r="CX79" s="83">
        <v>1.9988499999999999E-2</v>
      </c>
      <c r="CY79" s="83">
        <v>6.9499000000000002E-3</v>
      </c>
      <c r="CZ79" s="83">
        <v>0.123862</v>
      </c>
      <c r="DA79" s="83">
        <v>2.0308699999999999E-2</v>
      </c>
    </row>
    <row r="80" spans="1:105" x14ac:dyDescent="0.2">
      <c r="A80" s="83">
        <v>7.0498999999999996E-3</v>
      </c>
      <c r="B80" s="83">
        <v>0.152863</v>
      </c>
      <c r="C80" s="83">
        <v>1.84875E-2</v>
      </c>
      <c r="D80" s="83">
        <v>7.0498999999999996E-3</v>
      </c>
      <c r="E80" s="83">
        <v>0.153999</v>
      </c>
      <c r="F80" s="83">
        <v>1.8511300000000001E-2</v>
      </c>
      <c r="G80" s="83">
        <v>7.0498999999999996E-3</v>
      </c>
      <c r="H80" s="83">
        <v>0.158253</v>
      </c>
      <c r="I80" s="83">
        <v>1.87137E-2</v>
      </c>
      <c r="J80" s="83">
        <v>7.0498999999999996E-3</v>
      </c>
      <c r="K80" s="83">
        <v>0.16161700000000001</v>
      </c>
      <c r="L80" s="83">
        <v>1.9026999999999999E-2</v>
      </c>
      <c r="M80" s="83">
        <v>7.0498999999999996E-3</v>
      </c>
      <c r="N80" s="83">
        <v>0.16701099999999999</v>
      </c>
      <c r="O80" s="83">
        <v>1.9277499999999999E-2</v>
      </c>
      <c r="P80" s="83">
        <v>7.0498999999999996E-3</v>
      </c>
      <c r="Q80" s="83">
        <v>0.16139600000000001</v>
      </c>
      <c r="R80" s="83">
        <v>1.8839600000000001E-2</v>
      </c>
      <c r="S80" s="83">
        <v>7.0498999999999996E-3</v>
      </c>
      <c r="T80" s="83">
        <v>0.16178799999999999</v>
      </c>
      <c r="U80" s="83">
        <v>1.8796199999999999E-2</v>
      </c>
      <c r="V80" s="83">
        <v>7.0498999999999996E-3</v>
      </c>
      <c r="W80" s="83">
        <v>0.16017000000000001</v>
      </c>
      <c r="X80" s="83">
        <v>1.8796299999999998E-2</v>
      </c>
      <c r="Y80" s="83">
        <v>7.0498999999999996E-3</v>
      </c>
      <c r="Z80" s="83">
        <v>0.15935099999999999</v>
      </c>
      <c r="AA80" s="83">
        <v>1.87686E-2</v>
      </c>
      <c r="AB80" s="83">
        <v>7.0498999999999996E-3</v>
      </c>
      <c r="AC80" s="83">
        <v>0.155943</v>
      </c>
      <c r="AD80" s="83">
        <v>1.8658399999999999E-2</v>
      </c>
      <c r="AE80" s="83">
        <v>7.0498999999999996E-3</v>
      </c>
      <c r="AF80" s="83">
        <v>0.15359500000000001</v>
      </c>
      <c r="AG80" s="83">
        <v>1.8562100000000002E-2</v>
      </c>
      <c r="AH80" s="83">
        <v>7.0498999999999996E-3</v>
      </c>
      <c r="AI80" s="83">
        <v>0.15554100000000001</v>
      </c>
      <c r="AJ80" s="83">
        <v>1.9013800000000001E-2</v>
      </c>
      <c r="AK80" s="83">
        <v>7.0498999999999996E-3</v>
      </c>
      <c r="AL80" s="83">
        <v>0.15949099999999999</v>
      </c>
      <c r="AM80" s="83">
        <v>1.9574500000000002E-2</v>
      </c>
      <c r="AN80" s="83">
        <v>7.0498999999999996E-3</v>
      </c>
      <c r="AO80" s="83">
        <v>0.14791399999999999</v>
      </c>
      <c r="AP80" s="83">
        <v>1.85992E-2</v>
      </c>
      <c r="AQ80" s="83">
        <v>7.0498999999999996E-3</v>
      </c>
      <c r="AR80" s="83">
        <v>0.14641599999999999</v>
      </c>
      <c r="AS80" s="83">
        <v>1.8575500000000002E-2</v>
      </c>
      <c r="AT80" s="83">
        <v>7.0498999999999996E-3</v>
      </c>
      <c r="AU80" s="83">
        <v>0.148539</v>
      </c>
      <c r="AV80" s="83">
        <v>1.9004699999999999E-2</v>
      </c>
      <c r="AW80" s="83">
        <v>7.0498999999999996E-3</v>
      </c>
      <c r="AX80" s="83">
        <v>0.14943300000000001</v>
      </c>
      <c r="AY80" s="83">
        <v>1.92722E-2</v>
      </c>
      <c r="AZ80" s="83">
        <v>7.0498999999999996E-3</v>
      </c>
      <c r="BA80" s="83">
        <v>0.147922</v>
      </c>
      <c r="BB80" s="83">
        <v>1.93026E-2</v>
      </c>
      <c r="BC80" s="83">
        <v>7.0498999999999996E-3</v>
      </c>
      <c r="BD80" s="83">
        <v>0.14682100000000001</v>
      </c>
      <c r="BE80" s="83">
        <v>1.93779E-2</v>
      </c>
      <c r="BF80" s="83">
        <v>7.0498999999999996E-3</v>
      </c>
      <c r="BG80" s="83">
        <v>0.14288699999999999</v>
      </c>
      <c r="BH80" s="83">
        <v>1.9125400000000001E-2</v>
      </c>
      <c r="BI80" s="83">
        <v>7.0498999999999996E-3</v>
      </c>
      <c r="BJ80" s="83">
        <v>0.14294699999999999</v>
      </c>
      <c r="BK80" s="83">
        <v>1.9259399999999999E-2</v>
      </c>
      <c r="BL80" s="83">
        <v>7.0498999999999996E-3</v>
      </c>
      <c r="BM80" s="83">
        <v>0.139988</v>
      </c>
      <c r="BN80" s="83">
        <v>1.9087900000000001E-2</v>
      </c>
      <c r="BO80" s="83">
        <v>7.0498999999999996E-3</v>
      </c>
      <c r="BP80" s="83">
        <v>0.136519</v>
      </c>
      <c r="BQ80" s="83">
        <v>1.89841E-2</v>
      </c>
      <c r="BR80" s="83">
        <v>7.0498999999999996E-3</v>
      </c>
      <c r="BS80" s="83">
        <v>0.13850599999999999</v>
      </c>
      <c r="BT80" s="83">
        <v>1.9387999999999999E-2</v>
      </c>
      <c r="BU80" s="83">
        <v>7.0498999999999996E-3</v>
      </c>
      <c r="BV80" s="83">
        <v>0.13564699999999999</v>
      </c>
      <c r="BW80" s="83">
        <v>1.91536E-2</v>
      </c>
      <c r="BX80" s="83">
        <v>7.0498999999999996E-3</v>
      </c>
      <c r="BY80" s="83">
        <v>0.12943299999999999</v>
      </c>
      <c r="BZ80" s="83">
        <v>1.8668000000000001E-2</v>
      </c>
      <c r="CA80" s="83">
        <v>7.0498999999999996E-3</v>
      </c>
      <c r="CB80" s="83">
        <v>0.129832</v>
      </c>
      <c r="CC80" s="83">
        <v>1.8953600000000001E-2</v>
      </c>
      <c r="CD80" s="83">
        <v>7.0498999999999996E-3</v>
      </c>
      <c r="CE80" s="83">
        <v>0.128305</v>
      </c>
      <c r="CF80" s="83">
        <v>1.8868900000000001E-2</v>
      </c>
      <c r="CG80" s="83">
        <v>7.0498999999999996E-3</v>
      </c>
      <c r="CH80" s="83">
        <v>0.125973</v>
      </c>
      <c r="CI80" s="83">
        <v>1.8888499999999999E-2</v>
      </c>
      <c r="CJ80" s="83">
        <v>7.0498999999999996E-3</v>
      </c>
      <c r="CK80" s="83">
        <v>0.12645500000000001</v>
      </c>
      <c r="CL80" s="83">
        <v>1.9142900000000001E-2</v>
      </c>
      <c r="CM80" s="83">
        <v>7.0498999999999996E-3</v>
      </c>
      <c r="CN80" s="83">
        <v>0.12549099999999999</v>
      </c>
      <c r="CO80" s="83">
        <v>1.9255100000000001E-2</v>
      </c>
      <c r="CP80" s="83">
        <v>7.0498999999999996E-3</v>
      </c>
      <c r="CQ80" s="83">
        <v>0.11843099999999999</v>
      </c>
      <c r="CR80" s="83">
        <v>1.8723099999999999E-2</v>
      </c>
      <c r="CS80" s="83">
        <v>7.0498999999999996E-3</v>
      </c>
      <c r="CT80" s="83">
        <v>0.11489199999999999</v>
      </c>
      <c r="CU80" s="83">
        <v>1.8511300000000001E-2</v>
      </c>
      <c r="CV80" s="83">
        <v>7.0498999999999996E-3</v>
      </c>
      <c r="CW80" s="83">
        <v>0.116392</v>
      </c>
      <c r="CX80" s="83">
        <v>1.90501E-2</v>
      </c>
      <c r="CY80" s="83">
        <v>7.0498999999999996E-3</v>
      </c>
      <c r="CZ80" s="83">
        <v>0.116475</v>
      </c>
      <c r="DA80" s="83">
        <v>1.93575E-2</v>
      </c>
    </row>
    <row r="81" spans="1:105" x14ac:dyDescent="0.2">
      <c r="A81" s="83">
        <v>7.1498999999999998E-3</v>
      </c>
      <c r="B81" s="83">
        <v>0.14440600000000001</v>
      </c>
      <c r="C81" s="83">
        <v>1.7607600000000001E-2</v>
      </c>
      <c r="D81" s="83">
        <v>7.1498999999999998E-3</v>
      </c>
      <c r="E81" s="83">
        <v>0.145342</v>
      </c>
      <c r="F81" s="83">
        <v>1.7612900000000001E-2</v>
      </c>
      <c r="G81" s="83">
        <v>7.1498999999999998E-3</v>
      </c>
      <c r="H81" s="83">
        <v>0.14974699999999999</v>
      </c>
      <c r="I81" s="83">
        <v>1.7835799999999999E-2</v>
      </c>
      <c r="J81" s="83">
        <v>7.1498999999999998E-3</v>
      </c>
      <c r="K81" s="83">
        <v>0.15263199999999999</v>
      </c>
      <c r="L81" s="83">
        <v>1.8128499999999999E-2</v>
      </c>
      <c r="M81" s="83">
        <v>7.1498999999999998E-3</v>
      </c>
      <c r="N81" s="83">
        <v>0.15865199999999999</v>
      </c>
      <c r="O81" s="83">
        <v>1.8374100000000001E-2</v>
      </c>
      <c r="P81" s="83">
        <v>7.1498999999999998E-3</v>
      </c>
      <c r="Q81" s="83">
        <v>0.15196200000000001</v>
      </c>
      <c r="R81" s="83">
        <v>1.79461E-2</v>
      </c>
      <c r="S81" s="83">
        <v>7.1498999999999998E-3</v>
      </c>
      <c r="T81" s="83">
        <v>0.15251100000000001</v>
      </c>
      <c r="U81" s="83">
        <v>1.7918199999999999E-2</v>
      </c>
      <c r="V81" s="83">
        <v>7.1498999999999998E-3</v>
      </c>
      <c r="W81" s="83">
        <v>0.151005</v>
      </c>
      <c r="X81" s="83">
        <v>1.7912500000000001E-2</v>
      </c>
      <c r="Y81" s="83">
        <v>7.1498999999999998E-3</v>
      </c>
      <c r="Z81" s="83">
        <v>0.15046000000000001</v>
      </c>
      <c r="AA81" s="83">
        <v>1.7904300000000001E-2</v>
      </c>
      <c r="AB81" s="83">
        <v>7.1498999999999998E-3</v>
      </c>
      <c r="AC81" s="83">
        <v>0.14705199999999999</v>
      </c>
      <c r="AD81" s="83">
        <v>1.7804E-2</v>
      </c>
      <c r="AE81" s="83">
        <v>7.1498999999999998E-3</v>
      </c>
      <c r="AF81" s="83">
        <v>0.144347</v>
      </c>
      <c r="AG81" s="83">
        <v>1.7680299999999999E-2</v>
      </c>
      <c r="AH81" s="83">
        <v>7.1498999999999998E-3</v>
      </c>
      <c r="AI81" s="83">
        <v>0.14637600000000001</v>
      </c>
      <c r="AJ81" s="83">
        <v>1.813E-2</v>
      </c>
      <c r="AK81" s="83">
        <v>7.1498999999999998E-3</v>
      </c>
      <c r="AL81" s="83">
        <v>0.15002299999999999</v>
      </c>
      <c r="AM81" s="83">
        <v>1.8661400000000002E-2</v>
      </c>
      <c r="AN81" s="83">
        <v>7.1498999999999998E-3</v>
      </c>
      <c r="AO81" s="83">
        <v>0.13913500000000001</v>
      </c>
      <c r="AP81" s="83">
        <v>1.7732000000000001E-2</v>
      </c>
      <c r="AQ81" s="83">
        <v>7.1498999999999998E-3</v>
      </c>
      <c r="AR81" s="83">
        <v>0.13778299999999999</v>
      </c>
      <c r="AS81" s="83">
        <v>1.77357E-2</v>
      </c>
      <c r="AT81" s="83">
        <v>7.1498999999999998E-3</v>
      </c>
      <c r="AU81" s="83">
        <v>0.13960800000000001</v>
      </c>
      <c r="AV81" s="83">
        <v>1.8116E-2</v>
      </c>
      <c r="AW81" s="83">
        <v>7.1498999999999998E-3</v>
      </c>
      <c r="AX81" s="83">
        <v>0.14105400000000001</v>
      </c>
      <c r="AY81" s="83">
        <v>1.83503E-2</v>
      </c>
      <c r="AZ81" s="83">
        <v>7.1498999999999998E-3</v>
      </c>
      <c r="BA81" s="83">
        <v>0.13936699999999999</v>
      </c>
      <c r="BB81" s="83">
        <v>1.8397299999999998E-2</v>
      </c>
      <c r="BC81" s="83">
        <v>7.1498999999999998E-3</v>
      </c>
      <c r="BD81" s="83">
        <v>0.137739</v>
      </c>
      <c r="BE81" s="83">
        <v>1.8446299999999999E-2</v>
      </c>
      <c r="BF81" s="83">
        <v>7.1498999999999998E-3</v>
      </c>
      <c r="BG81" s="83">
        <v>0.13400500000000001</v>
      </c>
      <c r="BH81" s="83">
        <v>1.82416E-2</v>
      </c>
      <c r="BI81" s="83">
        <v>7.1498999999999998E-3</v>
      </c>
      <c r="BJ81" s="83">
        <v>0.134016</v>
      </c>
      <c r="BK81" s="83">
        <v>1.8339500000000002E-2</v>
      </c>
      <c r="BL81" s="83">
        <v>7.1498999999999998E-3</v>
      </c>
      <c r="BM81" s="83">
        <v>0.13131200000000001</v>
      </c>
      <c r="BN81" s="83">
        <v>1.8196299999999999E-2</v>
      </c>
      <c r="BO81" s="83">
        <v>7.1498999999999998E-3</v>
      </c>
      <c r="BP81" s="83">
        <v>0.12846199999999999</v>
      </c>
      <c r="BQ81" s="83">
        <v>1.8099400000000002E-2</v>
      </c>
      <c r="BR81" s="83">
        <v>7.1498999999999998E-3</v>
      </c>
      <c r="BS81" s="83">
        <v>0.129887</v>
      </c>
      <c r="BT81" s="83">
        <v>1.8482700000000001E-2</v>
      </c>
      <c r="BU81" s="83">
        <v>7.1498999999999998E-3</v>
      </c>
      <c r="BV81" s="83">
        <v>0.127194</v>
      </c>
      <c r="BW81" s="83">
        <v>1.82738E-2</v>
      </c>
      <c r="BX81" s="83">
        <v>7.1498999999999998E-3</v>
      </c>
      <c r="BY81" s="83">
        <v>0.121332</v>
      </c>
      <c r="BZ81" s="83">
        <v>1.7788200000000001E-2</v>
      </c>
      <c r="CA81" s="83">
        <v>7.1498999999999998E-3</v>
      </c>
      <c r="CB81" s="83">
        <v>0.12218</v>
      </c>
      <c r="CC81" s="83">
        <v>1.8065899999999999E-2</v>
      </c>
      <c r="CD81" s="83">
        <v>7.1498999999999998E-3</v>
      </c>
      <c r="CE81" s="83">
        <v>0.120795</v>
      </c>
      <c r="CF81" s="83">
        <v>1.7995899999999999E-2</v>
      </c>
      <c r="CG81" s="83">
        <v>7.1498999999999998E-3</v>
      </c>
      <c r="CH81" s="83">
        <v>0.118356</v>
      </c>
      <c r="CI81" s="83">
        <v>1.7994900000000001E-2</v>
      </c>
      <c r="CJ81" s="83">
        <v>7.1498999999999998E-3</v>
      </c>
      <c r="CK81" s="83">
        <v>0.118784</v>
      </c>
      <c r="CL81" s="83">
        <v>1.8263000000000001E-2</v>
      </c>
      <c r="CM81" s="83">
        <v>7.1498999999999998E-3</v>
      </c>
      <c r="CN81" s="83">
        <v>0.117619</v>
      </c>
      <c r="CO81" s="83">
        <v>1.8358699999999999E-2</v>
      </c>
      <c r="CP81" s="83">
        <v>7.1498999999999998E-3</v>
      </c>
      <c r="CQ81" s="83">
        <v>0.11104899999999999</v>
      </c>
      <c r="CR81" s="83">
        <v>1.78491E-2</v>
      </c>
      <c r="CS81" s="83">
        <v>7.1498999999999998E-3</v>
      </c>
      <c r="CT81" s="83">
        <v>0.107461</v>
      </c>
      <c r="CU81" s="83">
        <v>1.7640200000000002E-2</v>
      </c>
      <c r="CV81" s="83">
        <v>7.1498999999999998E-3</v>
      </c>
      <c r="CW81" s="83">
        <v>0.10921</v>
      </c>
      <c r="CX81" s="83">
        <v>1.8173100000000001E-2</v>
      </c>
      <c r="CY81" s="83">
        <v>7.1498999999999998E-3</v>
      </c>
      <c r="CZ81" s="83">
        <v>0.10900899999999999</v>
      </c>
      <c r="DA81" s="83">
        <v>1.8464000000000001E-2</v>
      </c>
    </row>
    <row r="82" spans="1:105" x14ac:dyDescent="0.2">
      <c r="A82" s="83">
        <v>7.2499000000000001E-3</v>
      </c>
      <c r="B82" s="83">
        <v>0.135851</v>
      </c>
      <c r="C82" s="83">
        <v>1.68098E-2</v>
      </c>
      <c r="D82" s="83">
        <v>7.2499000000000001E-3</v>
      </c>
      <c r="E82" s="83">
        <v>0.13697300000000001</v>
      </c>
      <c r="F82" s="83">
        <v>1.6796499999999999E-2</v>
      </c>
      <c r="G82" s="83">
        <v>7.2499000000000001E-3</v>
      </c>
      <c r="H82" s="83">
        <v>0.14107</v>
      </c>
      <c r="I82" s="83">
        <v>1.6995900000000001E-2</v>
      </c>
      <c r="J82" s="83">
        <v>7.2499000000000001E-3</v>
      </c>
      <c r="K82" s="83">
        <v>0.143848</v>
      </c>
      <c r="L82" s="83">
        <v>1.72701E-2</v>
      </c>
      <c r="M82" s="83">
        <v>7.2499000000000001E-3</v>
      </c>
      <c r="N82" s="83">
        <v>0.149365</v>
      </c>
      <c r="O82" s="83">
        <v>1.7495199999999999E-2</v>
      </c>
      <c r="P82" s="83">
        <v>7.2499000000000001E-3</v>
      </c>
      <c r="Q82" s="83">
        <v>0.14396400000000001</v>
      </c>
      <c r="R82" s="83">
        <v>1.7122800000000001E-2</v>
      </c>
      <c r="S82" s="83">
        <v>7.2499000000000001E-3</v>
      </c>
      <c r="T82" s="83">
        <v>0.14382400000000001</v>
      </c>
      <c r="U82" s="83">
        <v>1.7096E-2</v>
      </c>
      <c r="V82" s="83">
        <v>7.2499000000000001E-3</v>
      </c>
      <c r="W82" s="83">
        <v>0.14227000000000001</v>
      </c>
      <c r="X82" s="83">
        <v>1.70942E-2</v>
      </c>
      <c r="Y82" s="83">
        <v>7.2499000000000001E-3</v>
      </c>
      <c r="Z82" s="83">
        <v>0.14161199999999999</v>
      </c>
      <c r="AA82" s="83">
        <v>1.7057599999999999E-2</v>
      </c>
      <c r="AB82" s="83">
        <v>7.2499000000000001E-3</v>
      </c>
      <c r="AC82" s="83">
        <v>0.13856499999999999</v>
      </c>
      <c r="AD82" s="83">
        <v>1.6990499999999999E-2</v>
      </c>
      <c r="AE82" s="83">
        <v>7.2499000000000001E-3</v>
      </c>
      <c r="AF82" s="83">
        <v>0.13578799999999999</v>
      </c>
      <c r="AG82" s="83">
        <v>1.68775E-2</v>
      </c>
      <c r="AH82" s="83">
        <v>7.2499000000000001E-3</v>
      </c>
      <c r="AI82" s="83">
        <v>0.13775299999999999</v>
      </c>
      <c r="AJ82" s="83">
        <v>1.7283300000000001E-2</v>
      </c>
      <c r="AK82" s="83">
        <v>7.2499000000000001E-3</v>
      </c>
      <c r="AL82" s="83">
        <v>0.14130699999999999</v>
      </c>
      <c r="AM82" s="83">
        <v>1.7802999999999999E-2</v>
      </c>
      <c r="AN82" s="83">
        <v>7.2499000000000001E-3</v>
      </c>
      <c r="AO82" s="83">
        <v>0.13099</v>
      </c>
      <c r="AP82" s="83">
        <v>1.6881400000000001E-2</v>
      </c>
      <c r="AQ82" s="83">
        <v>7.2499000000000001E-3</v>
      </c>
      <c r="AR82" s="83">
        <v>0.12917000000000001</v>
      </c>
      <c r="AS82" s="83">
        <v>1.68763E-2</v>
      </c>
      <c r="AT82" s="83">
        <v>7.2499000000000001E-3</v>
      </c>
      <c r="AU82" s="83">
        <v>0.131136</v>
      </c>
      <c r="AV82" s="83">
        <v>1.7292700000000001E-2</v>
      </c>
      <c r="AW82" s="83">
        <v>7.2499000000000001E-3</v>
      </c>
      <c r="AX82" s="83">
        <v>0.132299</v>
      </c>
      <c r="AY82" s="83">
        <v>1.7512400000000001E-2</v>
      </c>
      <c r="AZ82" s="83">
        <v>7.2499000000000001E-3</v>
      </c>
      <c r="BA82" s="83">
        <v>0.131052</v>
      </c>
      <c r="BB82" s="83">
        <v>1.7557400000000001E-2</v>
      </c>
      <c r="BC82" s="83">
        <v>7.2499000000000001E-3</v>
      </c>
      <c r="BD82" s="83">
        <v>0.129887</v>
      </c>
      <c r="BE82" s="83">
        <v>1.7603500000000001E-2</v>
      </c>
      <c r="BF82" s="83">
        <v>7.2499000000000001E-3</v>
      </c>
      <c r="BG82" s="83">
        <v>0.126027</v>
      </c>
      <c r="BH82" s="83">
        <v>1.7398799999999999E-2</v>
      </c>
      <c r="BI82" s="83">
        <v>7.2499000000000001E-3</v>
      </c>
      <c r="BJ82" s="83">
        <v>0.12606200000000001</v>
      </c>
      <c r="BK82" s="83">
        <v>1.74997E-2</v>
      </c>
      <c r="BL82" s="83">
        <v>7.2499000000000001E-3</v>
      </c>
      <c r="BM82" s="83">
        <v>0.123777</v>
      </c>
      <c r="BN82" s="83">
        <v>1.7372100000000001E-2</v>
      </c>
      <c r="BO82" s="83">
        <v>7.2499000000000001E-3</v>
      </c>
      <c r="BP82" s="83">
        <v>0.120445</v>
      </c>
      <c r="BQ82" s="83">
        <v>1.7259500000000001E-2</v>
      </c>
      <c r="BR82" s="83">
        <v>7.2499000000000001E-3</v>
      </c>
      <c r="BS82" s="83">
        <v>0.12225999999999999</v>
      </c>
      <c r="BT82" s="83">
        <v>1.7614500000000002E-2</v>
      </c>
      <c r="BU82" s="83">
        <v>7.2499000000000001E-3</v>
      </c>
      <c r="BV82" s="83">
        <v>0.11994299999999999</v>
      </c>
      <c r="BW82" s="83">
        <v>1.7395799999999999E-2</v>
      </c>
      <c r="BX82" s="83">
        <v>7.2499000000000001E-3</v>
      </c>
      <c r="BY82" s="83">
        <v>0.113529</v>
      </c>
      <c r="BZ82" s="83">
        <v>1.6964900000000002E-2</v>
      </c>
      <c r="CA82" s="83">
        <v>7.2499000000000001E-3</v>
      </c>
      <c r="CB82" s="83">
        <v>0.114773</v>
      </c>
      <c r="CC82" s="83">
        <v>1.7221199999999999E-2</v>
      </c>
      <c r="CD82" s="83">
        <v>7.2499000000000001E-3</v>
      </c>
      <c r="CE82" s="83">
        <v>0.113358</v>
      </c>
      <c r="CF82" s="83">
        <v>1.71433E-2</v>
      </c>
      <c r="CG82" s="83">
        <v>7.2499000000000001E-3</v>
      </c>
      <c r="CH82" s="83">
        <v>0.111095</v>
      </c>
      <c r="CI82" s="83">
        <v>1.7162899999999998E-2</v>
      </c>
      <c r="CJ82" s="83">
        <v>7.2499000000000001E-3</v>
      </c>
      <c r="CK82" s="83">
        <v>0.111543</v>
      </c>
      <c r="CL82" s="83">
        <v>1.7386100000000002E-2</v>
      </c>
      <c r="CM82" s="83">
        <v>7.2499000000000001E-3</v>
      </c>
      <c r="CN82" s="83">
        <v>0.11045199999999999</v>
      </c>
      <c r="CO82" s="83">
        <v>1.7492500000000001E-2</v>
      </c>
      <c r="CP82" s="83">
        <v>7.2499000000000001E-3</v>
      </c>
      <c r="CQ82" s="83">
        <v>0.10408100000000001</v>
      </c>
      <c r="CR82" s="83">
        <v>1.7016099999999999E-2</v>
      </c>
      <c r="CS82" s="83">
        <v>7.2499000000000001E-3</v>
      </c>
      <c r="CT82" s="83">
        <v>0.10084899999999999</v>
      </c>
      <c r="CU82" s="83">
        <v>1.6804300000000001E-2</v>
      </c>
      <c r="CV82" s="83">
        <v>7.2499000000000001E-3</v>
      </c>
      <c r="CW82" s="83">
        <v>0.10265199999999999</v>
      </c>
      <c r="CX82" s="83">
        <v>1.73128E-2</v>
      </c>
      <c r="CY82" s="83">
        <v>7.2499000000000001E-3</v>
      </c>
      <c r="CZ82" s="83">
        <v>0.10265100000000001</v>
      </c>
      <c r="DA82" s="83">
        <v>1.7631899999999999E-2</v>
      </c>
    </row>
    <row r="83" spans="1:105" x14ac:dyDescent="0.2">
      <c r="A83" s="83">
        <v>7.3499000000000004E-3</v>
      </c>
      <c r="B83" s="83">
        <v>0.12789700000000001</v>
      </c>
      <c r="C83" s="83">
        <v>1.60041E-2</v>
      </c>
      <c r="D83" s="83">
        <v>7.3499000000000004E-3</v>
      </c>
      <c r="E83" s="83">
        <v>0.12915499999999999</v>
      </c>
      <c r="F83" s="83">
        <v>1.60181E-2</v>
      </c>
      <c r="G83" s="83">
        <v>7.3499000000000004E-3</v>
      </c>
      <c r="H83" s="83">
        <v>0.132716</v>
      </c>
      <c r="I83" s="83">
        <v>1.6188299999999999E-2</v>
      </c>
      <c r="J83" s="83">
        <v>7.3499000000000004E-3</v>
      </c>
      <c r="K83" s="83">
        <v>0.135132</v>
      </c>
      <c r="L83" s="83">
        <v>1.64733E-2</v>
      </c>
      <c r="M83" s="83">
        <v>7.3499000000000004E-3</v>
      </c>
      <c r="N83" s="83">
        <v>0.14082500000000001</v>
      </c>
      <c r="O83" s="83">
        <v>1.66847E-2</v>
      </c>
      <c r="P83" s="83">
        <v>7.3499000000000004E-3</v>
      </c>
      <c r="Q83" s="83">
        <v>0.13545299999999999</v>
      </c>
      <c r="R83" s="83">
        <v>1.6323000000000001E-2</v>
      </c>
      <c r="S83" s="83">
        <v>7.3499000000000004E-3</v>
      </c>
      <c r="T83" s="83">
        <v>0.13556799999999999</v>
      </c>
      <c r="U83" s="83">
        <v>1.62717E-2</v>
      </c>
      <c r="V83" s="83">
        <v>7.3499000000000004E-3</v>
      </c>
      <c r="W83" s="83">
        <v>0.13392999999999999</v>
      </c>
      <c r="X83" s="83">
        <v>1.62875E-2</v>
      </c>
      <c r="Y83" s="83">
        <v>7.3499000000000004E-3</v>
      </c>
      <c r="Z83" s="83">
        <v>0.13317399999999999</v>
      </c>
      <c r="AA83" s="83">
        <v>1.6268600000000001E-2</v>
      </c>
      <c r="AB83" s="83">
        <v>7.3499000000000004E-3</v>
      </c>
      <c r="AC83" s="83">
        <v>0.130523</v>
      </c>
      <c r="AD83" s="83">
        <v>1.6181899999999999E-2</v>
      </c>
      <c r="AE83" s="83">
        <v>7.3499000000000004E-3</v>
      </c>
      <c r="AF83" s="83">
        <v>0.12786800000000001</v>
      </c>
      <c r="AG83" s="83">
        <v>1.6099200000000001E-2</v>
      </c>
      <c r="AH83" s="83">
        <v>7.3499000000000004E-3</v>
      </c>
      <c r="AI83" s="83">
        <v>0.129667</v>
      </c>
      <c r="AJ83" s="83">
        <v>1.6490399999999999E-2</v>
      </c>
      <c r="AK83" s="83">
        <v>7.3499000000000004E-3</v>
      </c>
      <c r="AL83" s="83">
        <v>0.13275799999999999</v>
      </c>
      <c r="AM83" s="83">
        <v>1.6949499999999999E-2</v>
      </c>
      <c r="AN83" s="83">
        <v>7.3499000000000004E-3</v>
      </c>
      <c r="AO83" s="83">
        <v>0.12271899999999999</v>
      </c>
      <c r="AP83" s="83">
        <v>1.6096300000000001E-2</v>
      </c>
      <c r="AQ83" s="83">
        <v>7.3499000000000004E-3</v>
      </c>
      <c r="AR83" s="83">
        <v>0.12131400000000001</v>
      </c>
      <c r="AS83" s="83">
        <v>1.61058E-2</v>
      </c>
      <c r="AT83" s="83">
        <v>7.3499000000000004E-3</v>
      </c>
      <c r="AU83" s="83">
        <v>0.123734</v>
      </c>
      <c r="AV83" s="83">
        <v>1.6463599999999998E-2</v>
      </c>
      <c r="AW83" s="83">
        <v>7.3499000000000004E-3</v>
      </c>
      <c r="AX83" s="83">
        <v>0.12450600000000001</v>
      </c>
      <c r="AY83" s="83">
        <v>1.6711699999999999E-2</v>
      </c>
      <c r="AZ83" s="83">
        <v>7.3499000000000004E-3</v>
      </c>
      <c r="BA83" s="83">
        <v>0.123337</v>
      </c>
      <c r="BB83" s="83">
        <v>1.6740999999999999E-2</v>
      </c>
      <c r="BC83" s="83">
        <v>7.3499000000000004E-3</v>
      </c>
      <c r="BD83" s="83">
        <v>0.12227499999999999</v>
      </c>
      <c r="BE83" s="83">
        <v>1.6771500000000002E-2</v>
      </c>
      <c r="BF83" s="83">
        <v>7.3499000000000004E-3</v>
      </c>
      <c r="BG83" s="83">
        <v>0.11831700000000001</v>
      </c>
      <c r="BH83" s="83">
        <v>1.6561900000000001E-2</v>
      </c>
      <c r="BI83" s="83">
        <v>7.3499000000000004E-3</v>
      </c>
      <c r="BJ83" s="83">
        <v>0.119089</v>
      </c>
      <c r="BK83" s="83">
        <v>1.6686200000000002E-2</v>
      </c>
      <c r="BL83" s="83">
        <v>7.3499000000000004E-3</v>
      </c>
      <c r="BM83" s="83">
        <v>0.116619</v>
      </c>
      <c r="BN83" s="83">
        <v>1.6536200000000001E-2</v>
      </c>
      <c r="BO83" s="83">
        <v>7.3499000000000004E-3</v>
      </c>
      <c r="BP83" s="83">
        <v>0.11346199999999999</v>
      </c>
      <c r="BQ83" s="83">
        <v>1.6471400000000001E-2</v>
      </c>
      <c r="BR83" s="83">
        <v>7.3499000000000004E-3</v>
      </c>
      <c r="BS83" s="83">
        <v>0.115219</v>
      </c>
      <c r="BT83" s="83">
        <v>1.6802000000000001E-2</v>
      </c>
      <c r="BU83" s="83">
        <v>7.3499000000000004E-3</v>
      </c>
      <c r="BV83" s="83">
        <v>0.11256099999999999</v>
      </c>
      <c r="BW83" s="83">
        <v>1.66029E-2</v>
      </c>
      <c r="BX83" s="83">
        <v>7.3499000000000004E-3</v>
      </c>
      <c r="BY83" s="83">
        <v>0.10699599999999999</v>
      </c>
      <c r="BZ83" s="83">
        <v>1.61602E-2</v>
      </c>
      <c r="CA83" s="83">
        <v>7.3499000000000004E-3</v>
      </c>
      <c r="CB83" s="83">
        <v>0.107991</v>
      </c>
      <c r="CC83" s="83">
        <v>1.6409699999999999E-2</v>
      </c>
      <c r="CD83" s="83">
        <v>7.3499000000000004E-3</v>
      </c>
      <c r="CE83" s="83">
        <v>0.10663</v>
      </c>
      <c r="CF83" s="83">
        <v>1.6326899999999998E-2</v>
      </c>
      <c r="CG83" s="83">
        <v>7.3499000000000004E-3</v>
      </c>
      <c r="CH83" s="83">
        <v>0.104391</v>
      </c>
      <c r="CI83" s="83">
        <v>1.6345499999999999E-2</v>
      </c>
      <c r="CJ83" s="83">
        <v>7.3499000000000004E-3</v>
      </c>
      <c r="CK83" s="83">
        <v>0.10469199999999999</v>
      </c>
      <c r="CL83" s="83">
        <v>1.6564800000000001E-2</v>
      </c>
      <c r="CM83" s="83">
        <v>7.3499000000000004E-3</v>
      </c>
      <c r="CN83" s="83">
        <v>0.103606</v>
      </c>
      <c r="CO83" s="83">
        <v>1.6665300000000001E-2</v>
      </c>
      <c r="CP83" s="83">
        <v>7.3499000000000004E-3</v>
      </c>
      <c r="CQ83" s="83">
        <v>9.7489000000000006E-2</v>
      </c>
      <c r="CR83" s="83">
        <v>1.6226999999999998E-2</v>
      </c>
      <c r="CS83" s="83">
        <v>7.3499000000000004E-3</v>
      </c>
      <c r="CT83" s="83">
        <v>9.45994E-2</v>
      </c>
      <c r="CU83" s="83">
        <v>1.6017199999999999E-2</v>
      </c>
      <c r="CV83" s="83">
        <v>7.3499000000000004E-3</v>
      </c>
      <c r="CW83" s="83">
        <v>9.5972399999999999E-2</v>
      </c>
      <c r="CX83" s="83">
        <v>1.6481699999999998E-2</v>
      </c>
      <c r="CY83" s="83">
        <v>7.3499000000000004E-3</v>
      </c>
      <c r="CZ83" s="83">
        <v>9.57422E-2</v>
      </c>
      <c r="DA83" s="83">
        <v>1.6789100000000001E-2</v>
      </c>
    </row>
    <row r="84" spans="1:105" x14ac:dyDescent="0.2">
      <c r="A84" s="83">
        <v>7.4498999999999998E-3</v>
      </c>
      <c r="B84" s="83">
        <v>0.120851</v>
      </c>
      <c r="C84" s="83">
        <v>1.5268800000000001E-2</v>
      </c>
      <c r="D84" s="83">
        <v>7.4498999999999998E-3</v>
      </c>
      <c r="E84" s="83">
        <v>0.12167</v>
      </c>
      <c r="F84" s="83">
        <v>1.52418E-2</v>
      </c>
      <c r="G84" s="83">
        <v>7.4498999999999998E-3</v>
      </c>
      <c r="H84" s="83">
        <v>0.12510299999999999</v>
      </c>
      <c r="I84" s="83">
        <v>1.5443200000000001E-2</v>
      </c>
      <c r="J84" s="83">
        <v>7.4498999999999998E-3</v>
      </c>
      <c r="K84" s="83">
        <v>0.1275</v>
      </c>
      <c r="L84" s="83">
        <v>1.5691E-2</v>
      </c>
      <c r="M84" s="83">
        <v>7.4498999999999998E-3</v>
      </c>
      <c r="N84" s="83">
        <v>0.132831</v>
      </c>
      <c r="O84" s="83">
        <v>1.5927899999999998E-2</v>
      </c>
      <c r="P84" s="83">
        <v>7.4498999999999998E-3</v>
      </c>
      <c r="Q84" s="83">
        <v>0.127802</v>
      </c>
      <c r="R84" s="83">
        <v>1.5529100000000001E-2</v>
      </c>
      <c r="S84" s="83">
        <v>7.4498999999999998E-3</v>
      </c>
      <c r="T84" s="83">
        <v>0.12747700000000001</v>
      </c>
      <c r="U84" s="83">
        <v>1.55032E-2</v>
      </c>
      <c r="V84" s="83">
        <v>7.4498999999999998E-3</v>
      </c>
      <c r="W84" s="83">
        <v>0.12618099999999999</v>
      </c>
      <c r="X84" s="83">
        <v>1.55199E-2</v>
      </c>
      <c r="Y84" s="83">
        <v>7.4498999999999998E-3</v>
      </c>
      <c r="Z84" s="83">
        <v>0.12543499999999999</v>
      </c>
      <c r="AA84" s="83">
        <v>1.5514699999999999E-2</v>
      </c>
      <c r="AB84" s="83">
        <v>7.4498999999999998E-3</v>
      </c>
      <c r="AC84" s="83">
        <v>0.122979</v>
      </c>
      <c r="AD84" s="83">
        <v>1.54006E-2</v>
      </c>
      <c r="AE84" s="83">
        <v>7.4498999999999998E-3</v>
      </c>
      <c r="AF84" s="83">
        <v>0.12038699999999999</v>
      </c>
      <c r="AG84" s="83">
        <v>1.5362900000000001E-2</v>
      </c>
      <c r="AH84" s="83">
        <v>7.4498999999999998E-3</v>
      </c>
      <c r="AI84" s="83">
        <v>0.12182999999999999</v>
      </c>
      <c r="AJ84" s="83">
        <v>1.57121E-2</v>
      </c>
      <c r="AK84" s="83">
        <v>7.4498999999999998E-3</v>
      </c>
      <c r="AL84" s="83">
        <v>0.12504299999999999</v>
      </c>
      <c r="AM84" s="83">
        <v>1.6173099999999999E-2</v>
      </c>
      <c r="AN84" s="83">
        <v>7.4498999999999998E-3</v>
      </c>
      <c r="AO84" s="83">
        <v>0.11590200000000001</v>
      </c>
      <c r="AP84" s="83">
        <v>1.5322799999999999E-2</v>
      </c>
      <c r="AQ84" s="83">
        <v>7.4498999999999998E-3</v>
      </c>
      <c r="AR84" s="83">
        <v>0.11418</v>
      </c>
      <c r="AS84" s="83">
        <v>1.5342099999999999E-2</v>
      </c>
      <c r="AT84" s="83">
        <v>7.4498999999999998E-3</v>
      </c>
      <c r="AU84" s="83">
        <v>0.116039</v>
      </c>
      <c r="AV84" s="83">
        <v>1.56951E-2</v>
      </c>
      <c r="AW84" s="83">
        <v>7.4498999999999998E-3</v>
      </c>
      <c r="AX84" s="83">
        <v>0.117309</v>
      </c>
      <c r="AY84" s="83">
        <v>1.59177E-2</v>
      </c>
      <c r="AZ84" s="83">
        <v>7.4498999999999998E-3</v>
      </c>
      <c r="BA84" s="83">
        <v>0.115978</v>
      </c>
      <c r="BB84" s="83">
        <v>1.5949000000000001E-2</v>
      </c>
      <c r="BC84" s="83">
        <v>7.4498999999999998E-3</v>
      </c>
      <c r="BD84" s="83">
        <v>0.114604</v>
      </c>
      <c r="BE84" s="83">
        <v>1.59902E-2</v>
      </c>
      <c r="BF84" s="83">
        <v>7.4498999999999998E-3</v>
      </c>
      <c r="BG84" s="83">
        <v>0.11151</v>
      </c>
      <c r="BH84" s="83">
        <v>1.58031E-2</v>
      </c>
      <c r="BI84" s="83">
        <v>7.4498999999999998E-3</v>
      </c>
      <c r="BJ84" s="83">
        <v>0.111882</v>
      </c>
      <c r="BK84" s="83">
        <v>1.58844E-2</v>
      </c>
      <c r="BL84" s="83">
        <v>7.4498999999999998E-3</v>
      </c>
      <c r="BM84" s="83">
        <v>0.109495</v>
      </c>
      <c r="BN84" s="83">
        <v>1.57647E-2</v>
      </c>
      <c r="BO84" s="83">
        <v>7.4498999999999998E-3</v>
      </c>
      <c r="BP84" s="83">
        <v>0.1067</v>
      </c>
      <c r="BQ84" s="83">
        <v>1.56706E-2</v>
      </c>
      <c r="BR84" s="83">
        <v>7.4498999999999998E-3</v>
      </c>
      <c r="BS84" s="83">
        <v>0.10759199999999999</v>
      </c>
      <c r="BT84" s="83">
        <v>1.6008100000000001E-2</v>
      </c>
      <c r="BU84" s="83">
        <v>7.4498999999999998E-3</v>
      </c>
      <c r="BV84" s="83">
        <v>0.105647</v>
      </c>
      <c r="BW84" s="83">
        <v>1.5812799999999998E-2</v>
      </c>
      <c r="BX84" s="83">
        <v>7.4498999999999998E-3</v>
      </c>
      <c r="BY84" s="83">
        <v>0.100341</v>
      </c>
      <c r="BZ84" s="83">
        <v>1.5398500000000001E-2</v>
      </c>
      <c r="CA84" s="83">
        <v>7.4498999999999998E-3</v>
      </c>
      <c r="CB84" s="83">
        <v>0.101267</v>
      </c>
      <c r="CC84" s="83">
        <v>1.56206E-2</v>
      </c>
      <c r="CD84" s="83">
        <v>7.4498999999999998E-3</v>
      </c>
      <c r="CE84" s="83">
        <v>0.10002800000000001</v>
      </c>
      <c r="CF84" s="83">
        <v>1.5575E-2</v>
      </c>
      <c r="CG84" s="83">
        <v>7.4498999999999998E-3</v>
      </c>
      <c r="CH84" s="83">
        <v>9.7852700000000001E-2</v>
      </c>
      <c r="CI84" s="83">
        <v>1.5566200000000001E-2</v>
      </c>
      <c r="CJ84" s="83">
        <v>7.4498999999999998E-3</v>
      </c>
      <c r="CK84" s="83">
        <v>9.8085500000000006E-2</v>
      </c>
      <c r="CL84" s="83">
        <v>1.5810899999999999E-2</v>
      </c>
      <c r="CM84" s="83">
        <v>7.4498999999999998E-3</v>
      </c>
      <c r="CN84" s="83">
        <v>9.7629300000000002E-2</v>
      </c>
      <c r="CO84" s="83">
        <v>1.5871400000000001E-2</v>
      </c>
      <c r="CP84" s="83">
        <v>7.4498999999999998E-3</v>
      </c>
      <c r="CQ84" s="83">
        <v>9.1502700000000006E-2</v>
      </c>
      <c r="CR84" s="83">
        <v>1.5457500000000001E-2</v>
      </c>
      <c r="CS84" s="83">
        <v>7.4498999999999998E-3</v>
      </c>
      <c r="CT84" s="83">
        <v>8.8896199999999995E-2</v>
      </c>
      <c r="CU84" s="83">
        <v>1.52633E-2</v>
      </c>
      <c r="CV84" s="83">
        <v>7.4498999999999998E-3</v>
      </c>
      <c r="CW84" s="83">
        <v>9.0205800000000003E-2</v>
      </c>
      <c r="CX84" s="83">
        <v>1.5720999999999999E-2</v>
      </c>
      <c r="CY84" s="83">
        <v>7.4498999999999998E-3</v>
      </c>
      <c r="CZ84" s="83">
        <v>8.9462899999999998E-2</v>
      </c>
      <c r="DA84" s="83">
        <v>1.59884E-2</v>
      </c>
    </row>
    <row r="85" spans="1:105" x14ac:dyDescent="0.2">
      <c r="A85" s="83">
        <v>7.5499E-3</v>
      </c>
      <c r="B85" s="83">
        <v>0.11404499999999999</v>
      </c>
      <c r="C85" s="83">
        <v>1.4529500000000001E-2</v>
      </c>
      <c r="D85" s="83">
        <v>7.5499E-3</v>
      </c>
      <c r="E85" s="83">
        <v>0.114839</v>
      </c>
      <c r="F85" s="83">
        <v>1.45445E-2</v>
      </c>
      <c r="G85" s="83">
        <v>7.5499E-3</v>
      </c>
      <c r="H85" s="83">
        <v>0.11741799999999999</v>
      </c>
      <c r="I85" s="83">
        <v>1.4707899999999999E-2</v>
      </c>
      <c r="J85" s="83">
        <v>7.5499E-3</v>
      </c>
      <c r="K85" s="83">
        <v>0.120362</v>
      </c>
      <c r="L85" s="83">
        <v>1.4946900000000001E-2</v>
      </c>
      <c r="M85" s="83">
        <v>7.5499E-3</v>
      </c>
      <c r="N85" s="83">
        <v>0.12548300000000001</v>
      </c>
      <c r="O85" s="83">
        <v>1.5153399999999999E-2</v>
      </c>
      <c r="P85" s="83">
        <v>7.5499E-3</v>
      </c>
      <c r="Q85" s="83">
        <v>0.12046800000000001</v>
      </c>
      <c r="R85" s="83">
        <v>1.4797599999999999E-2</v>
      </c>
      <c r="S85" s="83">
        <v>7.5499E-3</v>
      </c>
      <c r="T85" s="83">
        <v>0.12060700000000001</v>
      </c>
      <c r="U85" s="83">
        <v>1.47796E-2</v>
      </c>
      <c r="V85" s="83">
        <v>7.5499E-3</v>
      </c>
      <c r="W85" s="83">
        <v>0.11837399999999999</v>
      </c>
      <c r="X85" s="83">
        <v>1.47983E-2</v>
      </c>
      <c r="Y85" s="83">
        <v>7.5499E-3</v>
      </c>
      <c r="Z85" s="83">
        <v>0.118399</v>
      </c>
      <c r="AA85" s="83">
        <v>1.4772499999999999E-2</v>
      </c>
      <c r="AB85" s="83">
        <v>7.5499E-3</v>
      </c>
      <c r="AC85" s="83">
        <v>0.11598700000000001</v>
      </c>
      <c r="AD85" s="83">
        <v>1.46897E-2</v>
      </c>
      <c r="AE85" s="83">
        <v>7.5499E-3</v>
      </c>
      <c r="AF85" s="83">
        <v>0.113761</v>
      </c>
      <c r="AG85" s="83">
        <v>1.4628499999999999E-2</v>
      </c>
      <c r="AH85" s="83">
        <v>7.5499E-3</v>
      </c>
      <c r="AI85" s="83">
        <v>0.114965</v>
      </c>
      <c r="AJ85" s="83">
        <v>1.4956199999999999E-2</v>
      </c>
      <c r="AK85" s="83">
        <v>7.5499E-3</v>
      </c>
      <c r="AL85" s="83">
        <v>0.117865</v>
      </c>
      <c r="AM85" s="83">
        <v>1.54133E-2</v>
      </c>
      <c r="AN85" s="83">
        <v>7.5499E-3</v>
      </c>
      <c r="AO85" s="83">
        <v>0.108656</v>
      </c>
      <c r="AP85" s="83">
        <v>1.46178E-2</v>
      </c>
      <c r="AQ85" s="83">
        <v>7.5499E-3</v>
      </c>
      <c r="AR85" s="83">
        <v>0.10757799999999999</v>
      </c>
      <c r="AS85" s="83">
        <v>1.46175E-2</v>
      </c>
      <c r="AT85" s="83">
        <v>7.5499E-3</v>
      </c>
      <c r="AU85" s="83">
        <v>0.109071</v>
      </c>
      <c r="AV85" s="83">
        <v>1.4940200000000001E-2</v>
      </c>
      <c r="AW85" s="83">
        <v>7.5499E-3</v>
      </c>
      <c r="AX85" s="83">
        <v>0.110058</v>
      </c>
      <c r="AY85" s="83">
        <v>1.51658E-2</v>
      </c>
      <c r="AZ85" s="83">
        <v>7.5499E-3</v>
      </c>
      <c r="BA85" s="83">
        <v>0.108913</v>
      </c>
      <c r="BB85" s="83">
        <v>1.52166E-2</v>
      </c>
      <c r="BC85" s="83">
        <v>7.5499E-3</v>
      </c>
      <c r="BD85" s="83">
        <v>0.10768</v>
      </c>
      <c r="BE85" s="83">
        <v>1.52666E-2</v>
      </c>
      <c r="BF85" s="83">
        <v>7.5499E-3</v>
      </c>
      <c r="BG85" s="83">
        <v>0.104923</v>
      </c>
      <c r="BH85" s="83">
        <v>1.5067799999999999E-2</v>
      </c>
      <c r="BI85" s="83">
        <v>7.5499E-3</v>
      </c>
      <c r="BJ85" s="83">
        <v>0.10520699999999999</v>
      </c>
      <c r="BK85" s="83">
        <v>1.5165700000000001E-2</v>
      </c>
      <c r="BL85" s="83">
        <v>7.5499E-3</v>
      </c>
      <c r="BM85" s="83">
        <v>0.10284</v>
      </c>
      <c r="BN85" s="83">
        <v>1.50362E-2</v>
      </c>
      <c r="BO85" s="83">
        <v>7.5499E-3</v>
      </c>
      <c r="BP85" s="83">
        <v>0.100372</v>
      </c>
      <c r="BQ85" s="83">
        <v>1.49578E-2</v>
      </c>
      <c r="BR85" s="83">
        <v>7.5499E-3</v>
      </c>
      <c r="BS85" s="83">
        <v>0.101137</v>
      </c>
      <c r="BT85" s="83">
        <v>1.52415E-2</v>
      </c>
      <c r="BU85" s="83">
        <v>7.5499E-3</v>
      </c>
      <c r="BV85" s="83">
        <v>9.9274500000000002E-2</v>
      </c>
      <c r="BW85" s="83">
        <v>1.50589E-2</v>
      </c>
      <c r="BX85" s="83">
        <v>7.5499E-3</v>
      </c>
      <c r="BY85" s="83">
        <v>9.4374E-2</v>
      </c>
      <c r="BZ85" s="83">
        <v>1.4656300000000001E-2</v>
      </c>
      <c r="CA85" s="83">
        <v>7.5499E-3</v>
      </c>
      <c r="CB85" s="83">
        <v>9.4861100000000004E-2</v>
      </c>
      <c r="CC85" s="83">
        <v>1.49087E-2</v>
      </c>
      <c r="CD85" s="83">
        <v>7.5499E-3</v>
      </c>
      <c r="CE85" s="83">
        <v>9.37051E-2</v>
      </c>
      <c r="CF85" s="83">
        <v>1.48357E-2</v>
      </c>
      <c r="CG85" s="83">
        <v>7.5499E-3</v>
      </c>
      <c r="CH85" s="83">
        <v>9.1920100000000005E-2</v>
      </c>
      <c r="CI85" s="83">
        <v>1.4828900000000001E-2</v>
      </c>
      <c r="CJ85" s="83">
        <v>7.5499E-3</v>
      </c>
      <c r="CK85" s="83">
        <v>9.20406E-2</v>
      </c>
      <c r="CL85" s="83">
        <v>1.5054E-2</v>
      </c>
      <c r="CM85" s="83">
        <v>7.5499E-3</v>
      </c>
      <c r="CN85" s="83">
        <v>9.11888E-2</v>
      </c>
      <c r="CO85" s="83">
        <v>1.5103800000000001E-2</v>
      </c>
      <c r="CP85" s="83">
        <v>7.5499E-3</v>
      </c>
      <c r="CQ85" s="83">
        <v>8.6097400000000004E-2</v>
      </c>
      <c r="CR85" s="83">
        <v>1.47221E-2</v>
      </c>
      <c r="CS85" s="83">
        <v>7.5499E-3</v>
      </c>
      <c r="CT85" s="83">
        <v>8.3617899999999995E-2</v>
      </c>
      <c r="CU85" s="83">
        <v>1.45582E-2</v>
      </c>
      <c r="CV85" s="83">
        <v>7.5499E-3</v>
      </c>
      <c r="CW85" s="83">
        <v>8.4478300000000006E-2</v>
      </c>
      <c r="CX85" s="83">
        <v>1.49739E-2</v>
      </c>
      <c r="CY85" s="83">
        <v>7.5499E-3</v>
      </c>
      <c r="CZ85" s="83">
        <v>8.3754899999999993E-2</v>
      </c>
      <c r="DA85" s="83">
        <v>1.52237E-2</v>
      </c>
    </row>
    <row r="86" spans="1:105" x14ac:dyDescent="0.2">
      <c r="A86" s="83">
        <v>7.6499000000000003E-3</v>
      </c>
      <c r="B86" s="83">
        <v>0.10736</v>
      </c>
      <c r="C86" s="83">
        <v>1.38332E-2</v>
      </c>
      <c r="D86" s="83">
        <v>7.6499000000000003E-3</v>
      </c>
      <c r="E86" s="83">
        <v>0.108247</v>
      </c>
      <c r="F86" s="83">
        <v>1.3834600000000001E-2</v>
      </c>
      <c r="G86" s="83">
        <v>7.6499000000000003E-3</v>
      </c>
      <c r="H86" s="83">
        <v>0.110416</v>
      </c>
      <c r="I86" s="83">
        <v>1.40086E-2</v>
      </c>
      <c r="J86" s="83">
        <v>7.6499000000000003E-3</v>
      </c>
      <c r="K86" s="83">
        <v>0.113687</v>
      </c>
      <c r="L86" s="83">
        <v>1.4234E-2</v>
      </c>
      <c r="M86" s="83">
        <v>7.6499000000000003E-3</v>
      </c>
      <c r="N86" s="83">
        <v>0.118022</v>
      </c>
      <c r="O86" s="83">
        <v>1.4456200000000001E-2</v>
      </c>
      <c r="P86" s="83">
        <v>7.6499000000000003E-3</v>
      </c>
      <c r="Q86" s="83">
        <v>0.113217</v>
      </c>
      <c r="R86" s="83">
        <v>1.40877E-2</v>
      </c>
      <c r="S86" s="83">
        <v>7.6499000000000003E-3</v>
      </c>
      <c r="T86" s="83">
        <v>0.113165</v>
      </c>
      <c r="U86" s="83">
        <v>1.40432E-2</v>
      </c>
      <c r="V86" s="83">
        <v>7.6499000000000003E-3</v>
      </c>
      <c r="W86" s="83">
        <v>0.111806</v>
      </c>
      <c r="X86" s="83">
        <v>1.40932E-2</v>
      </c>
      <c r="Y86" s="83">
        <v>7.6499000000000003E-3</v>
      </c>
      <c r="Z86" s="83">
        <v>0.11130900000000001</v>
      </c>
      <c r="AA86" s="83">
        <v>1.40596E-2</v>
      </c>
      <c r="AB86" s="83">
        <v>7.6499000000000003E-3</v>
      </c>
      <c r="AC86" s="83">
        <v>0.109127</v>
      </c>
      <c r="AD86" s="83">
        <v>1.4008100000000001E-2</v>
      </c>
      <c r="AE86" s="83">
        <v>7.6499000000000003E-3</v>
      </c>
      <c r="AF86" s="83">
        <v>0.106906</v>
      </c>
      <c r="AG86" s="83">
        <v>1.3898000000000001E-2</v>
      </c>
      <c r="AH86" s="83">
        <v>7.6499000000000003E-3</v>
      </c>
      <c r="AI86" s="83">
        <v>0.108212</v>
      </c>
      <c r="AJ86" s="83">
        <v>1.4253999999999999E-2</v>
      </c>
      <c r="AK86" s="83">
        <v>7.6499000000000003E-3</v>
      </c>
      <c r="AL86" s="83">
        <v>0.110961</v>
      </c>
      <c r="AM86" s="83">
        <v>1.4677000000000001E-2</v>
      </c>
      <c r="AN86" s="83">
        <v>7.6499000000000003E-3</v>
      </c>
      <c r="AO86" s="83">
        <v>0.102201</v>
      </c>
      <c r="AP86" s="83">
        <v>1.3909700000000001E-2</v>
      </c>
      <c r="AQ86" s="83">
        <v>7.6499000000000003E-3</v>
      </c>
      <c r="AR86" s="83">
        <v>0.101255</v>
      </c>
      <c r="AS86" s="83">
        <v>1.3919300000000001E-2</v>
      </c>
      <c r="AT86" s="83">
        <v>7.6499000000000003E-3</v>
      </c>
      <c r="AU86" s="83">
        <v>0.102548</v>
      </c>
      <c r="AV86" s="83">
        <v>1.4237100000000001E-2</v>
      </c>
      <c r="AW86" s="83">
        <v>7.6499000000000003E-3</v>
      </c>
      <c r="AX86" s="83">
        <v>0.10365199999999999</v>
      </c>
      <c r="AY86" s="83">
        <v>1.4459700000000001E-2</v>
      </c>
      <c r="AZ86" s="83">
        <v>7.6499000000000003E-3</v>
      </c>
      <c r="BA86" s="83">
        <v>0.102731</v>
      </c>
      <c r="BB86" s="83">
        <v>1.4484199999999999E-2</v>
      </c>
      <c r="BC86" s="83">
        <v>7.6499000000000003E-3</v>
      </c>
      <c r="BD86" s="83">
        <v>0.101157</v>
      </c>
      <c r="BE86" s="83">
        <v>1.45224E-2</v>
      </c>
      <c r="BF86" s="83">
        <v>7.6499000000000003E-3</v>
      </c>
      <c r="BG86" s="83">
        <v>9.8888000000000004E-2</v>
      </c>
      <c r="BH86" s="83">
        <v>1.4339299999999999E-2</v>
      </c>
      <c r="BI86" s="83">
        <v>7.6499000000000003E-3</v>
      </c>
      <c r="BJ86" s="83">
        <v>9.8869399999999996E-2</v>
      </c>
      <c r="BK86" s="83">
        <v>1.44294E-2</v>
      </c>
      <c r="BL86" s="83">
        <v>7.6499000000000003E-3</v>
      </c>
      <c r="BM86" s="83">
        <v>9.6760700000000005E-2</v>
      </c>
      <c r="BN86" s="83">
        <v>1.4305699999999999E-2</v>
      </c>
      <c r="BO86" s="83">
        <v>7.6499000000000003E-3</v>
      </c>
      <c r="BP86" s="83">
        <v>9.3931200000000006E-2</v>
      </c>
      <c r="BQ86" s="83">
        <v>1.4226300000000001E-2</v>
      </c>
      <c r="BR86" s="83">
        <v>7.6499000000000003E-3</v>
      </c>
      <c r="BS86" s="83">
        <v>9.5058199999999995E-2</v>
      </c>
      <c r="BT86" s="83">
        <v>1.4537400000000001E-2</v>
      </c>
      <c r="BU86" s="83">
        <v>7.6499000000000003E-3</v>
      </c>
      <c r="BV86" s="83">
        <v>9.2853599999999994E-2</v>
      </c>
      <c r="BW86" s="83">
        <v>1.43538E-2</v>
      </c>
      <c r="BX86" s="83">
        <v>7.6499000000000003E-3</v>
      </c>
      <c r="BY86" s="83">
        <v>8.8456000000000007E-2</v>
      </c>
      <c r="BZ86" s="83">
        <v>1.39512E-2</v>
      </c>
      <c r="CA86" s="83">
        <v>7.6499000000000003E-3</v>
      </c>
      <c r="CB86" s="83">
        <v>8.9113999999999999E-2</v>
      </c>
      <c r="CC86" s="83">
        <v>1.41978E-2</v>
      </c>
      <c r="CD86" s="83">
        <v>7.6499000000000003E-3</v>
      </c>
      <c r="CE86" s="83">
        <v>8.7899500000000005E-2</v>
      </c>
      <c r="CF86" s="83">
        <v>1.4115000000000001E-2</v>
      </c>
      <c r="CG86" s="83">
        <v>7.6499000000000003E-3</v>
      </c>
      <c r="CH86" s="83">
        <v>8.5933700000000002E-2</v>
      </c>
      <c r="CI86" s="83">
        <v>1.41551E-2</v>
      </c>
      <c r="CJ86" s="83">
        <v>7.6499000000000003E-3</v>
      </c>
      <c r="CK86" s="83">
        <v>8.6215399999999998E-2</v>
      </c>
      <c r="CL86" s="83">
        <v>1.4319699999999999E-2</v>
      </c>
      <c r="CM86" s="83">
        <v>7.6499000000000003E-3</v>
      </c>
      <c r="CN86" s="83">
        <v>8.5627300000000003E-2</v>
      </c>
      <c r="CO86" s="83">
        <v>1.44046E-2</v>
      </c>
      <c r="CP86" s="83">
        <v>7.6499000000000003E-3</v>
      </c>
      <c r="CQ86" s="83">
        <v>8.0565200000000003E-2</v>
      </c>
      <c r="CR86" s="83">
        <v>1.40141E-2</v>
      </c>
      <c r="CS86" s="83">
        <v>7.6499000000000003E-3</v>
      </c>
      <c r="CT86" s="83">
        <v>7.8237100000000004E-2</v>
      </c>
      <c r="CU86" s="83">
        <v>1.38844E-2</v>
      </c>
      <c r="CV86" s="83">
        <v>7.6499000000000003E-3</v>
      </c>
      <c r="CW86" s="83">
        <v>7.9121899999999995E-2</v>
      </c>
      <c r="CX86" s="83">
        <v>1.426E-2</v>
      </c>
      <c r="CY86" s="83">
        <v>7.6499000000000003E-3</v>
      </c>
      <c r="CZ86" s="83">
        <v>7.8696299999999997E-2</v>
      </c>
      <c r="DA86" s="83">
        <v>1.4490299999999999E-2</v>
      </c>
    </row>
    <row r="87" spans="1:105" x14ac:dyDescent="0.2">
      <c r="A87" s="83">
        <v>7.7498999999999997E-3</v>
      </c>
      <c r="B87" s="83">
        <v>0.10084600000000001</v>
      </c>
      <c r="C87" s="83">
        <v>1.31623E-2</v>
      </c>
      <c r="D87" s="83">
        <v>7.7498999999999997E-3</v>
      </c>
      <c r="E87" s="83">
        <v>0.10179199999999999</v>
      </c>
      <c r="F87" s="83">
        <v>1.31763E-2</v>
      </c>
      <c r="G87" s="83">
        <v>7.7498999999999997E-3</v>
      </c>
      <c r="H87" s="83">
        <v>0.103951</v>
      </c>
      <c r="I87" s="83">
        <v>1.3336799999999999E-2</v>
      </c>
      <c r="J87" s="83">
        <v>7.7498999999999997E-3</v>
      </c>
      <c r="K87" s="83">
        <v>0.106182</v>
      </c>
      <c r="L87" s="83">
        <v>1.3550400000000001E-2</v>
      </c>
      <c r="M87" s="83">
        <v>7.7498999999999997E-3</v>
      </c>
      <c r="N87" s="83">
        <v>0.111147</v>
      </c>
      <c r="O87" s="83">
        <v>1.3756000000000001E-2</v>
      </c>
      <c r="P87" s="83">
        <v>7.7498999999999997E-3</v>
      </c>
      <c r="Q87" s="83">
        <v>0.10642</v>
      </c>
      <c r="R87" s="83">
        <v>1.3414799999999999E-2</v>
      </c>
      <c r="S87" s="83">
        <v>7.7498999999999997E-3</v>
      </c>
      <c r="T87" s="83">
        <v>0.10609</v>
      </c>
      <c r="U87" s="83">
        <v>1.3379200000000001E-2</v>
      </c>
      <c r="V87" s="83">
        <v>7.7498999999999997E-3</v>
      </c>
      <c r="W87" s="83">
        <v>0.104975</v>
      </c>
      <c r="X87" s="83">
        <v>1.3417399999999999E-2</v>
      </c>
      <c r="Y87" s="83">
        <v>7.7498999999999997E-3</v>
      </c>
      <c r="Z87" s="83">
        <v>0.104981</v>
      </c>
      <c r="AA87" s="83">
        <v>1.33779E-2</v>
      </c>
      <c r="AB87" s="83">
        <v>7.7498999999999997E-3</v>
      </c>
      <c r="AC87" s="83">
        <v>0.10256899999999999</v>
      </c>
      <c r="AD87" s="83">
        <v>1.33215E-2</v>
      </c>
      <c r="AE87" s="83">
        <v>7.7498999999999997E-3</v>
      </c>
      <c r="AF87" s="83">
        <v>0.100314</v>
      </c>
      <c r="AG87" s="83">
        <v>1.32564E-2</v>
      </c>
      <c r="AH87" s="83">
        <v>7.7498999999999997E-3</v>
      </c>
      <c r="AI87" s="83">
        <v>0.101786</v>
      </c>
      <c r="AJ87" s="83">
        <v>1.35607E-2</v>
      </c>
      <c r="AK87" s="83">
        <v>7.7498999999999997E-3</v>
      </c>
      <c r="AL87" s="83">
        <v>0.104042</v>
      </c>
      <c r="AM87" s="83">
        <v>1.3997300000000001E-2</v>
      </c>
      <c r="AN87" s="83">
        <v>7.7498999999999997E-3</v>
      </c>
      <c r="AO87" s="83">
        <v>9.61756E-2</v>
      </c>
      <c r="AP87" s="83">
        <v>1.32408E-2</v>
      </c>
      <c r="AQ87" s="83">
        <v>7.7498999999999997E-3</v>
      </c>
      <c r="AR87" s="83">
        <v>9.5449300000000001E-2</v>
      </c>
      <c r="AS87" s="83">
        <v>1.3259099999999999E-2</v>
      </c>
      <c r="AT87" s="83">
        <v>7.7498999999999997E-3</v>
      </c>
      <c r="AU87" s="83">
        <v>9.6351300000000001E-2</v>
      </c>
      <c r="AV87" s="83">
        <v>1.35642E-2</v>
      </c>
      <c r="AW87" s="83">
        <v>7.7498999999999997E-3</v>
      </c>
      <c r="AX87" s="83">
        <v>9.7103800000000004E-2</v>
      </c>
      <c r="AY87" s="83">
        <v>1.37488E-2</v>
      </c>
      <c r="AZ87" s="83">
        <v>7.7498999999999997E-3</v>
      </c>
      <c r="BA87" s="83">
        <v>9.6119899999999994E-2</v>
      </c>
      <c r="BB87" s="83">
        <v>1.38289E-2</v>
      </c>
      <c r="BC87" s="83">
        <v>7.7498999999999997E-3</v>
      </c>
      <c r="BD87" s="83">
        <v>9.5102099999999995E-2</v>
      </c>
      <c r="BE87" s="83">
        <v>1.38262E-2</v>
      </c>
      <c r="BF87" s="83">
        <v>7.7498999999999997E-3</v>
      </c>
      <c r="BG87" s="83">
        <v>9.2740500000000003E-2</v>
      </c>
      <c r="BH87" s="83">
        <v>1.36439E-2</v>
      </c>
      <c r="BI87" s="83">
        <v>7.7498999999999997E-3</v>
      </c>
      <c r="BJ87" s="83">
        <v>9.2858700000000002E-2</v>
      </c>
      <c r="BK87" s="83">
        <v>1.37438E-2</v>
      </c>
      <c r="BL87" s="83">
        <v>7.7498999999999997E-3</v>
      </c>
      <c r="BM87" s="83">
        <v>9.0564500000000006E-2</v>
      </c>
      <c r="BN87" s="83">
        <v>1.3662199999999999E-2</v>
      </c>
      <c r="BO87" s="83">
        <v>7.7498999999999997E-3</v>
      </c>
      <c r="BP87" s="83">
        <v>8.8501499999999997E-2</v>
      </c>
      <c r="BQ87" s="83">
        <v>1.35554E-2</v>
      </c>
      <c r="BR87" s="83">
        <v>7.7498999999999997E-3</v>
      </c>
      <c r="BS87" s="83">
        <v>8.9530899999999997E-2</v>
      </c>
      <c r="BT87" s="83">
        <v>1.38323E-2</v>
      </c>
      <c r="BU87" s="83">
        <v>7.7498999999999997E-3</v>
      </c>
      <c r="BV87" s="83">
        <v>8.7545999999999999E-2</v>
      </c>
      <c r="BW87" s="83">
        <v>1.36439E-2</v>
      </c>
      <c r="BX87" s="83">
        <v>7.7498999999999997E-3</v>
      </c>
      <c r="BY87" s="83">
        <v>8.2923800000000006E-2</v>
      </c>
      <c r="BZ87" s="83">
        <v>1.33174E-2</v>
      </c>
      <c r="CA87" s="83">
        <v>7.7498999999999997E-3</v>
      </c>
      <c r="CB87" s="83">
        <v>8.3396200000000004E-2</v>
      </c>
      <c r="CC87" s="83">
        <v>1.3521E-2</v>
      </c>
      <c r="CD87" s="83">
        <v>7.7498999999999997E-3</v>
      </c>
      <c r="CE87" s="83">
        <v>8.2128000000000007E-2</v>
      </c>
      <c r="CF87" s="83">
        <v>1.3443200000000001E-2</v>
      </c>
      <c r="CG87" s="83">
        <v>7.7498999999999997E-3</v>
      </c>
      <c r="CH87" s="83">
        <v>8.0694500000000002E-2</v>
      </c>
      <c r="CI87" s="83">
        <v>1.34676E-2</v>
      </c>
      <c r="CJ87" s="83">
        <v>7.7498999999999997E-3</v>
      </c>
      <c r="CK87" s="83">
        <v>8.1098199999999995E-2</v>
      </c>
      <c r="CL87" s="83">
        <v>1.36448E-2</v>
      </c>
      <c r="CM87" s="83">
        <v>7.7498999999999997E-3</v>
      </c>
      <c r="CN87" s="83">
        <v>8.0251299999999998E-2</v>
      </c>
      <c r="CO87" s="83">
        <v>1.37141E-2</v>
      </c>
      <c r="CP87" s="83">
        <v>7.7498999999999997E-3</v>
      </c>
      <c r="CQ87" s="83">
        <v>7.5394299999999997E-2</v>
      </c>
      <c r="CR87" s="83">
        <v>1.3362799999999999E-2</v>
      </c>
      <c r="CS87" s="83">
        <v>7.7498999999999997E-3</v>
      </c>
      <c r="CT87" s="83">
        <v>7.3329800000000001E-2</v>
      </c>
      <c r="CU87" s="83">
        <v>1.32105E-2</v>
      </c>
      <c r="CV87" s="83">
        <v>7.7498999999999997E-3</v>
      </c>
      <c r="CW87" s="83">
        <v>7.4068099999999998E-2</v>
      </c>
      <c r="CX87" s="83">
        <v>1.3564700000000001E-2</v>
      </c>
      <c r="CY87" s="83">
        <v>7.7498999999999997E-3</v>
      </c>
      <c r="CZ87" s="83">
        <v>7.3867199999999994E-2</v>
      </c>
      <c r="DA87" s="83">
        <v>1.38038E-2</v>
      </c>
    </row>
    <row r="88" spans="1:105" x14ac:dyDescent="0.2">
      <c r="A88" s="83">
        <v>7.8498999999999999E-3</v>
      </c>
      <c r="B88" s="83">
        <v>9.4943200000000005E-2</v>
      </c>
      <c r="C88" s="83">
        <v>1.2537299999999999E-2</v>
      </c>
      <c r="D88" s="83">
        <v>7.8498999999999999E-3</v>
      </c>
      <c r="E88" s="83">
        <v>9.5498100000000002E-2</v>
      </c>
      <c r="F88" s="83">
        <v>1.25308E-2</v>
      </c>
      <c r="G88" s="83">
        <v>7.8498999999999999E-3</v>
      </c>
      <c r="H88" s="83">
        <v>9.8330799999999996E-2</v>
      </c>
      <c r="I88" s="83">
        <v>1.27049E-2</v>
      </c>
      <c r="J88" s="83">
        <v>7.8498999999999999E-3</v>
      </c>
      <c r="K88" s="83">
        <v>9.99858E-2</v>
      </c>
      <c r="L88" s="83">
        <v>1.29059E-2</v>
      </c>
      <c r="M88" s="83">
        <v>7.8498999999999999E-3</v>
      </c>
      <c r="N88" s="83">
        <v>0.10424700000000001</v>
      </c>
      <c r="O88" s="83">
        <v>1.31085E-2</v>
      </c>
      <c r="P88" s="83">
        <v>7.8498999999999999E-3</v>
      </c>
      <c r="Q88" s="83">
        <v>0.100356</v>
      </c>
      <c r="R88" s="83">
        <v>1.2774199999999999E-2</v>
      </c>
      <c r="S88" s="83">
        <v>7.8498999999999999E-3</v>
      </c>
      <c r="T88" s="83">
        <v>0.10006900000000001</v>
      </c>
      <c r="U88" s="83">
        <v>1.27464E-2</v>
      </c>
      <c r="V88" s="83">
        <v>7.8498999999999999E-3</v>
      </c>
      <c r="W88" s="83">
        <v>9.9125500000000005E-2</v>
      </c>
      <c r="X88" s="83">
        <v>1.27846E-2</v>
      </c>
      <c r="Y88" s="83">
        <v>7.8498999999999999E-3</v>
      </c>
      <c r="Z88" s="83">
        <v>9.8155000000000006E-2</v>
      </c>
      <c r="AA88" s="83">
        <v>1.2724600000000001E-2</v>
      </c>
      <c r="AB88" s="83">
        <v>7.8498999999999999E-3</v>
      </c>
      <c r="AC88" s="83">
        <v>9.64314E-2</v>
      </c>
      <c r="AD88" s="83">
        <v>1.2678E-2</v>
      </c>
      <c r="AE88" s="83">
        <v>7.8498999999999999E-3</v>
      </c>
      <c r="AF88" s="83">
        <v>9.4161499999999995E-2</v>
      </c>
      <c r="AG88" s="83">
        <v>1.2619699999999999E-2</v>
      </c>
      <c r="AH88" s="83">
        <v>7.8498999999999999E-3</v>
      </c>
      <c r="AI88" s="83">
        <v>9.5423800000000003E-2</v>
      </c>
      <c r="AJ88" s="83">
        <v>1.29269E-2</v>
      </c>
      <c r="AK88" s="83">
        <v>7.8498999999999999E-3</v>
      </c>
      <c r="AL88" s="83">
        <v>9.78015E-2</v>
      </c>
      <c r="AM88" s="83">
        <v>1.3303000000000001E-2</v>
      </c>
      <c r="AN88" s="83">
        <v>7.8498999999999999E-3</v>
      </c>
      <c r="AO88" s="83">
        <v>9.0091599999999994E-2</v>
      </c>
      <c r="AP88" s="83">
        <v>1.2580600000000001E-2</v>
      </c>
      <c r="AQ88" s="83">
        <v>7.8498999999999999E-3</v>
      </c>
      <c r="AR88" s="83">
        <v>8.9438500000000004E-2</v>
      </c>
      <c r="AS88" s="83">
        <v>1.2613600000000001E-2</v>
      </c>
      <c r="AT88" s="83">
        <v>7.8498999999999999E-3</v>
      </c>
      <c r="AU88" s="83">
        <v>9.0335700000000005E-2</v>
      </c>
      <c r="AV88" s="83">
        <v>1.28982E-2</v>
      </c>
      <c r="AW88" s="83">
        <v>7.8498999999999999E-3</v>
      </c>
      <c r="AX88" s="83">
        <v>9.1537400000000005E-2</v>
      </c>
      <c r="AY88" s="83">
        <v>1.30955E-2</v>
      </c>
      <c r="AZ88" s="83">
        <v>7.8498999999999999E-3</v>
      </c>
      <c r="BA88" s="83">
        <v>9.0192099999999997E-2</v>
      </c>
      <c r="BB88" s="83">
        <v>1.31492E-2</v>
      </c>
      <c r="BC88" s="83">
        <v>7.8498999999999999E-3</v>
      </c>
      <c r="BD88" s="83">
        <v>8.9442900000000006E-2</v>
      </c>
      <c r="BE88" s="83">
        <v>1.3122999999999999E-2</v>
      </c>
      <c r="BF88" s="83">
        <v>7.8498999999999999E-3</v>
      </c>
      <c r="BG88" s="83">
        <v>8.6842100000000005E-2</v>
      </c>
      <c r="BH88" s="83">
        <v>1.2999399999999999E-2</v>
      </c>
      <c r="BI88" s="83">
        <v>7.8498999999999999E-3</v>
      </c>
      <c r="BJ88" s="83">
        <v>8.7067699999999998E-2</v>
      </c>
      <c r="BK88" s="83">
        <v>1.3116900000000001E-2</v>
      </c>
      <c r="BL88" s="83">
        <v>7.8498999999999999E-3</v>
      </c>
      <c r="BM88" s="83">
        <v>8.5256799999999994E-2</v>
      </c>
      <c r="BN88" s="83">
        <v>1.29844E-2</v>
      </c>
      <c r="BO88" s="83">
        <v>7.8498999999999999E-3</v>
      </c>
      <c r="BP88" s="83">
        <v>8.2905800000000002E-2</v>
      </c>
      <c r="BQ88" s="83">
        <v>1.2882599999999999E-2</v>
      </c>
      <c r="BR88" s="83">
        <v>7.8498999999999999E-3</v>
      </c>
      <c r="BS88" s="83">
        <v>8.3695900000000004E-2</v>
      </c>
      <c r="BT88" s="83">
        <v>1.3180000000000001E-2</v>
      </c>
      <c r="BU88" s="83">
        <v>7.8498999999999999E-3</v>
      </c>
      <c r="BV88" s="83">
        <v>8.1964899999999993E-2</v>
      </c>
      <c r="BW88" s="83">
        <v>1.3003199999999999E-2</v>
      </c>
      <c r="BX88" s="83">
        <v>7.8498999999999999E-3</v>
      </c>
      <c r="BY88" s="83">
        <v>7.7689400000000006E-2</v>
      </c>
      <c r="BZ88" s="83">
        <v>1.2675799999999999E-2</v>
      </c>
      <c r="CA88" s="83">
        <v>7.8498999999999999E-3</v>
      </c>
      <c r="CB88" s="83">
        <v>7.8469499999999998E-2</v>
      </c>
      <c r="CC88" s="83">
        <v>1.2855E-2</v>
      </c>
      <c r="CD88" s="83">
        <v>7.8498999999999999E-3</v>
      </c>
      <c r="CE88" s="83">
        <v>7.7518599999999993E-2</v>
      </c>
      <c r="CF88" s="83">
        <v>1.28025E-2</v>
      </c>
      <c r="CG88" s="83">
        <v>7.8498999999999999E-3</v>
      </c>
      <c r="CH88" s="83">
        <v>7.5704300000000002E-2</v>
      </c>
      <c r="CI88" s="83">
        <v>1.28074E-2</v>
      </c>
      <c r="CJ88" s="83">
        <v>7.8498999999999999E-3</v>
      </c>
      <c r="CK88" s="83">
        <v>7.62105E-2</v>
      </c>
      <c r="CL88" s="83">
        <v>1.29827E-2</v>
      </c>
      <c r="CM88" s="83">
        <v>7.8498999999999999E-3</v>
      </c>
      <c r="CN88" s="83">
        <v>7.5295299999999996E-2</v>
      </c>
      <c r="CO88" s="83">
        <v>1.30598E-2</v>
      </c>
      <c r="CP88" s="83">
        <v>7.8498999999999999E-3</v>
      </c>
      <c r="CQ88" s="83">
        <v>7.0599400000000007E-2</v>
      </c>
      <c r="CR88" s="83">
        <v>1.2706500000000001E-2</v>
      </c>
      <c r="CS88" s="83">
        <v>7.8498999999999999E-3</v>
      </c>
      <c r="CT88" s="83">
        <v>6.8725300000000003E-2</v>
      </c>
      <c r="CU88" s="83">
        <v>1.25875E-2</v>
      </c>
      <c r="CV88" s="83">
        <v>7.8498999999999999E-3</v>
      </c>
      <c r="CW88" s="83">
        <v>6.9746900000000001E-2</v>
      </c>
      <c r="CX88" s="83">
        <v>1.2937799999999999E-2</v>
      </c>
      <c r="CY88" s="83">
        <v>7.8498999999999999E-3</v>
      </c>
      <c r="CZ88" s="83">
        <v>6.9326200000000004E-2</v>
      </c>
      <c r="DA88" s="83">
        <v>1.31485E-2</v>
      </c>
    </row>
    <row r="89" spans="1:105" x14ac:dyDescent="0.2">
      <c r="A89" s="83">
        <v>7.9498999999999993E-3</v>
      </c>
      <c r="B89" s="83">
        <v>8.9000800000000005E-2</v>
      </c>
      <c r="C89" s="83">
        <v>1.19387E-2</v>
      </c>
      <c r="D89" s="83">
        <v>7.9498999999999993E-3</v>
      </c>
      <c r="E89" s="83">
        <v>9.0043999999999999E-2</v>
      </c>
      <c r="F89" s="83">
        <v>1.19478E-2</v>
      </c>
      <c r="G89" s="83">
        <v>7.9498999999999993E-3</v>
      </c>
      <c r="H89" s="83">
        <v>9.2461699999999994E-2</v>
      </c>
      <c r="I89" s="83">
        <v>1.2076999999999999E-2</v>
      </c>
      <c r="J89" s="83">
        <v>7.9498999999999993E-3</v>
      </c>
      <c r="K89" s="83">
        <v>9.4360799999999995E-2</v>
      </c>
      <c r="L89" s="83">
        <v>1.23053E-2</v>
      </c>
      <c r="M89" s="83">
        <v>7.9498999999999993E-3</v>
      </c>
      <c r="N89" s="83">
        <v>9.8432000000000006E-2</v>
      </c>
      <c r="O89" s="83">
        <v>1.2447400000000001E-2</v>
      </c>
      <c r="P89" s="83">
        <v>7.9498999999999993E-3</v>
      </c>
      <c r="Q89" s="83">
        <v>9.4330200000000003E-2</v>
      </c>
      <c r="R89" s="83">
        <v>1.21707E-2</v>
      </c>
      <c r="S89" s="83">
        <v>7.9498999999999993E-3</v>
      </c>
      <c r="T89" s="83">
        <v>9.4229599999999997E-2</v>
      </c>
      <c r="U89" s="83">
        <v>1.2164299999999999E-2</v>
      </c>
      <c r="V89" s="83">
        <v>7.9498999999999993E-3</v>
      </c>
      <c r="W89" s="83">
        <v>9.2821799999999996E-2</v>
      </c>
      <c r="X89" s="83">
        <v>1.2149800000000001E-2</v>
      </c>
      <c r="Y89" s="83">
        <v>7.9498999999999993E-3</v>
      </c>
      <c r="Z89" s="83">
        <v>9.2178399999999994E-2</v>
      </c>
      <c r="AA89" s="83">
        <v>1.21309E-2</v>
      </c>
      <c r="AB89" s="83">
        <v>7.9498999999999993E-3</v>
      </c>
      <c r="AC89" s="83">
        <v>9.0518299999999996E-2</v>
      </c>
      <c r="AD89" s="83">
        <v>1.2076399999999999E-2</v>
      </c>
      <c r="AE89" s="83">
        <v>7.9498999999999993E-3</v>
      </c>
      <c r="AF89" s="83">
        <v>8.8702500000000004E-2</v>
      </c>
      <c r="AG89" s="83">
        <v>1.2011300000000001E-2</v>
      </c>
      <c r="AH89" s="83">
        <v>7.9498999999999993E-3</v>
      </c>
      <c r="AI89" s="83">
        <v>8.9149400000000004E-2</v>
      </c>
      <c r="AJ89" s="83">
        <v>1.2315599999999999E-2</v>
      </c>
      <c r="AK89" s="83">
        <v>7.9498999999999993E-3</v>
      </c>
      <c r="AL89" s="83">
        <v>9.1986100000000001E-2</v>
      </c>
      <c r="AM89" s="83">
        <v>1.27092E-2</v>
      </c>
      <c r="AN89" s="83">
        <v>7.9498999999999993E-3</v>
      </c>
      <c r="AO89" s="83">
        <v>8.4544800000000003E-2</v>
      </c>
      <c r="AP89" s="83">
        <v>1.19928E-2</v>
      </c>
      <c r="AQ89" s="83">
        <v>7.9498999999999993E-3</v>
      </c>
      <c r="AR89" s="83">
        <v>8.3681699999999998E-2</v>
      </c>
      <c r="AS89" s="83">
        <v>1.2030600000000001E-2</v>
      </c>
      <c r="AT89" s="83">
        <v>7.9498999999999993E-3</v>
      </c>
      <c r="AU89" s="83">
        <v>8.5106200000000007E-2</v>
      </c>
      <c r="AV89" s="83">
        <v>1.2281E-2</v>
      </c>
      <c r="AW89" s="83">
        <v>7.9498999999999993E-3</v>
      </c>
      <c r="AX89" s="83">
        <v>8.6342100000000005E-2</v>
      </c>
      <c r="AY89" s="83">
        <v>1.24607E-2</v>
      </c>
      <c r="AZ89" s="83">
        <v>7.9498999999999993E-3</v>
      </c>
      <c r="BA89" s="83">
        <v>8.5104200000000005E-2</v>
      </c>
      <c r="BB89" s="83">
        <v>1.25194E-2</v>
      </c>
      <c r="BC89" s="83">
        <v>7.9498999999999993E-3</v>
      </c>
      <c r="BD89" s="83">
        <v>8.4130399999999994E-2</v>
      </c>
      <c r="BE89" s="83">
        <v>1.2511700000000001E-2</v>
      </c>
      <c r="BF89" s="83">
        <v>7.9498999999999993E-3</v>
      </c>
      <c r="BG89" s="83">
        <v>8.1661399999999995E-2</v>
      </c>
      <c r="BH89" s="83">
        <v>1.2377300000000001E-2</v>
      </c>
      <c r="BI89" s="83">
        <v>7.9498999999999993E-3</v>
      </c>
      <c r="BJ89" s="83">
        <v>8.1896800000000006E-2</v>
      </c>
      <c r="BK89" s="83">
        <v>1.24674E-2</v>
      </c>
      <c r="BL89" s="83">
        <v>7.9498999999999993E-3</v>
      </c>
      <c r="BM89" s="83">
        <v>8.0530299999999999E-2</v>
      </c>
      <c r="BN89" s="83">
        <v>1.23731E-2</v>
      </c>
      <c r="BO89" s="83">
        <v>7.9498999999999993E-3</v>
      </c>
      <c r="BP89" s="83">
        <v>7.7930200000000005E-2</v>
      </c>
      <c r="BQ89" s="83">
        <v>1.22849E-2</v>
      </c>
      <c r="BR89" s="83">
        <v>7.9498999999999993E-3</v>
      </c>
      <c r="BS89" s="83">
        <v>7.8959600000000005E-2</v>
      </c>
      <c r="BT89" s="83">
        <v>1.25462E-2</v>
      </c>
      <c r="BU89" s="83">
        <v>7.9498999999999993E-3</v>
      </c>
      <c r="BV89" s="83">
        <v>7.6901499999999998E-2</v>
      </c>
      <c r="BW89" s="83">
        <v>1.2371399999999999E-2</v>
      </c>
      <c r="BX89" s="83">
        <v>7.9498999999999993E-3</v>
      </c>
      <c r="BY89" s="83">
        <v>7.3138700000000001E-2</v>
      </c>
      <c r="BZ89" s="83">
        <v>1.2049900000000001E-2</v>
      </c>
      <c r="CA89" s="83">
        <v>7.9498999999999993E-3</v>
      </c>
      <c r="CB89" s="83">
        <v>7.3357199999999997E-2</v>
      </c>
      <c r="CC89" s="83">
        <v>1.2216299999999999E-2</v>
      </c>
      <c r="CD89" s="83">
        <v>7.9498999999999993E-3</v>
      </c>
      <c r="CE89" s="83">
        <v>7.2816500000000006E-2</v>
      </c>
      <c r="CF89" s="83">
        <v>1.21834E-2</v>
      </c>
      <c r="CG89" s="83">
        <v>7.9498999999999993E-3</v>
      </c>
      <c r="CH89" s="83">
        <v>7.1041199999999999E-2</v>
      </c>
      <c r="CI89" s="83">
        <v>1.21844E-2</v>
      </c>
      <c r="CJ89" s="83">
        <v>7.9498999999999993E-3</v>
      </c>
      <c r="CK89" s="83">
        <v>7.1371599999999993E-2</v>
      </c>
      <c r="CL89" s="83">
        <v>1.2366500000000001E-2</v>
      </c>
      <c r="CM89" s="83">
        <v>7.9498999999999993E-3</v>
      </c>
      <c r="CN89" s="83">
        <v>7.0729799999999995E-2</v>
      </c>
      <c r="CO89" s="83">
        <v>1.2409399999999999E-2</v>
      </c>
      <c r="CP89" s="83">
        <v>7.9498999999999993E-3</v>
      </c>
      <c r="CQ89" s="83">
        <v>6.6195100000000007E-2</v>
      </c>
      <c r="CR89" s="83">
        <v>1.2094199999999999E-2</v>
      </c>
      <c r="CS89" s="83">
        <v>7.9498999999999993E-3</v>
      </c>
      <c r="CT89" s="83">
        <v>6.4399200000000004E-2</v>
      </c>
      <c r="CU89" s="83">
        <v>1.1981E-2</v>
      </c>
      <c r="CV89" s="83">
        <v>7.9498999999999993E-3</v>
      </c>
      <c r="CW89" s="83">
        <v>6.4971500000000001E-2</v>
      </c>
      <c r="CX89" s="83">
        <v>1.23255E-2</v>
      </c>
      <c r="CY89" s="83">
        <v>7.9498999999999993E-3</v>
      </c>
      <c r="CZ89" s="83">
        <v>6.4707000000000001E-2</v>
      </c>
      <c r="DA89" s="83">
        <v>1.2512799999999999E-2</v>
      </c>
    </row>
    <row r="90" spans="1:105" x14ac:dyDescent="0.2">
      <c r="A90" s="83">
        <v>8.0499000000000005E-3</v>
      </c>
      <c r="B90" s="83">
        <v>8.3785899999999996E-2</v>
      </c>
      <c r="C90" s="83">
        <v>1.1356700000000001E-2</v>
      </c>
      <c r="D90" s="83">
        <v>8.0499000000000005E-3</v>
      </c>
      <c r="E90" s="83">
        <v>8.4604600000000002E-2</v>
      </c>
      <c r="F90" s="83">
        <v>1.13668E-2</v>
      </c>
      <c r="G90" s="83">
        <v>8.0499000000000005E-3</v>
      </c>
      <c r="H90" s="83">
        <v>8.7041800000000003E-2</v>
      </c>
      <c r="I90" s="83">
        <v>1.15038E-2</v>
      </c>
      <c r="J90" s="83">
        <v>8.0499000000000005E-3</v>
      </c>
      <c r="K90" s="83">
        <v>8.8774900000000004E-2</v>
      </c>
      <c r="L90" s="83">
        <v>1.1687100000000001E-2</v>
      </c>
      <c r="M90" s="83">
        <v>8.0499000000000005E-3</v>
      </c>
      <c r="N90" s="83">
        <v>9.2489600000000005E-2</v>
      </c>
      <c r="O90" s="83">
        <v>1.18732E-2</v>
      </c>
      <c r="P90" s="83">
        <v>8.0499000000000005E-3</v>
      </c>
      <c r="Q90" s="83">
        <v>8.9174000000000003E-2</v>
      </c>
      <c r="R90" s="83">
        <v>1.15613E-2</v>
      </c>
      <c r="S90" s="83">
        <v>8.0499000000000005E-3</v>
      </c>
      <c r="T90" s="83">
        <v>8.8653499999999996E-2</v>
      </c>
      <c r="U90" s="83">
        <v>1.1590100000000001E-2</v>
      </c>
      <c r="V90" s="83">
        <v>8.0499000000000005E-3</v>
      </c>
      <c r="W90" s="83">
        <v>8.7255399999999997E-2</v>
      </c>
      <c r="X90" s="83">
        <v>1.15824E-2</v>
      </c>
      <c r="Y90" s="83">
        <v>8.0499000000000005E-3</v>
      </c>
      <c r="Z90" s="83">
        <v>8.6934300000000006E-2</v>
      </c>
      <c r="AA90" s="83">
        <v>1.15479E-2</v>
      </c>
      <c r="AB90" s="83">
        <v>8.0499000000000005E-3</v>
      </c>
      <c r="AC90" s="83">
        <v>8.5181400000000004E-2</v>
      </c>
      <c r="AD90" s="83">
        <v>1.1512E-2</v>
      </c>
      <c r="AE90" s="83">
        <v>8.0499000000000005E-3</v>
      </c>
      <c r="AF90" s="83">
        <v>8.3145899999999995E-2</v>
      </c>
      <c r="AG90" s="83">
        <v>1.14644E-2</v>
      </c>
      <c r="AH90" s="83">
        <v>8.0499000000000005E-3</v>
      </c>
      <c r="AI90" s="83">
        <v>8.38613E-2</v>
      </c>
      <c r="AJ90" s="83">
        <v>1.17257E-2</v>
      </c>
      <c r="AK90" s="83">
        <v>8.0499000000000005E-3</v>
      </c>
      <c r="AL90" s="83">
        <v>8.6395299999999994E-2</v>
      </c>
      <c r="AM90" s="83">
        <v>1.2085200000000001E-2</v>
      </c>
      <c r="AN90" s="83">
        <v>8.0499000000000005E-3</v>
      </c>
      <c r="AO90" s="83">
        <v>7.9476400000000003E-2</v>
      </c>
      <c r="AP90" s="83">
        <v>1.1428300000000001E-2</v>
      </c>
      <c r="AQ90" s="83">
        <v>8.0499000000000005E-3</v>
      </c>
      <c r="AR90" s="83">
        <v>7.8144599999999995E-2</v>
      </c>
      <c r="AS90" s="83">
        <v>1.14349E-2</v>
      </c>
      <c r="AT90" s="83">
        <v>8.0499000000000005E-3</v>
      </c>
      <c r="AU90" s="83">
        <v>7.9725299999999999E-2</v>
      </c>
      <c r="AV90" s="83">
        <v>1.1710699999999999E-2</v>
      </c>
      <c r="AW90" s="83">
        <v>8.0499000000000005E-3</v>
      </c>
      <c r="AX90" s="83">
        <v>8.0775700000000006E-2</v>
      </c>
      <c r="AY90" s="83">
        <v>1.18923E-2</v>
      </c>
      <c r="AZ90" s="83">
        <v>8.0499000000000005E-3</v>
      </c>
      <c r="BA90" s="83">
        <v>7.9708699999999993E-2</v>
      </c>
      <c r="BB90" s="83">
        <v>1.1940299999999999E-2</v>
      </c>
      <c r="BC90" s="83">
        <v>8.0499000000000005E-3</v>
      </c>
      <c r="BD90" s="83">
        <v>7.8720200000000004E-2</v>
      </c>
      <c r="BE90" s="83">
        <v>1.19355E-2</v>
      </c>
      <c r="BF90" s="83">
        <v>8.0499000000000005E-3</v>
      </c>
      <c r="BG90" s="83">
        <v>7.6656500000000002E-2</v>
      </c>
      <c r="BH90" s="83">
        <v>1.1768000000000001E-2</v>
      </c>
      <c r="BI90" s="83">
        <v>8.0499000000000005E-3</v>
      </c>
      <c r="BJ90" s="83">
        <v>7.6940700000000001E-2</v>
      </c>
      <c r="BK90" s="83">
        <v>1.18893E-2</v>
      </c>
      <c r="BL90" s="83">
        <v>8.0499000000000005E-3</v>
      </c>
      <c r="BM90" s="83">
        <v>7.5222700000000003E-2</v>
      </c>
      <c r="BN90" s="83">
        <v>1.1759800000000001E-2</v>
      </c>
      <c r="BO90" s="83">
        <v>8.0499000000000005E-3</v>
      </c>
      <c r="BP90" s="83">
        <v>7.3203599999999994E-2</v>
      </c>
      <c r="BQ90" s="83">
        <v>1.16931E-2</v>
      </c>
      <c r="BR90" s="83">
        <v>8.0499000000000005E-3</v>
      </c>
      <c r="BS90" s="83">
        <v>7.3573899999999998E-2</v>
      </c>
      <c r="BT90" s="83">
        <v>1.1973900000000001E-2</v>
      </c>
      <c r="BU90" s="83">
        <v>8.0499000000000005E-3</v>
      </c>
      <c r="BV90" s="83">
        <v>7.2575299999999995E-2</v>
      </c>
      <c r="BW90" s="83">
        <v>1.1771800000000001E-2</v>
      </c>
      <c r="BX90" s="83">
        <v>8.0499000000000005E-3</v>
      </c>
      <c r="BY90" s="83">
        <v>6.82754E-2</v>
      </c>
      <c r="BZ90" s="83">
        <v>1.1463900000000001E-2</v>
      </c>
      <c r="CA90" s="83">
        <v>8.0499000000000005E-3</v>
      </c>
      <c r="CB90" s="83">
        <v>6.8855200000000005E-2</v>
      </c>
      <c r="CC90" s="83">
        <v>1.16343E-2</v>
      </c>
      <c r="CD90" s="83">
        <v>8.0499000000000005E-3</v>
      </c>
      <c r="CE90" s="83">
        <v>6.8187600000000001E-2</v>
      </c>
      <c r="CF90" s="83">
        <v>1.16014E-2</v>
      </c>
      <c r="CG90" s="83">
        <v>8.0499000000000005E-3</v>
      </c>
      <c r="CH90" s="83">
        <v>6.6675899999999996E-2</v>
      </c>
      <c r="CI90" s="83">
        <v>1.1613099999999999E-2</v>
      </c>
      <c r="CJ90" s="83">
        <v>8.0499000000000005E-3</v>
      </c>
      <c r="CK90" s="83">
        <v>6.6884299999999994E-2</v>
      </c>
      <c r="CL90" s="83">
        <v>1.17894E-2</v>
      </c>
      <c r="CM90" s="83">
        <v>8.0499000000000005E-3</v>
      </c>
      <c r="CN90" s="83">
        <v>6.62914E-2</v>
      </c>
      <c r="CO90" s="83">
        <v>1.18225E-2</v>
      </c>
      <c r="CP90" s="83">
        <v>8.0499000000000005E-3</v>
      </c>
      <c r="CQ90" s="83">
        <v>6.1849399999999999E-2</v>
      </c>
      <c r="CR90" s="83">
        <v>1.15278E-2</v>
      </c>
      <c r="CS90" s="83">
        <v>8.0499000000000005E-3</v>
      </c>
      <c r="CT90" s="83">
        <v>6.0234099999999999E-2</v>
      </c>
      <c r="CU90" s="83">
        <v>1.1422399999999999E-2</v>
      </c>
      <c r="CV90" s="83">
        <v>8.0499000000000005E-3</v>
      </c>
      <c r="CW90" s="83">
        <v>6.1167800000000001E-2</v>
      </c>
      <c r="CX90" s="83">
        <v>1.1728799999999999E-2</v>
      </c>
      <c r="CY90" s="83">
        <v>8.0499000000000005E-3</v>
      </c>
      <c r="CZ90" s="83">
        <v>6.05225E-2</v>
      </c>
      <c r="DA90" s="83">
        <v>1.19141E-2</v>
      </c>
    </row>
    <row r="91" spans="1:105" x14ac:dyDescent="0.2">
      <c r="A91" s="83">
        <v>8.1498999999999999E-3</v>
      </c>
      <c r="B91" s="83">
        <v>7.8707799999999994E-2</v>
      </c>
      <c r="C91" s="83">
        <v>1.08323E-2</v>
      </c>
      <c r="D91" s="83">
        <v>8.1498999999999999E-3</v>
      </c>
      <c r="E91" s="83">
        <v>7.9814499999999997E-2</v>
      </c>
      <c r="F91" s="83">
        <v>1.0818899999999999E-2</v>
      </c>
      <c r="G91" s="83">
        <v>8.1498999999999999E-3</v>
      </c>
      <c r="H91" s="83">
        <v>8.1314200000000003E-2</v>
      </c>
      <c r="I91" s="83">
        <v>1.0942199999999999E-2</v>
      </c>
      <c r="J91" s="83">
        <v>8.1498999999999999E-3</v>
      </c>
      <c r="K91" s="83">
        <v>8.3237800000000001E-2</v>
      </c>
      <c r="L91" s="83">
        <v>1.11539E-2</v>
      </c>
      <c r="M91" s="83">
        <v>8.1498999999999999E-3</v>
      </c>
      <c r="N91" s="83">
        <v>8.6937799999999996E-2</v>
      </c>
      <c r="O91" s="83">
        <v>1.13048E-2</v>
      </c>
      <c r="P91" s="83">
        <v>8.1498999999999999E-3</v>
      </c>
      <c r="Q91" s="83">
        <v>8.3573400000000006E-2</v>
      </c>
      <c r="R91" s="83">
        <v>1.10242E-2</v>
      </c>
      <c r="S91" s="83">
        <v>8.1498999999999999E-3</v>
      </c>
      <c r="T91" s="83">
        <v>8.3326300000000006E-2</v>
      </c>
      <c r="U91" s="83">
        <v>1.1020800000000001E-2</v>
      </c>
      <c r="V91" s="83">
        <v>8.1498999999999999E-3</v>
      </c>
      <c r="W91" s="83">
        <v>8.2299300000000006E-2</v>
      </c>
      <c r="X91" s="83">
        <v>1.10317E-2</v>
      </c>
      <c r="Y91" s="83">
        <v>8.1498999999999999E-3</v>
      </c>
      <c r="Z91" s="83">
        <v>8.1626599999999994E-2</v>
      </c>
      <c r="AA91" s="83">
        <v>1.1008799999999999E-2</v>
      </c>
      <c r="AB91" s="83">
        <v>8.1498999999999999E-3</v>
      </c>
      <c r="AC91" s="83">
        <v>8.0000699999999994E-2</v>
      </c>
      <c r="AD91" s="83">
        <v>1.09436E-2</v>
      </c>
      <c r="AE91" s="83">
        <v>8.1498999999999999E-3</v>
      </c>
      <c r="AF91" s="83">
        <v>7.8438900000000006E-2</v>
      </c>
      <c r="AG91" s="83">
        <v>1.09058E-2</v>
      </c>
      <c r="AH91" s="83">
        <v>8.1498999999999999E-3</v>
      </c>
      <c r="AI91" s="83">
        <v>7.9037099999999999E-2</v>
      </c>
      <c r="AJ91" s="83">
        <v>1.1175900000000001E-2</v>
      </c>
      <c r="AK91" s="83">
        <v>8.1498999999999999E-3</v>
      </c>
      <c r="AL91" s="83">
        <v>8.1551499999999999E-2</v>
      </c>
      <c r="AM91" s="83">
        <v>1.15012E-2</v>
      </c>
      <c r="AN91" s="83">
        <v>8.1498999999999999E-3</v>
      </c>
      <c r="AO91" s="83">
        <v>7.4891399999999997E-2</v>
      </c>
      <c r="AP91" s="83">
        <v>1.0876500000000001E-2</v>
      </c>
      <c r="AQ91" s="83">
        <v>8.1498999999999999E-3</v>
      </c>
      <c r="AR91" s="83">
        <v>7.36377E-2</v>
      </c>
      <c r="AS91" s="83">
        <v>1.09017E-2</v>
      </c>
      <c r="AT91" s="83">
        <v>8.1498999999999999E-3</v>
      </c>
      <c r="AU91" s="83">
        <v>7.5159900000000002E-2</v>
      </c>
      <c r="AV91" s="83">
        <v>1.1144299999999999E-2</v>
      </c>
      <c r="AW91" s="83">
        <v>8.1498999999999999E-3</v>
      </c>
      <c r="AX91" s="83">
        <v>7.58099E-2</v>
      </c>
      <c r="AY91" s="83">
        <v>1.13259E-2</v>
      </c>
      <c r="AZ91" s="83">
        <v>8.1498999999999999E-3</v>
      </c>
      <c r="BA91" s="83">
        <v>7.5055399999999994E-2</v>
      </c>
      <c r="BB91" s="83">
        <v>1.1348499999999999E-2</v>
      </c>
      <c r="BC91" s="83">
        <v>8.1498999999999999E-3</v>
      </c>
      <c r="BD91" s="83">
        <v>7.3979000000000003E-2</v>
      </c>
      <c r="BE91" s="83">
        <v>1.13682E-2</v>
      </c>
      <c r="BF91" s="83">
        <v>8.1498999999999999E-3</v>
      </c>
      <c r="BG91" s="83">
        <v>7.2139900000000007E-2</v>
      </c>
      <c r="BH91" s="83">
        <v>1.12309E-2</v>
      </c>
      <c r="BI91" s="83">
        <v>8.1498999999999999E-3</v>
      </c>
      <c r="BJ91" s="83">
        <v>7.21604E-2</v>
      </c>
      <c r="BK91" s="83">
        <v>1.13229E-2</v>
      </c>
      <c r="BL91" s="83">
        <v>8.1498999999999999E-3</v>
      </c>
      <c r="BM91" s="83">
        <v>7.06426E-2</v>
      </c>
      <c r="BN91" s="83">
        <v>1.1221699999999999E-2</v>
      </c>
      <c r="BO91" s="83">
        <v>8.1498999999999999E-3</v>
      </c>
      <c r="BP91" s="83">
        <v>6.8833500000000006E-2</v>
      </c>
      <c r="BQ91" s="83">
        <v>1.1133499999999999E-2</v>
      </c>
      <c r="BR91" s="83">
        <v>8.1498999999999999E-3</v>
      </c>
      <c r="BS91" s="83">
        <v>6.9364899999999993E-2</v>
      </c>
      <c r="BT91" s="83">
        <v>1.13889E-2</v>
      </c>
      <c r="BU91" s="83">
        <v>8.1498999999999999E-3</v>
      </c>
      <c r="BV91" s="83">
        <v>6.7902400000000002E-2</v>
      </c>
      <c r="BW91" s="83">
        <v>1.12298E-2</v>
      </c>
      <c r="BX91" s="83">
        <v>8.1498999999999999E-3</v>
      </c>
      <c r="BY91" s="83">
        <v>6.4032199999999997E-2</v>
      </c>
      <c r="BZ91" s="83">
        <v>1.0945399999999999E-2</v>
      </c>
      <c r="CA91" s="83">
        <v>8.1498999999999999E-3</v>
      </c>
      <c r="CB91" s="83">
        <v>6.4646200000000001E-2</v>
      </c>
      <c r="CC91" s="83">
        <v>1.1112800000000001E-2</v>
      </c>
      <c r="CD91" s="83">
        <v>8.1498999999999999E-3</v>
      </c>
      <c r="CE91" s="83">
        <v>6.3441499999999998E-2</v>
      </c>
      <c r="CF91" s="83">
        <v>1.10457E-2</v>
      </c>
      <c r="CG91" s="83">
        <v>8.1498999999999999E-3</v>
      </c>
      <c r="CH91" s="83">
        <v>6.1905399999999999E-2</v>
      </c>
      <c r="CI91" s="83">
        <v>1.10486E-2</v>
      </c>
      <c r="CJ91" s="83">
        <v>8.1498999999999999E-3</v>
      </c>
      <c r="CK91" s="83">
        <v>6.2323799999999999E-2</v>
      </c>
      <c r="CL91" s="83">
        <v>1.11888E-2</v>
      </c>
      <c r="CM91" s="83">
        <v>8.1498999999999999E-3</v>
      </c>
      <c r="CN91" s="83">
        <v>6.1960300000000003E-2</v>
      </c>
      <c r="CO91" s="83">
        <v>1.1236599999999999E-2</v>
      </c>
      <c r="CP91" s="83">
        <v>8.1498999999999999E-3</v>
      </c>
      <c r="CQ91" s="83">
        <v>5.7655100000000001E-2</v>
      </c>
      <c r="CR91" s="83">
        <v>1.0978E-2</v>
      </c>
      <c r="CS91" s="83">
        <v>8.1498999999999999E-3</v>
      </c>
      <c r="CT91" s="83">
        <v>5.6542700000000001E-2</v>
      </c>
      <c r="CU91" s="83">
        <v>1.08717E-2</v>
      </c>
      <c r="CV91" s="83">
        <v>8.1498999999999999E-3</v>
      </c>
      <c r="CW91" s="83">
        <v>5.7339599999999998E-2</v>
      </c>
      <c r="CX91" s="83">
        <v>1.11614E-2</v>
      </c>
      <c r="CY91" s="83">
        <v>8.1498999999999999E-3</v>
      </c>
      <c r="CZ91" s="83">
        <v>5.6176799999999999E-2</v>
      </c>
      <c r="DA91" s="83">
        <v>1.1346800000000001E-2</v>
      </c>
    </row>
    <row r="92" spans="1:105" x14ac:dyDescent="0.2">
      <c r="A92" s="83">
        <v>8.2498999999999992E-3</v>
      </c>
      <c r="B92" s="83">
        <v>7.4093599999999996E-2</v>
      </c>
      <c r="C92" s="83">
        <v>1.0278499999999999E-2</v>
      </c>
      <c r="D92" s="83">
        <v>8.2498999999999992E-3</v>
      </c>
      <c r="E92" s="83">
        <v>7.4961E-2</v>
      </c>
      <c r="F92" s="83">
        <v>1.0312099999999999E-2</v>
      </c>
      <c r="G92" s="83">
        <v>8.2498999999999992E-3</v>
      </c>
      <c r="H92" s="83">
        <v>7.6460700000000006E-2</v>
      </c>
      <c r="I92" s="83">
        <v>1.04393E-2</v>
      </c>
      <c r="J92" s="83">
        <v>8.2498999999999992E-3</v>
      </c>
      <c r="K92" s="83">
        <v>7.8437999999999994E-2</v>
      </c>
      <c r="L92" s="83">
        <v>1.0628500000000001E-2</v>
      </c>
      <c r="M92" s="83">
        <v>8.2498999999999992E-3</v>
      </c>
      <c r="N92" s="83">
        <v>8.1640000000000004E-2</v>
      </c>
      <c r="O92" s="83">
        <v>1.07706E-2</v>
      </c>
      <c r="P92" s="83">
        <v>8.2498999999999992E-3</v>
      </c>
      <c r="Q92" s="83">
        <v>7.8329300000000004E-2</v>
      </c>
      <c r="R92" s="83">
        <v>1.0489999999999999E-2</v>
      </c>
      <c r="S92" s="83">
        <v>8.2498999999999992E-3</v>
      </c>
      <c r="T92" s="83">
        <v>7.8506999999999993E-2</v>
      </c>
      <c r="U92" s="83">
        <v>1.0479799999999999E-2</v>
      </c>
      <c r="V92" s="83">
        <v>8.2498999999999992E-3</v>
      </c>
      <c r="W92" s="83">
        <v>7.7235899999999996E-2</v>
      </c>
      <c r="X92" s="83">
        <v>1.0510200000000001E-2</v>
      </c>
      <c r="Y92" s="83">
        <v>8.2498999999999992E-3</v>
      </c>
      <c r="Z92" s="83">
        <v>7.6558299999999996E-2</v>
      </c>
      <c r="AA92" s="83">
        <v>1.0460000000000001E-2</v>
      </c>
      <c r="AB92" s="83">
        <v>8.2498999999999992E-3</v>
      </c>
      <c r="AC92" s="83">
        <v>7.5025099999999997E-2</v>
      </c>
      <c r="AD92" s="83">
        <v>1.0448499999999999E-2</v>
      </c>
      <c r="AE92" s="83">
        <v>8.2498999999999992E-3</v>
      </c>
      <c r="AF92" s="83">
        <v>7.3570700000000003E-2</v>
      </c>
      <c r="AG92" s="83">
        <v>1.0357999999999999E-2</v>
      </c>
      <c r="AH92" s="83">
        <v>8.2498999999999992E-3</v>
      </c>
      <c r="AI92" s="83">
        <v>7.4437500000000004E-2</v>
      </c>
      <c r="AJ92" s="83">
        <v>1.06359E-2</v>
      </c>
      <c r="AK92" s="83">
        <v>8.2498999999999992E-3</v>
      </c>
      <c r="AL92" s="83">
        <v>7.6292700000000005E-2</v>
      </c>
      <c r="AM92" s="83">
        <v>1.0974899999999999E-2</v>
      </c>
      <c r="AN92" s="83">
        <v>8.2498999999999992E-3</v>
      </c>
      <c r="AO92" s="83">
        <v>7.0257700000000006E-2</v>
      </c>
      <c r="AP92" s="83">
        <v>1.03531E-2</v>
      </c>
      <c r="AQ92" s="83">
        <v>8.2498999999999992E-3</v>
      </c>
      <c r="AR92" s="83">
        <v>6.9013699999999997E-2</v>
      </c>
      <c r="AS92" s="83">
        <v>1.03988E-2</v>
      </c>
      <c r="AT92" s="83">
        <v>8.2498999999999992E-3</v>
      </c>
      <c r="AU92" s="83">
        <v>7.0335700000000001E-2</v>
      </c>
      <c r="AV92" s="83">
        <v>1.06111E-2</v>
      </c>
      <c r="AW92" s="83">
        <v>8.2498999999999992E-3</v>
      </c>
      <c r="AX92" s="83">
        <v>7.1156499999999998E-2</v>
      </c>
      <c r="AY92" s="83">
        <v>1.0772199999999999E-2</v>
      </c>
      <c r="AZ92" s="83">
        <v>8.2498999999999992E-3</v>
      </c>
      <c r="BA92" s="83">
        <v>7.0143300000000006E-2</v>
      </c>
      <c r="BB92" s="83">
        <v>1.08211E-2</v>
      </c>
      <c r="BC92" s="83">
        <v>8.2498999999999992E-3</v>
      </c>
      <c r="BD92" s="83">
        <v>6.9774900000000001E-2</v>
      </c>
      <c r="BE92" s="83">
        <v>1.08066E-2</v>
      </c>
      <c r="BF92" s="83">
        <v>8.2498999999999992E-3</v>
      </c>
      <c r="BG92" s="83">
        <v>6.7550100000000002E-2</v>
      </c>
      <c r="BH92" s="83">
        <v>1.0697699999999999E-2</v>
      </c>
      <c r="BI92" s="83">
        <v>8.2498999999999992E-3</v>
      </c>
      <c r="BJ92" s="83">
        <v>6.7414399999999999E-2</v>
      </c>
      <c r="BK92" s="83">
        <v>1.0784800000000001E-2</v>
      </c>
      <c r="BL92" s="83">
        <v>8.2498999999999992E-3</v>
      </c>
      <c r="BM92" s="83">
        <v>6.6301799999999994E-2</v>
      </c>
      <c r="BN92" s="83">
        <v>1.06788E-2</v>
      </c>
      <c r="BO92" s="83">
        <v>8.2498999999999992E-3</v>
      </c>
      <c r="BP92" s="83">
        <v>6.4648899999999995E-2</v>
      </c>
      <c r="BQ92" s="83">
        <v>1.0596400000000001E-2</v>
      </c>
      <c r="BR92" s="83">
        <v>8.2498999999999992E-3</v>
      </c>
      <c r="BS92" s="83">
        <v>6.5229099999999998E-2</v>
      </c>
      <c r="BT92" s="83">
        <v>1.0839100000000001E-2</v>
      </c>
      <c r="BU92" s="83">
        <v>8.2498999999999992E-3</v>
      </c>
      <c r="BV92" s="83">
        <v>6.3791100000000003E-2</v>
      </c>
      <c r="BW92" s="83">
        <v>1.0689799999999999E-2</v>
      </c>
      <c r="BX92" s="83">
        <v>8.2498999999999992E-3</v>
      </c>
      <c r="BY92" s="83">
        <v>6.0125999999999999E-2</v>
      </c>
      <c r="BZ92" s="83">
        <v>1.0408300000000001E-2</v>
      </c>
      <c r="CA92" s="83">
        <v>8.2498999999999992E-3</v>
      </c>
      <c r="CB92" s="83">
        <v>6.0779100000000003E-2</v>
      </c>
      <c r="CC92" s="83">
        <v>1.05503E-2</v>
      </c>
      <c r="CD92" s="83">
        <v>8.2498999999999992E-3</v>
      </c>
      <c r="CE92" s="83">
        <v>5.9286199999999997E-2</v>
      </c>
      <c r="CF92" s="83">
        <v>1.05252E-2</v>
      </c>
      <c r="CG92" s="83">
        <v>8.2498999999999992E-3</v>
      </c>
      <c r="CH92" s="83">
        <v>5.79357E-2</v>
      </c>
      <c r="CI92" s="83">
        <v>1.0535900000000001E-2</v>
      </c>
      <c r="CJ92" s="83">
        <v>8.2498999999999992E-3</v>
      </c>
      <c r="CK92" s="83">
        <v>5.8305200000000001E-2</v>
      </c>
      <c r="CL92" s="83">
        <v>1.06566E-2</v>
      </c>
      <c r="CM92" s="83">
        <v>8.2498999999999992E-3</v>
      </c>
      <c r="CN92" s="83">
        <v>5.8200500000000002E-2</v>
      </c>
      <c r="CO92" s="83">
        <v>1.072E-2</v>
      </c>
      <c r="CP92" s="83">
        <v>8.2498999999999992E-3</v>
      </c>
      <c r="CQ92" s="83">
        <v>5.4285899999999998E-2</v>
      </c>
      <c r="CR92" s="83">
        <v>1.04604E-2</v>
      </c>
      <c r="CS92" s="83">
        <v>8.2498999999999992E-3</v>
      </c>
      <c r="CT92" s="83">
        <v>5.2900200000000001E-2</v>
      </c>
      <c r="CU92" s="83">
        <v>1.03531E-2</v>
      </c>
      <c r="CV92" s="83">
        <v>8.2498999999999992E-3</v>
      </c>
      <c r="CW92" s="83">
        <v>5.35652E-2</v>
      </c>
      <c r="CX92" s="83">
        <v>1.06409E-2</v>
      </c>
      <c r="CY92" s="83">
        <v>8.2498999999999992E-3</v>
      </c>
      <c r="CZ92" s="83">
        <v>5.2788099999999998E-2</v>
      </c>
      <c r="DA92" s="83">
        <v>1.08077E-2</v>
      </c>
    </row>
    <row r="93" spans="1:105" x14ac:dyDescent="0.2">
      <c r="A93" s="83">
        <v>8.3499000000000004E-3</v>
      </c>
      <c r="B93" s="83">
        <v>6.9493899999999997E-2</v>
      </c>
      <c r="C93" s="83">
        <v>9.7970999999999996E-3</v>
      </c>
      <c r="D93" s="83">
        <v>8.3499000000000004E-3</v>
      </c>
      <c r="E93" s="83">
        <v>7.0268600000000001E-2</v>
      </c>
      <c r="F93" s="83">
        <v>9.8052599999999997E-3</v>
      </c>
      <c r="G93" s="83">
        <v>8.3499000000000004E-3</v>
      </c>
      <c r="H93" s="83">
        <v>7.1778099999999997E-2</v>
      </c>
      <c r="I93" s="83">
        <v>9.9021999999999999E-3</v>
      </c>
      <c r="J93" s="83">
        <v>8.3499000000000004E-3</v>
      </c>
      <c r="K93" s="83">
        <v>7.3745599999999994E-2</v>
      </c>
      <c r="L93" s="83">
        <v>1.0118800000000001E-2</v>
      </c>
      <c r="M93" s="83">
        <v>8.3499000000000004E-3</v>
      </c>
      <c r="N93" s="83">
        <v>7.6786499999999994E-2</v>
      </c>
      <c r="O93" s="83">
        <v>1.0248200000000001E-2</v>
      </c>
      <c r="P93" s="83">
        <v>8.3499000000000004E-3</v>
      </c>
      <c r="Q93" s="83">
        <v>7.3661299999999999E-2</v>
      </c>
      <c r="R93" s="83">
        <v>9.9841500000000007E-3</v>
      </c>
      <c r="S93" s="83">
        <v>8.3499000000000004E-3</v>
      </c>
      <c r="T93" s="83">
        <v>7.3682800000000007E-2</v>
      </c>
      <c r="U93" s="83">
        <v>9.9787799999999996E-3</v>
      </c>
      <c r="V93" s="83">
        <v>8.3499000000000004E-3</v>
      </c>
      <c r="W93" s="83">
        <v>7.2231000000000004E-2</v>
      </c>
      <c r="X93" s="83">
        <v>9.9808699999999993E-3</v>
      </c>
      <c r="Y93" s="83">
        <v>8.3499000000000004E-3</v>
      </c>
      <c r="Z93" s="83">
        <v>7.1992799999999996E-2</v>
      </c>
      <c r="AA93" s="83">
        <v>9.9472799999999993E-3</v>
      </c>
      <c r="AB93" s="83">
        <v>8.3499000000000004E-3</v>
      </c>
      <c r="AC93" s="83">
        <v>7.0420700000000003E-2</v>
      </c>
      <c r="AD93" s="83">
        <v>9.9387199999999998E-3</v>
      </c>
      <c r="AE93" s="83">
        <v>8.3499000000000004E-3</v>
      </c>
      <c r="AF93" s="83">
        <v>6.9386100000000006E-2</v>
      </c>
      <c r="AG93" s="83">
        <v>9.8736099999999997E-3</v>
      </c>
      <c r="AH93" s="83">
        <v>8.3499000000000004E-3</v>
      </c>
      <c r="AI93" s="83">
        <v>6.9627900000000006E-2</v>
      </c>
      <c r="AJ93" s="83">
        <v>1.01271E-2</v>
      </c>
      <c r="AK93" s="83">
        <v>8.3499000000000004E-3</v>
      </c>
      <c r="AL93" s="83">
        <v>7.1409899999999998E-2</v>
      </c>
      <c r="AM93" s="83">
        <v>1.0443600000000001E-2</v>
      </c>
      <c r="AN93" s="83">
        <v>8.3499000000000004E-3</v>
      </c>
      <c r="AO93" s="83">
        <v>6.59217E-2</v>
      </c>
      <c r="AP93" s="83">
        <v>9.8687299999999992E-3</v>
      </c>
      <c r="AQ93" s="83">
        <v>8.3499000000000004E-3</v>
      </c>
      <c r="AR93" s="83">
        <v>6.4677799999999994E-2</v>
      </c>
      <c r="AS93" s="83">
        <v>9.8792499999999991E-3</v>
      </c>
      <c r="AT93" s="83">
        <v>8.3499000000000004E-3</v>
      </c>
      <c r="AU93" s="83">
        <v>6.5706799999999996E-2</v>
      </c>
      <c r="AV93" s="83">
        <v>1.01043E-2</v>
      </c>
      <c r="AW93" s="83">
        <v>8.3499000000000004E-3</v>
      </c>
      <c r="AX93" s="83">
        <v>6.6596000000000002E-2</v>
      </c>
      <c r="AY93" s="83">
        <v>1.0279E-2</v>
      </c>
      <c r="AZ93" s="83">
        <v>8.3499000000000004E-3</v>
      </c>
      <c r="BA93" s="83">
        <v>6.5909899999999993E-2</v>
      </c>
      <c r="BB93" s="83">
        <v>1.03114E-2</v>
      </c>
      <c r="BC93" s="83">
        <v>8.3499000000000004E-3</v>
      </c>
      <c r="BD93" s="83">
        <v>6.5263199999999993E-2</v>
      </c>
      <c r="BE93" s="83">
        <v>1.03047E-2</v>
      </c>
      <c r="BF93" s="83">
        <v>8.3499000000000004E-3</v>
      </c>
      <c r="BG93" s="83">
        <v>6.3717099999999999E-2</v>
      </c>
      <c r="BH93" s="83">
        <v>1.0185899999999999E-2</v>
      </c>
      <c r="BI93" s="83">
        <v>8.3499000000000004E-3</v>
      </c>
      <c r="BJ93" s="83">
        <v>6.4216099999999998E-2</v>
      </c>
      <c r="BK93" s="83">
        <v>1.0254599999999999E-2</v>
      </c>
      <c r="BL93" s="83">
        <v>8.3499000000000004E-3</v>
      </c>
      <c r="BM93" s="83">
        <v>6.2170900000000001E-2</v>
      </c>
      <c r="BN93" s="83">
        <v>1.0171899999999999E-2</v>
      </c>
      <c r="BO93" s="83">
        <v>8.3499000000000004E-3</v>
      </c>
      <c r="BP93" s="83">
        <v>6.03618E-2</v>
      </c>
      <c r="BQ93" s="83">
        <v>1.0071E-2</v>
      </c>
      <c r="BR93" s="83">
        <v>8.3499000000000004E-3</v>
      </c>
      <c r="BS93" s="83">
        <v>6.1191099999999998E-2</v>
      </c>
      <c r="BT93" s="83">
        <v>1.03274E-2</v>
      </c>
      <c r="BU93" s="83">
        <v>8.3499000000000004E-3</v>
      </c>
      <c r="BV93" s="83">
        <v>5.9157300000000003E-2</v>
      </c>
      <c r="BW93" s="83">
        <v>1.01878E-2</v>
      </c>
      <c r="BX93" s="83">
        <v>8.3499000000000004E-3</v>
      </c>
      <c r="BY93" s="83">
        <v>5.6200199999999999E-2</v>
      </c>
      <c r="BZ93" s="83">
        <v>9.9092399999999997E-3</v>
      </c>
      <c r="CA93" s="83">
        <v>8.3499000000000004E-3</v>
      </c>
      <c r="CB93" s="83">
        <v>5.6604300000000003E-2</v>
      </c>
      <c r="CC93" s="83">
        <v>1.00728E-2</v>
      </c>
      <c r="CD93" s="83">
        <v>8.3499000000000004E-3</v>
      </c>
      <c r="CE93" s="83">
        <v>5.5912200000000002E-2</v>
      </c>
      <c r="CF93" s="83">
        <v>1.0023199999999999E-2</v>
      </c>
      <c r="CG93" s="83">
        <v>8.3499000000000004E-3</v>
      </c>
      <c r="CH93" s="83">
        <v>5.4214999999999999E-2</v>
      </c>
      <c r="CI93" s="83">
        <v>1.00252E-2</v>
      </c>
      <c r="CJ93" s="83">
        <v>8.3499000000000004E-3</v>
      </c>
      <c r="CK93" s="83">
        <v>5.5024000000000003E-2</v>
      </c>
      <c r="CL93" s="83">
        <v>1.0164400000000001E-2</v>
      </c>
      <c r="CM93" s="83">
        <v>8.3499000000000004E-3</v>
      </c>
      <c r="CN93" s="83">
        <v>5.45531E-2</v>
      </c>
      <c r="CO93" s="83">
        <v>1.02141E-2</v>
      </c>
      <c r="CP93" s="83">
        <v>8.3499000000000004E-3</v>
      </c>
      <c r="CQ93" s="83">
        <v>5.0838599999999998E-2</v>
      </c>
      <c r="CR93" s="83">
        <v>9.9320899999999993E-3</v>
      </c>
      <c r="CS93" s="83">
        <v>8.3499000000000004E-3</v>
      </c>
      <c r="CT93" s="83">
        <v>4.9848400000000001E-2</v>
      </c>
      <c r="CU93" s="83">
        <v>9.8511499999999995E-3</v>
      </c>
      <c r="CV93" s="83">
        <v>8.3499000000000004E-3</v>
      </c>
      <c r="CW93" s="83">
        <v>4.9981200000000003E-2</v>
      </c>
      <c r="CX93" s="83">
        <v>1.0110600000000001E-2</v>
      </c>
      <c r="CY93" s="83">
        <v>8.3499000000000004E-3</v>
      </c>
      <c r="CZ93" s="83">
        <v>4.9311500000000001E-2</v>
      </c>
      <c r="DA93" s="83">
        <v>1.0311600000000001E-2</v>
      </c>
    </row>
    <row r="94" spans="1:105" x14ac:dyDescent="0.2">
      <c r="A94" s="83">
        <v>8.4498999999999998E-3</v>
      </c>
      <c r="B94" s="83">
        <v>6.5323999999999993E-2</v>
      </c>
      <c r="C94" s="83">
        <v>9.31565E-3</v>
      </c>
      <c r="D94" s="83">
        <v>8.4498999999999998E-3</v>
      </c>
      <c r="E94" s="83">
        <v>6.6254999999999994E-2</v>
      </c>
      <c r="F94" s="83">
        <v>9.3325999999999999E-3</v>
      </c>
      <c r="G94" s="83">
        <v>8.4498999999999998E-3</v>
      </c>
      <c r="H94" s="83">
        <v>6.7119899999999996E-2</v>
      </c>
      <c r="I94" s="83">
        <v>9.4178200000000004E-3</v>
      </c>
      <c r="J94" s="83">
        <v>8.4498999999999998E-3</v>
      </c>
      <c r="K94" s="83">
        <v>6.93608E-2</v>
      </c>
      <c r="L94" s="83">
        <v>9.6373299999999995E-3</v>
      </c>
      <c r="M94" s="83">
        <v>8.4498999999999998E-3</v>
      </c>
      <c r="N94" s="83">
        <v>7.2299199999999994E-2</v>
      </c>
      <c r="O94" s="83">
        <v>9.7716000000000001E-3</v>
      </c>
      <c r="P94" s="83">
        <v>8.4498999999999998E-3</v>
      </c>
      <c r="Q94" s="83">
        <v>6.8768700000000002E-2</v>
      </c>
      <c r="R94" s="83">
        <v>9.5173500000000008E-3</v>
      </c>
      <c r="S94" s="83">
        <v>8.4498999999999998E-3</v>
      </c>
      <c r="T94" s="83">
        <v>6.9258899999999998E-2</v>
      </c>
      <c r="U94" s="83">
        <v>9.5022200000000005E-3</v>
      </c>
      <c r="V94" s="83">
        <v>8.4498999999999998E-3</v>
      </c>
      <c r="W94" s="83">
        <v>6.7880399999999994E-2</v>
      </c>
      <c r="X94" s="83">
        <v>9.5150500000000006E-3</v>
      </c>
      <c r="Y94" s="83">
        <v>8.4498999999999998E-3</v>
      </c>
      <c r="Z94" s="83">
        <v>6.7549499999999998E-2</v>
      </c>
      <c r="AA94" s="83">
        <v>9.5019600000000003E-3</v>
      </c>
      <c r="AB94" s="83">
        <v>8.4498999999999998E-3</v>
      </c>
      <c r="AC94" s="83">
        <v>6.6245899999999996E-2</v>
      </c>
      <c r="AD94" s="83">
        <v>9.4484900000000004E-3</v>
      </c>
      <c r="AE94" s="83">
        <v>8.4498999999999998E-3</v>
      </c>
      <c r="AF94" s="83">
        <v>6.4698599999999995E-2</v>
      </c>
      <c r="AG94" s="83">
        <v>9.3824000000000008E-3</v>
      </c>
      <c r="AH94" s="83">
        <v>8.4498999999999998E-3</v>
      </c>
      <c r="AI94" s="83">
        <v>6.5282199999999999E-2</v>
      </c>
      <c r="AJ94" s="83">
        <v>9.6241599999999997E-3</v>
      </c>
      <c r="AK94" s="83">
        <v>8.4498999999999998E-3</v>
      </c>
      <c r="AL94" s="83">
        <v>6.7352300000000004E-2</v>
      </c>
      <c r="AM94" s="83">
        <v>9.9387199999999998E-3</v>
      </c>
      <c r="AN94" s="83">
        <v>8.4498999999999998E-3</v>
      </c>
      <c r="AO94" s="83">
        <v>6.1683399999999999E-2</v>
      </c>
      <c r="AP94" s="83">
        <v>9.3765399999999992E-3</v>
      </c>
      <c r="AQ94" s="83">
        <v>8.4498999999999998E-3</v>
      </c>
      <c r="AR94" s="83">
        <v>6.0380900000000001E-2</v>
      </c>
      <c r="AS94" s="83">
        <v>9.4124499999999993E-3</v>
      </c>
      <c r="AT94" s="83">
        <v>8.4498999999999998E-3</v>
      </c>
      <c r="AU94" s="83">
        <v>6.1673600000000002E-2</v>
      </c>
      <c r="AV94" s="83">
        <v>9.6179400000000002E-3</v>
      </c>
      <c r="AW94" s="83">
        <v>8.4498999999999998E-3</v>
      </c>
      <c r="AX94" s="83">
        <v>6.2845999999999999E-2</v>
      </c>
      <c r="AY94" s="83">
        <v>9.7809999999999998E-3</v>
      </c>
      <c r="AZ94" s="83">
        <v>8.4498999999999998E-3</v>
      </c>
      <c r="BA94" s="83">
        <v>6.1456799999999999E-2</v>
      </c>
      <c r="BB94" s="83">
        <v>9.8230699999999997E-3</v>
      </c>
      <c r="BC94" s="83">
        <v>8.4498999999999998E-3</v>
      </c>
      <c r="BD94" s="83">
        <v>6.1552299999999997E-2</v>
      </c>
      <c r="BE94" s="83">
        <v>9.8095600000000002E-3</v>
      </c>
      <c r="BF94" s="83">
        <v>8.4498999999999998E-3</v>
      </c>
      <c r="BG94" s="83">
        <v>5.9166299999999998E-2</v>
      </c>
      <c r="BH94" s="83">
        <v>9.71231E-3</v>
      </c>
      <c r="BI94" s="83">
        <v>8.4498999999999998E-3</v>
      </c>
      <c r="BJ94" s="83">
        <v>5.94651E-2</v>
      </c>
      <c r="BK94" s="83">
        <v>9.7858000000000007E-3</v>
      </c>
      <c r="BL94" s="83">
        <v>8.4498999999999998E-3</v>
      </c>
      <c r="BM94" s="83">
        <v>5.8083999999999997E-2</v>
      </c>
      <c r="BN94" s="83">
        <v>9.6728999999999999E-3</v>
      </c>
      <c r="BO94" s="83">
        <v>8.4498999999999998E-3</v>
      </c>
      <c r="BP94" s="83">
        <v>5.6577700000000002E-2</v>
      </c>
      <c r="BQ94" s="83">
        <v>9.6071699999999999E-3</v>
      </c>
      <c r="BR94" s="83">
        <v>8.4498999999999998E-3</v>
      </c>
      <c r="BS94" s="83">
        <v>5.73532E-2</v>
      </c>
      <c r="BT94" s="83">
        <v>9.8469500000000001E-3</v>
      </c>
      <c r="BU94" s="83">
        <v>8.4498999999999998E-3</v>
      </c>
      <c r="BV94" s="83">
        <v>5.5397599999999998E-2</v>
      </c>
      <c r="BW94" s="83">
        <v>9.71028E-3</v>
      </c>
      <c r="BX94" s="83">
        <v>8.4498999999999998E-3</v>
      </c>
      <c r="BY94" s="83">
        <v>5.2269500000000003E-2</v>
      </c>
      <c r="BZ94" s="83">
        <v>9.4248700000000001E-3</v>
      </c>
      <c r="CA94" s="83">
        <v>8.4498999999999998E-3</v>
      </c>
      <c r="CB94" s="83">
        <v>5.2517300000000003E-2</v>
      </c>
      <c r="CC94" s="83">
        <v>9.5815599999999994E-3</v>
      </c>
      <c r="CD94" s="83">
        <v>8.4498999999999998E-3</v>
      </c>
      <c r="CE94" s="83">
        <v>5.2245199999999999E-2</v>
      </c>
      <c r="CF94" s="83">
        <v>9.5300599999999999E-3</v>
      </c>
      <c r="CG94" s="83">
        <v>8.4498999999999998E-3</v>
      </c>
      <c r="CH94" s="83">
        <v>5.1373200000000001E-2</v>
      </c>
      <c r="CI94" s="83">
        <v>9.5515500000000007E-3</v>
      </c>
      <c r="CJ94" s="83">
        <v>8.4498999999999998E-3</v>
      </c>
      <c r="CK94" s="83">
        <v>5.2109000000000003E-2</v>
      </c>
      <c r="CL94" s="83">
        <v>9.6643800000000002E-3</v>
      </c>
      <c r="CM94" s="83">
        <v>8.4498999999999998E-3</v>
      </c>
      <c r="CN94" s="83">
        <v>5.0768899999999999E-2</v>
      </c>
      <c r="CO94" s="83">
        <v>9.6975299999999993E-3</v>
      </c>
      <c r="CP94" s="83">
        <v>8.4498999999999998E-3</v>
      </c>
      <c r="CQ94" s="83">
        <v>4.7562300000000002E-2</v>
      </c>
      <c r="CR94" s="83">
        <v>9.4623599999999995E-3</v>
      </c>
      <c r="CS94" s="83">
        <v>8.4498999999999998E-3</v>
      </c>
      <c r="CT94" s="83">
        <v>4.68796E-2</v>
      </c>
      <c r="CU94" s="83">
        <v>9.3755699999999997E-3</v>
      </c>
      <c r="CV94" s="83">
        <v>8.4498999999999998E-3</v>
      </c>
      <c r="CW94" s="83">
        <v>4.66414E-2</v>
      </c>
      <c r="CX94" s="83">
        <v>9.63112E-3</v>
      </c>
      <c r="CY94" s="83">
        <v>8.4498999999999998E-3</v>
      </c>
      <c r="CZ94" s="83">
        <v>4.6469700000000003E-2</v>
      </c>
      <c r="DA94" s="83">
        <v>9.7989099999999992E-3</v>
      </c>
    </row>
    <row r="95" spans="1:105" x14ac:dyDescent="0.2">
      <c r="A95" s="83">
        <v>8.5498999999999992E-3</v>
      </c>
      <c r="B95" s="83">
        <v>6.0914799999999998E-2</v>
      </c>
      <c r="C95" s="83">
        <v>8.88889E-3</v>
      </c>
      <c r="D95" s="83">
        <v>8.5498999999999992E-3</v>
      </c>
      <c r="E95" s="83">
        <v>6.1782299999999998E-2</v>
      </c>
      <c r="F95" s="83">
        <v>8.8843600000000009E-3</v>
      </c>
      <c r="G95" s="83">
        <v>8.5498999999999992E-3</v>
      </c>
      <c r="H95" s="83">
        <v>6.3335699999999995E-2</v>
      </c>
      <c r="I95" s="83">
        <v>8.9949699999999997E-3</v>
      </c>
      <c r="J95" s="83">
        <v>8.5498999999999992E-3</v>
      </c>
      <c r="K95" s="83">
        <v>6.5185999999999994E-2</v>
      </c>
      <c r="L95" s="83">
        <v>9.1773700000000007E-3</v>
      </c>
      <c r="M95" s="83">
        <v>8.5498999999999992E-3</v>
      </c>
      <c r="N95" s="83">
        <v>6.7968100000000004E-2</v>
      </c>
      <c r="O95" s="83">
        <v>9.2881999999999999E-3</v>
      </c>
      <c r="P95" s="83">
        <v>8.5498999999999992E-3</v>
      </c>
      <c r="Q95" s="83">
        <v>6.4999199999999993E-2</v>
      </c>
      <c r="R95" s="83">
        <v>9.0456700000000004E-3</v>
      </c>
      <c r="S95" s="83">
        <v>8.5498999999999992E-3</v>
      </c>
      <c r="T95" s="83">
        <v>6.4805799999999997E-2</v>
      </c>
      <c r="U95" s="83">
        <v>9.0354200000000006E-3</v>
      </c>
      <c r="V95" s="83">
        <v>8.5498999999999992E-3</v>
      </c>
      <c r="W95" s="83">
        <v>6.3798400000000005E-2</v>
      </c>
      <c r="X95" s="83">
        <v>9.0648599999999992E-3</v>
      </c>
      <c r="Y95" s="83">
        <v>8.5498999999999992E-3</v>
      </c>
      <c r="Z95" s="83">
        <v>6.2905900000000001E-2</v>
      </c>
      <c r="AA95" s="83">
        <v>9.0449299999999996E-3</v>
      </c>
      <c r="AB95" s="83">
        <v>8.5498999999999992E-3</v>
      </c>
      <c r="AC95" s="83">
        <v>6.2217500000000002E-2</v>
      </c>
      <c r="AD95" s="83">
        <v>9.0139199999999999E-3</v>
      </c>
      <c r="AE95" s="83">
        <v>8.5498999999999992E-3</v>
      </c>
      <c r="AF95" s="83">
        <v>6.0768000000000003E-2</v>
      </c>
      <c r="AG95" s="83">
        <v>8.9497799999999992E-3</v>
      </c>
      <c r="AH95" s="83">
        <v>8.5498999999999992E-3</v>
      </c>
      <c r="AI95" s="83">
        <v>6.1248999999999998E-2</v>
      </c>
      <c r="AJ95" s="83">
        <v>9.1876400000000004E-3</v>
      </c>
      <c r="AK95" s="83">
        <v>8.5498999999999992E-3</v>
      </c>
      <c r="AL95" s="83">
        <v>6.3070100000000004E-2</v>
      </c>
      <c r="AM95" s="83">
        <v>9.4484900000000004E-3</v>
      </c>
      <c r="AN95" s="83">
        <v>8.5498999999999992E-3</v>
      </c>
      <c r="AO95" s="83">
        <v>5.7699100000000003E-2</v>
      </c>
      <c r="AP95" s="83">
        <v>8.9449000000000004E-3</v>
      </c>
      <c r="AQ95" s="83">
        <v>8.5498999999999992E-3</v>
      </c>
      <c r="AR95" s="83">
        <v>5.6293999999999997E-2</v>
      </c>
      <c r="AS95" s="83">
        <v>8.9612800000000003E-3</v>
      </c>
      <c r="AT95" s="83">
        <v>8.5498999999999992E-3</v>
      </c>
      <c r="AU95" s="83">
        <v>5.76599E-2</v>
      </c>
      <c r="AV95" s="83">
        <v>9.1638399999999995E-3</v>
      </c>
      <c r="AW95" s="83">
        <v>8.5498999999999992E-3</v>
      </c>
      <c r="AX95" s="83">
        <v>5.8685800000000003E-2</v>
      </c>
      <c r="AY95" s="83">
        <v>9.30834E-3</v>
      </c>
      <c r="AZ95" s="83">
        <v>8.5498999999999992E-3</v>
      </c>
      <c r="BA95" s="83">
        <v>5.7667700000000002E-2</v>
      </c>
      <c r="BB95" s="83">
        <v>9.3513899999999994E-3</v>
      </c>
      <c r="BC95" s="83">
        <v>8.5498999999999992E-3</v>
      </c>
      <c r="BD95" s="83">
        <v>5.7597200000000001E-2</v>
      </c>
      <c r="BE95" s="83">
        <v>9.3466699999999996E-3</v>
      </c>
      <c r="BF95" s="83">
        <v>8.5498999999999992E-3</v>
      </c>
      <c r="BG95" s="83">
        <v>5.5943600000000003E-2</v>
      </c>
      <c r="BH95" s="83">
        <v>9.2630899999999999E-3</v>
      </c>
      <c r="BI95" s="83">
        <v>8.5498999999999992E-3</v>
      </c>
      <c r="BJ95" s="83">
        <v>5.5729800000000003E-2</v>
      </c>
      <c r="BK95" s="83">
        <v>9.3238899999999996E-3</v>
      </c>
      <c r="BL95" s="83">
        <v>8.5498999999999992E-3</v>
      </c>
      <c r="BM95" s="83">
        <v>5.4397500000000001E-2</v>
      </c>
      <c r="BN95" s="83">
        <v>9.1982899999999996E-3</v>
      </c>
      <c r="BO95" s="83">
        <v>8.5498999999999992E-3</v>
      </c>
      <c r="BP95" s="83">
        <v>5.2583499999999998E-2</v>
      </c>
      <c r="BQ95" s="83">
        <v>9.1169300000000005E-3</v>
      </c>
      <c r="BR95" s="83">
        <v>8.5498999999999992E-3</v>
      </c>
      <c r="BS95" s="83">
        <v>5.3559200000000001E-2</v>
      </c>
      <c r="BT95" s="83">
        <v>9.3830800000000002E-3</v>
      </c>
      <c r="BU95" s="83">
        <v>8.5498999999999992E-3</v>
      </c>
      <c r="BV95" s="83">
        <v>5.1901500000000003E-2</v>
      </c>
      <c r="BW95" s="83">
        <v>9.2425100000000007E-3</v>
      </c>
      <c r="BX95" s="83">
        <v>8.5498999999999992E-3</v>
      </c>
      <c r="BY95" s="83">
        <v>4.9056599999999999E-2</v>
      </c>
      <c r="BZ95" s="83">
        <v>8.9551400000000003E-3</v>
      </c>
      <c r="CA95" s="83">
        <v>8.5498999999999992E-3</v>
      </c>
      <c r="CB95" s="83">
        <v>4.9460700000000003E-2</v>
      </c>
      <c r="CC95" s="83">
        <v>9.1128100000000007E-3</v>
      </c>
      <c r="CD95" s="83">
        <v>8.5498999999999992E-3</v>
      </c>
      <c r="CE95" s="83">
        <v>4.9266699999999997E-2</v>
      </c>
      <c r="CF95" s="83">
        <v>9.0828000000000002E-3</v>
      </c>
      <c r="CG95" s="83">
        <v>8.5498999999999992E-3</v>
      </c>
      <c r="CH95" s="83">
        <v>4.7564599999999999E-2</v>
      </c>
      <c r="CI95" s="83">
        <v>9.1013499999999994E-3</v>
      </c>
      <c r="CJ95" s="83">
        <v>8.5498999999999992E-3</v>
      </c>
      <c r="CK95" s="83">
        <v>4.8324800000000001E-2</v>
      </c>
      <c r="CL95" s="83">
        <v>9.2259000000000004E-3</v>
      </c>
      <c r="CM95" s="83">
        <v>8.5498999999999992E-3</v>
      </c>
      <c r="CN95" s="83">
        <v>4.76537E-2</v>
      </c>
      <c r="CO95" s="83">
        <v>9.2688200000000005E-3</v>
      </c>
      <c r="CP95" s="83">
        <v>8.5498999999999992E-3</v>
      </c>
      <c r="CQ95" s="83">
        <v>4.4505599999999999E-2</v>
      </c>
      <c r="CR95" s="83">
        <v>9.0072899999999994E-3</v>
      </c>
      <c r="CS95" s="83">
        <v>8.5498999999999992E-3</v>
      </c>
      <c r="CT95" s="83">
        <v>4.3534900000000001E-2</v>
      </c>
      <c r="CU95" s="83">
        <v>8.9400199999999999E-3</v>
      </c>
      <c r="CV95" s="83">
        <v>8.5498999999999992E-3</v>
      </c>
      <c r="CW95" s="83">
        <v>4.3902099999999999E-2</v>
      </c>
      <c r="CX95" s="83">
        <v>9.1672500000000001E-3</v>
      </c>
      <c r="CY95" s="83">
        <v>8.5498999999999992E-3</v>
      </c>
      <c r="CZ95" s="83">
        <v>4.3535200000000003E-2</v>
      </c>
      <c r="DA95" s="83">
        <v>9.3243000000000006E-3</v>
      </c>
    </row>
    <row r="96" spans="1:105" x14ac:dyDescent="0.2">
      <c r="A96" s="83">
        <v>8.6499000000000003E-3</v>
      </c>
      <c r="B96" s="83">
        <v>5.74041E-2</v>
      </c>
      <c r="C96" s="83">
        <v>8.4455299999999997E-3</v>
      </c>
      <c r="D96" s="83">
        <v>8.6499000000000003E-3</v>
      </c>
      <c r="E96" s="83">
        <v>5.7617300000000003E-2</v>
      </c>
      <c r="F96" s="83">
        <v>8.4585800000000003E-3</v>
      </c>
      <c r="G96" s="83">
        <v>8.6499000000000003E-3</v>
      </c>
      <c r="H96" s="83">
        <v>5.8877699999999998E-2</v>
      </c>
      <c r="I96" s="83">
        <v>8.5311099999999997E-3</v>
      </c>
      <c r="J96" s="83">
        <v>8.6499000000000003E-3</v>
      </c>
      <c r="K96" s="83">
        <v>6.0723100000000002E-2</v>
      </c>
      <c r="L96" s="83">
        <v>8.7418200000000008E-3</v>
      </c>
      <c r="M96" s="83">
        <v>8.6499000000000003E-3</v>
      </c>
      <c r="N96" s="83">
        <v>6.3539399999999996E-2</v>
      </c>
      <c r="O96" s="83">
        <v>8.8340999999999992E-3</v>
      </c>
      <c r="P96" s="83">
        <v>8.6499000000000003E-3</v>
      </c>
      <c r="Q96" s="83">
        <v>6.0721799999999999E-2</v>
      </c>
      <c r="R96" s="83">
        <v>8.6013300000000008E-3</v>
      </c>
      <c r="S96" s="83">
        <v>8.6499000000000003E-3</v>
      </c>
      <c r="T96" s="83">
        <v>6.02648E-2</v>
      </c>
      <c r="U96" s="83">
        <v>8.6037800000000001E-3</v>
      </c>
      <c r="V96" s="83">
        <v>8.6499000000000003E-3</v>
      </c>
      <c r="W96" s="83">
        <v>5.9691899999999999E-2</v>
      </c>
      <c r="X96" s="83">
        <v>8.6351699999999993E-3</v>
      </c>
      <c r="Y96" s="83">
        <v>8.6499000000000003E-3</v>
      </c>
      <c r="Z96" s="83">
        <v>5.8843399999999997E-2</v>
      </c>
      <c r="AA96" s="83">
        <v>8.5927799999999995E-3</v>
      </c>
      <c r="AB96" s="83">
        <v>8.6499000000000003E-3</v>
      </c>
      <c r="AC96" s="83">
        <v>5.7549599999999999E-2</v>
      </c>
      <c r="AD96" s="83">
        <v>8.5695800000000003E-3</v>
      </c>
      <c r="AE96" s="83">
        <v>8.6499000000000003E-3</v>
      </c>
      <c r="AF96" s="83">
        <v>5.6515000000000003E-2</v>
      </c>
      <c r="AG96" s="83">
        <v>8.4986100000000002E-3</v>
      </c>
      <c r="AH96" s="83">
        <v>8.6499000000000003E-3</v>
      </c>
      <c r="AI96" s="83">
        <v>5.6966799999999998E-2</v>
      </c>
      <c r="AJ96" s="83">
        <v>8.7306099999999998E-3</v>
      </c>
      <c r="AK96" s="83">
        <v>8.6499000000000003E-3</v>
      </c>
      <c r="AL96" s="83">
        <v>5.8734099999999997E-2</v>
      </c>
      <c r="AM96" s="83">
        <v>9.0266099999999991E-3</v>
      </c>
      <c r="AN96" s="83">
        <v>8.6499000000000003E-3</v>
      </c>
      <c r="AO96" s="83">
        <v>5.3968599999999999E-2</v>
      </c>
      <c r="AP96" s="83">
        <v>8.4683399999999995E-3</v>
      </c>
      <c r="AQ96" s="83">
        <v>8.6499000000000003E-3</v>
      </c>
      <c r="AR96" s="83">
        <v>5.2680699999999997E-2</v>
      </c>
      <c r="AS96" s="83">
        <v>8.5130399999999995E-3</v>
      </c>
      <c r="AT96" s="83">
        <v>8.6499000000000003E-3</v>
      </c>
      <c r="AU96" s="83">
        <v>5.4041800000000001E-2</v>
      </c>
      <c r="AV96" s="83">
        <v>8.7136399999999999E-3</v>
      </c>
      <c r="AW96" s="83">
        <v>8.6499000000000003E-3</v>
      </c>
      <c r="AX96" s="83">
        <v>5.5121400000000001E-2</v>
      </c>
      <c r="AY96" s="83">
        <v>8.8415500000000001E-3</v>
      </c>
      <c r="AZ96" s="83">
        <v>8.6499000000000003E-3</v>
      </c>
      <c r="BA96" s="83">
        <v>5.3854199999999998E-2</v>
      </c>
      <c r="BB96" s="83">
        <v>8.8855700000000006E-3</v>
      </c>
      <c r="BC96" s="83">
        <v>8.6499000000000003E-3</v>
      </c>
      <c r="BD96" s="83">
        <v>5.4057099999999997E-2</v>
      </c>
      <c r="BE96" s="83">
        <v>8.8945199999999995E-3</v>
      </c>
      <c r="BF96" s="83">
        <v>8.6499000000000003E-3</v>
      </c>
      <c r="BG96" s="83">
        <v>5.2105800000000001E-2</v>
      </c>
      <c r="BH96" s="83">
        <v>8.8050799999999999E-3</v>
      </c>
      <c r="BI96" s="83">
        <v>8.6499000000000003E-3</v>
      </c>
      <c r="BJ96" s="83">
        <v>5.2404600000000003E-2</v>
      </c>
      <c r="BK96" s="83">
        <v>8.8639300000000008E-3</v>
      </c>
      <c r="BL96" s="83">
        <v>8.6499000000000003E-3</v>
      </c>
      <c r="BM96" s="83">
        <v>5.0881799999999998E-2</v>
      </c>
      <c r="BN96" s="83">
        <v>8.7861799999999993E-3</v>
      </c>
      <c r="BO96" s="83">
        <v>8.6499000000000003E-3</v>
      </c>
      <c r="BP96" s="83">
        <v>4.9966299999999998E-2</v>
      </c>
      <c r="BQ96" s="83">
        <v>8.6931100000000004E-3</v>
      </c>
      <c r="BR96" s="83">
        <v>8.6499000000000003E-3</v>
      </c>
      <c r="BS96" s="83">
        <v>5.0780899999999997E-2</v>
      </c>
      <c r="BT96" s="83">
        <v>8.9299600000000007E-3</v>
      </c>
      <c r="BU96" s="83">
        <v>8.6499000000000003E-3</v>
      </c>
      <c r="BV96" s="83">
        <v>4.8766700000000003E-2</v>
      </c>
      <c r="BW96" s="83">
        <v>8.7532500000000006E-3</v>
      </c>
      <c r="BX96" s="83">
        <v>8.6499000000000003E-3</v>
      </c>
      <c r="BY96" s="83">
        <v>4.5789999999999997E-2</v>
      </c>
      <c r="BZ96" s="83">
        <v>8.5254600000000003E-3</v>
      </c>
      <c r="CA96" s="83">
        <v>8.6499000000000003E-3</v>
      </c>
      <c r="CB96" s="83">
        <v>4.63796E-2</v>
      </c>
      <c r="CC96" s="83">
        <v>8.6401599999999992E-3</v>
      </c>
      <c r="CD96" s="83">
        <v>8.6499000000000003E-3</v>
      </c>
      <c r="CE96" s="83">
        <v>4.5702199999999998E-2</v>
      </c>
      <c r="CF96" s="83">
        <v>8.6550599999999991E-3</v>
      </c>
      <c r="CG96" s="83">
        <v>8.6499000000000003E-3</v>
      </c>
      <c r="CH96" s="83">
        <v>4.4634899999999998E-2</v>
      </c>
      <c r="CI96" s="83">
        <v>8.6550599999999991E-3</v>
      </c>
      <c r="CJ96" s="83">
        <v>8.6499000000000003E-3</v>
      </c>
      <c r="CK96" s="83">
        <v>4.5141199999999999E-2</v>
      </c>
      <c r="CL96" s="83">
        <v>8.7776599999999996E-3</v>
      </c>
      <c r="CM96" s="83">
        <v>8.6499000000000003E-3</v>
      </c>
      <c r="CN96" s="83">
        <v>4.4782599999999999E-2</v>
      </c>
      <c r="CO96" s="83">
        <v>8.8147199999999998E-3</v>
      </c>
      <c r="CP96" s="83">
        <v>8.6499000000000003E-3</v>
      </c>
      <c r="CQ96" s="83">
        <v>4.1697999999999999E-2</v>
      </c>
      <c r="CR96" s="83">
        <v>8.5815000000000006E-3</v>
      </c>
      <c r="CS96" s="83">
        <v>8.6499000000000003E-3</v>
      </c>
      <c r="CT96" s="83">
        <v>4.10593E-2</v>
      </c>
      <c r="CU96" s="83">
        <v>8.4849399999999998E-3</v>
      </c>
      <c r="CV96" s="83">
        <v>8.6499000000000003E-3</v>
      </c>
      <c r="CW96" s="83">
        <v>4.1153099999999998E-2</v>
      </c>
      <c r="CX96" s="83">
        <v>8.7082700000000006E-3</v>
      </c>
      <c r="CY96" s="83">
        <v>8.6499000000000003E-3</v>
      </c>
      <c r="CZ96" s="83">
        <v>4.0893600000000002E-2</v>
      </c>
      <c r="DA96" s="83">
        <v>8.8926600000000001E-3</v>
      </c>
    </row>
    <row r="97" spans="1:105" x14ac:dyDescent="0.2">
      <c r="A97" s="83">
        <v>8.7498999999999997E-3</v>
      </c>
      <c r="B97" s="83">
        <v>5.3409999999999999E-2</v>
      </c>
      <c r="C97" s="83">
        <v>8.0295200000000001E-3</v>
      </c>
      <c r="D97" s="83">
        <v>8.7498999999999997E-3</v>
      </c>
      <c r="E97" s="83">
        <v>5.4360400000000003E-2</v>
      </c>
      <c r="F97" s="83">
        <v>8.0494E-3</v>
      </c>
      <c r="G97" s="83">
        <v>8.7498999999999997E-3</v>
      </c>
      <c r="H97" s="83">
        <v>5.5132599999999997E-2</v>
      </c>
      <c r="I97" s="83">
        <v>8.1258300000000006E-3</v>
      </c>
      <c r="J97" s="83">
        <v>8.7498999999999997E-3</v>
      </c>
      <c r="K97" s="83">
        <v>5.66411E-2</v>
      </c>
      <c r="L97" s="83">
        <v>8.2955300000000006E-3</v>
      </c>
      <c r="M97" s="83">
        <v>8.7498999999999997E-3</v>
      </c>
      <c r="N97" s="83">
        <v>5.92962E-2</v>
      </c>
      <c r="O97" s="83">
        <v>8.3985599999999994E-3</v>
      </c>
      <c r="P97" s="83">
        <v>8.7498999999999997E-3</v>
      </c>
      <c r="Q97" s="83">
        <v>5.6893699999999998E-2</v>
      </c>
      <c r="R97" s="83">
        <v>8.1706699999999997E-3</v>
      </c>
      <c r="S97" s="83">
        <v>8.7498999999999997E-3</v>
      </c>
      <c r="T97" s="83">
        <v>5.6451300000000003E-2</v>
      </c>
      <c r="U97" s="83">
        <v>8.1711600000000002E-3</v>
      </c>
      <c r="V97" s="83">
        <v>8.7498999999999997E-3</v>
      </c>
      <c r="W97" s="83">
        <v>5.5961499999999997E-2</v>
      </c>
      <c r="X97" s="83">
        <v>8.1869300000000002E-3</v>
      </c>
      <c r="Y97" s="83">
        <v>8.7498999999999997E-3</v>
      </c>
      <c r="Z97" s="83">
        <v>5.52985E-2</v>
      </c>
      <c r="AA97" s="83">
        <v>8.1787200000000004E-3</v>
      </c>
      <c r="AB97" s="83">
        <v>8.7498999999999997E-3</v>
      </c>
      <c r="AC97" s="83">
        <v>5.40584E-2</v>
      </c>
      <c r="AD97" s="83">
        <v>8.1301299999999993E-3</v>
      </c>
      <c r="AE97" s="83">
        <v>8.7498999999999997E-3</v>
      </c>
      <c r="AF97" s="83">
        <v>5.29506E-2</v>
      </c>
      <c r="AG97" s="83">
        <v>8.1060300000000002E-3</v>
      </c>
      <c r="AH97" s="83">
        <v>8.7498999999999997E-3</v>
      </c>
      <c r="AI97" s="83">
        <v>5.3890599999999997E-2</v>
      </c>
      <c r="AJ97" s="83">
        <v>8.3077600000000008E-3</v>
      </c>
      <c r="AK97" s="83">
        <v>8.7498999999999997E-3</v>
      </c>
      <c r="AL97" s="83">
        <v>5.56433E-2</v>
      </c>
      <c r="AM97" s="83">
        <v>8.5861800000000005E-3</v>
      </c>
      <c r="AN97" s="83">
        <v>8.7498999999999997E-3</v>
      </c>
      <c r="AO97" s="83">
        <v>5.0501799999999999E-2</v>
      </c>
      <c r="AP97" s="83">
        <v>8.0982199999999997E-3</v>
      </c>
      <c r="AQ97" s="83">
        <v>8.7498999999999997E-3</v>
      </c>
      <c r="AR97" s="83">
        <v>4.9243200000000001E-2</v>
      </c>
      <c r="AS97" s="83">
        <v>8.1067899999999991E-3</v>
      </c>
      <c r="AT97" s="83">
        <v>8.7498999999999997E-3</v>
      </c>
      <c r="AU97" s="83">
        <v>5.0335699999999997E-2</v>
      </c>
      <c r="AV97" s="83">
        <v>8.2976200000000003E-3</v>
      </c>
      <c r="AW97" s="83">
        <v>8.7498999999999997E-3</v>
      </c>
      <c r="AX97" s="83">
        <v>5.1625299999999999E-2</v>
      </c>
      <c r="AY97" s="83">
        <v>8.4128299999999996E-3</v>
      </c>
      <c r="AZ97" s="83">
        <v>8.7498999999999997E-3</v>
      </c>
      <c r="BA97" s="83">
        <v>5.0480200000000003E-2</v>
      </c>
      <c r="BB97" s="83">
        <v>8.4617400000000006E-3</v>
      </c>
      <c r="BC97" s="83">
        <v>8.7498999999999997E-3</v>
      </c>
      <c r="BD97" s="83">
        <v>5.0604999999999997E-2</v>
      </c>
      <c r="BE97" s="83">
        <v>8.4618999999999996E-3</v>
      </c>
      <c r="BF97" s="83">
        <v>8.7498999999999997E-3</v>
      </c>
      <c r="BG97" s="83">
        <v>4.8370400000000001E-2</v>
      </c>
      <c r="BH97" s="83">
        <v>8.3783199999999999E-3</v>
      </c>
      <c r="BI97" s="83">
        <v>8.7498999999999997E-3</v>
      </c>
      <c r="BJ97" s="83">
        <v>4.9255199999999999E-2</v>
      </c>
      <c r="BK97" s="83">
        <v>8.4293600000000003E-3</v>
      </c>
      <c r="BL97" s="83">
        <v>8.7498999999999997E-3</v>
      </c>
      <c r="BM97" s="83">
        <v>4.7888699999999999E-2</v>
      </c>
      <c r="BN97" s="83">
        <v>8.3174300000000007E-3</v>
      </c>
      <c r="BO97" s="83">
        <v>8.7498999999999997E-3</v>
      </c>
      <c r="BP97" s="83">
        <v>4.6841300000000002E-2</v>
      </c>
      <c r="BQ97" s="83">
        <v>8.2614699999999999E-3</v>
      </c>
      <c r="BR97" s="83">
        <v>8.7498999999999997E-3</v>
      </c>
      <c r="BS97" s="83">
        <v>4.71969E-2</v>
      </c>
      <c r="BT97" s="83">
        <v>8.4807400000000005E-3</v>
      </c>
      <c r="BU97" s="83">
        <v>8.7498999999999997E-3</v>
      </c>
      <c r="BV97" s="83">
        <v>4.57638E-2</v>
      </c>
      <c r="BW97" s="83">
        <v>8.3499300000000002E-3</v>
      </c>
      <c r="BX97" s="83">
        <v>8.7498999999999997E-3</v>
      </c>
      <c r="BY97" s="83">
        <v>4.29678E-2</v>
      </c>
      <c r="BZ97" s="83">
        <v>8.1260399999999993E-3</v>
      </c>
      <c r="CA97" s="83">
        <v>8.7498999999999997E-3</v>
      </c>
      <c r="CB97" s="83">
        <v>4.3435300000000003E-2</v>
      </c>
      <c r="CC97" s="83">
        <v>8.2368400000000005E-3</v>
      </c>
      <c r="CD97" s="83">
        <v>8.7498999999999997E-3</v>
      </c>
      <c r="CE97" s="83">
        <v>4.3036199999999997E-2</v>
      </c>
      <c r="CF97" s="83">
        <v>8.2263500000000003E-3</v>
      </c>
      <c r="CG97" s="83">
        <v>8.7498999999999997E-3</v>
      </c>
      <c r="CH97" s="83">
        <v>4.2017699999999998E-2</v>
      </c>
      <c r="CI97" s="83">
        <v>8.2214699999999998E-3</v>
      </c>
      <c r="CJ97" s="83">
        <v>8.7498999999999997E-3</v>
      </c>
      <c r="CK97" s="83">
        <v>4.2284700000000001E-2</v>
      </c>
      <c r="CL97" s="83">
        <v>8.3401599999999992E-3</v>
      </c>
      <c r="CM97" s="83">
        <v>8.7498999999999997E-3</v>
      </c>
      <c r="CN97" s="83">
        <v>4.1891900000000003E-2</v>
      </c>
      <c r="CO97" s="83">
        <v>8.3508499999999999E-3</v>
      </c>
      <c r="CP97" s="83">
        <v>8.7498999999999997E-3</v>
      </c>
      <c r="CQ97" s="83">
        <v>3.9232200000000002E-2</v>
      </c>
      <c r="CR97" s="83">
        <v>8.1654899999999992E-3</v>
      </c>
      <c r="CS97" s="83">
        <v>8.7498999999999997E-3</v>
      </c>
      <c r="CT97" s="83">
        <v>3.8471400000000003E-2</v>
      </c>
      <c r="CU97" s="83">
        <v>8.0581799999999999E-3</v>
      </c>
      <c r="CV97" s="83">
        <v>8.7498999999999997E-3</v>
      </c>
      <c r="CW97" s="83">
        <v>3.84187E-2</v>
      </c>
      <c r="CX97" s="83">
        <v>8.2639299999999992E-3</v>
      </c>
      <c r="CY97" s="83">
        <v>8.7498999999999997E-3</v>
      </c>
      <c r="CZ97" s="83">
        <v>3.8320300000000002E-2</v>
      </c>
      <c r="DA97" s="83">
        <v>8.4385599999999995E-3</v>
      </c>
    </row>
    <row r="98" spans="1:105" x14ac:dyDescent="0.2">
      <c r="A98" s="83">
        <v>8.8499000000000008E-3</v>
      </c>
      <c r="B98" s="83">
        <v>4.9913899999999997E-2</v>
      </c>
      <c r="C98" s="83">
        <v>7.6222900000000003E-3</v>
      </c>
      <c r="D98" s="83">
        <v>8.8499000000000008E-3</v>
      </c>
      <c r="E98" s="83">
        <v>5.0879000000000001E-2</v>
      </c>
      <c r="F98" s="83">
        <v>7.6236200000000002E-3</v>
      </c>
      <c r="G98" s="83">
        <v>8.8499000000000008E-3</v>
      </c>
      <c r="H98" s="83">
        <v>5.1441199999999999E-2</v>
      </c>
      <c r="I98" s="83">
        <v>7.7029799999999999E-3</v>
      </c>
      <c r="J98" s="83">
        <v>8.8499000000000008E-3</v>
      </c>
      <c r="K98" s="83">
        <v>5.35015E-2</v>
      </c>
      <c r="L98" s="83">
        <v>7.8687700000000006E-3</v>
      </c>
      <c r="M98" s="83">
        <v>8.8499000000000008E-3</v>
      </c>
      <c r="N98" s="83">
        <v>5.6083300000000003E-2</v>
      </c>
      <c r="O98" s="83">
        <v>7.9991400000000001E-3</v>
      </c>
      <c r="P98" s="83">
        <v>8.8499000000000008E-3</v>
      </c>
      <c r="Q98" s="83">
        <v>5.3338999999999998E-2</v>
      </c>
      <c r="R98" s="83">
        <v>7.7673500000000001E-3</v>
      </c>
      <c r="S98" s="83">
        <v>8.8499000000000008E-3</v>
      </c>
      <c r="T98" s="83">
        <v>5.24279E-2</v>
      </c>
      <c r="U98" s="83">
        <v>7.7571000000000003E-3</v>
      </c>
      <c r="V98" s="83">
        <v>8.8499000000000008E-3</v>
      </c>
      <c r="W98" s="83">
        <v>5.2143099999999998E-2</v>
      </c>
      <c r="X98" s="83">
        <v>7.7806799999999999E-3</v>
      </c>
      <c r="Y98" s="83">
        <v>8.8499000000000008E-3</v>
      </c>
      <c r="Z98" s="83">
        <v>5.2080700000000001E-2</v>
      </c>
      <c r="AA98" s="83">
        <v>7.7900499999999998E-3</v>
      </c>
      <c r="AB98" s="83">
        <v>8.8499000000000008E-3</v>
      </c>
      <c r="AC98" s="83">
        <v>5.0943099999999998E-2</v>
      </c>
      <c r="AD98" s="83">
        <v>7.7414600000000004E-3</v>
      </c>
      <c r="AE98" s="83">
        <v>8.8499000000000008E-3</v>
      </c>
      <c r="AF98" s="83">
        <v>5.0108800000000002E-2</v>
      </c>
      <c r="AG98" s="83">
        <v>7.6851300000000001E-3</v>
      </c>
      <c r="AH98" s="83">
        <v>8.8499000000000008E-3</v>
      </c>
      <c r="AI98" s="83">
        <v>5.0135800000000001E-2</v>
      </c>
      <c r="AJ98" s="83">
        <v>7.8858799999999996E-3</v>
      </c>
      <c r="AK98" s="83">
        <v>8.8499000000000008E-3</v>
      </c>
      <c r="AL98" s="83">
        <v>5.1883499999999999E-2</v>
      </c>
      <c r="AM98" s="83">
        <v>8.1545400000000001E-3</v>
      </c>
      <c r="AN98" s="83">
        <v>8.8499000000000008E-3</v>
      </c>
      <c r="AO98" s="83">
        <v>4.75135E-2</v>
      </c>
      <c r="AP98" s="83">
        <v>7.6929499999999996E-3</v>
      </c>
      <c r="AQ98" s="83">
        <v>8.8499000000000008E-3</v>
      </c>
      <c r="AR98" s="83">
        <v>4.6391599999999998E-2</v>
      </c>
      <c r="AS98" s="83">
        <v>7.6917499999999998E-3</v>
      </c>
      <c r="AT98" s="83">
        <v>8.8499000000000008E-3</v>
      </c>
      <c r="AU98" s="83">
        <v>4.7430399999999998E-2</v>
      </c>
      <c r="AV98" s="83">
        <v>7.8835599999999995E-3</v>
      </c>
      <c r="AW98" s="83">
        <v>8.8499000000000008E-3</v>
      </c>
      <c r="AX98" s="83">
        <v>4.8046199999999997E-2</v>
      </c>
      <c r="AY98" s="83">
        <v>8.0007299999999993E-3</v>
      </c>
      <c r="AZ98" s="83">
        <v>8.8499000000000008E-3</v>
      </c>
      <c r="BA98" s="83">
        <v>4.7072000000000003E-2</v>
      </c>
      <c r="BB98" s="83">
        <v>8.0388899999999999E-3</v>
      </c>
      <c r="BC98" s="83">
        <v>8.8499000000000008E-3</v>
      </c>
      <c r="BD98" s="83">
        <v>4.7299300000000002E-2</v>
      </c>
      <c r="BE98" s="83">
        <v>8.0390500000000007E-3</v>
      </c>
      <c r="BF98" s="83">
        <v>8.8499000000000008E-3</v>
      </c>
      <c r="BG98" s="83">
        <v>4.5704399999999999E-2</v>
      </c>
      <c r="BH98" s="83">
        <v>7.9515599999999999E-3</v>
      </c>
      <c r="BI98" s="83">
        <v>8.8499000000000008E-3</v>
      </c>
      <c r="BJ98" s="83">
        <v>4.5744399999999998E-2</v>
      </c>
      <c r="BK98" s="83">
        <v>8.0270099999999994E-3</v>
      </c>
      <c r="BL98" s="83">
        <v>8.8499000000000008E-3</v>
      </c>
      <c r="BM98" s="83">
        <v>4.4377899999999998E-2</v>
      </c>
      <c r="BN98" s="83">
        <v>7.9141100000000002E-3</v>
      </c>
      <c r="BO98" s="83">
        <v>8.8499000000000008E-3</v>
      </c>
      <c r="BP98" s="83">
        <v>4.4102099999999998E-2</v>
      </c>
      <c r="BQ98" s="83">
        <v>7.8727899999999993E-3</v>
      </c>
      <c r="BR98" s="83">
        <v>8.8499000000000008E-3</v>
      </c>
      <c r="BS98" s="83">
        <v>4.4301399999999998E-2</v>
      </c>
      <c r="BT98" s="83">
        <v>8.0647199999999992E-3</v>
      </c>
      <c r="BU98" s="83">
        <v>8.8499000000000008E-3</v>
      </c>
      <c r="BV98" s="83">
        <v>4.2756000000000002E-2</v>
      </c>
      <c r="BW98" s="83">
        <v>7.9485600000000003E-3</v>
      </c>
      <c r="BX98" s="83">
        <v>8.8499000000000008E-3</v>
      </c>
      <c r="BY98" s="83">
        <v>4.0247999999999999E-2</v>
      </c>
      <c r="BZ98" s="83">
        <v>7.7031900000000004E-3</v>
      </c>
      <c r="CA98" s="83">
        <v>8.8499000000000008E-3</v>
      </c>
      <c r="CB98" s="83">
        <v>4.0959700000000002E-2</v>
      </c>
      <c r="CC98" s="83">
        <v>7.8188700000000003E-3</v>
      </c>
      <c r="CD98" s="83">
        <v>8.8499000000000008E-3</v>
      </c>
      <c r="CE98" s="83">
        <v>3.9818399999999997E-2</v>
      </c>
      <c r="CF98" s="83">
        <v>7.8093600000000004E-3</v>
      </c>
      <c r="CG98" s="83">
        <v>8.8499000000000008E-3</v>
      </c>
      <c r="CH98" s="83">
        <v>3.9371200000000002E-2</v>
      </c>
      <c r="CI98" s="83">
        <v>7.8142400000000001E-3</v>
      </c>
      <c r="CJ98" s="83">
        <v>8.8499000000000008E-3</v>
      </c>
      <c r="CK98" s="83">
        <v>3.9716399999999999E-2</v>
      </c>
      <c r="CL98" s="83">
        <v>7.9192599999999991E-3</v>
      </c>
      <c r="CM98" s="83">
        <v>8.8499000000000008E-3</v>
      </c>
      <c r="CN98" s="83">
        <v>3.9733699999999997E-2</v>
      </c>
      <c r="CO98" s="83">
        <v>7.9582699999999999E-3</v>
      </c>
      <c r="CP98" s="83">
        <v>8.8499000000000008E-3</v>
      </c>
      <c r="CQ98" s="83">
        <v>3.6888499999999998E-2</v>
      </c>
      <c r="CR98" s="83">
        <v>7.7504499999999999E-3</v>
      </c>
      <c r="CS98" s="83">
        <v>8.8499000000000008E-3</v>
      </c>
      <c r="CT98" s="83">
        <v>3.6220500000000003E-2</v>
      </c>
      <c r="CU98" s="83">
        <v>7.6812299999999998E-3</v>
      </c>
      <c r="CV98" s="83">
        <v>8.8499000000000008E-3</v>
      </c>
      <c r="CW98" s="83">
        <v>3.6114E-2</v>
      </c>
      <c r="CX98" s="83">
        <v>7.8645199999999998E-3</v>
      </c>
      <c r="CY98" s="83">
        <v>8.8499000000000008E-3</v>
      </c>
      <c r="CZ98" s="83">
        <v>3.5712899999999999E-2</v>
      </c>
      <c r="DA98" s="83">
        <v>8.0313299999999997E-3</v>
      </c>
    </row>
    <row r="99" spans="1:105" x14ac:dyDescent="0.2">
      <c r="A99" s="83">
        <v>8.9499000000000002E-3</v>
      </c>
      <c r="B99" s="83">
        <v>4.6876800000000003E-2</v>
      </c>
      <c r="C99" s="83">
        <v>7.2424100000000003E-3</v>
      </c>
      <c r="D99" s="83">
        <v>8.9499000000000002E-3</v>
      </c>
      <c r="E99" s="83">
        <v>4.7714899999999998E-2</v>
      </c>
      <c r="F99" s="83">
        <v>7.2456899999999999E-3</v>
      </c>
      <c r="G99" s="83">
        <v>8.9499000000000002E-3</v>
      </c>
      <c r="H99" s="83">
        <v>4.8457800000000002E-2</v>
      </c>
      <c r="I99" s="83">
        <v>7.3260299999999999E-3</v>
      </c>
      <c r="J99" s="83">
        <v>8.9499000000000002E-3</v>
      </c>
      <c r="K99" s="83">
        <v>4.9834499999999997E-2</v>
      </c>
      <c r="L99" s="83">
        <v>7.4937700000000003E-3</v>
      </c>
      <c r="M99" s="83">
        <v>8.9499000000000002E-3</v>
      </c>
      <c r="N99" s="83">
        <v>5.2181999999999999E-2</v>
      </c>
      <c r="O99" s="83">
        <v>7.5997299999999999E-3</v>
      </c>
      <c r="P99" s="83">
        <v>8.9499000000000002E-3</v>
      </c>
      <c r="Q99" s="83">
        <v>4.9940600000000002E-2</v>
      </c>
      <c r="R99" s="83">
        <v>7.3972300000000003E-3</v>
      </c>
      <c r="S99" s="83">
        <v>8.9499000000000002E-3</v>
      </c>
      <c r="T99" s="83">
        <v>4.94396E-2</v>
      </c>
      <c r="U99" s="83">
        <v>7.3840499999999996E-3</v>
      </c>
      <c r="V99" s="83">
        <v>8.9499000000000002E-3</v>
      </c>
      <c r="W99" s="83">
        <v>4.8671399999999997E-2</v>
      </c>
      <c r="X99" s="83">
        <v>7.4056800000000004E-3</v>
      </c>
      <c r="Y99" s="83">
        <v>8.9499000000000002E-3</v>
      </c>
      <c r="Z99" s="83">
        <v>4.8731099999999999E-2</v>
      </c>
      <c r="AA99" s="83">
        <v>7.4091900000000004E-3</v>
      </c>
      <c r="AB99" s="83">
        <v>8.9499000000000002E-3</v>
      </c>
      <c r="AC99" s="83">
        <v>4.7588600000000002E-2</v>
      </c>
      <c r="AD99" s="83">
        <v>7.35376E-3</v>
      </c>
      <c r="AE99" s="83">
        <v>8.9499000000000002E-3</v>
      </c>
      <c r="AF99" s="83">
        <v>4.6798199999999998E-2</v>
      </c>
      <c r="AG99" s="83">
        <v>7.3228299999999998E-3</v>
      </c>
      <c r="AH99" s="83">
        <v>8.9499000000000002E-3</v>
      </c>
      <c r="AI99" s="83">
        <v>4.6991199999999997E-2</v>
      </c>
      <c r="AJ99" s="83">
        <v>7.5245499999999996E-3</v>
      </c>
      <c r="AK99" s="83">
        <v>8.9499000000000002E-3</v>
      </c>
      <c r="AL99" s="83">
        <v>4.8802499999999999E-2</v>
      </c>
      <c r="AM99" s="83">
        <v>7.7629400000000003E-3</v>
      </c>
      <c r="AN99" s="83">
        <v>8.9499000000000002E-3</v>
      </c>
      <c r="AO99" s="83">
        <v>4.4759599999999997E-2</v>
      </c>
      <c r="AP99" s="83">
        <v>7.3033000000000004E-3</v>
      </c>
      <c r="AQ99" s="83">
        <v>8.9499000000000002E-3</v>
      </c>
      <c r="AR99" s="83">
        <v>4.3325200000000001E-2</v>
      </c>
      <c r="AS99" s="83">
        <v>7.3274899999999999E-3</v>
      </c>
      <c r="AT99" s="83">
        <v>8.9499000000000002E-3</v>
      </c>
      <c r="AU99" s="83">
        <v>4.4115000000000001E-2</v>
      </c>
      <c r="AV99" s="83">
        <v>7.5046599999999998E-3</v>
      </c>
      <c r="AW99" s="83">
        <v>8.9499000000000002E-3</v>
      </c>
      <c r="AX99" s="83">
        <v>4.5287399999999998E-2</v>
      </c>
      <c r="AY99" s="83">
        <v>7.6100999999999999E-3</v>
      </c>
      <c r="AZ99" s="83">
        <v>8.9499000000000002E-3</v>
      </c>
      <c r="BA99" s="83">
        <v>4.4249700000000003E-2</v>
      </c>
      <c r="BB99" s="83">
        <v>7.6385000000000003E-3</v>
      </c>
      <c r="BC99" s="83">
        <v>8.9499000000000002E-3</v>
      </c>
      <c r="BD99" s="83">
        <v>4.4291499999999998E-2</v>
      </c>
      <c r="BE99" s="83">
        <v>7.6523299999999997E-3</v>
      </c>
      <c r="BF99" s="83">
        <v>8.9499000000000002E-3</v>
      </c>
      <c r="BG99" s="83">
        <v>4.3336199999999998E-2</v>
      </c>
      <c r="BH99" s="83">
        <v>7.5638700000000003E-3</v>
      </c>
      <c r="BI99" s="83">
        <v>8.9499000000000002E-3</v>
      </c>
      <c r="BJ99" s="83">
        <v>4.3146799999999999E-2</v>
      </c>
      <c r="BK99" s="83">
        <v>7.6139299999999997E-3</v>
      </c>
      <c r="BL99" s="83">
        <v>8.9499000000000002E-3</v>
      </c>
      <c r="BM99" s="83">
        <v>4.1931599999999999E-2</v>
      </c>
      <c r="BN99" s="83">
        <v>7.53325E-3</v>
      </c>
      <c r="BO99" s="83">
        <v>8.9499000000000002E-3</v>
      </c>
      <c r="BP99" s="83">
        <v>4.0952700000000002E-2</v>
      </c>
      <c r="BQ99" s="83">
        <v>7.4958400000000001E-3</v>
      </c>
      <c r="BR99" s="83">
        <v>8.9499000000000002E-3</v>
      </c>
      <c r="BS99" s="83">
        <v>4.1464500000000001E-2</v>
      </c>
      <c r="BT99" s="83">
        <v>7.67507E-3</v>
      </c>
      <c r="BU99" s="83">
        <v>8.9499000000000002E-3</v>
      </c>
      <c r="BV99" s="83">
        <v>3.9962999999999999E-2</v>
      </c>
      <c r="BW99" s="83">
        <v>7.5520800000000001E-3</v>
      </c>
      <c r="BX99" s="83">
        <v>8.9499000000000002E-3</v>
      </c>
      <c r="BY99" s="83">
        <v>3.8158200000000003E-2</v>
      </c>
      <c r="BZ99" s="83">
        <v>7.3399099999999998E-3</v>
      </c>
      <c r="CA99" s="83">
        <v>8.9499000000000002E-3</v>
      </c>
      <c r="CB99" s="83">
        <v>3.86453E-2</v>
      </c>
      <c r="CC99" s="83">
        <v>7.4604700000000003E-3</v>
      </c>
      <c r="CD99" s="83">
        <v>8.9499000000000002E-3</v>
      </c>
      <c r="CE99" s="83">
        <v>3.7259800000000003E-2</v>
      </c>
      <c r="CF99" s="83">
        <v>7.4099500000000002E-3</v>
      </c>
      <c r="CG99" s="83">
        <v>8.9499000000000002E-3</v>
      </c>
      <c r="CH99" s="83">
        <v>3.7003099999999997E-2</v>
      </c>
      <c r="CI99" s="83">
        <v>7.4294799999999996E-3</v>
      </c>
      <c r="CJ99" s="83">
        <v>8.9499000000000002E-3</v>
      </c>
      <c r="CK99" s="83">
        <v>3.76265E-2</v>
      </c>
      <c r="CL99" s="83">
        <v>7.5169199999999999E-3</v>
      </c>
      <c r="CM99" s="83">
        <v>8.9499000000000002E-3</v>
      </c>
      <c r="CN99" s="83">
        <v>3.7350899999999999E-2</v>
      </c>
      <c r="CO99" s="83">
        <v>7.5666700000000002E-3</v>
      </c>
      <c r="CP99" s="83">
        <v>8.9499000000000002E-3</v>
      </c>
      <c r="CQ99" s="83">
        <v>3.4569099999999998E-2</v>
      </c>
      <c r="CR99" s="83">
        <v>7.3940000000000004E-3</v>
      </c>
      <c r="CS99" s="83">
        <v>8.9499000000000002E-3</v>
      </c>
      <c r="CT99" s="83">
        <v>3.3979299999999997E-2</v>
      </c>
      <c r="CU99" s="83">
        <v>7.3062300000000004E-3</v>
      </c>
      <c r="CV99" s="83">
        <v>8.9499000000000002E-3</v>
      </c>
      <c r="CW99" s="83">
        <v>3.3477300000000002E-2</v>
      </c>
      <c r="CX99" s="83">
        <v>7.47585E-3</v>
      </c>
      <c r="CY99" s="83">
        <v>8.9499000000000002E-3</v>
      </c>
      <c r="CZ99" s="83">
        <v>3.3305700000000001E-2</v>
      </c>
      <c r="DA99" s="83">
        <v>7.6348500000000003E-3</v>
      </c>
    </row>
    <row r="100" spans="1:105" x14ac:dyDescent="0.2">
      <c r="A100" s="83">
        <v>9.0498999999999996E-3</v>
      </c>
      <c r="B100" s="83">
        <v>4.37957E-2</v>
      </c>
      <c r="C100" s="83">
        <v>6.8634999999999998E-3</v>
      </c>
      <c r="D100" s="83">
        <v>9.0498999999999996E-3</v>
      </c>
      <c r="E100" s="83">
        <v>4.4834100000000002E-2</v>
      </c>
      <c r="F100" s="83">
        <v>6.8911900000000002E-3</v>
      </c>
      <c r="G100" s="83">
        <v>9.0498999999999996E-3</v>
      </c>
      <c r="H100" s="83">
        <v>4.5435299999999998E-2</v>
      </c>
      <c r="I100" s="83">
        <v>6.9383300000000004E-3</v>
      </c>
      <c r="J100" s="83">
        <v>9.0498999999999996E-3</v>
      </c>
      <c r="K100" s="83">
        <v>4.67143E-2</v>
      </c>
      <c r="L100" s="83">
        <v>7.1090099999999998E-3</v>
      </c>
      <c r="M100" s="83">
        <v>9.0498999999999996E-3</v>
      </c>
      <c r="N100" s="83">
        <v>4.9379199999999998E-2</v>
      </c>
      <c r="O100" s="83">
        <v>7.2335200000000002E-3</v>
      </c>
      <c r="P100" s="83">
        <v>9.0498999999999996E-3</v>
      </c>
      <c r="Q100" s="83">
        <v>4.6757E-2</v>
      </c>
      <c r="R100" s="83">
        <v>7.0153999999999998E-3</v>
      </c>
      <c r="S100" s="83">
        <v>9.0498999999999996E-3</v>
      </c>
      <c r="T100" s="83">
        <v>4.6734499999999998E-2</v>
      </c>
      <c r="U100" s="83">
        <v>7.0246800000000002E-3</v>
      </c>
      <c r="V100" s="83">
        <v>9.0498999999999996E-3</v>
      </c>
      <c r="W100" s="83">
        <v>4.5756400000000003E-2</v>
      </c>
      <c r="X100" s="83">
        <v>7.0443499999999996E-3</v>
      </c>
      <c r="Y100" s="83">
        <v>9.0498999999999996E-3</v>
      </c>
      <c r="Z100" s="83">
        <v>4.5474300000000002E-2</v>
      </c>
      <c r="AA100" s="83">
        <v>7.04005E-3</v>
      </c>
      <c r="AB100" s="83">
        <v>9.0498999999999996E-3</v>
      </c>
      <c r="AC100" s="83">
        <v>4.49226E-2</v>
      </c>
      <c r="AD100" s="83">
        <v>6.9953599999999999E-3</v>
      </c>
      <c r="AE100" s="83">
        <v>9.0498999999999996E-3</v>
      </c>
      <c r="AF100" s="83">
        <v>4.3848999999999999E-2</v>
      </c>
      <c r="AG100" s="83">
        <v>6.9761500000000004E-3</v>
      </c>
      <c r="AH100" s="83">
        <v>9.0498999999999996E-3</v>
      </c>
      <c r="AI100" s="83">
        <v>4.3534200000000002E-2</v>
      </c>
      <c r="AJ100" s="83">
        <v>7.1231899999999997E-3</v>
      </c>
      <c r="AK100" s="83">
        <v>9.0498999999999996E-3</v>
      </c>
      <c r="AL100" s="83">
        <v>4.56335E-2</v>
      </c>
      <c r="AM100" s="83">
        <v>7.3820800000000001E-3</v>
      </c>
      <c r="AN100" s="83">
        <v>9.0498999999999996E-3</v>
      </c>
      <c r="AO100" s="83">
        <v>4.1854299999999997E-2</v>
      </c>
      <c r="AP100" s="83">
        <v>6.9351300000000003E-3</v>
      </c>
      <c r="AQ100" s="83">
        <v>9.0498999999999996E-3</v>
      </c>
      <c r="AR100" s="83">
        <v>4.0727600000000003E-2</v>
      </c>
      <c r="AS100" s="83">
        <v>6.9612800000000002E-3</v>
      </c>
      <c r="AT100" s="83">
        <v>9.0498999999999996E-3</v>
      </c>
      <c r="AU100" s="83">
        <v>4.1395300000000003E-2</v>
      </c>
      <c r="AV100" s="83">
        <v>7.1355200000000002E-3</v>
      </c>
      <c r="AW100" s="83">
        <v>9.0498999999999996E-3</v>
      </c>
      <c r="AX100" s="83">
        <v>4.2894799999999997E-2</v>
      </c>
      <c r="AY100" s="83">
        <v>7.2145899999999999E-3</v>
      </c>
      <c r="AZ100" s="83">
        <v>9.0498999999999996E-3</v>
      </c>
      <c r="BA100" s="83">
        <v>4.0968499999999998E-2</v>
      </c>
      <c r="BB100" s="83">
        <v>7.2722899999999998E-3</v>
      </c>
      <c r="BC100" s="83">
        <v>9.0498999999999996E-3</v>
      </c>
      <c r="BD100" s="83">
        <v>4.1400899999999997E-2</v>
      </c>
      <c r="BE100" s="83">
        <v>7.2831900000000001E-3</v>
      </c>
      <c r="BF100" s="83">
        <v>9.0498999999999996E-3</v>
      </c>
      <c r="BG100" s="83">
        <v>4.0294200000000002E-2</v>
      </c>
      <c r="BH100" s="83">
        <v>7.1683600000000004E-3</v>
      </c>
      <c r="BI100" s="83">
        <v>9.0498999999999996E-3</v>
      </c>
      <c r="BJ100" s="83">
        <v>4.0475900000000002E-2</v>
      </c>
      <c r="BK100" s="83">
        <v>7.2516200000000003E-3</v>
      </c>
      <c r="BL100" s="83">
        <v>9.0498999999999996E-3</v>
      </c>
      <c r="BM100" s="83">
        <v>3.9402300000000001E-2</v>
      </c>
      <c r="BN100" s="83">
        <v>7.1846200000000001E-3</v>
      </c>
      <c r="BO100" s="83">
        <v>9.0498999999999996E-3</v>
      </c>
      <c r="BP100" s="83">
        <v>3.8296400000000001E-2</v>
      </c>
      <c r="BQ100" s="83">
        <v>7.12475E-3</v>
      </c>
      <c r="BR100" s="83">
        <v>9.0498999999999996E-3</v>
      </c>
      <c r="BS100" s="83">
        <v>3.8876599999999997E-2</v>
      </c>
      <c r="BT100" s="83">
        <v>7.3020300000000002E-3</v>
      </c>
      <c r="BU100" s="83">
        <v>9.0498999999999996E-3</v>
      </c>
      <c r="BV100" s="83">
        <v>3.7575299999999999E-2</v>
      </c>
      <c r="BW100" s="83">
        <v>7.2005100000000002E-3</v>
      </c>
      <c r="BX100" s="83">
        <v>9.0498999999999996E-3</v>
      </c>
      <c r="BY100" s="83">
        <v>3.5433600000000003E-2</v>
      </c>
      <c r="BZ100" s="83">
        <v>6.9737000000000002E-3</v>
      </c>
      <c r="CA100" s="83">
        <v>9.0498999999999996E-3</v>
      </c>
      <c r="CB100" s="83">
        <v>3.6477299999999997E-2</v>
      </c>
      <c r="CC100" s="83">
        <v>7.1030499999999996E-3</v>
      </c>
      <c r="CD100" s="83">
        <v>9.0498999999999996E-3</v>
      </c>
      <c r="CE100" s="83">
        <v>3.5340900000000001E-2</v>
      </c>
      <c r="CF100" s="83">
        <v>7.0320199999999999E-3</v>
      </c>
      <c r="CG100" s="83">
        <v>9.0498999999999996E-3</v>
      </c>
      <c r="CH100" s="83">
        <v>3.4420100000000002E-2</v>
      </c>
      <c r="CI100" s="83">
        <v>7.04471E-3</v>
      </c>
      <c r="CJ100" s="83">
        <v>9.0498999999999996E-3</v>
      </c>
      <c r="CK100" s="83">
        <v>3.52974E-2</v>
      </c>
      <c r="CL100" s="83">
        <v>7.14973E-3</v>
      </c>
      <c r="CM100" s="83">
        <v>9.0498999999999996E-3</v>
      </c>
      <c r="CN100" s="83">
        <v>3.4782599999999997E-2</v>
      </c>
      <c r="CO100" s="83">
        <v>7.2072999999999998E-3</v>
      </c>
      <c r="CP100" s="83">
        <v>9.0498999999999996E-3</v>
      </c>
      <c r="CQ100" s="83">
        <v>3.2156999999999998E-2</v>
      </c>
      <c r="CR100" s="83">
        <v>7.02193E-3</v>
      </c>
      <c r="CS100" s="83">
        <v>9.0498999999999996E-3</v>
      </c>
      <c r="CT100" s="83">
        <v>3.1791800000000002E-2</v>
      </c>
      <c r="CU100" s="83">
        <v>6.9536900000000002E-3</v>
      </c>
      <c r="CV100" s="83">
        <v>9.0498999999999996E-3</v>
      </c>
      <c r="CW100" s="83">
        <v>3.1958800000000002E-2</v>
      </c>
      <c r="CX100" s="83">
        <v>7.1086600000000002E-3</v>
      </c>
      <c r="CY100" s="83">
        <v>9.0498999999999996E-3</v>
      </c>
      <c r="CZ100" s="83">
        <v>3.14404E-2</v>
      </c>
      <c r="DA100" s="83">
        <v>7.25985E-3</v>
      </c>
    </row>
    <row r="101" spans="1:105" x14ac:dyDescent="0.2">
      <c r="A101" s="83">
        <v>9.1499000000000007E-3</v>
      </c>
      <c r="B101" s="83">
        <v>4.09734E-2</v>
      </c>
      <c r="C101" s="83">
        <v>6.5363499999999998E-3</v>
      </c>
      <c r="D101" s="83">
        <v>9.1499000000000007E-3</v>
      </c>
      <c r="E101" s="83">
        <v>4.1386800000000001E-2</v>
      </c>
      <c r="F101" s="83">
        <v>6.5572099999999999E-3</v>
      </c>
      <c r="G101" s="83">
        <v>9.1499000000000007E-3</v>
      </c>
      <c r="H101" s="83">
        <v>4.1944099999999998E-2</v>
      </c>
      <c r="I101" s="83">
        <v>6.60044E-3</v>
      </c>
      <c r="J101" s="83">
        <v>9.1499000000000007E-3</v>
      </c>
      <c r="K101" s="83">
        <v>4.3730900000000003E-2</v>
      </c>
      <c r="L101" s="83">
        <v>6.7632999999999999E-3</v>
      </c>
      <c r="M101" s="83">
        <v>9.1499000000000007E-3</v>
      </c>
      <c r="N101" s="83">
        <v>4.63031E-2</v>
      </c>
      <c r="O101" s="83">
        <v>6.8614499999999998E-3</v>
      </c>
      <c r="P101" s="83">
        <v>9.1499000000000007E-3</v>
      </c>
      <c r="Q101" s="83">
        <v>4.3187700000000002E-2</v>
      </c>
      <c r="R101" s="83">
        <v>6.6589500000000003E-3</v>
      </c>
      <c r="S101" s="83">
        <v>9.1499000000000007E-3</v>
      </c>
      <c r="T101" s="83">
        <v>4.3443500000000003E-2</v>
      </c>
      <c r="U101" s="83">
        <v>6.6926499999999996E-3</v>
      </c>
      <c r="V101" s="83">
        <v>9.1499000000000007E-3</v>
      </c>
      <c r="W101" s="83">
        <v>4.3144099999999998E-2</v>
      </c>
      <c r="X101" s="83">
        <v>6.69083E-3</v>
      </c>
      <c r="Y101" s="83">
        <v>9.1499000000000007E-3</v>
      </c>
      <c r="Z101" s="83">
        <v>4.2300499999999998E-2</v>
      </c>
      <c r="AA101" s="83">
        <v>6.67872E-3</v>
      </c>
      <c r="AB101" s="83">
        <v>9.1499000000000007E-3</v>
      </c>
      <c r="AC101" s="83">
        <v>4.1675499999999997E-2</v>
      </c>
      <c r="AD101" s="83">
        <v>6.6545399999999996E-3</v>
      </c>
      <c r="AE101" s="83">
        <v>9.1499000000000007E-3</v>
      </c>
      <c r="AF101" s="83">
        <v>4.0909599999999997E-2</v>
      </c>
      <c r="AG101" s="83">
        <v>6.6167700000000001E-3</v>
      </c>
      <c r="AH101" s="83">
        <v>9.1499000000000007E-3</v>
      </c>
      <c r="AI101" s="83">
        <v>4.1258799999999998E-2</v>
      </c>
      <c r="AJ101" s="83">
        <v>6.78139E-3</v>
      </c>
      <c r="AK101" s="83">
        <v>9.1499000000000007E-3</v>
      </c>
      <c r="AL101" s="83">
        <v>4.2528099999999999E-2</v>
      </c>
      <c r="AM101" s="83">
        <v>7.0139199999999999E-3</v>
      </c>
      <c r="AN101" s="83">
        <v>9.1499000000000007E-3</v>
      </c>
      <c r="AO101" s="83">
        <v>3.9188300000000002E-2</v>
      </c>
      <c r="AP101" s="83">
        <v>6.6324000000000001E-3</v>
      </c>
      <c r="AQ101" s="83">
        <v>9.1499000000000007E-3</v>
      </c>
      <c r="AR101" s="83">
        <v>3.7802799999999998E-2</v>
      </c>
      <c r="AS101" s="83">
        <v>6.6097200000000004E-3</v>
      </c>
      <c r="AT101" s="83">
        <v>9.1499000000000007E-3</v>
      </c>
      <c r="AU101" s="83">
        <v>3.8797600000000002E-2</v>
      </c>
      <c r="AV101" s="83">
        <v>6.7780899999999996E-3</v>
      </c>
      <c r="AW101" s="83">
        <v>9.1499000000000007E-3</v>
      </c>
      <c r="AX101" s="83">
        <v>3.9843099999999999E-2</v>
      </c>
      <c r="AY101" s="83">
        <v>6.8601000000000001E-3</v>
      </c>
      <c r="AZ101" s="83">
        <v>9.1499000000000007E-3</v>
      </c>
      <c r="BA101" s="83">
        <v>3.8556399999999998E-2</v>
      </c>
      <c r="BB101" s="83">
        <v>6.9217100000000002E-3</v>
      </c>
      <c r="BC101" s="83">
        <v>9.1499000000000007E-3</v>
      </c>
      <c r="BD101" s="83">
        <v>3.9023000000000002E-2</v>
      </c>
      <c r="BE101" s="83">
        <v>6.9277200000000001E-3</v>
      </c>
      <c r="BF101" s="83">
        <v>9.1499000000000007E-3</v>
      </c>
      <c r="BG101" s="83">
        <v>3.7701499999999999E-2</v>
      </c>
      <c r="BH101" s="83">
        <v>6.8470700000000002E-3</v>
      </c>
      <c r="BI101" s="83">
        <v>9.1499000000000007E-3</v>
      </c>
      <c r="BJ101" s="83">
        <v>3.7609700000000003E-2</v>
      </c>
      <c r="BK101" s="83">
        <v>6.8902900000000003E-3</v>
      </c>
      <c r="BL101" s="83">
        <v>9.1499000000000007E-3</v>
      </c>
      <c r="BM101" s="83">
        <v>3.66924E-2</v>
      </c>
      <c r="BN101" s="83">
        <v>6.8203600000000001E-3</v>
      </c>
      <c r="BO101" s="83">
        <v>9.1499000000000007E-3</v>
      </c>
      <c r="BP101" s="83">
        <v>3.5991700000000001E-2</v>
      </c>
      <c r="BQ101" s="83">
        <v>6.7790400000000001E-3</v>
      </c>
      <c r="BR101" s="83">
        <v>9.1499000000000007E-3</v>
      </c>
      <c r="BS101" s="83">
        <v>3.6342399999999997E-2</v>
      </c>
      <c r="BT101" s="83">
        <v>6.9397199999999999E-3</v>
      </c>
      <c r="BU101" s="83">
        <v>9.1499000000000007E-3</v>
      </c>
      <c r="BV101" s="83">
        <v>3.5026500000000002E-2</v>
      </c>
      <c r="BW101" s="83">
        <v>6.8577400000000002E-3</v>
      </c>
      <c r="BX101" s="83">
        <v>9.1499000000000007E-3</v>
      </c>
      <c r="BY101" s="83">
        <v>3.2918900000000001E-2</v>
      </c>
      <c r="BZ101" s="83">
        <v>6.60846E-3</v>
      </c>
      <c r="CA101" s="83">
        <v>9.1499000000000007E-3</v>
      </c>
      <c r="CB101" s="83">
        <v>3.3567100000000002E-2</v>
      </c>
      <c r="CC101" s="83">
        <v>6.7270699999999999E-3</v>
      </c>
      <c r="CD101" s="83">
        <v>9.1499000000000007E-3</v>
      </c>
      <c r="CE101" s="83">
        <v>3.2850600000000001E-2</v>
      </c>
      <c r="CF101" s="83">
        <v>6.7068199999999996E-3</v>
      </c>
      <c r="CG101" s="83">
        <v>9.1499000000000007E-3</v>
      </c>
      <c r="CH101" s="83">
        <v>3.2457199999999999E-2</v>
      </c>
      <c r="CI101" s="83">
        <v>6.7126800000000004E-3</v>
      </c>
      <c r="CJ101" s="83">
        <v>9.1499000000000007E-3</v>
      </c>
      <c r="CK101" s="83">
        <v>3.26363E-2</v>
      </c>
      <c r="CL101" s="83">
        <v>6.8147700000000004E-3</v>
      </c>
      <c r="CM101" s="83">
        <v>9.1499000000000007E-3</v>
      </c>
      <c r="CN101" s="83">
        <v>3.26585E-2</v>
      </c>
      <c r="CO101" s="83">
        <v>6.8352300000000003E-3</v>
      </c>
      <c r="CP101" s="83">
        <v>9.1499000000000007E-3</v>
      </c>
      <c r="CQ101" s="83">
        <v>3.0291800000000001E-2</v>
      </c>
      <c r="CR101" s="83">
        <v>6.6625599999999997E-3</v>
      </c>
      <c r="CS101" s="83">
        <v>9.1499000000000007E-3</v>
      </c>
      <c r="CT101" s="83">
        <v>2.9316200000000001E-2</v>
      </c>
      <c r="CU101" s="83">
        <v>6.6021300000000003E-3</v>
      </c>
      <c r="CV101" s="83">
        <v>9.1499000000000007E-3</v>
      </c>
      <c r="CW101" s="83">
        <v>2.9331800000000002E-2</v>
      </c>
      <c r="CX101" s="83">
        <v>6.7571000000000003E-3</v>
      </c>
      <c r="CY101" s="83">
        <v>9.1499000000000007E-3</v>
      </c>
      <c r="CZ101" s="83">
        <v>2.93262E-2</v>
      </c>
      <c r="DA101" s="83">
        <v>6.8955900000000001E-3</v>
      </c>
    </row>
    <row r="102" spans="1:105" x14ac:dyDescent="0.2">
      <c r="A102" s="83">
        <v>9.2499000000000001E-3</v>
      </c>
      <c r="B102" s="83">
        <v>3.8312300000000001E-2</v>
      </c>
      <c r="C102" s="83">
        <v>6.2189699999999999E-3</v>
      </c>
      <c r="D102" s="83">
        <v>9.2499000000000001E-3</v>
      </c>
      <c r="E102" s="83">
        <v>3.8652400000000003E-2</v>
      </c>
      <c r="F102" s="83">
        <v>6.2378700000000004E-3</v>
      </c>
      <c r="G102" s="83">
        <v>9.2499000000000001E-3</v>
      </c>
      <c r="H102" s="83">
        <v>3.9556399999999999E-2</v>
      </c>
      <c r="I102" s="83">
        <v>6.2713400000000002E-3</v>
      </c>
      <c r="J102" s="83">
        <v>9.2499000000000001E-3</v>
      </c>
      <c r="K102" s="83">
        <v>4.0830600000000002E-2</v>
      </c>
      <c r="L102" s="83">
        <v>6.4254100000000003E-3</v>
      </c>
      <c r="M102" s="83">
        <v>9.2499000000000001E-3</v>
      </c>
      <c r="N102" s="83">
        <v>4.28802E-2</v>
      </c>
      <c r="O102" s="83">
        <v>6.5235600000000003E-3</v>
      </c>
      <c r="P102" s="83">
        <v>9.2499000000000001E-3</v>
      </c>
      <c r="Q102" s="83">
        <v>4.0604700000000001E-2</v>
      </c>
      <c r="R102" s="83">
        <v>6.3396199999999998E-3</v>
      </c>
      <c r="S102" s="83">
        <v>9.2499000000000001E-3</v>
      </c>
      <c r="T102" s="83">
        <v>4.0894699999999999E-2</v>
      </c>
      <c r="U102" s="83">
        <v>6.3459700000000003E-3</v>
      </c>
      <c r="V102" s="83">
        <v>9.2499000000000001E-3</v>
      </c>
      <c r="W102" s="83">
        <v>3.9955600000000001E-2</v>
      </c>
      <c r="X102" s="83">
        <v>6.3802800000000003E-3</v>
      </c>
      <c r="Y102" s="83">
        <v>9.2499000000000001E-3</v>
      </c>
      <c r="Z102" s="83">
        <v>3.95661E-2</v>
      </c>
      <c r="AA102" s="83">
        <v>6.3544999999999999E-3</v>
      </c>
      <c r="AB102" s="83">
        <v>9.2499000000000001E-3</v>
      </c>
      <c r="AC102" s="83">
        <v>3.9092500000000002E-2</v>
      </c>
      <c r="AD102" s="83">
        <v>6.3215299999999997E-3</v>
      </c>
      <c r="AE102" s="83">
        <v>9.2499000000000001E-3</v>
      </c>
      <c r="AF102" s="83">
        <v>3.8228900000000003E-2</v>
      </c>
      <c r="AG102" s="83">
        <v>6.2974399999999996E-3</v>
      </c>
      <c r="AH102" s="83">
        <v>9.2499000000000001E-3</v>
      </c>
      <c r="AI102" s="83">
        <v>3.8324200000000003E-2</v>
      </c>
      <c r="AJ102" s="83">
        <v>6.4561899999999997E-3</v>
      </c>
      <c r="AK102" s="83">
        <v>9.2499000000000001E-3</v>
      </c>
      <c r="AL102" s="83">
        <v>3.99353E-2</v>
      </c>
      <c r="AM102" s="83">
        <v>6.6525899999999999E-3</v>
      </c>
      <c r="AN102" s="83">
        <v>9.2499000000000001E-3</v>
      </c>
      <c r="AO102" s="83">
        <v>3.6449099999999998E-2</v>
      </c>
      <c r="AP102" s="83">
        <v>6.2827899999999999E-3</v>
      </c>
      <c r="AQ102" s="83">
        <v>9.2499000000000001E-3</v>
      </c>
      <c r="AR102" s="83">
        <v>3.5546899999999999E-2</v>
      </c>
      <c r="AS102" s="83">
        <v>6.2796400000000004E-3</v>
      </c>
      <c r="AT102" s="83">
        <v>9.2499000000000001E-3</v>
      </c>
      <c r="AU102" s="83">
        <v>3.6239E-2</v>
      </c>
      <c r="AV102" s="83">
        <v>6.42751E-3</v>
      </c>
      <c r="AW102" s="83">
        <v>9.2499000000000001E-3</v>
      </c>
      <c r="AX102" s="83">
        <v>3.7064699999999999E-2</v>
      </c>
      <c r="AY102" s="83">
        <v>6.48608E-3</v>
      </c>
      <c r="AZ102" s="83">
        <v>9.2499000000000001E-3</v>
      </c>
      <c r="BA102" s="83">
        <v>3.5802500000000001E-2</v>
      </c>
      <c r="BB102" s="83">
        <v>6.5847900000000001E-3</v>
      </c>
      <c r="BC102" s="83">
        <v>9.2499000000000001E-3</v>
      </c>
      <c r="BD102" s="83">
        <v>3.6142100000000003E-2</v>
      </c>
      <c r="BE102" s="83">
        <v>6.5527199999999997E-3</v>
      </c>
      <c r="BF102" s="83">
        <v>9.2499000000000001E-3</v>
      </c>
      <c r="BG102" s="83">
        <v>3.5123300000000003E-2</v>
      </c>
      <c r="BH102" s="83">
        <v>6.4740199999999996E-3</v>
      </c>
      <c r="BI102" s="83">
        <v>9.2499000000000001E-3</v>
      </c>
      <c r="BJ102" s="83">
        <v>3.5700500000000003E-2</v>
      </c>
      <c r="BK102" s="83">
        <v>6.54654E-3</v>
      </c>
      <c r="BL102" s="83">
        <v>9.2499000000000001E-3</v>
      </c>
      <c r="BM102" s="83">
        <v>3.4236299999999997E-2</v>
      </c>
      <c r="BN102" s="83">
        <v>6.4961400000000001E-3</v>
      </c>
      <c r="BO102" s="83">
        <v>9.2499000000000001E-3</v>
      </c>
      <c r="BP102" s="83">
        <v>3.37603E-2</v>
      </c>
      <c r="BQ102" s="83">
        <v>6.4060000000000002E-3</v>
      </c>
      <c r="BR102" s="83">
        <v>9.2499000000000001E-3</v>
      </c>
      <c r="BS102" s="83">
        <v>3.4184199999999998E-2</v>
      </c>
      <c r="BT102" s="83">
        <v>6.6028099999999998E-3</v>
      </c>
      <c r="BU102" s="83">
        <v>9.2499000000000001E-3</v>
      </c>
      <c r="BV102" s="83">
        <v>3.2790100000000003E-2</v>
      </c>
      <c r="BW102" s="83">
        <v>6.5042199999999998E-3</v>
      </c>
      <c r="BX102" s="83">
        <v>9.2499000000000001E-3</v>
      </c>
      <c r="BY102" s="83">
        <v>3.0912100000000001E-2</v>
      </c>
      <c r="BZ102" s="83">
        <v>6.2949900000000003E-3</v>
      </c>
      <c r="CA102" s="83">
        <v>9.2499000000000001E-3</v>
      </c>
      <c r="CB102" s="83">
        <v>3.1281999999999997E-2</v>
      </c>
      <c r="CC102" s="83">
        <v>6.3930899999999997E-3</v>
      </c>
      <c r="CD102" s="83">
        <v>9.2499000000000001E-3</v>
      </c>
      <c r="CE102" s="83">
        <v>3.0877999999999999E-2</v>
      </c>
      <c r="CF102" s="83">
        <v>6.3503800000000001E-3</v>
      </c>
      <c r="CG102" s="83">
        <v>9.2499000000000001E-3</v>
      </c>
      <c r="CH102" s="83">
        <v>3.0416200000000001E-2</v>
      </c>
      <c r="CI102" s="83">
        <v>6.3620999999999999E-3</v>
      </c>
      <c r="CJ102" s="83">
        <v>9.2499000000000001E-3</v>
      </c>
      <c r="CK102" s="83">
        <v>3.0580599999999999E-2</v>
      </c>
      <c r="CL102" s="83">
        <v>6.4690700000000004E-3</v>
      </c>
      <c r="CM102" s="83">
        <v>9.2499000000000001E-3</v>
      </c>
      <c r="CN102" s="83">
        <v>3.0402700000000001E-2</v>
      </c>
      <c r="CO102" s="83">
        <v>6.4944099999999999E-3</v>
      </c>
      <c r="CP102" s="83">
        <v>9.2499000000000001E-3</v>
      </c>
      <c r="CQ102" s="83">
        <v>2.8734200000000001E-2</v>
      </c>
      <c r="CR102" s="83">
        <v>6.3373600000000002E-3</v>
      </c>
      <c r="CS102" s="83">
        <v>9.2499000000000001E-3</v>
      </c>
      <c r="CT102" s="83">
        <v>2.80369E-2</v>
      </c>
      <c r="CU102" s="83">
        <v>6.2661899999999996E-3</v>
      </c>
      <c r="CV102" s="83">
        <v>9.2499000000000001E-3</v>
      </c>
      <c r="CW102" s="83">
        <v>2.8413799999999999E-2</v>
      </c>
      <c r="CX102" s="83">
        <v>6.4094399999999998E-3</v>
      </c>
      <c r="CY102" s="83">
        <v>9.2499000000000001E-3</v>
      </c>
      <c r="CZ102" s="83">
        <v>2.73633E-2</v>
      </c>
      <c r="DA102" s="83">
        <v>6.5498900000000001E-3</v>
      </c>
    </row>
    <row r="103" spans="1:105" x14ac:dyDescent="0.2">
      <c r="A103" s="83">
        <v>9.3498999999999995E-3</v>
      </c>
      <c r="B103" s="83">
        <v>3.5968600000000003E-2</v>
      </c>
      <c r="C103" s="83">
        <v>5.9025700000000002E-3</v>
      </c>
      <c r="D103" s="83">
        <v>9.3498999999999995E-3</v>
      </c>
      <c r="E103" s="83">
        <v>3.65235E-2</v>
      </c>
      <c r="F103" s="83">
        <v>5.8824000000000003E-3</v>
      </c>
      <c r="G103" s="83">
        <v>9.3498999999999995E-3</v>
      </c>
      <c r="H103" s="83">
        <v>3.6587700000000001E-2</v>
      </c>
      <c r="I103" s="83">
        <v>5.9461399999999999E-3</v>
      </c>
      <c r="J103" s="83">
        <v>9.3498999999999995E-3</v>
      </c>
      <c r="K103" s="83">
        <v>3.8652800000000001E-2</v>
      </c>
      <c r="L103" s="83">
        <v>6.09729E-3</v>
      </c>
      <c r="M103" s="83">
        <v>9.3498999999999995E-3</v>
      </c>
      <c r="N103" s="83">
        <v>4.0243500000000001E-2</v>
      </c>
      <c r="O103" s="83">
        <v>6.1749200000000004E-3</v>
      </c>
      <c r="P103" s="83">
        <v>9.3498999999999995E-3</v>
      </c>
      <c r="Q103" s="83">
        <v>3.8329299999999997E-2</v>
      </c>
      <c r="R103" s="83">
        <v>6.0525099999999997E-3</v>
      </c>
      <c r="S103" s="83">
        <v>9.3498999999999995E-3</v>
      </c>
      <c r="T103" s="83">
        <v>3.8502099999999997E-2</v>
      </c>
      <c r="U103" s="83">
        <v>6.0422599999999998E-3</v>
      </c>
      <c r="V103" s="83">
        <v>9.3498999999999995E-3</v>
      </c>
      <c r="W103" s="83">
        <v>3.7455599999999999E-2</v>
      </c>
      <c r="X103" s="83">
        <v>6.0306800000000001E-3</v>
      </c>
      <c r="Y103" s="83">
        <v>9.3498999999999995E-3</v>
      </c>
      <c r="Z103" s="83">
        <v>3.70319E-2</v>
      </c>
      <c r="AA103" s="83">
        <v>6.0166100000000004E-3</v>
      </c>
      <c r="AB103" s="83">
        <v>9.3498999999999995E-3</v>
      </c>
      <c r="AC103" s="83">
        <v>3.6485099999999999E-2</v>
      </c>
      <c r="AD103" s="83">
        <v>6.00513E-3</v>
      </c>
      <c r="AE103" s="83">
        <v>9.3498999999999995E-3</v>
      </c>
      <c r="AF103" s="83">
        <v>3.6129300000000003E-2</v>
      </c>
      <c r="AG103" s="83">
        <v>5.9683399999999999E-3</v>
      </c>
      <c r="AH103" s="83">
        <v>9.3498999999999995E-3</v>
      </c>
      <c r="AI103" s="83">
        <v>3.5887700000000002E-2</v>
      </c>
      <c r="AJ103" s="83">
        <v>6.1261099999999997E-3</v>
      </c>
      <c r="AK103" s="83">
        <v>9.3498999999999995E-3</v>
      </c>
      <c r="AL103" s="83">
        <v>3.7083699999999997E-2</v>
      </c>
      <c r="AM103" s="83">
        <v>6.3273899999999996E-3</v>
      </c>
      <c r="AN103" s="83">
        <v>9.3498999999999995E-3</v>
      </c>
      <c r="AO103" s="83">
        <v>3.4051600000000001E-2</v>
      </c>
      <c r="AP103" s="83">
        <v>5.9732199999999996E-3</v>
      </c>
      <c r="AQ103" s="83">
        <v>9.3498999999999995E-3</v>
      </c>
      <c r="AR103" s="83">
        <v>3.2866300000000001E-2</v>
      </c>
      <c r="AS103" s="83">
        <v>5.9651900000000004E-3</v>
      </c>
      <c r="AT103" s="83">
        <v>9.3498999999999995E-3</v>
      </c>
      <c r="AU103" s="83">
        <v>3.3831800000000002E-2</v>
      </c>
      <c r="AV103" s="83">
        <v>6.1013400000000002E-3</v>
      </c>
      <c r="AW103" s="83">
        <v>9.3498999999999995E-3</v>
      </c>
      <c r="AX103" s="83">
        <v>3.4535499999999997E-2</v>
      </c>
      <c r="AY103" s="83">
        <v>6.1833399999999998E-3</v>
      </c>
      <c r="AZ103" s="83">
        <v>9.3498999999999995E-3</v>
      </c>
      <c r="BA103" s="83">
        <v>3.3658899999999999E-2</v>
      </c>
      <c r="BB103" s="83">
        <v>6.24202E-3</v>
      </c>
      <c r="BC103" s="83">
        <v>9.3498999999999995E-3</v>
      </c>
      <c r="BD103" s="83">
        <v>3.3695799999999998E-2</v>
      </c>
      <c r="BE103" s="83">
        <v>6.1992100000000001E-3</v>
      </c>
      <c r="BF103" s="83">
        <v>9.3498999999999995E-3</v>
      </c>
      <c r="BG103" s="83">
        <v>3.3028599999999998E-2</v>
      </c>
      <c r="BH103" s="83">
        <v>6.1790999999999999E-3</v>
      </c>
      <c r="BI103" s="83">
        <v>9.3498999999999995E-3</v>
      </c>
      <c r="BJ103" s="83">
        <v>3.2726900000000003E-2</v>
      </c>
      <c r="BK103" s="83">
        <v>6.2262300000000001E-3</v>
      </c>
      <c r="BL103" s="83">
        <v>9.3498999999999995E-3</v>
      </c>
      <c r="BM103" s="83">
        <v>3.2229500000000001E-2</v>
      </c>
      <c r="BN103" s="83">
        <v>6.1514200000000003E-3</v>
      </c>
      <c r="BO103" s="83">
        <v>9.3498999999999995E-3</v>
      </c>
      <c r="BP103" s="83">
        <v>3.1773000000000003E-2</v>
      </c>
      <c r="BQ103" s="83">
        <v>6.10912E-3</v>
      </c>
      <c r="BR103" s="83">
        <v>9.3498999999999995E-3</v>
      </c>
      <c r="BS103" s="83">
        <v>3.2016299999999998E-2</v>
      </c>
      <c r="BT103" s="83">
        <v>6.2678500000000002E-3</v>
      </c>
      <c r="BU103" s="83">
        <v>9.3498999999999995E-3</v>
      </c>
      <c r="BV103" s="83">
        <v>3.0348699999999999E-2</v>
      </c>
      <c r="BW103" s="83">
        <v>6.1761000000000003E-3</v>
      </c>
      <c r="BX103" s="83">
        <v>9.3498999999999995E-3</v>
      </c>
      <c r="BY103" s="83">
        <v>2.8993100000000001E-2</v>
      </c>
      <c r="BZ103" s="83">
        <v>5.9639300000000001E-3</v>
      </c>
      <c r="CA103" s="83">
        <v>9.3498999999999995E-3</v>
      </c>
      <c r="CB103" s="83">
        <v>2.97976E-2</v>
      </c>
      <c r="CC103" s="83">
        <v>6.0581300000000001E-3</v>
      </c>
      <c r="CD103" s="83">
        <v>9.3498999999999995E-3</v>
      </c>
      <c r="CE103" s="83">
        <v>2.88858E-2</v>
      </c>
      <c r="CF103" s="83">
        <v>6.01346E-3</v>
      </c>
      <c r="CG103" s="83">
        <v>9.3498999999999995E-3</v>
      </c>
      <c r="CH103" s="83">
        <v>2.8780400000000001E-2</v>
      </c>
      <c r="CI103" s="83">
        <v>6.0369000000000004E-3</v>
      </c>
      <c r="CJ103" s="83">
        <v>9.3498999999999995E-3</v>
      </c>
      <c r="CK103" s="83">
        <v>2.8935099999999998E-2</v>
      </c>
      <c r="CL103" s="83">
        <v>6.1370399999999999E-3</v>
      </c>
      <c r="CM103" s="83">
        <v>9.3498999999999995E-3</v>
      </c>
      <c r="CN103" s="83">
        <v>2.8630200000000001E-2</v>
      </c>
      <c r="CO103" s="83">
        <v>6.1701899999999999E-3</v>
      </c>
      <c r="CP103" s="83">
        <v>9.3498999999999995E-3</v>
      </c>
      <c r="CQ103" s="83">
        <v>2.6971499999999999E-2</v>
      </c>
      <c r="CR103" s="83">
        <v>6.0092399999999999E-3</v>
      </c>
      <c r="CS103" s="83">
        <v>9.3498999999999995E-3</v>
      </c>
      <c r="CT103" s="83">
        <v>2.6396200000000002E-2</v>
      </c>
      <c r="CU103" s="83">
        <v>5.9517399999999996E-3</v>
      </c>
      <c r="CV103" s="83">
        <v>9.3498999999999995E-3</v>
      </c>
      <c r="CW103" s="83">
        <v>2.6070099999999999E-2</v>
      </c>
      <c r="CX103" s="83">
        <v>6.06764E-3</v>
      </c>
      <c r="CY103" s="83">
        <v>9.3498999999999995E-3</v>
      </c>
      <c r="CZ103" s="83">
        <v>2.5405299999999999E-2</v>
      </c>
      <c r="DA103" s="83">
        <v>6.2325100000000001E-3</v>
      </c>
    </row>
    <row r="104" spans="1:105" x14ac:dyDescent="0.2">
      <c r="A104" s="83">
        <v>9.4499000000000007E-3</v>
      </c>
      <c r="B104" s="83">
        <v>3.3561300000000002E-2</v>
      </c>
      <c r="C104" s="83">
        <v>5.5812800000000001E-3</v>
      </c>
      <c r="D104" s="83">
        <v>9.4499000000000007E-3</v>
      </c>
      <c r="E104" s="83">
        <v>3.4550900000000002E-2</v>
      </c>
      <c r="F104" s="83">
        <v>5.5904099999999997E-3</v>
      </c>
      <c r="G104" s="83">
        <v>9.4499000000000007E-3</v>
      </c>
      <c r="H104" s="83">
        <v>3.3989999999999999E-2</v>
      </c>
      <c r="I104" s="83">
        <v>5.6375499999999999E-3</v>
      </c>
      <c r="J104" s="83">
        <v>9.4499000000000007E-3</v>
      </c>
      <c r="K104" s="83">
        <v>3.5811000000000003E-2</v>
      </c>
      <c r="L104" s="83">
        <v>5.7740400000000002E-3</v>
      </c>
      <c r="M104" s="83">
        <v>9.4499000000000007E-3</v>
      </c>
      <c r="N104" s="83">
        <v>3.7650700000000002E-2</v>
      </c>
      <c r="O104" s="83">
        <v>5.8780500000000001E-3</v>
      </c>
      <c r="P104" s="83">
        <v>9.4499000000000007E-3</v>
      </c>
      <c r="Q104" s="83">
        <v>3.6073399999999999E-2</v>
      </c>
      <c r="R104" s="83">
        <v>5.7097299999999997E-3</v>
      </c>
      <c r="S104" s="83">
        <v>9.4499000000000007E-3</v>
      </c>
      <c r="T104" s="83">
        <v>3.6021600000000001E-2</v>
      </c>
      <c r="U104" s="83">
        <v>5.7053399999999997E-3</v>
      </c>
      <c r="V104" s="83">
        <v>9.4499000000000007E-3</v>
      </c>
      <c r="W104" s="83">
        <v>3.5209499999999998E-2</v>
      </c>
      <c r="X104" s="83">
        <v>5.7484499999999996E-3</v>
      </c>
      <c r="Y104" s="83">
        <v>9.4499000000000007E-3</v>
      </c>
      <c r="Z104" s="83">
        <v>3.4624700000000001E-2</v>
      </c>
      <c r="AA104" s="83">
        <v>5.7373199999999997E-3</v>
      </c>
      <c r="AB104" s="83">
        <v>9.4499000000000007E-3</v>
      </c>
      <c r="AC104" s="83">
        <v>3.4453900000000003E-2</v>
      </c>
      <c r="AD104" s="83">
        <v>5.6828599999999996E-3</v>
      </c>
      <c r="AE104" s="83">
        <v>9.4499000000000007E-3</v>
      </c>
      <c r="AF104" s="83">
        <v>3.3639099999999998E-2</v>
      </c>
      <c r="AG104" s="83">
        <v>5.6724399999999999E-3</v>
      </c>
      <c r="AH104" s="83">
        <v>9.4499000000000007E-3</v>
      </c>
      <c r="AI104" s="83">
        <v>3.3714899999999999E-2</v>
      </c>
      <c r="AJ104" s="83">
        <v>5.8087299999999998E-3</v>
      </c>
      <c r="AK104" s="83">
        <v>9.4499000000000007E-3</v>
      </c>
      <c r="AL104" s="83">
        <v>3.4803500000000001E-2</v>
      </c>
      <c r="AM104" s="83">
        <v>6.0109899999999999E-3</v>
      </c>
      <c r="AN104" s="83">
        <v>9.4499000000000007E-3</v>
      </c>
      <c r="AO104" s="83">
        <v>3.24061E-2</v>
      </c>
      <c r="AP104" s="83">
        <v>5.65681E-3</v>
      </c>
      <c r="AQ104" s="83">
        <v>9.4499000000000007E-3</v>
      </c>
      <c r="AR104" s="83">
        <v>3.0668999999999998E-2</v>
      </c>
      <c r="AS104" s="83">
        <v>5.64585E-3</v>
      </c>
      <c r="AT104" s="83">
        <v>9.4499000000000007E-3</v>
      </c>
      <c r="AU104" s="83">
        <v>3.1883500000000002E-2</v>
      </c>
      <c r="AV104" s="83">
        <v>5.7956700000000002E-3</v>
      </c>
      <c r="AW104" s="83">
        <v>9.4499000000000007E-3</v>
      </c>
      <c r="AX104" s="83">
        <v>3.2523700000000003E-2</v>
      </c>
      <c r="AY104" s="83">
        <v>5.8640100000000002E-3</v>
      </c>
      <c r="AZ104" s="83">
        <v>9.4499000000000007E-3</v>
      </c>
      <c r="BA104" s="83">
        <v>3.1461700000000002E-2</v>
      </c>
      <c r="BB104" s="83">
        <v>5.9226799999999996E-3</v>
      </c>
      <c r="BC104" s="83">
        <v>9.4499000000000007E-3</v>
      </c>
      <c r="BD104" s="83">
        <v>3.1532699999999997E-2</v>
      </c>
      <c r="BE104" s="83">
        <v>5.9150299999999999E-3</v>
      </c>
      <c r="BF104" s="83">
        <v>9.4499000000000007E-3</v>
      </c>
      <c r="BG104" s="83">
        <v>3.0518799999999999E-2</v>
      </c>
      <c r="BH104" s="83">
        <v>5.8519499999999999E-3</v>
      </c>
      <c r="BI104" s="83">
        <v>9.4499000000000007E-3</v>
      </c>
      <c r="BJ104" s="83">
        <v>3.1003200000000002E-2</v>
      </c>
      <c r="BK104" s="83">
        <v>5.9254499999999996E-3</v>
      </c>
      <c r="BL104" s="83">
        <v>9.4499000000000007E-3</v>
      </c>
      <c r="BM104" s="83">
        <v>3.0207999999999999E-2</v>
      </c>
      <c r="BN104" s="83">
        <v>5.8428200000000003E-3</v>
      </c>
      <c r="BO104" s="83">
        <v>9.4499000000000007E-3</v>
      </c>
      <c r="BP104" s="83">
        <v>2.9502500000000001E-2</v>
      </c>
      <c r="BQ104" s="83">
        <v>5.76342E-3</v>
      </c>
      <c r="BR104" s="83">
        <v>9.4499000000000007E-3</v>
      </c>
      <c r="BS104" s="83">
        <v>3.0107100000000001E-2</v>
      </c>
      <c r="BT104" s="83">
        <v>5.9738999999999999E-3</v>
      </c>
      <c r="BU104" s="83">
        <v>9.4499000000000007E-3</v>
      </c>
      <c r="BV104" s="83">
        <v>2.8488400000000001E-2</v>
      </c>
      <c r="BW104" s="83">
        <v>5.8401599999999996E-3</v>
      </c>
      <c r="BX104" s="83">
        <v>9.4499000000000007E-3</v>
      </c>
      <c r="BY104" s="83">
        <v>2.7093699999999998E-2</v>
      </c>
      <c r="BZ104" s="83">
        <v>5.6797499999999999E-3</v>
      </c>
      <c r="CA104" s="83">
        <v>9.4499000000000007E-3</v>
      </c>
      <c r="CB104" s="83">
        <v>2.81082E-2</v>
      </c>
      <c r="CC104" s="83">
        <v>5.75246E-3</v>
      </c>
      <c r="CD104" s="83">
        <v>9.4499000000000007E-3</v>
      </c>
      <c r="CE104" s="83">
        <v>2.6966899999999999E-2</v>
      </c>
      <c r="CF104" s="83">
        <v>5.7292799999999998E-3</v>
      </c>
      <c r="CG104" s="83">
        <v>9.4499000000000007E-3</v>
      </c>
      <c r="CH104" s="83">
        <v>2.66955E-2</v>
      </c>
      <c r="CI104" s="83">
        <v>5.7390499999999999E-3</v>
      </c>
      <c r="CJ104" s="83">
        <v>9.4499000000000007E-3</v>
      </c>
      <c r="CK104" s="83">
        <v>2.7323799999999999E-2</v>
      </c>
      <c r="CL104" s="83">
        <v>5.8177000000000003E-3</v>
      </c>
      <c r="CM104" s="83">
        <v>9.4499000000000007E-3</v>
      </c>
      <c r="CN104" s="83">
        <v>2.66185E-2</v>
      </c>
      <c r="CO104" s="83">
        <v>5.8352300000000003E-3</v>
      </c>
      <c r="CP104" s="83">
        <v>9.4499000000000007E-3</v>
      </c>
      <c r="CQ104" s="83">
        <v>2.5433399999999998E-2</v>
      </c>
      <c r="CR104" s="83">
        <v>5.6938099999999997E-3</v>
      </c>
      <c r="CS104" s="83">
        <v>9.4499000000000007E-3</v>
      </c>
      <c r="CT104" s="83">
        <v>2.42332E-2</v>
      </c>
      <c r="CU104" s="83">
        <v>5.6343599999999997E-3</v>
      </c>
      <c r="CV104" s="83">
        <v>9.4499000000000007E-3</v>
      </c>
      <c r="CW104" s="83">
        <v>2.4576000000000001E-2</v>
      </c>
      <c r="CX104" s="83">
        <v>5.77467E-3</v>
      </c>
      <c r="CY104" s="83">
        <v>9.4499000000000007E-3</v>
      </c>
      <c r="CZ104" s="83">
        <v>2.3945299999999999E-2</v>
      </c>
      <c r="DA104" s="83">
        <v>5.9209800000000002E-3</v>
      </c>
    </row>
    <row r="105" spans="1:105" x14ac:dyDescent="0.2">
      <c r="A105" s="83">
        <v>9.5499000000000001E-3</v>
      </c>
      <c r="B105" s="83">
        <v>3.1354300000000002E-2</v>
      </c>
      <c r="C105" s="83">
        <v>5.30979E-3</v>
      </c>
      <c r="D105" s="83">
        <v>9.5499000000000001E-3</v>
      </c>
      <c r="E105" s="83">
        <v>3.18214E-2</v>
      </c>
      <c r="F105" s="83">
        <v>5.3218600000000003E-3</v>
      </c>
      <c r="G105" s="83">
        <v>9.5499000000000001E-3</v>
      </c>
      <c r="H105" s="83">
        <v>3.1875800000000003E-2</v>
      </c>
      <c r="I105" s="83">
        <v>5.3445799999999998E-3</v>
      </c>
      <c r="J105" s="83">
        <v>9.5499000000000001E-3</v>
      </c>
      <c r="K105" s="83">
        <v>3.3374500000000001E-2</v>
      </c>
      <c r="L105" s="83">
        <v>5.4849800000000004E-3</v>
      </c>
      <c r="M105" s="83">
        <v>9.5499000000000001E-3</v>
      </c>
      <c r="N105" s="83">
        <v>3.4955399999999998E-2</v>
      </c>
      <c r="O105" s="83">
        <v>5.5538300000000001E-3</v>
      </c>
      <c r="P105" s="83">
        <v>9.5499000000000001E-3</v>
      </c>
      <c r="Q105" s="83">
        <v>3.3827299999999998E-2</v>
      </c>
      <c r="R105" s="83">
        <v>5.4499700000000002E-3</v>
      </c>
      <c r="S105" s="83">
        <v>9.5499000000000001E-3</v>
      </c>
      <c r="T105" s="83">
        <v>3.3140799999999998E-2</v>
      </c>
      <c r="U105" s="83">
        <v>5.4328800000000002E-3</v>
      </c>
      <c r="V105" s="83">
        <v>9.5499000000000001E-3</v>
      </c>
      <c r="W105" s="83">
        <v>3.2445799999999997E-2</v>
      </c>
      <c r="X105" s="83">
        <v>5.44474E-3</v>
      </c>
      <c r="Y105" s="83">
        <v>9.5499000000000001E-3</v>
      </c>
      <c r="Z105" s="83">
        <v>3.2534800000000003E-2</v>
      </c>
      <c r="AA105" s="83">
        <v>5.4345799999999996E-3</v>
      </c>
      <c r="AB105" s="83">
        <v>9.5499000000000001E-3</v>
      </c>
      <c r="AC105" s="83">
        <v>3.2056399999999999E-2</v>
      </c>
      <c r="AD105" s="83">
        <v>5.4182099999999997E-3</v>
      </c>
      <c r="AE105" s="83">
        <v>9.5499000000000001E-3</v>
      </c>
      <c r="AF105" s="83">
        <v>3.16566E-2</v>
      </c>
      <c r="AG105" s="83">
        <v>5.3833800000000001E-3</v>
      </c>
      <c r="AH105" s="83">
        <v>9.5499000000000001E-3</v>
      </c>
      <c r="AI105" s="83">
        <v>3.1376000000000001E-2</v>
      </c>
      <c r="AJ105" s="83">
        <v>5.50111E-3</v>
      </c>
      <c r="AK105" s="83">
        <v>9.5499000000000001E-3</v>
      </c>
      <c r="AL105" s="83">
        <v>3.2625700000000001E-2</v>
      </c>
      <c r="AM105" s="83">
        <v>5.7063000000000001E-3</v>
      </c>
      <c r="AN105" s="83">
        <v>9.5499000000000001E-3</v>
      </c>
      <c r="AO105" s="83">
        <v>3.0399300000000001E-2</v>
      </c>
      <c r="AP105" s="83">
        <v>5.37361E-3</v>
      </c>
      <c r="AQ105" s="83">
        <v>9.5499000000000001E-3</v>
      </c>
      <c r="AR105" s="83">
        <v>2.8608399999999999E-2</v>
      </c>
      <c r="AS105" s="83">
        <v>5.3645999999999998E-3</v>
      </c>
      <c r="AT105" s="83">
        <v>9.5499000000000001E-3</v>
      </c>
      <c r="AU105" s="83">
        <v>3.00232E-2</v>
      </c>
      <c r="AV105" s="83">
        <v>5.52419E-3</v>
      </c>
      <c r="AW105" s="83">
        <v>9.5499000000000001E-3</v>
      </c>
      <c r="AX105" s="83">
        <v>3.0218999999999999E-2</v>
      </c>
      <c r="AY105" s="83">
        <v>5.5769000000000001E-3</v>
      </c>
      <c r="AZ105" s="83">
        <v>9.5499000000000001E-3</v>
      </c>
      <c r="BA105" s="83">
        <v>2.9699E-2</v>
      </c>
      <c r="BB105" s="83">
        <v>5.6258100000000002E-3</v>
      </c>
      <c r="BC105" s="83">
        <v>9.5499000000000001E-3</v>
      </c>
      <c r="BD105" s="83">
        <v>2.9799300000000001E-2</v>
      </c>
      <c r="BE105" s="83">
        <v>5.6064299999999999E-3</v>
      </c>
      <c r="BF105" s="83">
        <v>9.5499000000000001E-3</v>
      </c>
      <c r="BG105" s="83">
        <v>2.8497399999999999E-2</v>
      </c>
      <c r="BH105" s="83">
        <v>5.5394499999999996E-3</v>
      </c>
      <c r="BI105" s="83">
        <v>9.5499000000000001E-3</v>
      </c>
      <c r="BJ105" s="83">
        <v>2.8830399999999999E-2</v>
      </c>
      <c r="BK105" s="83">
        <v>5.5992799999999999E-3</v>
      </c>
      <c r="BL105" s="83">
        <v>9.5499000000000001E-3</v>
      </c>
      <c r="BM105" s="83">
        <v>2.8396500000000002E-2</v>
      </c>
      <c r="BN105" s="83">
        <v>5.5654800000000003E-3</v>
      </c>
      <c r="BO105" s="83">
        <v>9.5499000000000001E-3</v>
      </c>
      <c r="BP105" s="83">
        <v>2.7319800000000002E-2</v>
      </c>
      <c r="BQ105" s="83">
        <v>5.5017E-3</v>
      </c>
      <c r="BR105" s="83">
        <v>9.5499000000000001E-3</v>
      </c>
      <c r="BS105" s="83">
        <v>2.77389E-2</v>
      </c>
      <c r="BT105" s="83">
        <v>5.6389400000000003E-3</v>
      </c>
      <c r="BU105" s="83">
        <v>9.5499000000000001E-3</v>
      </c>
      <c r="BV105" s="83">
        <v>2.66378E-2</v>
      </c>
      <c r="BW105" s="83">
        <v>5.5559800000000003E-3</v>
      </c>
      <c r="BX105" s="83">
        <v>9.5499000000000001E-3</v>
      </c>
      <c r="BY105" s="83">
        <v>2.5707000000000001E-2</v>
      </c>
      <c r="BZ105" s="83">
        <v>5.3916700000000003E-3</v>
      </c>
      <c r="CA105" s="83">
        <v>9.5499000000000001E-3</v>
      </c>
      <c r="CB105" s="83">
        <v>2.6155000000000001E-2</v>
      </c>
      <c r="CC105" s="83">
        <v>5.4604700000000003E-3</v>
      </c>
      <c r="CD105" s="83">
        <v>9.5499000000000001E-3</v>
      </c>
      <c r="CE105" s="83">
        <v>2.52579E-2</v>
      </c>
      <c r="CF105" s="83">
        <v>5.4509600000000004E-3</v>
      </c>
      <c r="CG105" s="83">
        <v>9.5499000000000001E-3</v>
      </c>
      <c r="CH105" s="83">
        <v>2.4971799999999999E-2</v>
      </c>
      <c r="CI105" s="83">
        <v>5.4587799999999999E-3</v>
      </c>
      <c r="CJ105" s="83">
        <v>9.5499000000000001E-3</v>
      </c>
      <c r="CK105" s="83">
        <v>2.5229100000000001E-2</v>
      </c>
      <c r="CL105" s="83">
        <v>5.5383999999999997E-3</v>
      </c>
      <c r="CM105" s="83">
        <v>9.5499000000000001E-3</v>
      </c>
      <c r="CN105" s="83">
        <v>2.5231799999999999E-2</v>
      </c>
      <c r="CO105" s="83">
        <v>5.55398E-3</v>
      </c>
      <c r="CP105" s="83">
        <v>9.5499000000000001E-3</v>
      </c>
      <c r="CQ105" s="83">
        <v>2.3836699999999999E-2</v>
      </c>
      <c r="CR105" s="83">
        <v>5.38326E-3</v>
      </c>
      <c r="CS105" s="83">
        <v>9.5499000000000001E-3</v>
      </c>
      <c r="CT105" s="83">
        <v>2.3354300000000001E-2</v>
      </c>
      <c r="CU105" s="83">
        <v>5.3628699999999996E-3</v>
      </c>
      <c r="CV105" s="83">
        <v>9.5499000000000001E-3</v>
      </c>
      <c r="CW105" s="83">
        <v>2.2979300000000001E-2</v>
      </c>
      <c r="CX105" s="83">
        <v>5.4787799999999999E-3</v>
      </c>
      <c r="CY105" s="83">
        <v>9.5499000000000001E-3</v>
      </c>
      <c r="CZ105" s="83">
        <v>2.2680700000000002E-2</v>
      </c>
      <c r="DA105" s="83">
        <v>5.6133700000000003E-3</v>
      </c>
    </row>
    <row r="106" spans="1:105" x14ac:dyDescent="0.2">
      <c r="A106" s="83">
        <v>9.6498999999999995E-3</v>
      </c>
      <c r="B106" s="83">
        <v>2.9215600000000001E-2</v>
      </c>
      <c r="C106" s="83">
        <v>5.0373299999999996E-3</v>
      </c>
      <c r="D106" s="83">
        <v>9.6498999999999995E-3</v>
      </c>
      <c r="E106" s="83">
        <v>2.9677800000000001E-2</v>
      </c>
      <c r="F106" s="83">
        <v>5.0318200000000002E-3</v>
      </c>
      <c r="G106" s="83">
        <v>9.6498999999999995E-3</v>
      </c>
      <c r="H106" s="83">
        <v>2.9683399999999999E-2</v>
      </c>
      <c r="I106" s="83">
        <v>5.0623600000000001E-3</v>
      </c>
      <c r="J106" s="83">
        <v>9.6498999999999995E-3</v>
      </c>
      <c r="K106" s="83">
        <v>3.1421400000000002E-2</v>
      </c>
      <c r="L106" s="83">
        <v>5.22815E-3</v>
      </c>
      <c r="M106" s="83">
        <v>9.6498999999999995E-3</v>
      </c>
      <c r="N106" s="83">
        <v>3.3036500000000003E-2</v>
      </c>
      <c r="O106" s="83">
        <v>5.3008999999999999E-3</v>
      </c>
      <c r="P106" s="83">
        <v>9.6498999999999995E-3</v>
      </c>
      <c r="Q106" s="83">
        <v>3.1141800000000001E-2</v>
      </c>
      <c r="R106" s="83">
        <v>5.1511400000000002E-3</v>
      </c>
      <c r="S106" s="83">
        <v>9.6498999999999995E-3</v>
      </c>
      <c r="T106" s="83">
        <v>3.0958200000000002E-2</v>
      </c>
      <c r="U106" s="83">
        <v>5.1623700000000003E-3</v>
      </c>
      <c r="V106" s="83">
        <v>9.6498999999999995E-3</v>
      </c>
      <c r="W106" s="83">
        <v>3.0668500000000001E-2</v>
      </c>
      <c r="X106" s="83">
        <v>5.1654400000000003E-3</v>
      </c>
      <c r="Y106" s="83">
        <v>9.6498999999999995E-3</v>
      </c>
      <c r="Z106" s="83">
        <v>3.0230199999999999E-2</v>
      </c>
      <c r="AA106" s="83">
        <v>5.1513799999999997E-3</v>
      </c>
      <c r="AB106" s="83">
        <v>9.6498999999999995E-3</v>
      </c>
      <c r="AC106" s="83">
        <v>3.0288800000000001E-2</v>
      </c>
      <c r="AD106" s="83">
        <v>5.1223199999999997E-3</v>
      </c>
      <c r="AE106" s="83">
        <v>9.6498999999999995E-3</v>
      </c>
      <c r="AF106" s="83">
        <v>2.96645E-2</v>
      </c>
      <c r="AG106" s="83">
        <v>5.0952899999999997E-3</v>
      </c>
      <c r="AH106" s="83">
        <v>9.6498999999999995E-3</v>
      </c>
      <c r="AI106" s="83">
        <v>2.9320300000000001E-2</v>
      </c>
      <c r="AJ106" s="83">
        <v>5.2413499999999997E-3</v>
      </c>
      <c r="AK106" s="83">
        <v>9.6498999999999995E-3</v>
      </c>
      <c r="AL106" s="83">
        <v>3.09509E-2</v>
      </c>
      <c r="AM106" s="83">
        <v>5.4172400000000002E-3</v>
      </c>
      <c r="AN106" s="83">
        <v>9.6498999999999995E-3</v>
      </c>
      <c r="AO106" s="83">
        <v>2.8499799999999999E-2</v>
      </c>
      <c r="AP106" s="83">
        <v>5.0952899999999997E-3</v>
      </c>
      <c r="AQ106" s="83">
        <v>9.6498999999999995E-3</v>
      </c>
      <c r="AR106" s="83">
        <v>2.68311E-2</v>
      </c>
      <c r="AS106" s="83">
        <v>5.0931199999999996E-3</v>
      </c>
      <c r="AT106" s="83">
        <v>9.6498999999999995E-3</v>
      </c>
      <c r="AU106" s="83">
        <v>2.8211699999999999E-2</v>
      </c>
      <c r="AV106" s="83">
        <v>5.2321900000000003E-3</v>
      </c>
      <c r="AW106" s="83">
        <v>9.6498999999999995E-3</v>
      </c>
      <c r="AX106" s="83">
        <v>2.8656500000000001E-2</v>
      </c>
      <c r="AY106" s="83">
        <v>5.2976000000000004E-3</v>
      </c>
      <c r="AZ106" s="83">
        <v>9.6498999999999995E-3</v>
      </c>
      <c r="BA106" s="83">
        <v>2.7677500000000001E-2</v>
      </c>
      <c r="BB106" s="83">
        <v>5.3445599999999999E-3</v>
      </c>
      <c r="BC106" s="83">
        <v>9.6498999999999995E-3</v>
      </c>
      <c r="BD106" s="83">
        <v>2.79194E-2</v>
      </c>
      <c r="BE106" s="83">
        <v>5.32323E-3</v>
      </c>
      <c r="BF106" s="83">
        <v>9.6498999999999995E-3</v>
      </c>
      <c r="BG106" s="83">
        <v>2.7027599999999999E-2</v>
      </c>
      <c r="BH106" s="83">
        <v>5.2943399999999998E-3</v>
      </c>
      <c r="BI106" s="83">
        <v>9.6498999999999995E-3</v>
      </c>
      <c r="BJ106" s="83">
        <v>2.7053000000000001E-2</v>
      </c>
      <c r="BK106" s="83">
        <v>5.3336499999999997E-3</v>
      </c>
      <c r="BL106" s="83">
        <v>9.6498999999999995E-3</v>
      </c>
      <c r="BM106" s="83">
        <v>2.6511699999999999E-2</v>
      </c>
      <c r="BN106" s="83">
        <v>5.2637200000000004E-3</v>
      </c>
      <c r="BO106" s="83">
        <v>9.6498999999999995E-3</v>
      </c>
      <c r="BP106" s="83">
        <v>2.6172399999999998E-2</v>
      </c>
      <c r="BQ106" s="83">
        <v>5.2028700000000001E-3</v>
      </c>
      <c r="BR106" s="83">
        <v>9.6498999999999995E-3</v>
      </c>
      <c r="BS106" s="83">
        <v>2.6591500000000001E-2</v>
      </c>
      <c r="BT106" s="83">
        <v>5.3664799999999999E-3</v>
      </c>
      <c r="BU106" s="83">
        <v>9.6498999999999995E-3</v>
      </c>
      <c r="BV106" s="83">
        <v>2.5114399999999999E-2</v>
      </c>
      <c r="BW106" s="83">
        <v>5.2669199999999996E-3</v>
      </c>
      <c r="BX106" s="83">
        <v>9.6498999999999995E-3</v>
      </c>
      <c r="BY106" s="83">
        <v>2.3695299999999999E-2</v>
      </c>
      <c r="BZ106" s="83">
        <v>5.1416700000000001E-3</v>
      </c>
      <c r="CA106" s="83">
        <v>9.6498999999999995E-3</v>
      </c>
      <c r="CB106" s="83">
        <v>2.4197E-2</v>
      </c>
      <c r="CC106" s="83">
        <v>5.1811699999999997E-3</v>
      </c>
      <c r="CD106" s="83">
        <v>9.6498999999999995E-3</v>
      </c>
      <c r="CE106" s="83">
        <v>2.36221E-2</v>
      </c>
      <c r="CF106" s="83">
        <v>5.1511600000000001E-3</v>
      </c>
      <c r="CG106" s="83">
        <v>9.6498999999999995E-3</v>
      </c>
      <c r="CH106" s="83">
        <v>2.34386E-2</v>
      </c>
      <c r="CI106" s="83">
        <v>5.1804599999999996E-3</v>
      </c>
      <c r="CJ106" s="83">
        <v>9.6498999999999995E-3</v>
      </c>
      <c r="CK106" s="83">
        <v>2.41695E-2</v>
      </c>
      <c r="CL106" s="83">
        <v>5.2493399999999999E-3</v>
      </c>
      <c r="CM106" s="83">
        <v>9.6498999999999995E-3</v>
      </c>
      <c r="CN106" s="83">
        <v>2.3459299999999999E-2</v>
      </c>
      <c r="CO106" s="83">
        <v>5.2590500000000004E-3</v>
      </c>
      <c r="CP106" s="83">
        <v>9.6498999999999995E-3</v>
      </c>
      <c r="CQ106" s="83">
        <v>2.2200999999999999E-2</v>
      </c>
      <c r="CR106" s="83">
        <v>5.0981100000000003E-3</v>
      </c>
      <c r="CS106" s="83">
        <v>9.6498999999999995E-3</v>
      </c>
      <c r="CT106" s="83">
        <v>2.1523199999999999E-2</v>
      </c>
      <c r="CU106" s="83">
        <v>5.0825999999999996E-3</v>
      </c>
      <c r="CV106" s="83">
        <v>9.6498999999999995E-3</v>
      </c>
      <c r="CW106" s="83">
        <v>2.1548600000000001E-2</v>
      </c>
      <c r="CX106" s="83">
        <v>5.2160799999999997E-3</v>
      </c>
      <c r="CY106" s="83">
        <v>9.6498999999999995E-3</v>
      </c>
      <c r="CZ106" s="83">
        <v>2.1137699999999999E-2</v>
      </c>
      <c r="DA106" s="83">
        <v>5.3350400000000001E-3</v>
      </c>
    </row>
    <row r="107" spans="1:105" x14ac:dyDescent="0.2">
      <c r="A107" s="83">
        <v>9.7499000000000006E-3</v>
      </c>
      <c r="B107" s="83">
        <v>2.7467599999999998E-2</v>
      </c>
      <c r="C107" s="83">
        <v>4.7746400000000001E-3</v>
      </c>
      <c r="D107" s="83">
        <v>9.7499000000000006E-3</v>
      </c>
      <c r="E107" s="83">
        <v>2.8012800000000001E-2</v>
      </c>
      <c r="F107" s="83">
        <v>4.7730300000000002E-3</v>
      </c>
      <c r="G107" s="83">
        <v>9.7499000000000006E-3</v>
      </c>
      <c r="H107" s="83">
        <v>2.7896299999999999E-2</v>
      </c>
      <c r="I107" s="83">
        <v>4.79087E-3</v>
      </c>
      <c r="J107" s="83">
        <v>9.7499000000000006E-3</v>
      </c>
      <c r="K107" s="83">
        <v>2.9868599999999999E-2</v>
      </c>
      <c r="L107" s="83">
        <v>4.9703300000000002E-3</v>
      </c>
      <c r="M107" s="83">
        <v>9.7499000000000006E-3</v>
      </c>
      <c r="N107" s="83">
        <v>3.0985700000000001E-2</v>
      </c>
      <c r="O107" s="83">
        <v>5.0284400000000003E-3</v>
      </c>
      <c r="P107" s="83">
        <v>9.7499000000000006E-3</v>
      </c>
      <c r="Q107" s="83">
        <v>2.88566E-2</v>
      </c>
      <c r="R107" s="83">
        <v>4.8806300000000004E-3</v>
      </c>
      <c r="S107" s="83">
        <v>9.7499000000000006E-3</v>
      </c>
      <c r="T107" s="83">
        <v>2.89611E-2</v>
      </c>
      <c r="U107" s="83">
        <v>4.8879600000000002E-3</v>
      </c>
      <c r="V107" s="83">
        <v>9.7499000000000006E-3</v>
      </c>
      <c r="W107" s="83">
        <v>2.8637200000000002E-2</v>
      </c>
      <c r="X107" s="83">
        <v>4.9017699999999997E-3</v>
      </c>
      <c r="Y107" s="83">
        <v>9.7499000000000006E-3</v>
      </c>
      <c r="Z107" s="83">
        <v>2.8213599999999998E-2</v>
      </c>
      <c r="AA107" s="83">
        <v>4.8681799999999997E-3</v>
      </c>
      <c r="AB107" s="83">
        <v>9.7499000000000006E-3</v>
      </c>
      <c r="AC107" s="83">
        <v>2.8140399999999999E-2</v>
      </c>
      <c r="AD107" s="83">
        <v>4.8605999999999996E-3</v>
      </c>
      <c r="AE107" s="83">
        <v>9.7499000000000006E-3</v>
      </c>
      <c r="AF107" s="83">
        <v>2.76332E-2</v>
      </c>
      <c r="AG107" s="83">
        <v>4.8452900000000004E-3</v>
      </c>
      <c r="AH107" s="83">
        <v>9.7499000000000006E-3</v>
      </c>
      <c r="AI107" s="83">
        <v>2.7606499999999999E-2</v>
      </c>
      <c r="AJ107" s="83">
        <v>4.9630300000000002E-3</v>
      </c>
      <c r="AK107" s="83">
        <v>9.7499000000000006E-3</v>
      </c>
      <c r="AL107" s="83">
        <v>2.8533900000000001E-2</v>
      </c>
      <c r="AM107" s="83">
        <v>5.1506399999999997E-3</v>
      </c>
      <c r="AN107" s="83">
        <v>9.7499000000000006E-3</v>
      </c>
      <c r="AO107" s="83">
        <v>2.64491E-2</v>
      </c>
      <c r="AP107" s="83">
        <v>4.83162E-3</v>
      </c>
      <c r="AQ107" s="83">
        <v>9.7499000000000006E-3</v>
      </c>
      <c r="AR107" s="83">
        <v>2.5019599999999999E-2</v>
      </c>
      <c r="AS107" s="83">
        <v>4.8226099999999997E-3</v>
      </c>
      <c r="AT107" s="83">
        <v>9.7499000000000006E-3</v>
      </c>
      <c r="AU107" s="83">
        <v>2.6346399999999999E-2</v>
      </c>
      <c r="AV107" s="83">
        <v>4.9567999999999999E-3</v>
      </c>
      <c r="AW107" s="83">
        <v>9.7499000000000006E-3</v>
      </c>
      <c r="AX107" s="83">
        <v>2.6835299999999999E-2</v>
      </c>
      <c r="AY107" s="83">
        <v>5.0143999999999996E-3</v>
      </c>
      <c r="AZ107" s="83">
        <v>9.7499000000000006E-3</v>
      </c>
      <c r="BA107" s="83">
        <v>2.5783E-2</v>
      </c>
      <c r="BB107" s="83">
        <v>5.0574499999999998E-3</v>
      </c>
      <c r="BC107" s="83">
        <v>9.7499000000000006E-3</v>
      </c>
      <c r="BD107" s="83">
        <v>2.6317900000000002E-2</v>
      </c>
      <c r="BE107" s="83">
        <v>5.0624900000000002E-3</v>
      </c>
      <c r="BF107" s="83">
        <v>9.7499000000000006E-3</v>
      </c>
      <c r="BG107" s="83">
        <v>2.5411400000000001E-2</v>
      </c>
      <c r="BH107" s="83">
        <v>4.9886699999999997E-3</v>
      </c>
      <c r="BI107" s="83">
        <v>9.7499000000000006E-3</v>
      </c>
      <c r="BJ107" s="83">
        <v>2.53245E-2</v>
      </c>
      <c r="BK107" s="83">
        <v>5.0406799999999996E-3</v>
      </c>
      <c r="BL107" s="83">
        <v>9.7499000000000006E-3</v>
      </c>
      <c r="BM107" s="83">
        <v>2.4607400000000001E-2</v>
      </c>
      <c r="BN107" s="83">
        <v>5.0029799999999998E-3</v>
      </c>
      <c r="BO107" s="83">
        <v>9.7499000000000006E-3</v>
      </c>
      <c r="BP107" s="83">
        <v>2.4526900000000001E-2</v>
      </c>
      <c r="BQ107" s="83">
        <v>4.9499399999999999E-3</v>
      </c>
      <c r="BR107" s="83">
        <v>9.7499000000000006E-3</v>
      </c>
      <c r="BS107" s="83">
        <v>2.4570000000000002E-2</v>
      </c>
      <c r="BT107" s="83">
        <v>5.0998800000000002E-3</v>
      </c>
      <c r="BU107" s="83">
        <v>9.7499000000000006E-3</v>
      </c>
      <c r="BV107" s="83">
        <v>2.3434699999999999E-2</v>
      </c>
      <c r="BW107" s="83">
        <v>5.0032499999999999E-3</v>
      </c>
      <c r="BX107" s="83">
        <v>9.7499000000000006E-3</v>
      </c>
      <c r="BY107" s="83">
        <v>2.23965E-2</v>
      </c>
      <c r="BZ107" s="83">
        <v>4.8408799999999997E-3</v>
      </c>
      <c r="CA107" s="83">
        <v>9.7499000000000006E-3</v>
      </c>
      <c r="CB107" s="83">
        <v>2.26296E-2</v>
      </c>
      <c r="CC107" s="83">
        <v>4.9096900000000004E-3</v>
      </c>
      <c r="CD107" s="83">
        <v>9.7499000000000006E-3</v>
      </c>
      <c r="CE107" s="83">
        <v>2.1859400000000001E-2</v>
      </c>
      <c r="CF107" s="83">
        <v>4.9060400000000004E-3</v>
      </c>
      <c r="CG107" s="83">
        <v>9.7499000000000006E-3</v>
      </c>
      <c r="CH107" s="83">
        <v>2.16955E-2</v>
      </c>
      <c r="CI107" s="83">
        <v>4.9363100000000002E-3</v>
      </c>
      <c r="CJ107" s="83">
        <v>9.7499000000000006E-3</v>
      </c>
      <c r="CK107" s="83">
        <v>2.2567899999999998E-2</v>
      </c>
      <c r="CL107" s="83">
        <v>4.9778599999999998E-3</v>
      </c>
      <c r="CM107" s="83">
        <v>9.7499000000000006E-3</v>
      </c>
      <c r="CN107" s="83">
        <v>2.2189799999999999E-2</v>
      </c>
      <c r="CO107" s="83">
        <v>4.99929E-3</v>
      </c>
      <c r="CP107" s="83">
        <v>9.7499000000000006E-3</v>
      </c>
      <c r="CQ107" s="83">
        <v>2.0106200000000001E-2</v>
      </c>
      <c r="CR107" s="83">
        <v>4.8354100000000001E-3</v>
      </c>
      <c r="CS107" s="83">
        <v>9.7499000000000006E-3</v>
      </c>
      <c r="CT107" s="83">
        <v>2.0112100000000001E-2</v>
      </c>
      <c r="CU107" s="83">
        <v>4.8140400000000003E-3</v>
      </c>
      <c r="CV107" s="83">
        <v>9.7499000000000006E-3</v>
      </c>
      <c r="CW107" s="83">
        <v>2.0210700000000002E-2</v>
      </c>
      <c r="CX107" s="83">
        <v>4.9279900000000001E-3</v>
      </c>
      <c r="CY107" s="83">
        <v>9.7499000000000006E-3</v>
      </c>
      <c r="CZ107" s="83">
        <v>1.9458E-2</v>
      </c>
      <c r="DA107" s="83">
        <v>5.0381699999999998E-3</v>
      </c>
    </row>
    <row r="108" spans="1:105" x14ac:dyDescent="0.2">
      <c r="A108" s="83">
        <v>9.8499E-3</v>
      </c>
      <c r="B108" s="83">
        <v>2.56219E-2</v>
      </c>
      <c r="C108" s="83">
        <v>4.5138899999999996E-3</v>
      </c>
      <c r="D108" s="83">
        <v>9.8499E-3</v>
      </c>
      <c r="E108" s="83">
        <v>2.5898500000000001E-2</v>
      </c>
      <c r="F108" s="83">
        <v>4.5161899999999998E-3</v>
      </c>
      <c r="G108" s="83">
        <v>9.8499E-3</v>
      </c>
      <c r="H108" s="83">
        <v>2.6182400000000002E-2</v>
      </c>
      <c r="I108" s="83">
        <v>4.5281799999999997E-3</v>
      </c>
      <c r="J108" s="83">
        <v>9.8499E-3</v>
      </c>
      <c r="K108" s="83">
        <v>2.7471200000000001E-2</v>
      </c>
      <c r="L108" s="83">
        <v>4.6910399999999996E-3</v>
      </c>
      <c r="M108" s="83">
        <v>9.8499E-3</v>
      </c>
      <c r="N108" s="83">
        <v>2.89495E-2</v>
      </c>
      <c r="O108" s="83">
        <v>4.7676999999999997E-3</v>
      </c>
      <c r="P108" s="83">
        <v>9.8499E-3</v>
      </c>
      <c r="Q108" s="83">
        <v>2.7035300000000002E-2</v>
      </c>
      <c r="R108" s="83">
        <v>4.6491900000000001E-3</v>
      </c>
      <c r="S108" s="83">
        <v>9.8499E-3</v>
      </c>
      <c r="T108" s="83">
        <v>2.7242300000000001E-2</v>
      </c>
      <c r="U108" s="83">
        <v>4.6399099999999997E-3</v>
      </c>
      <c r="V108" s="83">
        <v>9.8499E-3</v>
      </c>
      <c r="W108" s="83">
        <v>2.6566900000000001E-2</v>
      </c>
      <c r="X108" s="83">
        <v>4.6244299999999997E-3</v>
      </c>
      <c r="Y108" s="83">
        <v>9.8499E-3</v>
      </c>
      <c r="Z108" s="83">
        <v>2.6211600000000002E-2</v>
      </c>
      <c r="AA108" s="83">
        <v>4.65724E-3</v>
      </c>
      <c r="AB108" s="83">
        <v>9.8499E-3</v>
      </c>
      <c r="AC108" s="83">
        <v>2.60945E-2</v>
      </c>
      <c r="AD108" s="83">
        <v>4.5998599999999999E-3</v>
      </c>
      <c r="AE108" s="83">
        <v>9.8499E-3</v>
      </c>
      <c r="AF108" s="83">
        <v>2.5870500000000001E-2</v>
      </c>
      <c r="AG108" s="83">
        <v>4.5747799999999996E-3</v>
      </c>
      <c r="AH108" s="83">
        <v>9.8499E-3</v>
      </c>
      <c r="AI108" s="83">
        <v>2.58047E-2</v>
      </c>
      <c r="AJ108" s="83">
        <v>4.6983800000000003E-3</v>
      </c>
      <c r="AK108" s="83">
        <v>9.8499E-3</v>
      </c>
      <c r="AL108" s="83">
        <v>2.66833E-2</v>
      </c>
      <c r="AM108" s="83">
        <v>4.8654800000000002E-3</v>
      </c>
      <c r="AN108" s="83">
        <v>9.8499E-3</v>
      </c>
      <c r="AO108" s="83">
        <v>2.4901199999999998E-2</v>
      </c>
      <c r="AP108" s="83">
        <v>4.5952900000000001E-3</v>
      </c>
      <c r="AQ108" s="83">
        <v>9.8499E-3</v>
      </c>
      <c r="AR108" s="83">
        <v>2.3056699999999999E-2</v>
      </c>
      <c r="AS108" s="83">
        <v>4.59312E-3</v>
      </c>
      <c r="AT108" s="83">
        <v>9.8499E-3</v>
      </c>
      <c r="AU108" s="83">
        <v>2.4495900000000001E-2</v>
      </c>
      <c r="AV108" s="83">
        <v>4.7214500000000003E-3</v>
      </c>
      <c r="AW108" s="83">
        <v>9.8499E-3</v>
      </c>
      <c r="AX108" s="83">
        <v>2.4633100000000002E-2</v>
      </c>
      <c r="AY108" s="83">
        <v>4.7614700000000003E-3</v>
      </c>
      <c r="AZ108" s="83">
        <v>9.8499E-3</v>
      </c>
      <c r="BA108" s="83">
        <v>2.3717499999999999E-2</v>
      </c>
      <c r="BB108" s="83">
        <v>4.7888899999999996E-3</v>
      </c>
      <c r="BC108" s="83">
        <v>9.8499E-3</v>
      </c>
      <c r="BD108" s="83">
        <v>2.4506400000000001E-2</v>
      </c>
      <c r="BE108" s="83">
        <v>4.8007700000000002E-3</v>
      </c>
      <c r="BF108" s="83">
        <v>9.8499E-3</v>
      </c>
      <c r="BG108" s="83">
        <v>2.36536E-2</v>
      </c>
      <c r="BH108" s="83">
        <v>4.7367199999999998E-3</v>
      </c>
      <c r="BI108" s="83">
        <v>9.8499E-3</v>
      </c>
      <c r="BJ108" s="83">
        <v>2.3840099999999999E-2</v>
      </c>
      <c r="BK108" s="83">
        <v>4.7857999999999998E-3</v>
      </c>
      <c r="BL108" s="83">
        <v>9.8499E-3</v>
      </c>
      <c r="BM108" s="83">
        <v>2.34404E-2</v>
      </c>
      <c r="BN108" s="83">
        <v>4.74224E-3</v>
      </c>
      <c r="BO108" s="83">
        <v>9.8499E-3</v>
      </c>
      <c r="BP108" s="83">
        <v>2.27593E-2</v>
      </c>
      <c r="BQ108" s="83">
        <v>4.6940799999999998E-3</v>
      </c>
      <c r="BR108" s="83">
        <v>9.8499E-3</v>
      </c>
      <c r="BS108" s="83">
        <v>2.30221E-2</v>
      </c>
      <c r="BT108" s="83">
        <v>4.8244899999999999E-3</v>
      </c>
      <c r="BU108" s="83">
        <v>9.8499E-3</v>
      </c>
      <c r="BV108" s="83">
        <v>2.1969800000000001E-2</v>
      </c>
      <c r="BW108" s="83">
        <v>4.7610600000000001E-3</v>
      </c>
      <c r="BX108" s="83">
        <v>9.8499E-3</v>
      </c>
      <c r="BY108" s="83">
        <v>2.0887699999999999E-2</v>
      </c>
      <c r="BZ108" s="83">
        <v>4.5947899999999996E-3</v>
      </c>
      <c r="CA108" s="83">
        <v>9.8499E-3</v>
      </c>
      <c r="CB108" s="83">
        <v>2.13601E-2</v>
      </c>
      <c r="CC108" s="83">
        <v>4.6626200000000001E-3</v>
      </c>
      <c r="CD108" s="83">
        <v>9.8499E-3</v>
      </c>
      <c r="CE108" s="83">
        <v>2.0780300000000002E-2</v>
      </c>
      <c r="CF108" s="83">
        <v>4.6482299999999997E-3</v>
      </c>
      <c r="CG108" s="83">
        <v>9.8499E-3</v>
      </c>
      <c r="CH108" s="83">
        <v>2.0743299999999999E-2</v>
      </c>
      <c r="CI108" s="83">
        <v>4.6423699999999998E-3</v>
      </c>
      <c r="CJ108" s="83">
        <v>9.8499E-3</v>
      </c>
      <c r="CK108" s="83">
        <v>2.1054300000000001E-2</v>
      </c>
      <c r="CL108" s="83">
        <v>4.7219999999999996E-3</v>
      </c>
      <c r="CM108" s="83">
        <v>9.8499E-3</v>
      </c>
      <c r="CN108" s="83">
        <v>2.1227900000000001E-2</v>
      </c>
      <c r="CO108" s="83">
        <v>4.7414800000000002E-3</v>
      </c>
      <c r="CP108" s="83">
        <v>9.8499E-3</v>
      </c>
      <c r="CQ108" s="83">
        <v>1.9408000000000002E-2</v>
      </c>
      <c r="CR108" s="83">
        <v>4.5854099999999998E-3</v>
      </c>
      <c r="CS108" s="83">
        <v>9.8499E-3</v>
      </c>
      <c r="CT108" s="83">
        <v>1.90525E-2</v>
      </c>
      <c r="CU108" s="83">
        <v>4.5474399999999998E-3</v>
      </c>
      <c r="CV108" s="83">
        <v>9.8499E-3</v>
      </c>
      <c r="CW108" s="83">
        <v>1.8804499999999998E-2</v>
      </c>
      <c r="CX108" s="83">
        <v>4.6799500000000004E-3</v>
      </c>
      <c r="CY108" s="83">
        <v>9.8499E-3</v>
      </c>
      <c r="CZ108" s="83">
        <v>1.8632800000000001E-2</v>
      </c>
      <c r="DA108" s="83">
        <v>4.79891E-3</v>
      </c>
    </row>
    <row r="109" spans="1:105" x14ac:dyDescent="0.2">
      <c r="A109" s="83">
        <v>9.9498999999999994E-3</v>
      </c>
      <c r="B109" s="83">
        <v>2.3981200000000001E-2</v>
      </c>
      <c r="C109" s="83">
        <v>4.2853800000000001E-3</v>
      </c>
      <c r="D109" s="83">
        <v>9.9498999999999994E-3</v>
      </c>
      <c r="E109" s="83">
        <v>2.4150499999999998E-2</v>
      </c>
      <c r="F109" s="83">
        <v>4.25545E-3</v>
      </c>
      <c r="G109" s="83">
        <v>9.9498999999999994E-3</v>
      </c>
      <c r="H109" s="83">
        <v>2.42537E-2</v>
      </c>
      <c r="I109" s="83">
        <v>4.3065000000000004E-3</v>
      </c>
      <c r="J109" s="83">
        <v>9.9498999999999994E-3</v>
      </c>
      <c r="K109" s="83">
        <v>2.5356900000000002E-2</v>
      </c>
      <c r="L109" s="83">
        <v>4.46154E-3</v>
      </c>
      <c r="M109" s="83">
        <v>9.9498999999999994E-3</v>
      </c>
      <c r="N109" s="83">
        <v>2.7040399999999999E-2</v>
      </c>
      <c r="O109" s="83">
        <v>4.5030499999999998E-3</v>
      </c>
      <c r="P109" s="83">
        <v>9.9498999999999994E-3</v>
      </c>
      <c r="Q109" s="83">
        <v>2.56388E-2</v>
      </c>
      <c r="R109" s="83">
        <v>4.3884400000000004E-3</v>
      </c>
      <c r="S109" s="83">
        <v>9.9498999999999994E-3</v>
      </c>
      <c r="T109" s="83">
        <v>2.5914199999999998E-2</v>
      </c>
      <c r="U109" s="83">
        <v>4.3752699999999997E-3</v>
      </c>
      <c r="V109" s="83">
        <v>9.9498999999999994E-3</v>
      </c>
      <c r="W109" s="83">
        <v>2.5194899999999999E-2</v>
      </c>
      <c r="X109" s="83">
        <v>4.3597799999999997E-3</v>
      </c>
      <c r="Y109" s="83">
        <v>9.9498999999999994E-3</v>
      </c>
      <c r="Z109" s="83">
        <v>2.4224300000000001E-2</v>
      </c>
      <c r="AA109" s="83">
        <v>4.3916099999999998E-3</v>
      </c>
      <c r="AB109" s="83">
        <v>9.9498999999999994E-3</v>
      </c>
      <c r="AC109" s="83">
        <v>2.4029100000000001E-2</v>
      </c>
      <c r="AD109" s="83">
        <v>4.3742700000000004E-3</v>
      </c>
      <c r="AE109" s="83">
        <v>9.9498999999999994E-3</v>
      </c>
      <c r="AF109" s="83">
        <v>2.3976000000000001E-2</v>
      </c>
      <c r="AG109" s="83">
        <v>4.3443099999999997E-3</v>
      </c>
      <c r="AH109" s="83">
        <v>9.9498999999999994E-3</v>
      </c>
      <c r="AI109" s="83">
        <v>2.4247100000000001E-2</v>
      </c>
      <c r="AJ109" s="83">
        <v>4.4630299999999998E-3</v>
      </c>
      <c r="AK109" s="83">
        <v>9.9498999999999994E-3</v>
      </c>
      <c r="AL109" s="83">
        <v>2.5345400000000001E-2</v>
      </c>
      <c r="AM109" s="83">
        <v>4.6184099999999999E-3</v>
      </c>
      <c r="AN109" s="83">
        <v>9.9498999999999994E-3</v>
      </c>
      <c r="AO109" s="83">
        <v>2.3070199999999999E-2</v>
      </c>
      <c r="AP109" s="83">
        <v>4.3482199999999999E-3</v>
      </c>
      <c r="AQ109" s="83">
        <v>9.9498999999999994E-3</v>
      </c>
      <c r="AR109" s="83">
        <v>2.1796900000000001E-2</v>
      </c>
      <c r="AS109" s="83">
        <v>4.3480000000000003E-3</v>
      </c>
      <c r="AT109" s="83">
        <v>9.9498999999999994E-3</v>
      </c>
      <c r="AU109" s="83">
        <v>2.2928500000000001E-2</v>
      </c>
      <c r="AV109" s="83">
        <v>4.4519199999999998E-3</v>
      </c>
      <c r="AW109" s="83">
        <v>9.9498999999999994E-3</v>
      </c>
      <c r="AX109" s="83">
        <v>2.3163400000000001E-2</v>
      </c>
      <c r="AY109" s="83">
        <v>4.5095100000000004E-3</v>
      </c>
      <c r="AZ109" s="83">
        <v>9.9498999999999994E-3</v>
      </c>
      <c r="BA109" s="83">
        <v>2.2321000000000001E-2</v>
      </c>
      <c r="BB109" s="83">
        <v>4.5681899999999998E-3</v>
      </c>
      <c r="BC109" s="83">
        <v>9.9498999999999994E-3</v>
      </c>
      <c r="BD109" s="83">
        <v>2.3056199999999999E-2</v>
      </c>
      <c r="BE109" s="83">
        <v>4.5566299999999999E-3</v>
      </c>
      <c r="BF109" s="83">
        <v>9.9498999999999994E-3</v>
      </c>
      <c r="BG109" s="83">
        <v>2.1802999999999999E-2</v>
      </c>
      <c r="BH109" s="83">
        <v>4.4964899999999997E-3</v>
      </c>
      <c r="BI109" s="83">
        <v>9.9498999999999994E-3</v>
      </c>
      <c r="BJ109" s="83">
        <v>2.23509E-2</v>
      </c>
      <c r="BK109" s="83">
        <v>4.5533800000000001E-3</v>
      </c>
      <c r="BL109" s="83">
        <v>9.9498999999999994E-3</v>
      </c>
      <c r="BM109" s="83">
        <v>2.1716800000000001E-2</v>
      </c>
      <c r="BN109" s="83">
        <v>4.4883299999999996E-3</v>
      </c>
      <c r="BO109" s="83">
        <v>9.9498999999999994E-3</v>
      </c>
      <c r="BP109" s="83">
        <v>2.1348200000000001E-2</v>
      </c>
      <c r="BQ109" s="83">
        <v>4.44897E-3</v>
      </c>
      <c r="BR109" s="83">
        <v>9.9498999999999994E-3</v>
      </c>
      <c r="BS109" s="83">
        <v>2.1913700000000001E-2</v>
      </c>
      <c r="BT109" s="83">
        <v>4.5647200000000004E-3</v>
      </c>
      <c r="BU109" s="83">
        <v>9.9498999999999994E-3</v>
      </c>
      <c r="BV109" s="83">
        <v>2.0353599999999999E-2</v>
      </c>
      <c r="BW109" s="83">
        <v>4.5110599999999999E-3</v>
      </c>
      <c r="BX109" s="83">
        <v>9.9498999999999994E-3</v>
      </c>
      <c r="BY109" s="83">
        <v>1.99258E-2</v>
      </c>
      <c r="BZ109" s="83">
        <v>4.3506500000000002E-3</v>
      </c>
      <c r="CA109" s="83">
        <v>9.9498999999999994E-3</v>
      </c>
      <c r="CB109" s="83">
        <v>2.02566E-2</v>
      </c>
      <c r="CC109" s="83">
        <v>4.40969E-3</v>
      </c>
      <c r="CD109" s="83">
        <v>9.9498999999999994E-3</v>
      </c>
      <c r="CE109" s="83">
        <v>1.9139699999999999E-2</v>
      </c>
      <c r="CF109" s="83">
        <v>4.3826000000000004E-3</v>
      </c>
      <c r="CG109" s="83">
        <v>9.9498999999999994E-3</v>
      </c>
      <c r="CH109" s="83">
        <v>1.9039199999999999E-2</v>
      </c>
      <c r="CI109" s="83">
        <v>4.4118999999999998E-3</v>
      </c>
      <c r="CJ109" s="83">
        <v>9.9498999999999994E-3</v>
      </c>
      <c r="CK109" s="83">
        <v>1.9858000000000001E-2</v>
      </c>
      <c r="CL109" s="83">
        <v>4.4602799999999996E-3</v>
      </c>
      <c r="CM109" s="83">
        <v>9.9498999999999994E-3</v>
      </c>
      <c r="CN109" s="83">
        <v>1.91039E-2</v>
      </c>
      <c r="CO109" s="83">
        <v>4.4748699999999997E-3</v>
      </c>
      <c r="CP109" s="83">
        <v>9.9498999999999994E-3</v>
      </c>
      <c r="CQ109" s="83">
        <v>1.8314199999999999E-2</v>
      </c>
      <c r="CR109" s="83">
        <v>4.3285800000000003E-3</v>
      </c>
      <c r="CS109" s="83">
        <v>9.9498999999999994E-3</v>
      </c>
      <c r="CT109" s="83">
        <v>1.7563200000000001E-2</v>
      </c>
      <c r="CU109" s="83">
        <v>4.3228299999999997E-3</v>
      </c>
      <c r="CV109" s="83">
        <v>9.9498999999999994E-3</v>
      </c>
      <c r="CW109" s="83">
        <v>1.71101E-2</v>
      </c>
      <c r="CX109" s="83">
        <v>4.4270200000000003E-3</v>
      </c>
      <c r="CY109" s="83">
        <v>9.9498999999999994E-3</v>
      </c>
      <c r="CZ109" s="83">
        <v>1.7387699999999999E-2</v>
      </c>
      <c r="DA109" s="83">
        <v>4.55282E-3</v>
      </c>
    </row>
    <row r="110" spans="1:105" x14ac:dyDescent="0.2">
      <c r="A110" s="83">
        <v>1.00499E-2</v>
      </c>
      <c r="B110" s="83">
        <v>2.21307E-2</v>
      </c>
      <c r="C110" s="83">
        <v>4.0734600000000001E-3</v>
      </c>
      <c r="D110" s="83">
        <v>1.00499E-2</v>
      </c>
      <c r="E110" s="83">
        <v>2.32032E-2</v>
      </c>
      <c r="F110" s="83">
        <v>4.0445100000000003E-3</v>
      </c>
      <c r="G110" s="83">
        <v>1.00499E-2</v>
      </c>
      <c r="H110" s="83">
        <v>2.30672E-2</v>
      </c>
      <c r="I110" s="83">
        <v>4.0721200000000003E-3</v>
      </c>
      <c r="J110" s="83">
        <v>1.00499E-2</v>
      </c>
      <c r="K110" s="83">
        <v>2.3682100000000001E-2</v>
      </c>
      <c r="L110" s="83">
        <v>4.2144699999999997E-3</v>
      </c>
      <c r="M110" s="83">
        <v>1.00499E-2</v>
      </c>
      <c r="N110" s="83">
        <v>2.50872E-2</v>
      </c>
      <c r="O110" s="83">
        <v>4.29504E-3</v>
      </c>
      <c r="P110" s="83">
        <v>1.00499E-2</v>
      </c>
      <c r="Q110" s="83">
        <v>2.38517E-2</v>
      </c>
      <c r="R110" s="83">
        <v>4.1716499999999998E-3</v>
      </c>
      <c r="S110" s="83">
        <v>1.00499E-2</v>
      </c>
      <c r="T110" s="83">
        <v>2.4180799999999999E-2</v>
      </c>
      <c r="U110" s="83">
        <v>4.1408900000000004E-3</v>
      </c>
      <c r="V110" s="83">
        <v>1.00499E-2</v>
      </c>
      <c r="W110" s="83">
        <v>2.3295400000000001E-2</v>
      </c>
      <c r="X110" s="83">
        <v>4.1703199999999999E-3</v>
      </c>
      <c r="Y110" s="83">
        <v>1.00499E-2</v>
      </c>
      <c r="Z110" s="83">
        <v>2.2720400000000002E-2</v>
      </c>
      <c r="AA110" s="83">
        <v>4.1504000000000003E-3</v>
      </c>
      <c r="AB110" s="83">
        <v>1.00499E-2</v>
      </c>
      <c r="AC110" s="83">
        <v>2.2447000000000002E-2</v>
      </c>
      <c r="AD110" s="83">
        <v>4.1252499999999996E-3</v>
      </c>
      <c r="AE110" s="83">
        <v>1.00499E-2</v>
      </c>
      <c r="AF110" s="83">
        <v>2.2120500000000001E-2</v>
      </c>
      <c r="AG110" s="83">
        <v>4.0972400000000003E-3</v>
      </c>
      <c r="AH110" s="83">
        <v>1.00499E-2</v>
      </c>
      <c r="AI110" s="83">
        <v>2.2543000000000001E-2</v>
      </c>
      <c r="AJ110" s="83">
        <v>4.2198599999999998E-3</v>
      </c>
      <c r="AK110" s="83">
        <v>1.00499E-2</v>
      </c>
      <c r="AL110" s="83">
        <v>2.3294700000000002E-2</v>
      </c>
      <c r="AM110" s="83">
        <v>4.3898899999999996E-3</v>
      </c>
      <c r="AN110" s="83">
        <v>1.00499E-2</v>
      </c>
      <c r="AO110" s="83">
        <v>2.13514E-2</v>
      </c>
      <c r="AP110" s="83">
        <v>4.1216600000000001E-3</v>
      </c>
      <c r="AQ110" s="83">
        <v>1.00499E-2</v>
      </c>
      <c r="AR110" s="83">
        <v>2.02051E-2</v>
      </c>
      <c r="AS110" s="83">
        <v>4.1087399999999996E-3</v>
      </c>
      <c r="AT110" s="83">
        <v>1.00499E-2</v>
      </c>
      <c r="AU110" s="83">
        <v>2.13806E-2</v>
      </c>
      <c r="AV110" s="83">
        <v>4.2195000000000002E-3</v>
      </c>
      <c r="AW110" s="83">
        <v>1.00499E-2</v>
      </c>
      <c r="AX110" s="83">
        <v>2.1849899999999998E-2</v>
      </c>
      <c r="AY110" s="83">
        <v>4.2995500000000001E-3</v>
      </c>
      <c r="AZ110" s="83">
        <v>1.00499E-2</v>
      </c>
      <c r="BA110" s="83">
        <v>2.0992899999999998E-2</v>
      </c>
      <c r="BB110" s="83">
        <v>4.3299100000000002E-3</v>
      </c>
      <c r="BC110" s="83">
        <v>1.00499E-2</v>
      </c>
      <c r="BD110" s="83">
        <v>2.1493700000000001E-2</v>
      </c>
      <c r="BE110" s="83">
        <v>4.28905E-3</v>
      </c>
      <c r="BF110" s="83">
        <v>1.00499E-2</v>
      </c>
      <c r="BG110" s="83">
        <v>2.0499300000000002E-2</v>
      </c>
      <c r="BH110" s="83">
        <v>4.2376999999999996E-3</v>
      </c>
      <c r="BI110" s="83">
        <v>1.00499E-2</v>
      </c>
      <c r="BJ110" s="83">
        <v>2.0588200000000001E-2</v>
      </c>
      <c r="BK110" s="83">
        <v>4.31315E-3</v>
      </c>
      <c r="BL110" s="83">
        <v>1.00499E-2</v>
      </c>
      <c r="BM110" s="83">
        <v>2.0061499999999999E-2</v>
      </c>
      <c r="BN110" s="83">
        <v>4.2354000000000003E-3</v>
      </c>
      <c r="BO110" s="83">
        <v>1.00499E-2</v>
      </c>
      <c r="BP110" s="83">
        <v>1.99077E-2</v>
      </c>
      <c r="BQ110" s="83">
        <v>4.2194700000000003E-3</v>
      </c>
      <c r="BR110" s="83">
        <v>1.00499E-2</v>
      </c>
      <c r="BS110" s="83">
        <v>2.0043600000000002E-2</v>
      </c>
      <c r="BT110" s="83">
        <v>4.3127699999999996E-3</v>
      </c>
      <c r="BU110" s="83">
        <v>1.00499E-2</v>
      </c>
      <c r="BV110" s="83">
        <v>1.95479E-2</v>
      </c>
      <c r="BW110" s="83">
        <v>4.2366499999999998E-3</v>
      </c>
      <c r="BX110" s="83">
        <v>1.00499E-2</v>
      </c>
      <c r="BY110" s="83">
        <v>1.8499999999999999E-2</v>
      </c>
      <c r="BZ110" s="83">
        <v>4.1211599999999996E-3</v>
      </c>
      <c r="CA110" s="83">
        <v>1.00499E-2</v>
      </c>
      <c r="CB110" s="83">
        <v>1.8684300000000001E-2</v>
      </c>
      <c r="CC110" s="83">
        <v>4.1811699999999997E-3</v>
      </c>
      <c r="CD110" s="83">
        <v>1.00499E-2</v>
      </c>
      <c r="CE110" s="83">
        <v>1.8036199999999999E-2</v>
      </c>
      <c r="CF110" s="83">
        <v>4.1638500000000002E-3</v>
      </c>
      <c r="CG110" s="83">
        <v>1.00499E-2</v>
      </c>
      <c r="CH110" s="83">
        <v>1.8111499999999999E-2</v>
      </c>
      <c r="CI110" s="83">
        <v>4.1872899999999998E-3</v>
      </c>
      <c r="CJ110" s="83">
        <v>1.00499E-2</v>
      </c>
      <c r="CK110" s="83">
        <v>1.7958600000000002E-2</v>
      </c>
      <c r="CL110" s="83">
        <v>4.2112599999999997E-3</v>
      </c>
      <c r="CM110" s="83">
        <v>1.00499E-2</v>
      </c>
      <c r="CN110" s="83">
        <v>1.82738E-2</v>
      </c>
      <c r="CO110" s="83">
        <v>4.2473399999999996E-3</v>
      </c>
      <c r="CP110" s="83">
        <v>1.00499E-2</v>
      </c>
      <c r="CQ110" s="83">
        <v>1.6659E-2</v>
      </c>
      <c r="CR110" s="83">
        <v>4.1049399999999996E-3</v>
      </c>
      <c r="CS110" s="83">
        <v>1.00499E-2</v>
      </c>
      <c r="CT110" s="83">
        <v>1.6655E-2</v>
      </c>
      <c r="CU110" s="83">
        <v>4.0845500000000002E-3</v>
      </c>
      <c r="CV110" s="83">
        <v>1.00499E-2</v>
      </c>
      <c r="CW110" s="83">
        <v>1.64265E-2</v>
      </c>
      <c r="CX110" s="83">
        <v>4.1916699999999998E-3</v>
      </c>
      <c r="CY110" s="83">
        <v>1.00499E-2</v>
      </c>
      <c r="CZ110" s="83">
        <v>1.6064499999999999E-2</v>
      </c>
      <c r="DA110" s="83">
        <v>4.2920800000000002E-3</v>
      </c>
    </row>
    <row r="111" spans="1:105" x14ac:dyDescent="0.2">
      <c r="A111" s="83">
        <v>1.01499E-2</v>
      </c>
      <c r="B111" s="83">
        <v>2.1110199999999999E-2</v>
      </c>
      <c r="C111" s="83">
        <v>3.8439699999999999E-3</v>
      </c>
      <c r="D111" s="83">
        <v>1.01499E-2</v>
      </c>
      <c r="E111" s="83">
        <v>2.1181700000000001E-2</v>
      </c>
      <c r="F111" s="83">
        <v>3.8355300000000002E-3</v>
      </c>
      <c r="G111" s="83">
        <v>1.01499E-2</v>
      </c>
      <c r="H111" s="83">
        <v>2.12117E-2</v>
      </c>
      <c r="I111" s="83">
        <v>3.8582500000000001E-3</v>
      </c>
      <c r="J111" s="83">
        <v>1.01499E-2</v>
      </c>
      <c r="K111" s="83">
        <v>2.19927E-2</v>
      </c>
      <c r="L111" s="83">
        <v>3.9801000000000003E-3</v>
      </c>
      <c r="M111" s="83">
        <v>1.01499E-2</v>
      </c>
      <c r="N111" s="83">
        <v>2.3720100000000001E-2</v>
      </c>
      <c r="O111" s="83">
        <v>4.0411300000000004E-3</v>
      </c>
      <c r="P111" s="83">
        <v>1.01499E-2</v>
      </c>
      <c r="Q111" s="83">
        <v>2.23527E-2</v>
      </c>
      <c r="R111" s="83">
        <v>3.9255499999999999E-3</v>
      </c>
      <c r="S111" s="83">
        <v>1.01499E-2</v>
      </c>
      <c r="T111" s="83">
        <v>2.25255E-2</v>
      </c>
      <c r="U111" s="83">
        <v>3.89675E-3</v>
      </c>
      <c r="V111" s="83">
        <v>1.01499E-2</v>
      </c>
      <c r="W111" s="83">
        <v>2.20015E-2</v>
      </c>
      <c r="X111" s="83">
        <v>3.9369299999999999E-3</v>
      </c>
      <c r="Y111" s="83">
        <v>1.01499E-2</v>
      </c>
      <c r="Z111" s="83">
        <v>2.1069999999999998E-2</v>
      </c>
      <c r="AA111" s="83">
        <v>3.93458E-3</v>
      </c>
      <c r="AB111" s="83">
        <v>1.01499E-2</v>
      </c>
      <c r="AC111" s="83">
        <v>2.1577900000000001E-2</v>
      </c>
      <c r="AD111" s="83">
        <v>3.9065000000000003E-3</v>
      </c>
      <c r="AE111" s="83">
        <v>1.01499E-2</v>
      </c>
      <c r="AF111" s="83">
        <v>2.1505300000000001E-2</v>
      </c>
      <c r="AG111" s="83">
        <v>3.9068100000000001E-3</v>
      </c>
      <c r="AH111" s="83">
        <v>1.01499E-2</v>
      </c>
      <c r="AI111" s="83">
        <v>2.1200199999999999E-2</v>
      </c>
      <c r="AJ111" s="83">
        <v>3.9864699999999998E-3</v>
      </c>
      <c r="AK111" s="83">
        <v>1.01499E-2</v>
      </c>
      <c r="AL111" s="83">
        <v>2.1575899999999999E-2</v>
      </c>
      <c r="AM111" s="83">
        <v>4.1457500000000001E-3</v>
      </c>
      <c r="AN111" s="83">
        <v>1.01499E-2</v>
      </c>
      <c r="AO111" s="83">
        <v>2.0091600000000001E-2</v>
      </c>
      <c r="AP111" s="83">
        <v>3.8775200000000002E-3</v>
      </c>
      <c r="AQ111" s="83">
        <v>1.01499E-2</v>
      </c>
      <c r="AR111" s="83">
        <v>1.8901399999999999E-2</v>
      </c>
      <c r="AS111" s="83">
        <v>3.8831600000000001E-3</v>
      </c>
      <c r="AT111" s="83">
        <v>1.01499E-2</v>
      </c>
      <c r="AU111" s="83">
        <v>2.0106200000000001E-2</v>
      </c>
      <c r="AV111" s="83">
        <v>3.9919600000000001E-3</v>
      </c>
      <c r="AW111" s="83">
        <v>1.01499E-2</v>
      </c>
      <c r="AX111" s="83">
        <v>2.0844000000000001E-2</v>
      </c>
      <c r="AY111" s="83">
        <v>4.0739699999999997E-3</v>
      </c>
      <c r="AZ111" s="83">
        <v>1.01499E-2</v>
      </c>
      <c r="BA111" s="83">
        <v>1.9220500000000001E-2</v>
      </c>
      <c r="BB111" s="83">
        <v>4.0994400000000002E-3</v>
      </c>
      <c r="BC111" s="83">
        <v>1.01499E-2</v>
      </c>
      <c r="BD111" s="83">
        <v>1.9882299999999999E-2</v>
      </c>
      <c r="BE111" s="83">
        <v>4.0654200000000001E-3</v>
      </c>
      <c r="BF111" s="83">
        <v>1.01499E-2</v>
      </c>
      <c r="BG111" s="83">
        <v>1.8980799999999999E-2</v>
      </c>
      <c r="BH111" s="83">
        <v>4.0238299999999999E-3</v>
      </c>
      <c r="BI111" s="83">
        <v>1.01499E-2</v>
      </c>
      <c r="BJ111" s="83">
        <v>1.9416300000000001E-2</v>
      </c>
      <c r="BK111" s="83">
        <v>4.0592400000000004E-3</v>
      </c>
      <c r="BL111" s="83">
        <v>1.01499E-2</v>
      </c>
      <c r="BM111" s="83">
        <v>1.83281E-2</v>
      </c>
      <c r="BN111" s="83">
        <v>4.0147000000000004E-3</v>
      </c>
      <c r="BO111" s="83">
        <v>1.01499E-2</v>
      </c>
      <c r="BP111" s="83">
        <v>1.8877499999999998E-2</v>
      </c>
      <c r="BQ111" s="83">
        <v>3.9743599999999997E-3</v>
      </c>
      <c r="BR111" s="83">
        <v>1.01499E-2</v>
      </c>
      <c r="BS111" s="83">
        <v>1.85495E-2</v>
      </c>
      <c r="BT111" s="83">
        <v>4.1203899999999998E-3</v>
      </c>
      <c r="BU111" s="83">
        <v>1.01499E-2</v>
      </c>
      <c r="BV111" s="83">
        <v>1.7819399999999999E-2</v>
      </c>
      <c r="BW111" s="83">
        <v>4.0237600000000004E-3</v>
      </c>
      <c r="BX111" s="83">
        <v>1.01499E-2</v>
      </c>
      <c r="BY111" s="83">
        <v>1.7533199999999999E-2</v>
      </c>
      <c r="BZ111" s="83">
        <v>3.9033800000000001E-3</v>
      </c>
      <c r="CA111" s="83">
        <v>1.01499E-2</v>
      </c>
      <c r="CB111" s="83">
        <v>1.78152E-2</v>
      </c>
      <c r="CC111" s="83">
        <v>3.9790199999999998E-3</v>
      </c>
      <c r="CD111" s="83">
        <v>1.01499E-2</v>
      </c>
      <c r="CE111" s="83">
        <v>1.6795999999999998E-2</v>
      </c>
      <c r="CF111" s="83">
        <v>3.9538899999999998E-3</v>
      </c>
      <c r="CG111" s="83">
        <v>1.01499E-2</v>
      </c>
      <c r="CH111" s="83">
        <v>1.73595E-2</v>
      </c>
      <c r="CI111" s="83">
        <v>3.9411999999999997E-3</v>
      </c>
      <c r="CJ111" s="83">
        <v>1.01499E-2</v>
      </c>
      <c r="CK111" s="83">
        <v>1.7123599999999999E-2</v>
      </c>
      <c r="CL111" s="83">
        <v>3.9729700000000001E-3</v>
      </c>
      <c r="CM111" s="83">
        <v>1.01499E-2</v>
      </c>
      <c r="CN111" s="83">
        <v>1.69359E-2</v>
      </c>
      <c r="CO111" s="83">
        <v>4.0295599999999997E-3</v>
      </c>
      <c r="CP111" s="83">
        <v>1.01499E-2</v>
      </c>
      <c r="CQ111" s="83">
        <v>1.5736099999999999E-2</v>
      </c>
      <c r="CR111" s="83">
        <v>3.8705699999999998E-3</v>
      </c>
      <c r="CS111" s="83">
        <v>1.01499E-2</v>
      </c>
      <c r="CT111" s="83">
        <v>1.5722400000000001E-2</v>
      </c>
      <c r="CU111" s="83">
        <v>3.8648300000000001E-3</v>
      </c>
      <c r="CV111" s="83">
        <v>1.01499E-2</v>
      </c>
      <c r="CW111" s="83">
        <v>1.5542800000000001E-2</v>
      </c>
      <c r="CX111" s="83">
        <v>3.9436200000000001E-3</v>
      </c>
      <c r="CY111" s="83">
        <v>1.01499E-2</v>
      </c>
      <c r="CZ111" s="83">
        <v>1.4619099999999999E-2</v>
      </c>
      <c r="DA111" s="83">
        <v>4.06063E-3</v>
      </c>
    </row>
    <row r="112" spans="1:105" x14ac:dyDescent="0.2">
      <c r="A112" s="83">
        <v>1.0249899999999999E-2</v>
      </c>
      <c r="B112" s="83">
        <v>1.9645300000000001E-2</v>
      </c>
      <c r="C112" s="83">
        <v>3.63694E-3</v>
      </c>
      <c r="D112" s="83">
        <v>1.0249899999999999E-2</v>
      </c>
      <c r="E112" s="83">
        <v>1.9633899999999999E-2</v>
      </c>
      <c r="F112" s="83">
        <v>3.6226399999999999E-3</v>
      </c>
      <c r="G112" s="83">
        <v>1.0249899999999999E-2</v>
      </c>
      <c r="H112" s="83">
        <v>2.02156E-2</v>
      </c>
      <c r="I112" s="83">
        <v>3.6814999999999999E-3</v>
      </c>
      <c r="J112" s="83">
        <v>1.0249899999999999E-2</v>
      </c>
      <c r="K112" s="83">
        <v>2.0562E-2</v>
      </c>
      <c r="L112" s="83">
        <v>3.7681899999999998E-3</v>
      </c>
      <c r="M112" s="83">
        <v>1.0249899999999999E-2</v>
      </c>
      <c r="N112" s="83">
        <v>2.1996399999999999E-2</v>
      </c>
      <c r="O112" s="83">
        <v>3.84973E-3</v>
      </c>
      <c r="P112" s="83">
        <v>1.0249899999999999E-2</v>
      </c>
      <c r="Q112" s="83">
        <v>2.1278499999999999E-2</v>
      </c>
      <c r="R112" s="83">
        <v>3.7292599999999999E-3</v>
      </c>
      <c r="S112" s="83">
        <v>1.0249899999999999E-2</v>
      </c>
      <c r="T112" s="83">
        <v>2.1422E-2</v>
      </c>
      <c r="U112" s="83">
        <v>3.7121799999999998E-3</v>
      </c>
      <c r="V112" s="83">
        <v>1.0249899999999999E-2</v>
      </c>
      <c r="W112" s="83">
        <v>2.02974E-2</v>
      </c>
      <c r="X112" s="83">
        <v>3.72989E-3</v>
      </c>
      <c r="Y112" s="83">
        <v>1.0249899999999999E-2</v>
      </c>
      <c r="Z112" s="83">
        <v>1.9717499999999999E-2</v>
      </c>
      <c r="AA112" s="83">
        <v>3.7334099999999999E-3</v>
      </c>
      <c r="AB112" s="83">
        <v>1.0249899999999999E-2</v>
      </c>
      <c r="AC112" s="83">
        <v>1.9571000000000002E-2</v>
      </c>
      <c r="AD112" s="83">
        <v>3.6740700000000002E-3</v>
      </c>
      <c r="AE112" s="83">
        <v>1.0249899999999999E-2</v>
      </c>
      <c r="AF112" s="83">
        <v>1.9435000000000001E-2</v>
      </c>
      <c r="AG112" s="83">
        <v>3.7075900000000002E-3</v>
      </c>
      <c r="AH112" s="83">
        <v>1.0249899999999999E-2</v>
      </c>
      <c r="AI112" s="83">
        <v>2.0018600000000001E-2</v>
      </c>
      <c r="AJ112" s="83">
        <v>3.7765099999999998E-3</v>
      </c>
      <c r="AK112" s="83">
        <v>1.0249899999999999E-2</v>
      </c>
      <c r="AL112" s="83">
        <v>2.0911900000000001E-2</v>
      </c>
      <c r="AM112" s="83">
        <v>3.9543499999999997E-3</v>
      </c>
      <c r="AN112" s="83">
        <v>1.0249899999999999E-2</v>
      </c>
      <c r="AO112" s="83">
        <v>1.9061399999999999E-2</v>
      </c>
      <c r="AP112" s="83">
        <v>3.6734200000000002E-3</v>
      </c>
      <c r="AQ112" s="83">
        <v>1.0249899999999999E-2</v>
      </c>
      <c r="AR112" s="83">
        <v>1.79981E-2</v>
      </c>
      <c r="AS112" s="83">
        <v>3.6722199999999999E-3</v>
      </c>
      <c r="AT112" s="83">
        <v>1.0249899999999999E-2</v>
      </c>
      <c r="AU112" s="83">
        <v>1.9124800000000001E-2</v>
      </c>
      <c r="AV112" s="83">
        <v>3.7575899999999999E-3</v>
      </c>
      <c r="AW112" s="83">
        <v>1.0249899999999999E-2</v>
      </c>
      <c r="AX112" s="83">
        <v>1.91985E-2</v>
      </c>
      <c r="AY112" s="83">
        <v>3.82885E-3</v>
      </c>
      <c r="AZ112" s="83">
        <v>1.0249899999999999E-2</v>
      </c>
      <c r="BA112" s="83">
        <v>1.79314E-2</v>
      </c>
      <c r="BB112" s="83">
        <v>3.8601799999999999E-3</v>
      </c>
      <c r="BC112" s="83">
        <v>1.0249899999999999E-2</v>
      </c>
      <c r="BD112" s="83">
        <v>1.8573699999999999E-2</v>
      </c>
      <c r="BE112" s="83">
        <v>3.8427600000000002E-3</v>
      </c>
      <c r="BF112" s="83">
        <v>1.0249899999999999E-2</v>
      </c>
      <c r="BG112" s="83">
        <v>1.78479E-2</v>
      </c>
      <c r="BH112" s="83">
        <v>3.8177699999999998E-3</v>
      </c>
      <c r="BI112" s="83">
        <v>1.0249899999999999E-2</v>
      </c>
      <c r="BJ112" s="83">
        <v>1.7326500000000002E-2</v>
      </c>
      <c r="BK112" s="83">
        <v>3.8453699999999999E-3</v>
      </c>
      <c r="BL112" s="83">
        <v>1.0249899999999999E-2</v>
      </c>
      <c r="BM112" s="83">
        <v>1.7258800000000001E-2</v>
      </c>
      <c r="BN112" s="83">
        <v>3.79693E-3</v>
      </c>
      <c r="BO112" s="83">
        <v>1.0249899999999999E-2</v>
      </c>
      <c r="BP112" s="83">
        <v>1.74126E-2</v>
      </c>
      <c r="BQ112" s="83">
        <v>3.7800199999999998E-3</v>
      </c>
      <c r="BR112" s="83">
        <v>1.0249899999999999E-2</v>
      </c>
      <c r="BS112" s="83">
        <v>1.7509400000000001E-2</v>
      </c>
      <c r="BT112" s="83">
        <v>3.8742899999999999E-3</v>
      </c>
      <c r="BU112" s="83">
        <v>1.0249899999999999E-2</v>
      </c>
      <c r="BV112" s="83">
        <v>1.70235E-2</v>
      </c>
      <c r="BW112" s="83">
        <v>3.8040299999999999E-3</v>
      </c>
      <c r="BX112" s="83">
        <v>1.0249899999999999E-2</v>
      </c>
      <c r="BY112" s="83">
        <v>1.6297800000000001E-2</v>
      </c>
      <c r="BZ112" s="83">
        <v>3.68952E-3</v>
      </c>
      <c r="CA112" s="83">
        <v>1.0249899999999999E-2</v>
      </c>
      <c r="CB112" s="83">
        <v>1.6482199999999999E-2</v>
      </c>
      <c r="CC112" s="83">
        <v>3.7319499999999999E-3</v>
      </c>
      <c r="CD112" s="83">
        <v>1.0249899999999999E-2</v>
      </c>
      <c r="CE112" s="83">
        <v>1.5492199999999999E-2</v>
      </c>
      <c r="CF112" s="83">
        <v>3.7312399999999998E-3</v>
      </c>
      <c r="CG112" s="83">
        <v>1.0249899999999999E-2</v>
      </c>
      <c r="CH112" s="83">
        <v>1.60363E-2</v>
      </c>
      <c r="CI112" s="83">
        <v>3.7527200000000002E-3</v>
      </c>
      <c r="CJ112" s="83">
        <v>1.0249899999999999E-2</v>
      </c>
      <c r="CK112" s="83">
        <v>1.5434099999999999E-2</v>
      </c>
      <c r="CL112" s="83">
        <v>3.76692E-3</v>
      </c>
      <c r="CM112" s="83">
        <v>1.0249899999999999E-2</v>
      </c>
      <c r="CN112" s="83">
        <v>1.61888E-2</v>
      </c>
      <c r="CO112" s="83">
        <v>3.8166699999999999E-3</v>
      </c>
      <c r="CP112" s="83">
        <v>1.0249899999999999E-2</v>
      </c>
      <c r="CQ112" s="83">
        <v>1.47107E-2</v>
      </c>
      <c r="CR112" s="83">
        <v>3.6762299999999999E-3</v>
      </c>
      <c r="CS112" s="83">
        <v>1.0249899999999999E-2</v>
      </c>
      <c r="CT112" s="83">
        <v>1.46287E-2</v>
      </c>
      <c r="CU112" s="83">
        <v>3.6753699999999999E-3</v>
      </c>
      <c r="CV112" s="83">
        <v>1.0249899999999999E-2</v>
      </c>
      <c r="CW112" s="83">
        <v>1.4663799999999999E-2</v>
      </c>
      <c r="CX112" s="83">
        <v>3.7649099999999998E-3</v>
      </c>
      <c r="CY112" s="83">
        <v>1.0249899999999999E-2</v>
      </c>
      <c r="CZ112" s="83">
        <v>1.40039E-2</v>
      </c>
      <c r="DA112" s="83">
        <v>3.8448100000000002E-3</v>
      </c>
    </row>
    <row r="113" spans="1:105" x14ac:dyDescent="0.2">
      <c r="A113" s="83">
        <v>1.03499E-2</v>
      </c>
      <c r="B113" s="83">
        <v>1.8200000000000001E-2</v>
      </c>
      <c r="C113" s="83">
        <v>3.44065E-3</v>
      </c>
      <c r="D113" s="83">
        <v>1.03499E-2</v>
      </c>
      <c r="E113" s="83">
        <v>1.8603600000000001E-2</v>
      </c>
      <c r="F113" s="83">
        <v>3.41756E-3</v>
      </c>
      <c r="G113" s="83">
        <v>1.03499E-2</v>
      </c>
      <c r="H113" s="83">
        <v>1.8599399999999999E-2</v>
      </c>
      <c r="I113" s="83">
        <v>3.4832499999999998E-3</v>
      </c>
      <c r="J113" s="83">
        <v>1.03499E-2</v>
      </c>
      <c r="K113" s="83">
        <v>1.98686E-2</v>
      </c>
      <c r="L113" s="83">
        <v>3.5308800000000001E-3</v>
      </c>
      <c r="M113" s="83">
        <v>1.03499E-2</v>
      </c>
      <c r="N113" s="83">
        <v>2.0756199999999999E-2</v>
      </c>
      <c r="O113" s="83">
        <v>3.6407399999999999E-3</v>
      </c>
      <c r="P113" s="83">
        <v>1.03499E-2</v>
      </c>
      <c r="Q113" s="83">
        <v>1.93254E-2</v>
      </c>
      <c r="R113" s="83">
        <v>3.5456699999999999E-3</v>
      </c>
      <c r="S113" s="83">
        <v>1.03499E-2</v>
      </c>
      <c r="T113" s="83">
        <v>1.9415200000000001E-2</v>
      </c>
      <c r="U113" s="83">
        <v>3.5168700000000001E-3</v>
      </c>
      <c r="V113" s="83">
        <v>1.03499E-2</v>
      </c>
      <c r="W113" s="83">
        <v>1.8910699999999999E-2</v>
      </c>
      <c r="X113" s="83">
        <v>3.5082099999999999E-3</v>
      </c>
      <c r="Y113" s="83">
        <v>1.03499E-2</v>
      </c>
      <c r="Z113" s="83">
        <v>1.88971E-2</v>
      </c>
      <c r="AA113" s="83">
        <v>3.5351699999999998E-3</v>
      </c>
      <c r="AB113" s="83">
        <v>1.03499E-2</v>
      </c>
      <c r="AC113" s="83">
        <v>1.85945E-2</v>
      </c>
      <c r="AD113" s="83">
        <v>3.4875499999999999E-3</v>
      </c>
      <c r="AE113" s="83">
        <v>1.03499E-2</v>
      </c>
      <c r="AF113" s="83">
        <v>1.84584E-2</v>
      </c>
      <c r="AG113" s="83">
        <v>3.5054499999999998E-3</v>
      </c>
      <c r="AH113" s="83">
        <v>1.03499E-2</v>
      </c>
      <c r="AI113" s="83">
        <v>1.82119E-2</v>
      </c>
      <c r="AJ113" s="83">
        <v>3.5645899999999999E-3</v>
      </c>
      <c r="AK113" s="83">
        <v>1.03499E-2</v>
      </c>
      <c r="AL113" s="83">
        <v>1.9246800000000001E-2</v>
      </c>
      <c r="AM113" s="83">
        <v>3.7053199999999998E-3</v>
      </c>
      <c r="AN113" s="83">
        <v>1.03499E-2</v>
      </c>
      <c r="AO113" s="83">
        <v>1.7879699999999998E-2</v>
      </c>
      <c r="AP113" s="83">
        <v>3.4820099999999998E-3</v>
      </c>
      <c r="AQ113" s="83">
        <v>1.03499E-2</v>
      </c>
      <c r="AR113" s="83">
        <v>1.6435600000000002E-2</v>
      </c>
      <c r="AS113" s="83">
        <v>3.4895999999999998E-3</v>
      </c>
      <c r="AT113" s="83">
        <v>1.03499E-2</v>
      </c>
      <c r="AU113" s="83">
        <v>1.7503700000000001E-2</v>
      </c>
      <c r="AV113" s="83">
        <v>3.55055E-3</v>
      </c>
      <c r="AW113" s="83">
        <v>1.03499E-2</v>
      </c>
      <c r="AX113" s="83">
        <v>1.7723900000000001E-2</v>
      </c>
      <c r="AY113" s="83">
        <v>3.6364700000000002E-3</v>
      </c>
      <c r="AZ113" s="83">
        <v>1.03499E-2</v>
      </c>
      <c r="BA113" s="83">
        <v>1.7174600000000002E-2</v>
      </c>
      <c r="BB113" s="83">
        <v>3.66878E-3</v>
      </c>
      <c r="BC113" s="83">
        <v>1.03499E-2</v>
      </c>
      <c r="BD113" s="83">
        <v>1.72065E-2</v>
      </c>
      <c r="BE113" s="83">
        <v>3.6445200000000001E-3</v>
      </c>
      <c r="BF113" s="83">
        <v>1.03499E-2</v>
      </c>
      <c r="BG113" s="83">
        <v>1.6158499999999999E-2</v>
      </c>
      <c r="BH113" s="83">
        <v>3.6224600000000001E-3</v>
      </c>
      <c r="BI113" s="83">
        <v>1.03499E-2</v>
      </c>
      <c r="BJ113" s="83">
        <v>1.6833299999999999E-2</v>
      </c>
      <c r="BK113" s="83">
        <v>3.64029E-3</v>
      </c>
      <c r="BL113" s="83">
        <v>1.03499E-2</v>
      </c>
      <c r="BM113" s="83">
        <v>1.66094E-2</v>
      </c>
      <c r="BN113" s="83">
        <v>3.6064999999999999E-3</v>
      </c>
      <c r="BO113" s="83">
        <v>1.03499E-2</v>
      </c>
      <c r="BP113" s="83">
        <v>1.6201699999999999E-2</v>
      </c>
      <c r="BQ113" s="83">
        <v>3.5583400000000001E-3</v>
      </c>
      <c r="BR113" s="83">
        <v>1.03499E-2</v>
      </c>
      <c r="BS113" s="83">
        <v>1.6777E-2</v>
      </c>
      <c r="BT113" s="83">
        <v>3.6643299999999999E-3</v>
      </c>
      <c r="BU113" s="83">
        <v>1.03499E-2</v>
      </c>
      <c r="BV113" s="83">
        <v>1.55392E-2</v>
      </c>
      <c r="BW113" s="83">
        <v>3.6009000000000002E-3</v>
      </c>
      <c r="BX113" s="83">
        <v>1.03499E-2</v>
      </c>
      <c r="BY113" s="83">
        <v>1.5672800000000001E-2</v>
      </c>
      <c r="BZ113" s="83">
        <v>3.5029900000000001E-3</v>
      </c>
      <c r="CA113" s="83">
        <v>1.03499E-2</v>
      </c>
      <c r="CB113" s="83">
        <v>1.52859E-2</v>
      </c>
      <c r="CC113" s="83">
        <v>3.5512899999999999E-3</v>
      </c>
      <c r="CD113" s="83">
        <v>1.03499E-2</v>
      </c>
      <c r="CE113" s="83">
        <v>1.4212900000000001E-2</v>
      </c>
      <c r="CF113" s="83">
        <v>3.5242099999999998E-3</v>
      </c>
      <c r="CG113" s="83">
        <v>1.03499E-2</v>
      </c>
      <c r="CH113" s="83">
        <v>1.46447E-2</v>
      </c>
      <c r="CI113" s="83">
        <v>3.5476399999999999E-3</v>
      </c>
      <c r="CJ113" s="83">
        <v>1.03499E-2</v>
      </c>
      <c r="CK113" s="83">
        <v>1.5126499999999999E-2</v>
      </c>
      <c r="CL113" s="83">
        <v>3.5530499999999999E-3</v>
      </c>
      <c r="CM113" s="83">
        <v>1.03499E-2</v>
      </c>
      <c r="CN113" s="83">
        <v>1.50365E-2</v>
      </c>
      <c r="CO113" s="83">
        <v>3.59597E-3</v>
      </c>
      <c r="CP113" s="83">
        <v>1.03499E-2</v>
      </c>
      <c r="CQ113" s="83">
        <v>1.3978300000000001E-2</v>
      </c>
      <c r="CR113" s="83">
        <v>3.48483E-3</v>
      </c>
      <c r="CS113" s="83">
        <v>1.03499E-2</v>
      </c>
      <c r="CT113" s="83">
        <v>1.3588599999999999E-2</v>
      </c>
      <c r="CU113" s="83">
        <v>3.47811E-3</v>
      </c>
      <c r="CV113" s="83">
        <v>1.03499E-2</v>
      </c>
      <c r="CW113" s="83">
        <v>1.37801E-2</v>
      </c>
      <c r="CX113" s="83">
        <v>3.5451800000000002E-3</v>
      </c>
      <c r="CY113" s="83">
        <v>1.03499E-2</v>
      </c>
      <c r="CZ113" s="83">
        <v>1.3364300000000001E-2</v>
      </c>
      <c r="DA113" s="83">
        <v>3.6250800000000001E-3</v>
      </c>
    </row>
    <row r="114" spans="1:105" x14ac:dyDescent="0.2">
      <c r="A114" s="83">
        <v>1.04499E-2</v>
      </c>
      <c r="B114" s="83">
        <v>1.71697E-2</v>
      </c>
      <c r="C114" s="83">
        <v>3.24143E-3</v>
      </c>
      <c r="D114" s="83">
        <v>1.04499E-2</v>
      </c>
      <c r="E114" s="83">
        <v>1.7338900000000001E-2</v>
      </c>
      <c r="F114" s="83">
        <v>3.2173700000000002E-3</v>
      </c>
      <c r="G114" s="83">
        <v>1.04499E-2</v>
      </c>
      <c r="H114" s="83">
        <v>1.7656999999999999E-2</v>
      </c>
      <c r="I114" s="83">
        <v>3.2859899999999999E-3</v>
      </c>
      <c r="J114" s="83">
        <v>1.04499E-2</v>
      </c>
      <c r="K114" s="83">
        <v>1.8047400000000002E-2</v>
      </c>
      <c r="L114" s="83">
        <v>3.3707199999999998E-3</v>
      </c>
      <c r="M114" s="83">
        <v>1.04499E-2</v>
      </c>
      <c r="N114" s="83">
        <v>1.9188799999999999E-2</v>
      </c>
      <c r="O114" s="83">
        <v>3.4454300000000002E-3</v>
      </c>
      <c r="P114" s="83">
        <v>1.04499E-2</v>
      </c>
      <c r="Q114" s="83">
        <v>1.7767700000000001E-2</v>
      </c>
      <c r="R114" s="83">
        <v>3.3484000000000001E-3</v>
      </c>
      <c r="S114" s="83">
        <v>1.04499E-2</v>
      </c>
      <c r="T114" s="83">
        <v>1.7901500000000001E-2</v>
      </c>
      <c r="U114" s="83">
        <v>3.3254600000000001E-3</v>
      </c>
      <c r="V114" s="83">
        <v>1.04499E-2</v>
      </c>
      <c r="W114" s="83">
        <v>1.7787600000000001E-2</v>
      </c>
      <c r="X114" s="83">
        <v>3.31388E-3</v>
      </c>
      <c r="Y114" s="83">
        <v>1.04499E-2</v>
      </c>
      <c r="Z114" s="83">
        <v>1.7319999999999999E-2</v>
      </c>
      <c r="AA114" s="83">
        <v>3.3242300000000001E-3</v>
      </c>
      <c r="AB114" s="83">
        <v>1.04499E-2</v>
      </c>
      <c r="AC114" s="83">
        <v>1.7070999999999999E-2</v>
      </c>
      <c r="AD114" s="83">
        <v>3.3068899999999998E-3</v>
      </c>
      <c r="AE114" s="83">
        <v>1.04499E-2</v>
      </c>
      <c r="AF114" s="83">
        <v>1.7115600000000002E-2</v>
      </c>
      <c r="AG114" s="83">
        <v>3.3023200000000001E-3</v>
      </c>
      <c r="AH114" s="83">
        <v>1.04499E-2</v>
      </c>
      <c r="AI114" s="83">
        <v>1.7538100000000001E-2</v>
      </c>
      <c r="AJ114" s="83">
        <v>3.3663500000000002E-3</v>
      </c>
      <c r="AK114" s="83">
        <v>1.04499E-2</v>
      </c>
      <c r="AL114" s="83">
        <v>1.82556E-2</v>
      </c>
      <c r="AM114" s="83">
        <v>3.5266099999999999E-3</v>
      </c>
      <c r="AN114" s="83">
        <v>1.04499E-2</v>
      </c>
      <c r="AO114" s="83">
        <v>1.62635E-2</v>
      </c>
      <c r="AP114" s="83">
        <v>3.2671699999999998E-3</v>
      </c>
      <c r="AQ114" s="83">
        <v>1.04499E-2</v>
      </c>
      <c r="AR114" s="83">
        <v>1.5395600000000001E-2</v>
      </c>
      <c r="AS114" s="83">
        <v>3.2913600000000001E-3</v>
      </c>
      <c r="AT114" s="83">
        <v>1.04499E-2</v>
      </c>
      <c r="AU114" s="83">
        <v>1.6663799999999999E-2</v>
      </c>
      <c r="AV114" s="83">
        <v>3.3532900000000001E-3</v>
      </c>
      <c r="AW114" s="83">
        <v>1.04499E-2</v>
      </c>
      <c r="AX114" s="83">
        <v>1.6776699999999999E-2</v>
      </c>
      <c r="AY114" s="83">
        <v>3.44408E-3</v>
      </c>
      <c r="AZ114" s="83">
        <v>1.04499E-2</v>
      </c>
      <c r="BA114" s="83">
        <v>1.6110099999999999E-2</v>
      </c>
      <c r="BB114" s="83">
        <v>3.4685800000000002E-3</v>
      </c>
      <c r="BC114" s="83">
        <v>1.04499E-2</v>
      </c>
      <c r="BD114" s="83">
        <v>1.64692E-2</v>
      </c>
      <c r="BE114" s="83">
        <v>3.4081900000000002E-3</v>
      </c>
      <c r="BF114" s="83">
        <v>1.04499E-2</v>
      </c>
      <c r="BG114" s="83">
        <v>1.5518799999999999E-2</v>
      </c>
      <c r="BH114" s="83">
        <v>3.4300799999999998E-3</v>
      </c>
      <c r="BI114" s="83">
        <v>1.04499E-2</v>
      </c>
      <c r="BJ114" s="83">
        <v>1.5969000000000001E-2</v>
      </c>
      <c r="BK114" s="83">
        <v>3.4654899999999999E-3</v>
      </c>
      <c r="BL114" s="83">
        <v>1.04499E-2</v>
      </c>
      <c r="BM114" s="83">
        <v>1.5154300000000001E-2</v>
      </c>
      <c r="BN114" s="83">
        <v>3.4014200000000001E-3</v>
      </c>
      <c r="BO114" s="83">
        <v>1.04499E-2</v>
      </c>
      <c r="BP114" s="83">
        <v>1.5059100000000001E-2</v>
      </c>
      <c r="BQ114" s="83">
        <v>3.3552199999999999E-3</v>
      </c>
      <c r="BR114" s="83">
        <v>1.04499E-2</v>
      </c>
      <c r="BS114" s="83">
        <v>1.5526999999999999E-2</v>
      </c>
      <c r="BT114" s="83">
        <v>3.4729299999999999E-3</v>
      </c>
      <c r="BU114" s="83">
        <v>1.04499E-2</v>
      </c>
      <c r="BV114" s="83">
        <v>1.46505E-2</v>
      </c>
      <c r="BW114" s="83">
        <v>3.4153600000000001E-3</v>
      </c>
      <c r="BX114" s="83">
        <v>1.04499E-2</v>
      </c>
      <c r="BY114" s="83">
        <v>1.3998E-2</v>
      </c>
      <c r="BZ114" s="83">
        <v>3.29108E-3</v>
      </c>
      <c r="CA114" s="83">
        <v>1.04499E-2</v>
      </c>
      <c r="CB114" s="83">
        <v>1.41873E-2</v>
      </c>
      <c r="CC114" s="83">
        <v>3.31496E-3</v>
      </c>
      <c r="CD114" s="83">
        <v>1.04499E-2</v>
      </c>
      <c r="CE114" s="83">
        <v>1.392E-2</v>
      </c>
      <c r="CF114" s="83">
        <v>3.3552600000000001E-3</v>
      </c>
      <c r="CG114" s="83">
        <v>1.04499E-2</v>
      </c>
      <c r="CH114" s="83">
        <v>1.39953E-2</v>
      </c>
      <c r="CI114" s="83">
        <v>3.3396300000000001E-3</v>
      </c>
      <c r="CJ114" s="83">
        <v>1.04499E-2</v>
      </c>
      <c r="CK114" s="83">
        <v>1.37349E-2</v>
      </c>
      <c r="CL114" s="83">
        <v>3.37141E-3</v>
      </c>
      <c r="CM114" s="83">
        <v>1.04499E-2</v>
      </c>
      <c r="CN114" s="83">
        <v>1.41332E-2</v>
      </c>
      <c r="CO114" s="83">
        <v>3.4192099999999998E-3</v>
      </c>
      <c r="CP114" s="83">
        <v>1.04499E-2</v>
      </c>
      <c r="CQ114" s="83">
        <v>1.3197E-2</v>
      </c>
      <c r="CR114" s="83">
        <v>3.2660800000000002E-3</v>
      </c>
      <c r="CS114" s="83">
        <v>1.04499E-2</v>
      </c>
      <c r="CT114" s="83">
        <v>1.2831800000000001E-2</v>
      </c>
      <c r="CU114" s="83">
        <v>3.2759600000000001E-3</v>
      </c>
      <c r="CV114" s="83">
        <v>1.04499E-2</v>
      </c>
      <c r="CW114" s="83">
        <v>1.2305399999999999E-2</v>
      </c>
      <c r="CX114" s="83">
        <v>3.3469400000000001E-3</v>
      </c>
      <c r="CY114" s="83">
        <v>1.04499E-2</v>
      </c>
      <c r="CZ114" s="83">
        <v>1.22656E-2</v>
      </c>
      <c r="DA114" s="83">
        <v>3.4239100000000001E-3</v>
      </c>
    </row>
    <row r="115" spans="1:105" x14ac:dyDescent="0.2">
      <c r="A115" s="83">
        <v>1.0549899999999999E-2</v>
      </c>
      <c r="B115" s="83">
        <v>1.59148E-2</v>
      </c>
      <c r="C115" s="83">
        <v>3.0558899999999999E-3</v>
      </c>
      <c r="D115" s="83">
        <v>1.0549899999999999E-2</v>
      </c>
      <c r="E115" s="83">
        <v>1.6152400000000001E-2</v>
      </c>
      <c r="F115" s="83">
        <v>3.0523299999999998E-3</v>
      </c>
      <c r="G115" s="83">
        <v>1.0549899999999999E-2</v>
      </c>
      <c r="H115" s="83">
        <v>1.6074999999999999E-2</v>
      </c>
      <c r="I115" s="83">
        <v>3.0984900000000002E-3</v>
      </c>
      <c r="J115" s="83">
        <v>1.0549899999999999E-2</v>
      </c>
      <c r="K115" s="83">
        <v>1.6333500000000001E-2</v>
      </c>
      <c r="L115" s="83">
        <v>3.1744400000000002E-3</v>
      </c>
      <c r="M115" s="83">
        <v>1.0549899999999999E-2</v>
      </c>
      <c r="N115" s="83">
        <v>1.8280600000000001E-2</v>
      </c>
      <c r="O115" s="83">
        <v>3.2276599999999998E-3</v>
      </c>
      <c r="P115" s="83">
        <v>1.0549899999999999E-2</v>
      </c>
      <c r="Q115" s="83">
        <v>1.6669099999999999E-2</v>
      </c>
      <c r="R115" s="83">
        <v>3.1696900000000002E-3</v>
      </c>
      <c r="S115" s="83">
        <v>1.0549899999999999E-2</v>
      </c>
      <c r="T115" s="83">
        <v>1.6929799999999998E-2</v>
      </c>
      <c r="U115" s="83">
        <v>3.1369800000000002E-3</v>
      </c>
      <c r="V115" s="83">
        <v>1.0549899999999999E-2</v>
      </c>
      <c r="W115" s="83">
        <v>1.6313000000000001E-2</v>
      </c>
      <c r="X115" s="83">
        <v>3.13028E-3</v>
      </c>
      <c r="Y115" s="83">
        <v>1.0549899999999999E-2</v>
      </c>
      <c r="Z115" s="83">
        <v>1.6187199999999999E-2</v>
      </c>
      <c r="AA115" s="83">
        <v>3.16212E-3</v>
      </c>
      <c r="AB115" s="83">
        <v>1.0549899999999999E-2</v>
      </c>
      <c r="AC115" s="83">
        <v>1.6558400000000001E-2</v>
      </c>
      <c r="AD115" s="83">
        <v>3.1320800000000002E-3</v>
      </c>
      <c r="AE115" s="83">
        <v>1.0549899999999999E-2</v>
      </c>
      <c r="AF115" s="83">
        <v>1.6539499999999999E-2</v>
      </c>
      <c r="AG115" s="83">
        <v>3.1304499999999999E-3</v>
      </c>
      <c r="AH115" s="83">
        <v>1.0549899999999999E-2</v>
      </c>
      <c r="AI115" s="83">
        <v>1.5980500000000002E-2</v>
      </c>
      <c r="AJ115" s="83">
        <v>3.1622500000000001E-3</v>
      </c>
      <c r="AK115" s="83">
        <v>1.0549899999999999E-2</v>
      </c>
      <c r="AL115" s="83">
        <v>1.6912799999999999E-2</v>
      </c>
      <c r="AM115" s="83">
        <v>3.3254399999999998E-3</v>
      </c>
      <c r="AN115" s="83">
        <v>1.0549899999999999E-2</v>
      </c>
      <c r="AO115" s="83">
        <v>1.58534E-2</v>
      </c>
      <c r="AP115" s="83">
        <v>3.08553E-3</v>
      </c>
      <c r="AQ115" s="83">
        <v>1.0549899999999999E-2</v>
      </c>
      <c r="AR115" s="83">
        <v>1.4331099999999999E-2</v>
      </c>
      <c r="AS115" s="83">
        <v>3.11363E-3</v>
      </c>
      <c r="AT115" s="83">
        <v>1.0549899999999999E-2</v>
      </c>
      <c r="AU115" s="83">
        <v>1.59802E-2</v>
      </c>
      <c r="AV115" s="83">
        <v>3.1696900000000002E-3</v>
      </c>
      <c r="AW115" s="83">
        <v>1.0549899999999999E-2</v>
      </c>
      <c r="AX115" s="83">
        <v>1.6205399999999998E-2</v>
      </c>
      <c r="AY115" s="83">
        <v>3.2585399999999999E-3</v>
      </c>
      <c r="AZ115" s="83">
        <v>1.0549899999999999E-2</v>
      </c>
      <c r="BA115" s="83">
        <v>1.51238E-2</v>
      </c>
      <c r="BB115" s="83">
        <v>3.2849899999999998E-3</v>
      </c>
      <c r="BC115" s="83">
        <v>1.0549899999999999E-2</v>
      </c>
      <c r="BD115" s="83">
        <v>1.55855E-2</v>
      </c>
      <c r="BE115" s="83">
        <v>3.2499899999999999E-3</v>
      </c>
      <c r="BF115" s="83">
        <v>1.0549899999999999E-2</v>
      </c>
      <c r="BG115" s="83">
        <v>1.39075E-2</v>
      </c>
      <c r="BH115" s="83">
        <v>3.2542999999999999E-3</v>
      </c>
      <c r="BI115" s="83">
        <v>1.0549899999999999E-2</v>
      </c>
      <c r="BJ115" s="83">
        <v>1.45042E-2</v>
      </c>
      <c r="BK115" s="83">
        <v>3.2574800000000001E-3</v>
      </c>
      <c r="BL115" s="83">
        <v>1.0549899999999999E-2</v>
      </c>
      <c r="BM115" s="83">
        <v>1.43486E-2</v>
      </c>
      <c r="BN115" s="83">
        <v>3.2373499999999999E-3</v>
      </c>
      <c r="BO115" s="83">
        <v>1.0549899999999999E-2</v>
      </c>
      <c r="BP115" s="83">
        <v>1.42144E-2</v>
      </c>
      <c r="BQ115" s="83">
        <v>3.1813900000000001E-3</v>
      </c>
      <c r="BR115" s="83">
        <v>1.0549899999999999E-2</v>
      </c>
      <c r="BS115" s="83">
        <v>1.45016E-2</v>
      </c>
      <c r="BT115" s="83">
        <v>3.2903099999999998E-3</v>
      </c>
      <c r="BU115" s="83">
        <v>1.0549899999999999E-2</v>
      </c>
      <c r="BV115" s="83">
        <v>1.36104E-2</v>
      </c>
      <c r="BW115" s="83">
        <v>3.23567E-3</v>
      </c>
      <c r="BX115" s="83">
        <v>1.0549899999999999E-2</v>
      </c>
      <c r="BY115" s="83">
        <v>1.36562E-2</v>
      </c>
      <c r="BZ115" s="83">
        <v>3.1270199999999999E-3</v>
      </c>
      <c r="CA115" s="83">
        <v>1.0549899999999999E-2</v>
      </c>
      <c r="CB115" s="83">
        <v>1.36209E-2</v>
      </c>
      <c r="CC115" s="83">
        <v>3.1460199999999998E-3</v>
      </c>
      <c r="CD115" s="83">
        <v>1.0549899999999999E-2</v>
      </c>
      <c r="CE115" s="83">
        <v>1.2684600000000001E-2</v>
      </c>
      <c r="CF115" s="83">
        <v>3.1472499999999999E-3</v>
      </c>
      <c r="CG115" s="83">
        <v>1.0549899999999999E-2</v>
      </c>
      <c r="CH115" s="83">
        <v>1.3018699999999999E-2</v>
      </c>
      <c r="CI115" s="83">
        <v>3.1619E-3</v>
      </c>
      <c r="CJ115" s="83">
        <v>1.0549899999999999E-2</v>
      </c>
      <c r="CK115" s="83">
        <v>1.3007400000000001E-2</v>
      </c>
      <c r="CL115" s="83">
        <v>3.1731699999999999E-3</v>
      </c>
      <c r="CM115" s="83">
        <v>1.0549899999999999E-2</v>
      </c>
      <c r="CN115" s="83">
        <v>1.3225000000000001E-2</v>
      </c>
      <c r="CO115" s="83">
        <v>3.2131600000000001E-3</v>
      </c>
      <c r="CP115" s="83">
        <v>1.0549899999999999E-2</v>
      </c>
      <c r="CQ115" s="83">
        <v>1.23572E-2</v>
      </c>
      <c r="CR115" s="83">
        <v>3.1127500000000001E-3</v>
      </c>
      <c r="CS115" s="83">
        <v>1.0549899999999999E-2</v>
      </c>
      <c r="CT115" s="83">
        <v>1.18455E-2</v>
      </c>
      <c r="CU115" s="83">
        <v>3.1031100000000001E-3</v>
      </c>
      <c r="CV115" s="83">
        <v>1.0549899999999999E-2</v>
      </c>
      <c r="CW115" s="83">
        <v>1.15633E-2</v>
      </c>
      <c r="CX115" s="83">
        <v>3.1750599999999999E-3</v>
      </c>
      <c r="CY115" s="83">
        <v>1.0549899999999999E-2</v>
      </c>
      <c r="CZ115" s="83">
        <v>1.1503899999999999E-2</v>
      </c>
      <c r="DA115" s="83">
        <v>3.2520399999999999E-3</v>
      </c>
    </row>
    <row r="116" spans="1:105" x14ac:dyDescent="0.2">
      <c r="A116" s="83">
        <v>1.06499E-2</v>
      </c>
      <c r="B116" s="83">
        <v>1.46795E-2</v>
      </c>
      <c r="C116" s="83">
        <v>2.8732699999999998E-3</v>
      </c>
      <c r="D116" s="83">
        <v>1.06499E-2</v>
      </c>
      <c r="E116" s="83">
        <v>1.4585000000000001E-2</v>
      </c>
      <c r="F116" s="83">
        <v>2.8833800000000001E-3</v>
      </c>
      <c r="G116" s="83">
        <v>1.06499E-2</v>
      </c>
      <c r="H116" s="83">
        <v>1.4956799999999999E-2</v>
      </c>
      <c r="I116" s="83">
        <v>2.9236800000000001E-3</v>
      </c>
      <c r="J116" s="83">
        <v>1.06499E-2</v>
      </c>
      <c r="K116" s="83">
        <v>1.55376E-2</v>
      </c>
      <c r="L116" s="83">
        <v>2.97131E-3</v>
      </c>
      <c r="M116" s="83">
        <v>1.06499E-2</v>
      </c>
      <c r="N116" s="83">
        <v>1.6806000000000001E-2</v>
      </c>
      <c r="O116" s="83">
        <v>3.0655499999999998E-3</v>
      </c>
      <c r="P116" s="83">
        <v>1.06499E-2</v>
      </c>
      <c r="Q116" s="83">
        <v>1.5702299999999999E-2</v>
      </c>
      <c r="R116" s="83">
        <v>2.9685200000000001E-3</v>
      </c>
      <c r="S116" s="83">
        <v>1.06499E-2</v>
      </c>
      <c r="T116" s="83">
        <v>1.6299999999999999E-2</v>
      </c>
      <c r="U116" s="83">
        <v>2.96218E-3</v>
      </c>
      <c r="V116" s="83">
        <v>1.06499E-2</v>
      </c>
      <c r="W116" s="83">
        <v>1.5980999999999999E-2</v>
      </c>
      <c r="X116" s="83">
        <v>2.9535299999999998E-3</v>
      </c>
      <c r="Y116" s="83">
        <v>1.06499E-2</v>
      </c>
      <c r="Z116" s="83">
        <v>1.47419E-2</v>
      </c>
      <c r="AA116" s="83">
        <v>2.96095E-3</v>
      </c>
      <c r="AB116" s="83">
        <v>1.06499E-2</v>
      </c>
      <c r="AC116" s="83">
        <v>1.5059299999999999E-2</v>
      </c>
      <c r="AD116" s="83">
        <v>2.9533699999999999E-3</v>
      </c>
      <c r="AE116" s="83">
        <v>1.06499E-2</v>
      </c>
      <c r="AF116" s="83">
        <v>1.53627E-2</v>
      </c>
      <c r="AG116" s="83">
        <v>2.9497799999999999E-3</v>
      </c>
      <c r="AH116" s="83">
        <v>1.06499E-2</v>
      </c>
      <c r="AI116" s="83">
        <v>1.4823299999999999E-2</v>
      </c>
      <c r="AJ116" s="83">
        <v>3.00111E-3</v>
      </c>
      <c r="AK116" s="83">
        <v>1.06499E-2</v>
      </c>
      <c r="AL116" s="83">
        <v>1.5809299999999998E-2</v>
      </c>
      <c r="AM116" s="83">
        <v>3.1438E-3</v>
      </c>
      <c r="AN116" s="83">
        <v>1.06499E-2</v>
      </c>
      <c r="AO116" s="83">
        <v>1.42078E-2</v>
      </c>
      <c r="AP116" s="83">
        <v>2.9321999999999998E-3</v>
      </c>
      <c r="AQ116" s="83">
        <v>1.06499E-2</v>
      </c>
      <c r="AR116" s="83">
        <v>1.3315499999999999E-2</v>
      </c>
      <c r="AS116" s="83">
        <v>2.9222200000000001E-3</v>
      </c>
      <c r="AT116" s="83">
        <v>1.06499E-2</v>
      </c>
      <c r="AU116" s="83">
        <v>1.4408000000000001E-2</v>
      </c>
      <c r="AV116" s="83">
        <v>2.9841500000000001E-3</v>
      </c>
      <c r="AW116" s="83">
        <v>1.06499E-2</v>
      </c>
      <c r="AX116" s="83">
        <v>1.52044E-2</v>
      </c>
      <c r="AY116" s="83">
        <v>3.0817800000000001E-3</v>
      </c>
      <c r="AZ116" s="83">
        <v>1.06499E-2</v>
      </c>
      <c r="BA116" s="83">
        <v>1.37419E-2</v>
      </c>
      <c r="BB116" s="83">
        <v>3.1062799999999999E-3</v>
      </c>
      <c r="BC116" s="83">
        <v>1.06499E-2</v>
      </c>
      <c r="BD116" s="83">
        <v>1.43403E-2</v>
      </c>
      <c r="BE116" s="83">
        <v>3.0546700000000002E-3</v>
      </c>
      <c r="BF116" s="83">
        <v>1.06499E-2</v>
      </c>
      <c r="BG116" s="83">
        <v>1.34827E-2</v>
      </c>
      <c r="BH116" s="83">
        <v>3.0668000000000002E-3</v>
      </c>
      <c r="BI116" s="83">
        <v>1.06499E-2</v>
      </c>
      <c r="BJ116" s="83">
        <v>1.33372E-2</v>
      </c>
      <c r="BK116" s="83">
        <v>3.0856099999999999E-3</v>
      </c>
      <c r="BL116" s="83">
        <v>1.06499E-2</v>
      </c>
      <c r="BM116" s="83">
        <v>1.3122999999999999E-2</v>
      </c>
      <c r="BN116" s="83">
        <v>3.0518099999999999E-3</v>
      </c>
      <c r="BO116" s="83">
        <v>1.06499E-2</v>
      </c>
      <c r="BP116" s="83">
        <v>1.2842299999999999E-2</v>
      </c>
      <c r="BQ116" s="83">
        <v>2.99877E-3</v>
      </c>
      <c r="BR116" s="83">
        <v>1.06499E-2</v>
      </c>
      <c r="BS116" s="83">
        <v>1.32858E-2</v>
      </c>
      <c r="BT116" s="83">
        <v>3.1125699999999998E-3</v>
      </c>
      <c r="BU116" s="83">
        <v>1.06499E-2</v>
      </c>
      <c r="BV116" s="83">
        <v>1.2609499999999999E-2</v>
      </c>
      <c r="BW116" s="83">
        <v>3.04719E-3</v>
      </c>
      <c r="BX116" s="83">
        <v>1.06499E-2</v>
      </c>
      <c r="BY116" s="83">
        <v>1.27724E-2</v>
      </c>
      <c r="BZ116" s="83">
        <v>2.9443999999999998E-3</v>
      </c>
      <c r="CA116" s="83">
        <v>1.06499E-2</v>
      </c>
      <c r="CB116" s="83">
        <v>1.25662E-2</v>
      </c>
      <c r="CC116" s="83">
        <v>2.9634000000000001E-3</v>
      </c>
      <c r="CD116" s="83">
        <v>1.06499E-2</v>
      </c>
      <c r="CE116" s="83">
        <v>1.19522E-2</v>
      </c>
      <c r="CF116" s="83">
        <v>2.9880699999999998E-3</v>
      </c>
      <c r="CG116" s="83">
        <v>1.06499E-2</v>
      </c>
      <c r="CH116" s="83">
        <v>1.2105599999999999E-2</v>
      </c>
      <c r="CI116" s="83">
        <v>2.9861200000000001E-3</v>
      </c>
      <c r="CJ116" s="83">
        <v>1.06499E-2</v>
      </c>
      <c r="CK116" s="83">
        <v>1.2460499999999999E-2</v>
      </c>
      <c r="CL116" s="83">
        <v>2.9827399999999998E-3</v>
      </c>
      <c r="CM116" s="83">
        <v>1.06499E-2</v>
      </c>
      <c r="CN116" s="83">
        <v>1.1642899999999999E-2</v>
      </c>
      <c r="CO116" s="83">
        <v>3.0403000000000001E-3</v>
      </c>
      <c r="CP116" s="83">
        <v>1.06499E-2</v>
      </c>
      <c r="CQ116" s="83">
        <v>1.2020299999999999E-2</v>
      </c>
      <c r="CR116" s="83">
        <v>2.9643199999999999E-3</v>
      </c>
      <c r="CS116" s="83">
        <v>1.06499E-2</v>
      </c>
      <c r="CT116" s="83">
        <v>1.1616E-2</v>
      </c>
      <c r="CU116" s="83">
        <v>2.9156099999999999E-3</v>
      </c>
      <c r="CV116" s="83">
        <v>1.06499E-2</v>
      </c>
      <c r="CW116" s="83">
        <v>1.1158E-2</v>
      </c>
      <c r="CX116" s="83">
        <v>2.98073E-3</v>
      </c>
      <c r="CY116" s="83">
        <v>1.06499E-2</v>
      </c>
      <c r="CZ116" s="83">
        <v>1.0761700000000001E-2</v>
      </c>
      <c r="DA116" s="83">
        <v>3.08895E-3</v>
      </c>
    </row>
    <row r="117" spans="1:105" x14ac:dyDescent="0.2">
      <c r="A117" s="83">
        <v>1.07499E-2</v>
      </c>
      <c r="B117" s="83">
        <v>1.4054499999999999E-2</v>
      </c>
      <c r="C117" s="83">
        <v>2.7267799999999998E-3</v>
      </c>
      <c r="D117" s="83">
        <v>1.07499E-2</v>
      </c>
      <c r="E117" s="83">
        <v>1.40821E-2</v>
      </c>
      <c r="F117" s="83">
        <v>2.6831899999999998E-3</v>
      </c>
      <c r="G117" s="83">
        <v>1.07499E-2</v>
      </c>
      <c r="H117" s="83">
        <v>1.40486E-2</v>
      </c>
      <c r="I117" s="83">
        <v>2.7576699999999998E-3</v>
      </c>
      <c r="J117" s="83">
        <v>1.07499E-2</v>
      </c>
      <c r="K117" s="83">
        <v>1.4683099999999999E-2</v>
      </c>
      <c r="L117" s="83">
        <v>2.83264E-3</v>
      </c>
      <c r="M117" s="83">
        <v>1.07499E-2</v>
      </c>
      <c r="N117" s="83">
        <v>1.54974E-2</v>
      </c>
      <c r="O117" s="83">
        <v>2.9024599999999999E-3</v>
      </c>
      <c r="P117" s="83">
        <v>1.07499E-2</v>
      </c>
      <c r="Q117" s="83">
        <v>1.47257E-2</v>
      </c>
      <c r="R117" s="83">
        <v>2.82497E-3</v>
      </c>
      <c r="S117" s="83">
        <v>1.07499E-2</v>
      </c>
      <c r="T117" s="83">
        <v>1.4791199999999999E-2</v>
      </c>
      <c r="U117" s="83">
        <v>2.80788E-3</v>
      </c>
      <c r="V117" s="83">
        <v>1.07499E-2</v>
      </c>
      <c r="W117" s="83">
        <v>1.42427E-2</v>
      </c>
      <c r="X117" s="83">
        <v>2.7718899999999999E-3</v>
      </c>
      <c r="Y117" s="83">
        <v>1.07499E-2</v>
      </c>
      <c r="Z117" s="83">
        <v>1.4209599999999999E-2</v>
      </c>
      <c r="AA117" s="83">
        <v>2.8261800000000002E-3</v>
      </c>
      <c r="AB117" s="83">
        <v>1.07499E-2</v>
      </c>
      <c r="AC117" s="83">
        <v>1.3858199999999999E-2</v>
      </c>
      <c r="AD117" s="83">
        <v>2.80591E-3</v>
      </c>
      <c r="AE117" s="83">
        <v>1.07499E-2</v>
      </c>
      <c r="AF117" s="83">
        <v>1.4142E-2</v>
      </c>
      <c r="AG117" s="83">
        <v>2.7925599999999999E-3</v>
      </c>
      <c r="AH117" s="83">
        <v>1.07499E-2</v>
      </c>
      <c r="AI117" s="83">
        <v>1.3832000000000001E-2</v>
      </c>
      <c r="AJ117" s="83">
        <v>2.8214300000000002E-3</v>
      </c>
      <c r="AK117" s="83">
        <v>1.07499E-2</v>
      </c>
      <c r="AL117" s="83">
        <v>1.4281E-2</v>
      </c>
      <c r="AM117" s="83">
        <v>2.9572800000000001E-3</v>
      </c>
      <c r="AN117" s="83">
        <v>1.07499E-2</v>
      </c>
      <c r="AO117" s="83">
        <v>1.34071E-2</v>
      </c>
      <c r="AP117" s="83">
        <v>2.7857200000000002E-3</v>
      </c>
      <c r="AQ117" s="83">
        <v>1.07499E-2</v>
      </c>
      <c r="AR117" s="83">
        <v>1.23877E-2</v>
      </c>
      <c r="AS117" s="83">
        <v>2.7718299999999999E-3</v>
      </c>
      <c r="AT117" s="83">
        <v>1.07499E-2</v>
      </c>
      <c r="AU117" s="83">
        <v>1.3861099999999999E-2</v>
      </c>
      <c r="AV117" s="83">
        <v>2.8318000000000002E-3</v>
      </c>
      <c r="AW117" s="83">
        <v>1.07499E-2</v>
      </c>
      <c r="AX117" s="83">
        <v>1.40667E-2</v>
      </c>
      <c r="AY117" s="83">
        <v>2.9060000000000002E-3</v>
      </c>
      <c r="AZ117" s="83">
        <v>1.07499E-2</v>
      </c>
      <c r="BA117" s="83">
        <v>1.3243899999999999E-2</v>
      </c>
      <c r="BB117" s="83">
        <v>2.90413E-3</v>
      </c>
      <c r="BC117" s="83">
        <v>1.07499E-2</v>
      </c>
      <c r="BD117" s="83">
        <v>1.36274E-2</v>
      </c>
      <c r="BE117" s="83">
        <v>2.9033100000000001E-3</v>
      </c>
      <c r="BF117" s="83">
        <v>1.07499E-2</v>
      </c>
      <c r="BG117" s="83">
        <v>1.21595E-2</v>
      </c>
      <c r="BH117" s="83">
        <v>2.8939500000000002E-3</v>
      </c>
      <c r="BI117" s="83">
        <v>1.07499E-2</v>
      </c>
      <c r="BJ117" s="83">
        <v>1.25413E-2</v>
      </c>
      <c r="BK117" s="83">
        <v>2.8824800000000002E-3</v>
      </c>
      <c r="BL117" s="83">
        <v>1.07499E-2</v>
      </c>
      <c r="BM117" s="83">
        <v>1.2248999999999999E-2</v>
      </c>
      <c r="BN117" s="83">
        <v>2.8740699999999998E-3</v>
      </c>
      <c r="BO117" s="83">
        <v>1.07499E-2</v>
      </c>
      <c r="BP117" s="83">
        <v>1.26275E-2</v>
      </c>
      <c r="BQ117" s="83">
        <v>2.8542400000000001E-3</v>
      </c>
      <c r="BR117" s="83">
        <v>1.07499E-2</v>
      </c>
      <c r="BS117" s="83">
        <v>1.2397099999999999E-2</v>
      </c>
      <c r="BT117" s="83">
        <v>2.9377700000000001E-3</v>
      </c>
      <c r="BU117" s="83">
        <v>1.07499E-2</v>
      </c>
      <c r="BV117" s="83">
        <v>1.22921E-2</v>
      </c>
      <c r="BW117" s="83">
        <v>2.89485E-3</v>
      </c>
      <c r="BX117" s="83">
        <v>1.07499E-2</v>
      </c>
      <c r="BY117" s="83">
        <v>1.18642E-2</v>
      </c>
      <c r="BZ117" s="83">
        <v>2.74128E-3</v>
      </c>
      <c r="CA117" s="83">
        <v>1.07499E-2</v>
      </c>
      <c r="CB117" s="83">
        <v>1.1682400000000001E-2</v>
      </c>
      <c r="CC117" s="83">
        <v>2.81496E-3</v>
      </c>
      <c r="CD117" s="83">
        <v>1.07499E-2</v>
      </c>
      <c r="CE117" s="83">
        <v>1.142E-2</v>
      </c>
      <c r="CF117" s="83">
        <v>2.8181500000000002E-3</v>
      </c>
      <c r="CG117" s="83">
        <v>1.07499E-2</v>
      </c>
      <c r="CH117" s="83">
        <v>1.1617300000000001E-2</v>
      </c>
      <c r="CI117" s="83">
        <v>2.8171699999999999E-3</v>
      </c>
      <c r="CJ117" s="83">
        <v>1.07499E-2</v>
      </c>
      <c r="CK117" s="83">
        <v>1.1620699999999999E-2</v>
      </c>
      <c r="CL117" s="83">
        <v>2.8509E-3</v>
      </c>
      <c r="CM117" s="83">
        <v>1.07499E-2</v>
      </c>
      <c r="CN117" s="83">
        <v>1.1472E-2</v>
      </c>
      <c r="CO117" s="83">
        <v>2.8869799999999999E-3</v>
      </c>
      <c r="CP117" s="83">
        <v>1.07499E-2</v>
      </c>
      <c r="CQ117" s="83">
        <v>1.0438299999999999E-2</v>
      </c>
      <c r="CR117" s="83">
        <v>2.7690000000000002E-3</v>
      </c>
      <c r="CS117" s="83">
        <v>1.07499E-2</v>
      </c>
      <c r="CT117" s="83">
        <v>1.0439199999999999E-2</v>
      </c>
      <c r="CU117" s="83">
        <v>2.7730300000000001E-3</v>
      </c>
      <c r="CV117" s="83">
        <v>1.07499E-2</v>
      </c>
      <c r="CW117" s="83">
        <v>1.03719E-2</v>
      </c>
      <c r="CX117" s="83">
        <v>2.8362000000000001E-3</v>
      </c>
      <c r="CY117" s="83">
        <v>1.07499E-2</v>
      </c>
      <c r="CZ117" s="83">
        <v>1.0502900000000001E-2</v>
      </c>
      <c r="DA117" s="83">
        <v>2.8985199999999999E-3</v>
      </c>
    </row>
    <row r="118" spans="1:105" x14ac:dyDescent="0.2">
      <c r="A118" s="83">
        <v>1.0849900000000001E-2</v>
      </c>
      <c r="B118" s="83">
        <v>1.25115E-2</v>
      </c>
      <c r="C118" s="83">
        <v>2.5734600000000001E-3</v>
      </c>
      <c r="D118" s="83">
        <v>1.0849900000000001E-2</v>
      </c>
      <c r="E118" s="83">
        <v>1.2729600000000001E-2</v>
      </c>
      <c r="F118" s="83">
        <v>2.5318200000000002E-3</v>
      </c>
      <c r="G118" s="83">
        <v>1.0849900000000001E-2</v>
      </c>
      <c r="H118" s="83">
        <v>1.30574E-2</v>
      </c>
      <c r="I118" s="83">
        <v>2.61509E-3</v>
      </c>
      <c r="J118" s="83">
        <v>1.0849900000000001E-2</v>
      </c>
      <c r="K118" s="83">
        <v>1.3374499999999999E-2</v>
      </c>
      <c r="L118" s="83">
        <v>2.6812699999999999E-3</v>
      </c>
      <c r="M118" s="83">
        <v>1.0849900000000001E-2</v>
      </c>
      <c r="N118" s="83">
        <v>1.4696600000000001E-2</v>
      </c>
      <c r="O118" s="83">
        <v>2.71887E-3</v>
      </c>
      <c r="P118" s="83">
        <v>1.0849900000000001E-2</v>
      </c>
      <c r="Q118" s="83">
        <v>1.3588100000000001E-2</v>
      </c>
      <c r="R118" s="83">
        <v>2.6433300000000002E-3</v>
      </c>
      <c r="S118" s="83">
        <v>1.0849900000000001E-2</v>
      </c>
      <c r="T118" s="83">
        <v>1.42541E-2</v>
      </c>
      <c r="U118" s="83">
        <v>2.6369800000000001E-3</v>
      </c>
      <c r="V118" s="83">
        <v>1.0849900000000001E-2</v>
      </c>
      <c r="W118" s="83">
        <v>1.36665E-2</v>
      </c>
      <c r="X118" s="83">
        <v>2.62736E-3</v>
      </c>
      <c r="Y118" s="83">
        <v>1.0849900000000001E-2</v>
      </c>
      <c r="Z118" s="83">
        <v>1.3091500000000001E-2</v>
      </c>
      <c r="AA118" s="83">
        <v>2.6503999999999998E-3</v>
      </c>
      <c r="AB118" s="83">
        <v>1.0849900000000001E-2</v>
      </c>
      <c r="AC118" s="83">
        <v>1.25691E-2</v>
      </c>
      <c r="AD118" s="83">
        <v>2.61743E-3</v>
      </c>
      <c r="AE118" s="83">
        <v>1.0849900000000001E-2</v>
      </c>
      <c r="AF118" s="83">
        <v>1.3268E-2</v>
      </c>
      <c r="AG118" s="83">
        <v>2.6284899999999998E-3</v>
      </c>
      <c r="AH118" s="83">
        <v>1.0849900000000001E-2</v>
      </c>
      <c r="AI118" s="83">
        <v>1.32119E-2</v>
      </c>
      <c r="AJ118" s="83">
        <v>2.6583399999999999E-3</v>
      </c>
      <c r="AK118" s="83">
        <v>1.0849900000000001E-2</v>
      </c>
      <c r="AL118" s="83">
        <v>1.34851E-2</v>
      </c>
      <c r="AM118" s="83">
        <v>2.8019999999999998E-3</v>
      </c>
      <c r="AN118" s="83">
        <v>1.0849900000000001E-2</v>
      </c>
      <c r="AO118" s="83">
        <v>1.26258E-2</v>
      </c>
      <c r="AP118" s="83">
        <v>2.5962699999999999E-3</v>
      </c>
      <c r="AQ118" s="83">
        <v>1.0849900000000001E-2</v>
      </c>
      <c r="AR118" s="83">
        <v>1.18409E-2</v>
      </c>
      <c r="AS118" s="83">
        <v>2.6204599999999998E-3</v>
      </c>
      <c r="AT118" s="83">
        <v>1.0849900000000001E-2</v>
      </c>
      <c r="AU118" s="83">
        <v>1.25378E-2</v>
      </c>
      <c r="AV118" s="83">
        <v>2.6863E-3</v>
      </c>
      <c r="AW118" s="83">
        <v>1.0849900000000001E-2</v>
      </c>
      <c r="AX118" s="83">
        <v>1.24358E-2</v>
      </c>
      <c r="AY118" s="83">
        <v>2.7487700000000002E-3</v>
      </c>
      <c r="AZ118" s="83">
        <v>1.0849900000000001E-2</v>
      </c>
      <c r="BA118" s="83">
        <v>1.24773E-2</v>
      </c>
      <c r="BB118" s="83">
        <v>2.7615500000000002E-3</v>
      </c>
      <c r="BC118" s="83">
        <v>1.0849900000000001E-2</v>
      </c>
      <c r="BD118" s="83">
        <v>1.21528E-2</v>
      </c>
      <c r="BE118" s="83">
        <v>2.7294799999999998E-3</v>
      </c>
      <c r="BF118" s="83">
        <v>1.0849900000000001E-2</v>
      </c>
      <c r="BG118" s="83">
        <v>1.1563800000000001E-2</v>
      </c>
      <c r="BH118" s="83">
        <v>2.74063E-3</v>
      </c>
      <c r="BI118" s="83">
        <v>1.0849900000000001E-2</v>
      </c>
      <c r="BJ118" s="83">
        <v>1.2121399999999999E-2</v>
      </c>
      <c r="BK118" s="83">
        <v>2.7565100000000002E-3</v>
      </c>
      <c r="BL118" s="83">
        <v>1.0849900000000001E-2</v>
      </c>
      <c r="BM118" s="83">
        <v>1.17412E-2</v>
      </c>
      <c r="BN118" s="83">
        <v>2.7129400000000001E-3</v>
      </c>
      <c r="BO118" s="83">
        <v>1.0849900000000001E-2</v>
      </c>
      <c r="BP118" s="83">
        <v>1.1729E-2</v>
      </c>
      <c r="BQ118" s="83">
        <v>2.67651E-3</v>
      </c>
      <c r="BR118" s="83">
        <v>1.0849900000000001E-2</v>
      </c>
      <c r="BS118" s="83">
        <v>1.19723E-2</v>
      </c>
      <c r="BT118" s="83">
        <v>2.7649200000000001E-3</v>
      </c>
      <c r="BU118" s="83">
        <v>1.0849900000000001E-2</v>
      </c>
      <c r="BV118" s="83">
        <v>1.15353E-2</v>
      </c>
      <c r="BW118" s="83">
        <v>2.7044199999999999E-3</v>
      </c>
      <c r="BX118" s="83">
        <v>1.0849900000000001E-2</v>
      </c>
      <c r="BY118" s="83">
        <v>1.0980500000000001E-2</v>
      </c>
      <c r="BZ118" s="83">
        <v>2.61042E-3</v>
      </c>
      <c r="CA118" s="83">
        <v>1.0849900000000001E-2</v>
      </c>
      <c r="CB118" s="83">
        <v>1.14334E-2</v>
      </c>
      <c r="CC118" s="83">
        <v>2.66359E-3</v>
      </c>
      <c r="CD118" s="83">
        <v>1.0849900000000001E-2</v>
      </c>
      <c r="CE118" s="83">
        <v>1.10294E-2</v>
      </c>
      <c r="CF118" s="83">
        <v>2.6628799999999998E-3</v>
      </c>
      <c r="CG118" s="83">
        <v>1.0849900000000001E-2</v>
      </c>
      <c r="CH118" s="83">
        <v>1.1226699999999999E-2</v>
      </c>
      <c r="CI118" s="83">
        <v>2.6677599999999999E-3</v>
      </c>
      <c r="CJ118" s="83">
        <v>1.0849900000000001E-2</v>
      </c>
      <c r="CK118" s="83">
        <v>1.0580600000000001E-2</v>
      </c>
      <c r="CL118" s="83">
        <v>2.6848900000000001E-3</v>
      </c>
      <c r="CM118" s="83">
        <v>1.0849900000000001E-2</v>
      </c>
      <c r="CN118" s="83">
        <v>1.10277E-2</v>
      </c>
      <c r="CO118" s="83">
        <v>2.7219399999999999E-3</v>
      </c>
      <c r="CP118" s="83">
        <v>1.0849900000000001E-2</v>
      </c>
      <c r="CQ118" s="83">
        <v>9.8425600000000002E-3</v>
      </c>
      <c r="CR118" s="83">
        <v>2.5795499999999999E-3</v>
      </c>
      <c r="CS118" s="83">
        <v>1.0849900000000001E-2</v>
      </c>
      <c r="CT118" s="83">
        <v>9.6384299999999999E-3</v>
      </c>
      <c r="CU118" s="83">
        <v>2.60897E-3</v>
      </c>
      <c r="CV118" s="83">
        <v>1.0849900000000001E-2</v>
      </c>
      <c r="CW118" s="83">
        <v>9.4392399999999998E-3</v>
      </c>
      <c r="CX118" s="83">
        <v>2.68483E-3</v>
      </c>
      <c r="CY118" s="83">
        <v>1.0849900000000001E-2</v>
      </c>
      <c r="CZ118" s="83">
        <v>9.1357499999999998E-3</v>
      </c>
      <c r="DA118" s="83">
        <v>2.7442199999999999E-3</v>
      </c>
    </row>
    <row r="119" spans="1:105" x14ac:dyDescent="0.2">
      <c r="A119" s="83">
        <v>1.09499E-2</v>
      </c>
      <c r="B119" s="83">
        <v>1.20965E-2</v>
      </c>
      <c r="C119" s="83">
        <v>2.4093999999999999E-3</v>
      </c>
      <c r="D119" s="83">
        <v>1.09499E-2</v>
      </c>
      <c r="E119" s="83">
        <v>1.22559E-2</v>
      </c>
      <c r="F119" s="83">
        <v>2.3999799999999999E-3</v>
      </c>
      <c r="G119" s="83">
        <v>1.09499E-2</v>
      </c>
      <c r="H119" s="83">
        <v>1.23299E-2</v>
      </c>
      <c r="I119" s="83">
        <v>2.46568E-3</v>
      </c>
      <c r="J119" s="83">
        <v>1.09499E-2</v>
      </c>
      <c r="K119" s="83">
        <v>1.2930199999999999E-2</v>
      </c>
      <c r="L119" s="83">
        <v>2.5308800000000001E-3</v>
      </c>
      <c r="M119" s="83">
        <v>1.09499E-2</v>
      </c>
      <c r="N119" s="83">
        <v>1.3856800000000001E-2</v>
      </c>
      <c r="O119" s="83">
        <v>2.5948500000000001E-3</v>
      </c>
      <c r="P119" s="83">
        <v>1.09499E-2</v>
      </c>
      <c r="Q119" s="83">
        <v>1.2606600000000001E-2</v>
      </c>
      <c r="R119" s="83">
        <v>2.5066099999999998E-3</v>
      </c>
      <c r="S119" s="83">
        <v>1.09499E-2</v>
      </c>
      <c r="T119" s="83">
        <v>1.3155399999999999E-2</v>
      </c>
      <c r="U119" s="83">
        <v>2.4778000000000001E-3</v>
      </c>
      <c r="V119" s="83">
        <v>1.09499E-2</v>
      </c>
      <c r="W119" s="83">
        <v>1.26167E-2</v>
      </c>
      <c r="X119" s="83">
        <v>2.4711099999999999E-3</v>
      </c>
      <c r="Y119" s="83">
        <v>1.09499E-2</v>
      </c>
      <c r="Z119" s="83">
        <v>1.20856E-2</v>
      </c>
      <c r="AA119" s="83">
        <v>2.48927E-3</v>
      </c>
      <c r="AB119" s="83">
        <v>1.09499E-2</v>
      </c>
      <c r="AC119" s="83">
        <v>1.20955E-2</v>
      </c>
      <c r="AD119" s="83">
        <v>2.46802E-3</v>
      </c>
      <c r="AE119" s="83">
        <v>1.09499E-2</v>
      </c>
      <c r="AF119" s="83">
        <v>1.2291399999999999E-2</v>
      </c>
      <c r="AG119" s="83">
        <v>2.4742000000000002E-3</v>
      </c>
      <c r="AH119" s="83">
        <v>1.09499E-2</v>
      </c>
      <c r="AI119" s="83">
        <v>1.2254900000000001E-2</v>
      </c>
      <c r="AJ119" s="83">
        <v>2.5167399999999999E-3</v>
      </c>
      <c r="AK119" s="83">
        <v>1.09499E-2</v>
      </c>
      <c r="AL119" s="83">
        <v>1.28845E-2</v>
      </c>
      <c r="AM119" s="83">
        <v>2.6350100000000001E-3</v>
      </c>
      <c r="AN119" s="83">
        <v>1.09499E-2</v>
      </c>
      <c r="AO119" s="83">
        <v>1.15321E-2</v>
      </c>
      <c r="AP119" s="83">
        <v>2.4644300000000001E-3</v>
      </c>
      <c r="AQ119" s="83">
        <v>1.09499E-2</v>
      </c>
      <c r="AR119" s="83">
        <v>1.05176E-2</v>
      </c>
      <c r="AS119" s="83">
        <v>2.47007E-3</v>
      </c>
      <c r="AT119" s="83">
        <v>1.09499E-2</v>
      </c>
      <c r="AU119" s="83">
        <v>1.18201E-2</v>
      </c>
      <c r="AV119" s="83">
        <v>2.5271199999999999E-3</v>
      </c>
      <c r="AW119" s="83">
        <v>1.09499E-2</v>
      </c>
      <c r="AX119" s="83">
        <v>1.1840099999999999E-2</v>
      </c>
      <c r="AY119" s="83">
        <v>2.6042399999999999E-3</v>
      </c>
      <c r="AZ119" s="83">
        <v>1.09499E-2</v>
      </c>
      <c r="BA119" s="83">
        <v>1.1329799999999999E-2</v>
      </c>
      <c r="BB119" s="83">
        <v>2.58772E-3</v>
      </c>
      <c r="BC119" s="83">
        <v>1.09499E-2</v>
      </c>
      <c r="BD119" s="83">
        <v>1.1781700000000001E-2</v>
      </c>
      <c r="BE119" s="83">
        <v>2.5722499999999999E-3</v>
      </c>
      <c r="BF119" s="83">
        <v>1.09499E-2</v>
      </c>
      <c r="BG119" s="83">
        <v>1.08167E-2</v>
      </c>
      <c r="BH119" s="83">
        <v>2.5707E-3</v>
      </c>
      <c r="BI119" s="83">
        <v>1.09499E-2</v>
      </c>
      <c r="BJ119" s="83">
        <v>1.1291300000000001E-2</v>
      </c>
      <c r="BK119" s="83">
        <v>2.5983E-3</v>
      </c>
      <c r="BL119" s="83">
        <v>1.09499E-2</v>
      </c>
      <c r="BM119" s="83">
        <v>1.0491199999999999E-2</v>
      </c>
      <c r="BN119" s="83">
        <v>2.5625499999999998E-3</v>
      </c>
      <c r="BO119" s="83">
        <v>1.09499E-2</v>
      </c>
      <c r="BP119" s="83">
        <v>1.05816E-2</v>
      </c>
      <c r="BQ119" s="83">
        <v>2.49877E-3</v>
      </c>
      <c r="BR119" s="83">
        <v>1.09499E-2</v>
      </c>
      <c r="BS119" s="83">
        <v>1.0951799999999999E-2</v>
      </c>
      <c r="BT119" s="83">
        <v>2.6174599999999998E-3</v>
      </c>
      <c r="BU119" s="83">
        <v>1.09499E-2</v>
      </c>
      <c r="BV119" s="83">
        <v>1.0319399999999999E-2</v>
      </c>
      <c r="BW119" s="83">
        <v>2.57063E-3</v>
      </c>
      <c r="BX119" s="83">
        <v>1.09499E-2</v>
      </c>
      <c r="BY119" s="83">
        <v>1.0692399999999999E-2</v>
      </c>
      <c r="BZ119" s="83">
        <v>2.4238900000000002E-3</v>
      </c>
      <c r="CA119" s="83">
        <v>1.09499E-2</v>
      </c>
      <c r="CB119" s="83">
        <v>1.1125700000000001E-2</v>
      </c>
      <c r="CC119" s="83">
        <v>2.5083200000000001E-3</v>
      </c>
      <c r="CD119" s="83">
        <v>1.09499E-2</v>
      </c>
      <c r="CE119" s="83">
        <v>9.4961500000000001E-3</v>
      </c>
      <c r="CF119" s="83">
        <v>2.4968600000000001E-3</v>
      </c>
      <c r="CG119" s="83">
        <v>1.09499E-2</v>
      </c>
      <c r="CH119" s="83">
        <v>1.00646E-2</v>
      </c>
      <c r="CI119" s="83">
        <v>2.5183499999999999E-3</v>
      </c>
      <c r="CJ119" s="83">
        <v>1.09499E-2</v>
      </c>
      <c r="CK119" s="83">
        <v>1.01607E-2</v>
      </c>
      <c r="CL119" s="83">
        <v>2.52864E-3</v>
      </c>
      <c r="CM119" s="83">
        <v>1.09499E-2</v>
      </c>
      <c r="CN119" s="83">
        <v>9.8069899999999998E-3</v>
      </c>
      <c r="CO119" s="83">
        <v>2.55105E-3</v>
      </c>
      <c r="CP119" s="83">
        <v>1.09499E-2</v>
      </c>
      <c r="CQ119" s="83">
        <v>9.5349400000000004E-3</v>
      </c>
      <c r="CR119" s="83">
        <v>2.4526000000000001E-3</v>
      </c>
      <c r="CS119" s="83">
        <v>1.09499E-2</v>
      </c>
      <c r="CT119" s="83">
        <v>9.0964400000000008E-3</v>
      </c>
      <c r="CU119" s="83">
        <v>2.4478299999999998E-3</v>
      </c>
      <c r="CV119" s="83">
        <v>1.09499E-2</v>
      </c>
      <c r="CW119" s="83">
        <v>9.0535000000000008E-3</v>
      </c>
      <c r="CX119" s="83">
        <v>2.5481100000000001E-3</v>
      </c>
      <c r="CY119" s="83">
        <v>1.09499E-2</v>
      </c>
      <c r="CZ119" s="83">
        <v>9.0722700000000003E-3</v>
      </c>
      <c r="DA119" s="83">
        <v>2.59188E-3</v>
      </c>
    </row>
    <row r="120" spans="1:105" x14ac:dyDescent="0.2">
      <c r="A120" s="83">
        <v>1.10499E-2</v>
      </c>
      <c r="B120" s="83">
        <v>1.14422E-2</v>
      </c>
      <c r="C120" s="83">
        <v>2.2853800000000001E-3</v>
      </c>
      <c r="D120" s="83">
        <v>1.10499E-2</v>
      </c>
      <c r="E120" s="83">
        <v>1.16749E-2</v>
      </c>
      <c r="F120" s="83">
        <v>2.2359200000000002E-3</v>
      </c>
      <c r="G120" s="83">
        <v>1.10499E-2</v>
      </c>
      <c r="H120" s="83">
        <v>1.1206799999999999E-2</v>
      </c>
      <c r="I120" s="83">
        <v>2.3270000000000001E-3</v>
      </c>
      <c r="J120" s="83">
        <v>1.10499E-2</v>
      </c>
      <c r="K120" s="83">
        <v>1.19731E-2</v>
      </c>
      <c r="L120" s="83">
        <v>2.3677899999999998E-3</v>
      </c>
      <c r="M120" s="83">
        <v>1.10499E-2</v>
      </c>
      <c r="N120" s="83">
        <v>1.24896E-2</v>
      </c>
      <c r="O120" s="83">
        <v>2.4551999999999998E-3</v>
      </c>
      <c r="P120" s="83">
        <v>1.10499E-2</v>
      </c>
      <c r="Q120" s="83">
        <v>1.16203E-2</v>
      </c>
      <c r="R120" s="83">
        <v>2.3444999999999998E-3</v>
      </c>
      <c r="S120" s="83">
        <v>1.10499E-2</v>
      </c>
      <c r="T120" s="83">
        <v>1.21642E-2</v>
      </c>
      <c r="U120" s="83">
        <v>2.3479199999999999E-3</v>
      </c>
      <c r="V120" s="83">
        <v>1.10499E-2</v>
      </c>
      <c r="W120" s="83">
        <v>1.14693E-2</v>
      </c>
      <c r="X120" s="83">
        <v>2.3138799999999999E-3</v>
      </c>
      <c r="Y120" s="83">
        <v>1.10499E-2</v>
      </c>
      <c r="Z120" s="83">
        <v>1.12604E-2</v>
      </c>
      <c r="AA120" s="83">
        <v>2.3330199999999999E-3</v>
      </c>
      <c r="AB120" s="83">
        <v>1.10499E-2</v>
      </c>
      <c r="AC120" s="83">
        <v>1.11824E-2</v>
      </c>
      <c r="AD120" s="83">
        <v>2.3440000000000002E-3</v>
      </c>
      <c r="AE120" s="83">
        <v>1.10499E-2</v>
      </c>
      <c r="AF120" s="83">
        <v>1.1280699999999999E-2</v>
      </c>
      <c r="AG120" s="83">
        <v>2.33162E-3</v>
      </c>
      <c r="AH120" s="83">
        <v>1.10499E-2</v>
      </c>
      <c r="AI120" s="83">
        <v>1.11123E-2</v>
      </c>
      <c r="AJ120" s="83">
        <v>2.3682999999999998E-3</v>
      </c>
      <c r="AK120" s="83">
        <v>1.10499E-2</v>
      </c>
      <c r="AL120" s="83">
        <v>1.21765E-2</v>
      </c>
      <c r="AM120" s="83">
        <v>2.4826700000000002E-3</v>
      </c>
      <c r="AN120" s="83">
        <v>1.10499E-2</v>
      </c>
      <c r="AO120" s="83">
        <v>1.12879E-2</v>
      </c>
      <c r="AP120" s="83">
        <v>2.3267399999999999E-3</v>
      </c>
      <c r="AQ120" s="83">
        <v>1.10499E-2</v>
      </c>
      <c r="AR120" s="83">
        <v>1.02247E-2</v>
      </c>
      <c r="AS120" s="83">
        <v>2.30796E-3</v>
      </c>
      <c r="AT120" s="83">
        <v>1.10499E-2</v>
      </c>
      <c r="AU120" s="83">
        <v>1.13074E-2</v>
      </c>
      <c r="AV120" s="83">
        <v>2.41384E-3</v>
      </c>
      <c r="AW120" s="83">
        <v>1.10499E-2</v>
      </c>
      <c r="AX120" s="83">
        <v>1.1386E-2</v>
      </c>
      <c r="AY120" s="83">
        <v>2.4470099999999999E-3</v>
      </c>
      <c r="AZ120" s="83">
        <v>1.10499E-2</v>
      </c>
      <c r="BA120" s="83">
        <v>1.05535E-2</v>
      </c>
      <c r="BB120" s="83">
        <v>2.4558900000000001E-3</v>
      </c>
      <c r="BC120" s="83">
        <v>1.10499E-2</v>
      </c>
      <c r="BD120" s="83">
        <v>1.12105E-2</v>
      </c>
      <c r="BE120" s="83">
        <v>2.4443199999999998E-3</v>
      </c>
      <c r="BF120" s="83">
        <v>1.10499E-2</v>
      </c>
      <c r="BG120" s="83">
        <v>1.026E-2</v>
      </c>
      <c r="BH120" s="83">
        <v>2.4252000000000002E-3</v>
      </c>
      <c r="BI120" s="83">
        <v>1.10499E-2</v>
      </c>
      <c r="BJ120" s="83">
        <v>1.01683E-2</v>
      </c>
      <c r="BK120" s="83">
        <v>2.43815E-3</v>
      </c>
      <c r="BL120" s="83">
        <v>1.10499E-2</v>
      </c>
      <c r="BM120" s="83">
        <v>9.7685600000000008E-3</v>
      </c>
      <c r="BN120" s="83">
        <v>2.3945799999999999E-3</v>
      </c>
      <c r="BO120" s="83">
        <v>1.10499E-2</v>
      </c>
      <c r="BP120" s="83">
        <v>9.8784400000000005E-3</v>
      </c>
      <c r="BQ120" s="83">
        <v>2.3942799999999999E-3</v>
      </c>
      <c r="BR120" s="83">
        <v>1.10499E-2</v>
      </c>
      <c r="BS120" s="83">
        <v>1.00924E-2</v>
      </c>
      <c r="BT120" s="83">
        <v>2.4446099999999998E-3</v>
      </c>
      <c r="BU120" s="83">
        <v>1.10499E-2</v>
      </c>
      <c r="BV120" s="83">
        <v>9.9580999999999992E-3</v>
      </c>
      <c r="BW120" s="83">
        <v>2.4143799999999998E-3</v>
      </c>
      <c r="BX120" s="83">
        <v>1.10499E-2</v>
      </c>
      <c r="BY120" s="83">
        <v>1.0126E-2</v>
      </c>
      <c r="BZ120" s="83">
        <v>2.3418599999999999E-3</v>
      </c>
      <c r="CA120" s="83">
        <v>1.10499E-2</v>
      </c>
      <c r="CB120" s="83">
        <v>9.8073799999999992E-3</v>
      </c>
      <c r="CC120" s="83">
        <v>2.3589100000000001E-3</v>
      </c>
      <c r="CD120" s="83">
        <v>1.10499E-2</v>
      </c>
      <c r="CE120" s="83">
        <v>9.0518100000000004E-3</v>
      </c>
      <c r="CF120" s="83">
        <v>2.35331E-3</v>
      </c>
      <c r="CG120" s="83">
        <v>1.10499E-2</v>
      </c>
      <c r="CH120" s="83">
        <v>9.1173399999999998E-3</v>
      </c>
      <c r="CI120" s="83">
        <v>2.3728400000000002E-3</v>
      </c>
      <c r="CJ120" s="83">
        <v>1.10499E-2</v>
      </c>
      <c r="CK120" s="83">
        <v>9.5796600000000003E-3</v>
      </c>
      <c r="CL120" s="83">
        <v>2.3782500000000002E-3</v>
      </c>
      <c r="CM120" s="83">
        <v>1.10499E-2</v>
      </c>
      <c r="CN120" s="83">
        <v>9.3333500000000007E-3</v>
      </c>
      <c r="CO120" s="83">
        <v>2.3879600000000002E-3</v>
      </c>
      <c r="CP120" s="83">
        <v>1.10499E-2</v>
      </c>
      <c r="CQ120" s="83">
        <v>9.2224400000000002E-3</v>
      </c>
      <c r="CR120" s="83">
        <v>2.2895099999999998E-3</v>
      </c>
      <c r="CS120" s="83">
        <v>1.10499E-2</v>
      </c>
      <c r="CT120" s="83">
        <v>8.1686999999999992E-3</v>
      </c>
      <c r="CU120" s="83">
        <v>2.31307E-3</v>
      </c>
      <c r="CV120" s="83">
        <v>1.10499E-2</v>
      </c>
      <c r="CW120" s="83">
        <v>8.8777200000000004E-3</v>
      </c>
      <c r="CX120" s="83">
        <v>2.3967400000000001E-3</v>
      </c>
      <c r="CY120" s="83">
        <v>1.10499E-2</v>
      </c>
      <c r="CZ120" s="83">
        <v>8.6474700000000009E-3</v>
      </c>
      <c r="DA120" s="83">
        <v>2.4522300000000001E-3</v>
      </c>
    </row>
    <row r="121" spans="1:105" x14ac:dyDescent="0.2">
      <c r="A121" s="83">
        <v>1.1149900000000001E-2</v>
      </c>
      <c r="B121" s="83">
        <v>1.0524199999999999E-2</v>
      </c>
      <c r="C121" s="83">
        <v>2.1613499999999998E-3</v>
      </c>
      <c r="D121" s="83">
        <v>1.1149900000000001E-2</v>
      </c>
      <c r="E121" s="83">
        <v>1.03468E-2</v>
      </c>
      <c r="F121" s="83">
        <v>2.1265400000000001E-3</v>
      </c>
      <c r="G121" s="83">
        <v>1.1149900000000001E-2</v>
      </c>
      <c r="H121" s="83">
        <v>1.10799E-2</v>
      </c>
      <c r="I121" s="83">
        <v>2.18345E-3</v>
      </c>
      <c r="J121" s="83">
        <v>1.1149900000000001E-2</v>
      </c>
      <c r="K121" s="83">
        <v>1.11235E-2</v>
      </c>
      <c r="L121" s="83">
        <v>2.2545099999999999E-3</v>
      </c>
      <c r="M121" s="83">
        <v>1.1149900000000001E-2</v>
      </c>
      <c r="N121" s="83">
        <v>1.1762E-2</v>
      </c>
      <c r="O121" s="83">
        <v>2.2803900000000002E-3</v>
      </c>
      <c r="P121" s="83">
        <v>1.1149900000000001E-2</v>
      </c>
      <c r="Q121" s="83">
        <v>1.09318E-2</v>
      </c>
      <c r="R121" s="83">
        <v>2.2204799999999999E-3</v>
      </c>
      <c r="S121" s="83">
        <v>1.1149900000000001E-2</v>
      </c>
      <c r="T121" s="83">
        <v>1.1256E-2</v>
      </c>
      <c r="U121" s="83">
        <v>2.2053400000000001E-3</v>
      </c>
      <c r="V121" s="83">
        <v>1.1149900000000001E-2</v>
      </c>
      <c r="W121" s="83">
        <v>1.1195800000000001E-2</v>
      </c>
      <c r="X121" s="83">
        <v>2.16935E-3</v>
      </c>
      <c r="Y121" s="83">
        <v>1.1149900000000001E-2</v>
      </c>
      <c r="Z121" s="83">
        <v>1.0215500000000001E-2</v>
      </c>
      <c r="AA121" s="83">
        <v>2.1836099999999999E-3</v>
      </c>
      <c r="AB121" s="83">
        <v>1.1149900000000001E-2</v>
      </c>
      <c r="AC121" s="83">
        <v>1.07136E-2</v>
      </c>
      <c r="AD121" s="83">
        <v>2.2043499999999999E-3</v>
      </c>
      <c r="AE121" s="83">
        <v>1.1149900000000001E-2</v>
      </c>
      <c r="AF121" s="83">
        <v>1.0797299999999999E-2</v>
      </c>
      <c r="AG121" s="83">
        <v>2.1568099999999999E-3</v>
      </c>
      <c r="AH121" s="83">
        <v>1.1149900000000001E-2</v>
      </c>
      <c r="AI121" s="83">
        <v>1.09658E-2</v>
      </c>
      <c r="AJ121" s="83">
        <v>2.2237699999999999E-3</v>
      </c>
      <c r="AK121" s="83">
        <v>1.1149900000000001E-2</v>
      </c>
      <c r="AL121" s="83">
        <v>1.10779E-2</v>
      </c>
      <c r="AM121" s="83">
        <v>2.3410699999999998E-3</v>
      </c>
      <c r="AN121" s="83">
        <v>1.1149900000000001E-2</v>
      </c>
      <c r="AO121" s="83">
        <v>1.0526199999999999E-2</v>
      </c>
      <c r="AP121" s="83">
        <v>2.1724399999999999E-3</v>
      </c>
      <c r="AQ121" s="83">
        <v>1.1149900000000001E-2</v>
      </c>
      <c r="AR121" s="83">
        <v>9.6142999999999992E-3</v>
      </c>
      <c r="AS121" s="83">
        <v>2.1927299999999999E-3</v>
      </c>
      <c r="AT121" s="83">
        <v>1.1149900000000001E-2</v>
      </c>
      <c r="AU121" s="83">
        <v>1.09265E-2</v>
      </c>
      <c r="AV121" s="83">
        <v>2.2273100000000001E-3</v>
      </c>
      <c r="AW121" s="83">
        <v>1.1149900000000001E-2</v>
      </c>
      <c r="AX121" s="83">
        <v>1.0722000000000001E-2</v>
      </c>
      <c r="AY121" s="83">
        <v>2.2956500000000002E-3</v>
      </c>
      <c r="AZ121" s="83">
        <v>1.1149900000000001E-2</v>
      </c>
      <c r="BA121" s="83">
        <v>1.0104200000000001E-2</v>
      </c>
      <c r="BB121" s="83">
        <v>2.2879200000000001E-3</v>
      </c>
      <c r="BC121" s="83">
        <v>1.1149900000000001E-2</v>
      </c>
      <c r="BD121" s="83">
        <v>9.8530300000000005E-3</v>
      </c>
      <c r="BE121" s="83">
        <v>2.3085800000000002E-3</v>
      </c>
      <c r="BF121" s="83">
        <v>1.1149900000000001E-2</v>
      </c>
      <c r="BG121" s="83">
        <v>8.9905200000000001E-3</v>
      </c>
      <c r="BH121" s="83">
        <v>2.2875E-3</v>
      </c>
      <c r="BI121" s="83">
        <v>1.1149900000000001E-2</v>
      </c>
      <c r="BJ121" s="83">
        <v>9.6165E-3</v>
      </c>
      <c r="BK121" s="83">
        <v>2.2936100000000002E-3</v>
      </c>
      <c r="BL121" s="83">
        <v>1.1149900000000001E-2</v>
      </c>
      <c r="BM121" s="83">
        <v>9.5146499999999995E-3</v>
      </c>
      <c r="BN121" s="83">
        <v>2.2773899999999998E-3</v>
      </c>
      <c r="BO121" s="83">
        <v>1.1149900000000001E-2</v>
      </c>
      <c r="BP121" s="83">
        <v>9.1655499999999997E-3</v>
      </c>
      <c r="BQ121" s="83">
        <v>2.2321699999999999E-3</v>
      </c>
      <c r="BR121" s="83">
        <v>1.1149900000000001E-2</v>
      </c>
      <c r="BS121" s="83">
        <v>9.7652799999999994E-3</v>
      </c>
      <c r="BT121" s="83">
        <v>2.3264399999999999E-3</v>
      </c>
      <c r="BU121" s="83">
        <v>1.1149900000000001E-2</v>
      </c>
      <c r="BV121" s="83">
        <v>9.1182599999999996E-3</v>
      </c>
      <c r="BW121" s="83">
        <v>2.2591099999999999E-3</v>
      </c>
      <c r="BX121" s="83">
        <v>1.1149900000000001E-2</v>
      </c>
      <c r="BY121" s="83">
        <v>9.0370899999999994E-3</v>
      </c>
      <c r="BZ121" s="83">
        <v>2.17096E-3</v>
      </c>
      <c r="CA121" s="83">
        <v>1.1149900000000001E-2</v>
      </c>
      <c r="CB121" s="83">
        <v>9.1384399999999994E-3</v>
      </c>
      <c r="CC121" s="83">
        <v>2.2173100000000001E-3</v>
      </c>
      <c r="CD121" s="83">
        <v>1.1149900000000001E-2</v>
      </c>
      <c r="CE121" s="83">
        <v>8.8516199999999993E-3</v>
      </c>
      <c r="CF121" s="83">
        <v>2.2400300000000001E-3</v>
      </c>
      <c r="CG121" s="83">
        <v>1.1149900000000001E-2</v>
      </c>
      <c r="CH121" s="83">
        <v>9.0294499999999996E-3</v>
      </c>
      <c r="CI121" s="83">
        <v>2.2019399999999999E-3</v>
      </c>
      <c r="CJ121" s="83">
        <v>1.1149900000000001E-2</v>
      </c>
      <c r="CK121" s="83">
        <v>8.8667599999999996E-3</v>
      </c>
      <c r="CL121" s="83">
        <v>2.23274E-3</v>
      </c>
      <c r="CM121" s="83">
        <v>1.1149900000000001E-2</v>
      </c>
      <c r="CN121" s="83">
        <v>9.1673399999999995E-3</v>
      </c>
      <c r="CO121" s="83">
        <v>2.24734E-3</v>
      </c>
      <c r="CP121" s="83">
        <v>1.1149900000000001E-2</v>
      </c>
      <c r="CQ121" s="83">
        <v>8.2117000000000006E-3</v>
      </c>
      <c r="CR121" s="83">
        <v>2.1645100000000001E-3</v>
      </c>
      <c r="CS121" s="83">
        <v>1.1149900000000001E-2</v>
      </c>
      <c r="CT121" s="83">
        <v>7.6901900000000004E-3</v>
      </c>
      <c r="CU121" s="83">
        <v>2.1802499999999999E-3</v>
      </c>
      <c r="CV121" s="83">
        <v>1.1149900000000001E-2</v>
      </c>
      <c r="CW121" s="83">
        <v>7.7839700000000003E-3</v>
      </c>
      <c r="CX121" s="83">
        <v>2.2395200000000001E-3</v>
      </c>
      <c r="CY121" s="83">
        <v>1.1149900000000001E-2</v>
      </c>
      <c r="CZ121" s="83">
        <v>8.2177799999999992E-3</v>
      </c>
      <c r="DA121" s="83">
        <v>2.3106300000000001E-3</v>
      </c>
    </row>
    <row r="122" spans="1:105" x14ac:dyDescent="0.2">
      <c r="A122" s="83">
        <v>1.12499E-2</v>
      </c>
      <c r="B122" s="83">
        <v>9.84551E-3</v>
      </c>
      <c r="C122" s="83">
        <v>2.0119399999999998E-3</v>
      </c>
      <c r="D122" s="83">
        <v>1.12499E-2</v>
      </c>
      <c r="E122" s="83">
        <v>9.7510500000000007E-3</v>
      </c>
      <c r="F122" s="83">
        <v>1.99862E-3</v>
      </c>
      <c r="G122" s="83">
        <v>1.12499E-2</v>
      </c>
      <c r="H122" s="83">
        <v>1.0723399999999999E-2</v>
      </c>
      <c r="I122" s="83">
        <v>2.0457499999999998E-3</v>
      </c>
      <c r="J122" s="83">
        <v>1.12499E-2</v>
      </c>
      <c r="K122" s="83">
        <v>1.05132E-2</v>
      </c>
      <c r="L122" s="83">
        <v>2.1168200000000002E-3</v>
      </c>
      <c r="M122" s="83">
        <v>1.12499E-2</v>
      </c>
      <c r="N122" s="83">
        <v>1.1224899999999999E-2</v>
      </c>
      <c r="O122" s="83">
        <v>2.1651600000000002E-3</v>
      </c>
      <c r="P122" s="83">
        <v>1.12499E-2</v>
      </c>
      <c r="Q122" s="83">
        <v>9.9064099999999992E-3</v>
      </c>
      <c r="R122" s="83">
        <v>2.07887E-3</v>
      </c>
      <c r="S122" s="83">
        <v>1.12499E-2</v>
      </c>
      <c r="T122" s="83">
        <v>1.02746E-2</v>
      </c>
      <c r="U122" s="83">
        <v>2.0871800000000001E-3</v>
      </c>
      <c r="V122" s="83">
        <v>1.12499E-2</v>
      </c>
      <c r="W122" s="83">
        <v>1.07124E-2</v>
      </c>
      <c r="X122" s="83">
        <v>2.06486E-3</v>
      </c>
      <c r="Y122" s="83">
        <v>1.12499E-2</v>
      </c>
      <c r="Z122" s="83">
        <v>9.6002699999999993E-3</v>
      </c>
      <c r="AA122" s="83">
        <v>2.1025499999999999E-3</v>
      </c>
      <c r="AB122" s="83">
        <v>1.12499E-2</v>
      </c>
      <c r="AC122" s="83">
        <v>9.5271000000000002E-3</v>
      </c>
      <c r="AD122" s="83">
        <v>2.07837E-3</v>
      </c>
      <c r="AE122" s="83">
        <v>1.12499E-2</v>
      </c>
      <c r="AF122" s="83">
        <v>1.0416399999999999E-2</v>
      </c>
      <c r="AG122" s="83">
        <v>2.05916E-3</v>
      </c>
      <c r="AH122" s="83">
        <v>1.12499E-2</v>
      </c>
      <c r="AI122" s="83">
        <v>1.0570299999999999E-2</v>
      </c>
      <c r="AJ122" s="83">
        <v>2.0929099999999999E-3</v>
      </c>
      <c r="AK122" s="83">
        <v>1.12499E-2</v>
      </c>
      <c r="AL122" s="83">
        <v>1.05652E-2</v>
      </c>
      <c r="AM122" s="83">
        <v>2.2180199999999998E-3</v>
      </c>
      <c r="AN122" s="83">
        <v>1.12499E-2</v>
      </c>
      <c r="AO122" s="83">
        <v>9.2810900000000005E-3</v>
      </c>
      <c r="AP122" s="83">
        <v>2.0474400000000002E-3</v>
      </c>
      <c r="AQ122" s="83">
        <v>1.12499E-2</v>
      </c>
      <c r="AR122" s="83">
        <v>9.1260200000000003E-3</v>
      </c>
      <c r="AS122" s="83">
        <v>2.0306199999999999E-3</v>
      </c>
      <c r="AT122" s="83">
        <v>1.12499E-2</v>
      </c>
      <c r="AU122" s="83">
        <v>9.6472199999999998E-3</v>
      </c>
      <c r="AV122" s="83">
        <v>2.1150100000000001E-3</v>
      </c>
      <c r="AW122" s="83">
        <v>1.12499E-2</v>
      </c>
      <c r="AX122" s="83">
        <v>9.7210000000000005E-3</v>
      </c>
      <c r="AY122" s="83">
        <v>2.1862700000000001E-3</v>
      </c>
      <c r="AZ122" s="83">
        <v>1.12499E-2</v>
      </c>
      <c r="BA122" s="83">
        <v>9.2155699999999993E-3</v>
      </c>
      <c r="BB122" s="83">
        <v>2.1678000000000001E-3</v>
      </c>
      <c r="BC122" s="83">
        <v>1.12499E-2</v>
      </c>
      <c r="BD122" s="83">
        <v>9.4721700000000002E-3</v>
      </c>
      <c r="BE122" s="83">
        <v>2.1767399999999999E-3</v>
      </c>
      <c r="BF122" s="83">
        <v>1.12499E-2</v>
      </c>
      <c r="BG122" s="83">
        <v>8.4192299999999998E-3</v>
      </c>
      <c r="BH122" s="83">
        <v>2.13613E-3</v>
      </c>
      <c r="BI122" s="83">
        <v>1.12499E-2</v>
      </c>
      <c r="BJ122" s="83">
        <v>9.4260699999999999E-3</v>
      </c>
      <c r="BK122" s="83">
        <v>2.1539699999999998E-3</v>
      </c>
      <c r="BL122" s="83">
        <v>1.12499E-2</v>
      </c>
      <c r="BM122" s="83">
        <v>8.7431599999999998E-3</v>
      </c>
      <c r="BN122" s="83">
        <v>2.11626E-3</v>
      </c>
      <c r="BO122" s="83">
        <v>1.12499E-2</v>
      </c>
      <c r="BP122" s="83">
        <v>8.4038299999999993E-3</v>
      </c>
      <c r="BQ122" s="83">
        <v>2.0964299999999998E-3</v>
      </c>
      <c r="BR122" s="83">
        <v>1.12499E-2</v>
      </c>
      <c r="BS122" s="83">
        <v>8.8033699999999996E-3</v>
      </c>
      <c r="BT122" s="83">
        <v>2.1623800000000002E-3</v>
      </c>
      <c r="BU122" s="83">
        <v>1.12499E-2</v>
      </c>
      <c r="BV122" s="83">
        <v>8.4981399999999995E-3</v>
      </c>
      <c r="BW122" s="83">
        <v>2.1282499999999999E-3</v>
      </c>
      <c r="BX122" s="83">
        <v>1.12499E-2</v>
      </c>
      <c r="BY122" s="83">
        <v>8.5439299999999999E-3</v>
      </c>
      <c r="BZ122" s="83">
        <v>2.0547500000000002E-3</v>
      </c>
      <c r="CA122" s="83">
        <v>1.12499E-2</v>
      </c>
      <c r="CB122" s="83">
        <v>8.8064000000000007E-3</v>
      </c>
      <c r="CC122" s="83">
        <v>2.08742E-3</v>
      </c>
      <c r="CD122" s="83">
        <v>1.12499E-2</v>
      </c>
      <c r="CE122" s="83">
        <v>8.4609899999999998E-3</v>
      </c>
      <c r="CF122" s="83">
        <v>2.0925599999999998E-3</v>
      </c>
      <c r="CG122" s="83">
        <v>1.12499E-2</v>
      </c>
      <c r="CH122" s="83">
        <v>8.6485899999999994E-3</v>
      </c>
      <c r="CI122" s="83">
        <v>2.1189300000000002E-3</v>
      </c>
      <c r="CJ122" s="83">
        <v>1.12499E-2</v>
      </c>
      <c r="CK122" s="83">
        <v>8.21735E-3</v>
      </c>
      <c r="CL122" s="83">
        <v>2.0921199999999998E-3</v>
      </c>
      <c r="CM122" s="83">
        <v>1.12499E-2</v>
      </c>
      <c r="CN122" s="83">
        <v>8.3372600000000009E-3</v>
      </c>
      <c r="CO122" s="83">
        <v>2.13503E-3</v>
      </c>
      <c r="CP122" s="83">
        <v>1.12499E-2</v>
      </c>
      <c r="CQ122" s="83">
        <v>8.0261499999999993E-3</v>
      </c>
      <c r="CR122" s="83">
        <v>2.0561099999999999E-3</v>
      </c>
      <c r="CS122" s="83">
        <v>1.12499E-2</v>
      </c>
      <c r="CT122" s="83">
        <v>7.2946799999999996E-3</v>
      </c>
      <c r="CU122" s="83">
        <v>2.03572E-3</v>
      </c>
      <c r="CV122" s="83">
        <v>1.12499E-2</v>
      </c>
      <c r="CW122" s="83">
        <v>6.9343599999999997E-3</v>
      </c>
      <c r="CX122" s="83">
        <v>2.11159E-3</v>
      </c>
      <c r="CY122" s="83">
        <v>1.12499E-2</v>
      </c>
      <c r="CZ122" s="83">
        <v>6.9970800000000001E-3</v>
      </c>
      <c r="DA122" s="83">
        <v>2.16512E-3</v>
      </c>
    </row>
    <row r="123" spans="1:105" x14ac:dyDescent="0.2">
      <c r="A123" s="83">
        <v>1.13499E-2</v>
      </c>
      <c r="B123" s="83">
        <v>9.2107400000000002E-3</v>
      </c>
      <c r="C123" s="83">
        <v>1.9054899999999999E-3</v>
      </c>
      <c r="D123" s="83">
        <v>1.13499E-2</v>
      </c>
      <c r="E123" s="83">
        <v>9.3555500000000007E-3</v>
      </c>
      <c r="F123" s="83">
        <v>1.8814299999999999E-3</v>
      </c>
      <c r="G123" s="83">
        <v>1.13499E-2</v>
      </c>
      <c r="H123" s="83">
        <v>9.3757700000000003E-3</v>
      </c>
      <c r="I123" s="83">
        <v>1.93443E-3</v>
      </c>
      <c r="J123" s="83">
        <v>1.13499E-2</v>
      </c>
      <c r="K123" s="83">
        <v>9.4731399999999997E-3</v>
      </c>
      <c r="L123" s="83">
        <v>1.96057E-3</v>
      </c>
      <c r="M123" s="83">
        <v>1.13499E-2</v>
      </c>
      <c r="N123" s="83">
        <v>1.0653599999999999E-2</v>
      </c>
      <c r="O123" s="83">
        <v>2.0235600000000002E-3</v>
      </c>
      <c r="P123" s="83">
        <v>1.13499E-2</v>
      </c>
      <c r="Q123" s="83">
        <v>9.1935200000000002E-3</v>
      </c>
      <c r="R123" s="83">
        <v>1.9538699999999999E-3</v>
      </c>
      <c r="S123" s="83">
        <v>1.13499E-2</v>
      </c>
      <c r="T123" s="83">
        <v>9.7423300000000004E-3</v>
      </c>
      <c r="U123" s="83">
        <v>1.93093E-3</v>
      </c>
      <c r="V123" s="83">
        <v>1.13499E-2</v>
      </c>
      <c r="W123" s="83">
        <v>9.6186799999999992E-3</v>
      </c>
      <c r="X123" s="83">
        <v>1.9320400000000001E-3</v>
      </c>
      <c r="Y123" s="83">
        <v>1.13499E-2</v>
      </c>
      <c r="Z123" s="83">
        <v>9.3317199999999999E-3</v>
      </c>
      <c r="AA123" s="83">
        <v>1.95021E-3</v>
      </c>
      <c r="AB123" s="83">
        <v>1.13499E-2</v>
      </c>
      <c r="AC123" s="83">
        <v>9.0485900000000005E-3</v>
      </c>
      <c r="AD123" s="83">
        <v>1.95532E-3</v>
      </c>
      <c r="AE123" s="83">
        <v>1.13499E-2</v>
      </c>
      <c r="AF123" s="83">
        <v>9.4056699999999997E-3</v>
      </c>
      <c r="AG123" s="83">
        <v>1.95174E-3</v>
      </c>
      <c r="AH123" s="83">
        <v>1.13499E-2</v>
      </c>
      <c r="AI123" s="83">
        <v>9.8867299999999998E-3</v>
      </c>
      <c r="AJ123" s="83">
        <v>1.96108E-3</v>
      </c>
      <c r="AK123" s="83">
        <v>1.13499E-2</v>
      </c>
      <c r="AL123" s="83">
        <v>9.7253300000000008E-3</v>
      </c>
      <c r="AM123" s="83">
        <v>2.0891099999999999E-3</v>
      </c>
      <c r="AN123" s="83">
        <v>1.13499E-2</v>
      </c>
      <c r="AO123" s="83">
        <v>8.9636999999999998E-3</v>
      </c>
      <c r="AP123" s="83">
        <v>1.9302500000000001E-3</v>
      </c>
      <c r="AQ123" s="83">
        <v>1.13499E-2</v>
      </c>
      <c r="AR123" s="83">
        <v>8.1348099999999993E-3</v>
      </c>
      <c r="AS123" s="83">
        <v>1.9183099999999999E-3</v>
      </c>
      <c r="AT123" s="83">
        <v>1.13499E-2</v>
      </c>
      <c r="AU123" s="83">
        <v>9.5642100000000001E-3</v>
      </c>
      <c r="AV123" s="83">
        <v>2.0202800000000002E-3</v>
      </c>
      <c r="AW123" s="83">
        <v>1.13499E-2</v>
      </c>
      <c r="AX123" s="83">
        <v>9.3450200000000008E-3</v>
      </c>
      <c r="AY123" s="83">
        <v>2.04565E-3</v>
      </c>
      <c r="AZ123" s="83">
        <v>1.13499E-2</v>
      </c>
      <c r="BA123" s="83">
        <v>8.7321699999999992E-3</v>
      </c>
      <c r="BB123" s="83">
        <v>2.05061E-3</v>
      </c>
      <c r="BC123" s="83">
        <v>1.13499E-2</v>
      </c>
      <c r="BD123" s="83">
        <v>8.8129899999999997E-3</v>
      </c>
      <c r="BE123" s="83">
        <v>2.04784E-3</v>
      </c>
      <c r="BF123" s="83">
        <v>1.13499E-2</v>
      </c>
      <c r="BG123" s="83">
        <v>8.2483299999999999E-3</v>
      </c>
      <c r="BH123" s="83">
        <v>2.0345699999999999E-3</v>
      </c>
      <c r="BI123" s="83">
        <v>1.13499E-2</v>
      </c>
      <c r="BJ123" s="83">
        <v>8.7473599999999992E-3</v>
      </c>
      <c r="BK123" s="83">
        <v>2.0211500000000002E-3</v>
      </c>
      <c r="BL123" s="83">
        <v>1.13499E-2</v>
      </c>
      <c r="BM123" s="83">
        <v>8.2890599999999991E-3</v>
      </c>
      <c r="BN123" s="83">
        <v>1.99614E-3</v>
      </c>
      <c r="BO123" s="83">
        <v>1.13499E-2</v>
      </c>
      <c r="BP123" s="83">
        <v>7.7544199999999997E-3</v>
      </c>
      <c r="BQ123" s="83">
        <v>1.9733799999999998E-3</v>
      </c>
      <c r="BR123" s="83">
        <v>1.13499E-2</v>
      </c>
      <c r="BS123" s="83">
        <v>8.3004399999999992E-3</v>
      </c>
      <c r="BT123" s="83">
        <v>2.0608200000000001E-3</v>
      </c>
      <c r="BU123" s="83">
        <v>1.13499E-2</v>
      </c>
      <c r="BV123" s="83">
        <v>7.7510699999999997E-3</v>
      </c>
      <c r="BW123" s="83">
        <v>1.9895799999999999E-3</v>
      </c>
      <c r="BX123" s="83">
        <v>1.13499E-2</v>
      </c>
      <c r="BY123" s="83">
        <v>7.9482300000000006E-3</v>
      </c>
      <c r="BZ123" s="83">
        <v>1.9053399999999999E-3</v>
      </c>
      <c r="CA123" s="83">
        <v>1.13499E-2</v>
      </c>
      <c r="CB123" s="83">
        <v>8.6403899999999995E-3</v>
      </c>
      <c r="CC123" s="83">
        <v>1.94484E-3</v>
      </c>
      <c r="CD123" s="83">
        <v>1.13499E-2</v>
      </c>
      <c r="CE123" s="83">
        <v>7.0889200000000003E-3</v>
      </c>
      <c r="CF123" s="83">
        <v>1.94608E-3</v>
      </c>
      <c r="CG123" s="83">
        <v>1.13499E-2</v>
      </c>
      <c r="CH123" s="83">
        <v>8.4532800000000005E-3</v>
      </c>
      <c r="CI123" s="83">
        <v>1.9792799999999999E-3</v>
      </c>
      <c r="CJ123" s="83">
        <v>1.13499E-2</v>
      </c>
      <c r="CK123" s="83">
        <v>7.9341499999999992E-3</v>
      </c>
      <c r="CL123" s="83">
        <v>1.9553999999999999E-3</v>
      </c>
      <c r="CM123" s="83">
        <v>1.13499E-2</v>
      </c>
      <c r="CN123" s="83">
        <v>7.2191E-3</v>
      </c>
      <c r="CO123" s="83">
        <v>2.0246800000000001E-3</v>
      </c>
      <c r="CP123" s="83">
        <v>1.13499E-2</v>
      </c>
      <c r="CQ123" s="83">
        <v>7.6404100000000003E-3</v>
      </c>
      <c r="CR123" s="83">
        <v>1.92818E-3</v>
      </c>
      <c r="CS123" s="83">
        <v>1.13499E-2</v>
      </c>
      <c r="CT123" s="83">
        <v>6.9480000000000002E-3</v>
      </c>
      <c r="CU123" s="83">
        <v>1.92049E-3</v>
      </c>
      <c r="CV123" s="83">
        <v>1.13499E-2</v>
      </c>
      <c r="CW123" s="83">
        <v>7.0759600000000001E-3</v>
      </c>
      <c r="CX123" s="83">
        <v>1.9924500000000002E-3</v>
      </c>
      <c r="CY123" s="83">
        <v>1.13499E-2</v>
      </c>
      <c r="CZ123" s="83">
        <v>6.7529399999999998E-3</v>
      </c>
      <c r="DA123" s="83">
        <v>2.0625800000000001E-3</v>
      </c>
    </row>
    <row r="124" spans="1:105" x14ac:dyDescent="0.2">
      <c r="A124" s="83">
        <v>1.1449900000000001E-2</v>
      </c>
      <c r="B124" s="83">
        <v>8.0779300000000005E-3</v>
      </c>
      <c r="C124" s="83">
        <v>1.8029599999999999E-3</v>
      </c>
      <c r="D124" s="83">
        <v>1.1449900000000001E-2</v>
      </c>
      <c r="E124" s="83">
        <v>8.4619900000000008E-3</v>
      </c>
      <c r="F124" s="83">
        <v>1.7535000000000001E-3</v>
      </c>
      <c r="G124" s="83">
        <v>1.1449900000000001E-2</v>
      </c>
      <c r="H124" s="83">
        <v>8.5945199999999996E-3</v>
      </c>
      <c r="I124" s="83">
        <v>1.8201700000000001E-3</v>
      </c>
      <c r="J124" s="83">
        <v>1.1449900000000001E-2</v>
      </c>
      <c r="K124" s="83">
        <v>9.5610299999999999E-3</v>
      </c>
      <c r="L124" s="83">
        <v>1.85998E-3</v>
      </c>
      <c r="M124" s="83">
        <v>1.1449900000000001E-2</v>
      </c>
      <c r="N124" s="83">
        <v>9.3499299999999994E-3</v>
      </c>
      <c r="O124" s="83">
        <v>1.90442E-3</v>
      </c>
      <c r="P124" s="83">
        <v>1.1449900000000001E-2</v>
      </c>
      <c r="Q124" s="83">
        <v>8.6564099999999998E-3</v>
      </c>
      <c r="R124" s="83">
        <v>1.85133E-3</v>
      </c>
      <c r="S124" s="83">
        <v>1.1449900000000001E-2</v>
      </c>
      <c r="T124" s="83">
        <v>9.1564000000000003E-3</v>
      </c>
      <c r="U124" s="83">
        <v>1.83034E-3</v>
      </c>
      <c r="V124" s="83">
        <v>1.1449900000000001E-2</v>
      </c>
      <c r="W124" s="83">
        <v>9.2378300000000007E-3</v>
      </c>
      <c r="X124" s="83">
        <v>1.83048E-3</v>
      </c>
      <c r="Y124" s="83">
        <v>1.1449900000000001E-2</v>
      </c>
      <c r="Z124" s="83">
        <v>8.8385500000000006E-3</v>
      </c>
      <c r="AA124" s="83">
        <v>1.8447400000000001E-3</v>
      </c>
      <c r="AB124" s="83">
        <v>1.1449900000000001E-2</v>
      </c>
      <c r="AC124" s="83">
        <v>8.2917500000000005E-3</v>
      </c>
      <c r="AD124" s="83">
        <v>1.84986E-3</v>
      </c>
      <c r="AE124" s="83">
        <v>1.1449900000000001E-2</v>
      </c>
      <c r="AF124" s="83">
        <v>8.8392599999999998E-3</v>
      </c>
      <c r="AG124" s="83">
        <v>1.8316199999999999E-3</v>
      </c>
      <c r="AH124" s="83">
        <v>1.1449900000000001E-2</v>
      </c>
      <c r="AI124" s="83">
        <v>8.6367300000000004E-3</v>
      </c>
      <c r="AJ124" s="83">
        <v>1.8683E-3</v>
      </c>
      <c r="AK124" s="83">
        <v>1.1449900000000001E-2</v>
      </c>
      <c r="AL124" s="83">
        <v>8.68529E-3</v>
      </c>
      <c r="AM124" s="83">
        <v>1.9621600000000001E-3</v>
      </c>
      <c r="AN124" s="83">
        <v>1.1449900000000001E-2</v>
      </c>
      <c r="AO124" s="83">
        <v>8.5291299999999994E-3</v>
      </c>
      <c r="AP124" s="83">
        <v>1.8374800000000001E-3</v>
      </c>
      <c r="AQ124" s="83">
        <v>1.1449900000000001E-2</v>
      </c>
      <c r="AR124" s="83">
        <v>7.7393000000000002E-3</v>
      </c>
      <c r="AS124" s="83">
        <v>1.80113E-3</v>
      </c>
      <c r="AT124" s="83">
        <v>1.1449900000000001E-2</v>
      </c>
      <c r="AU124" s="83">
        <v>8.9196799999999993E-3</v>
      </c>
      <c r="AV124" s="83">
        <v>1.8571900000000001E-3</v>
      </c>
      <c r="AW124" s="83">
        <v>1.1449900000000001E-2</v>
      </c>
      <c r="AX124" s="83">
        <v>9.02764E-3</v>
      </c>
      <c r="AY124" s="83">
        <v>1.9206500000000001E-3</v>
      </c>
      <c r="AZ124" s="83">
        <v>1.1449900000000001E-2</v>
      </c>
      <c r="BA124" s="83">
        <v>8.2145900000000008E-3</v>
      </c>
      <c r="BB124" s="83">
        <v>1.92464E-3</v>
      </c>
      <c r="BC124" s="83">
        <v>1.1449900000000001E-2</v>
      </c>
      <c r="BD124" s="83">
        <v>8.1196299999999992E-3</v>
      </c>
      <c r="BE124" s="83">
        <v>1.9042799999999999E-3</v>
      </c>
      <c r="BF124" s="83">
        <v>1.1449900000000001E-2</v>
      </c>
      <c r="BG124" s="83">
        <v>7.3840700000000004E-3</v>
      </c>
      <c r="BH124" s="83">
        <v>1.91348E-3</v>
      </c>
      <c r="BI124" s="83">
        <v>1.1449900000000001E-2</v>
      </c>
      <c r="BJ124" s="83">
        <v>7.3801800000000001E-3</v>
      </c>
      <c r="BK124" s="83">
        <v>1.90592E-3</v>
      </c>
      <c r="BL124" s="83">
        <v>1.1449900000000001E-2</v>
      </c>
      <c r="BM124" s="83">
        <v>7.5566399999999999E-3</v>
      </c>
      <c r="BN124" s="83">
        <v>1.8750500000000001E-3</v>
      </c>
      <c r="BO124" s="83">
        <v>1.1449900000000001E-2</v>
      </c>
      <c r="BP124" s="83">
        <v>7.41262E-3</v>
      </c>
      <c r="BQ124" s="83">
        <v>1.87182E-3</v>
      </c>
      <c r="BR124" s="83">
        <v>1.1449900000000001E-2</v>
      </c>
      <c r="BS124" s="83">
        <v>7.5191900000000002E-3</v>
      </c>
      <c r="BT124" s="83">
        <v>1.9172600000000001E-3</v>
      </c>
      <c r="BU124" s="83">
        <v>1.1449900000000001E-2</v>
      </c>
      <c r="BV124" s="83">
        <v>7.53135E-3</v>
      </c>
      <c r="BW124" s="83">
        <v>1.86751E-3</v>
      </c>
      <c r="BX124" s="83">
        <v>1.1449900000000001E-2</v>
      </c>
      <c r="BY124" s="83">
        <v>7.8505699999999994E-3</v>
      </c>
      <c r="BZ124" s="83">
        <v>1.7861999999999999E-3</v>
      </c>
      <c r="CA124" s="83">
        <v>1.1449900000000001E-2</v>
      </c>
      <c r="CB124" s="83">
        <v>7.7370700000000004E-3</v>
      </c>
      <c r="CC124" s="83">
        <v>1.86867E-3</v>
      </c>
      <c r="CD124" s="83">
        <v>1.1449900000000001E-2</v>
      </c>
      <c r="CE124" s="83">
        <v>6.9668500000000001E-3</v>
      </c>
      <c r="CF124" s="83">
        <v>1.84549E-3</v>
      </c>
      <c r="CG124" s="83">
        <v>1.1449900000000001E-2</v>
      </c>
      <c r="CH124" s="83">
        <v>7.8087499999999997E-3</v>
      </c>
      <c r="CI124" s="83">
        <v>1.85917E-3</v>
      </c>
      <c r="CJ124" s="83">
        <v>1.1449900000000001E-2</v>
      </c>
      <c r="CK124" s="83">
        <v>6.6304399999999996E-3</v>
      </c>
      <c r="CL124" s="83">
        <v>1.86458E-3</v>
      </c>
      <c r="CM124" s="83">
        <v>1.1449900000000001E-2</v>
      </c>
      <c r="CN124" s="83">
        <v>6.9749599999999997E-3</v>
      </c>
      <c r="CO124" s="83">
        <v>1.9065099999999999E-3</v>
      </c>
      <c r="CP124" s="83">
        <v>1.1449900000000001E-2</v>
      </c>
      <c r="CQ124" s="83">
        <v>6.8493900000000003E-3</v>
      </c>
      <c r="CR124" s="83">
        <v>1.81197E-3</v>
      </c>
      <c r="CS124" s="83">
        <v>1.1449900000000001E-2</v>
      </c>
      <c r="CT124" s="83">
        <v>6.5720300000000004E-3</v>
      </c>
      <c r="CU124" s="83">
        <v>1.81307E-3</v>
      </c>
      <c r="CV124" s="83">
        <v>1.1449900000000001E-2</v>
      </c>
      <c r="CW124" s="83">
        <v>6.7732199999999999E-3</v>
      </c>
      <c r="CX124" s="83">
        <v>1.87721E-3</v>
      </c>
      <c r="CY124" s="83">
        <v>1.1449900000000001E-2</v>
      </c>
      <c r="CZ124" s="83">
        <v>6.5283299999999997E-3</v>
      </c>
      <c r="DA124" s="83">
        <v>1.94735E-3</v>
      </c>
    </row>
    <row r="125" spans="1:105" x14ac:dyDescent="0.2">
      <c r="A125" s="83">
        <v>1.15499E-2</v>
      </c>
      <c r="B125" s="83">
        <v>7.7996100000000002E-3</v>
      </c>
      <c r="C125" s="83">
        <v>1.6506100000000001E-3</v>
      </c>
      <c r="D125" s="83">
        <v>1.15499E-2</v>
      </c>
      <c r="E125" s="83">
        <v>8.2666800000000002E-3</v>
      </c>
      <c r="F125" s="83">
        <v>1.6509599999999999E-3</v>
      </c>
      <c r="G125" s="83">
        <v>1.15499E-2</v>
      </c>
      <c r="H125" s="83">
        <v>8.5261599999999996E-3</v>
      </c>
      <c r="I125" s="83">
        <v>1.72544E-3</v>
      </c>
      <c r="J125" s="83">
        <v>1.15499E-2</v>
      </c>
      <c r="K125" s="83">
        <v>8.1498899999999999E-3</v>
      </c>
      <c r="L125" s="83">
        <v>1.7349799999999999E-3</v>
      </c>
      <c r="M125" s="83">
        <v>1.15499E-2</v>
      </c>
      <c r="N125" s="83">
        <v>9.0716100000000008E-3</v>
      </c>
      <c r="O125" s="83">
        <v>1.8204300000000001E-3</v>
      </c>
      <c r="P125" s="83">
        <v>1.15499E-2</v>
      </c>
      <c r="Q125" s="83">
        <v>8.2853200000000005E-3</v>
      </c>
      <c r="R125" s="83">
        <v>1.75173E-3</v>
      </c>
      <c r="S125" s="83">
        <v>1.15499E-2</v>
      </c>
      <c r="T125" s="83">
        <v>8.8194799999999993E-3</v>
      </c>
      <c r="U125" s="83">
        <v>1.70827E-3</v>
      </c>
      <c r="V125" s="83">
        <v>1.15499E-2</v>
      </c>
      <c r="W125" s="83">
        <v>8.8667299999999998E-3</v>
      </c>
      <c r="X125" s="83">
        <v>1.7211100000000001E-3</v>
      </c>
      <c r="Y125" s="83">
        <v>1.15499E-2</v>
      </c>
      <c r="Z125" s="83">
        <v>8.0328900000000009E-3</v>
      </c>
      <c r="AA125" s="83">
        <v>1.73927E-3</v>
      </c>
      <c r="AB125" s="83">
        <v>1.15499E-2</v>
      </c>
      <c r="AC125" s="83">
        <v>7.5007299999999997E-3</v>
      </c>
      <c r="AD125" s="83">
        <v>1.73267E-3</v>
      </c>
      <c r="AE125" s="83">
        <v>1.15499E-2</v>
      </c>
      <c r="AF125" s="83">
        <v>7.9847700000000004E-3</v>
      </c>
      <c r="AG125" s="83">
        <v>1.73201E-3</v>
      </c>
      <c r="AH125" s="83">
        <v>1.15499E-2</v>
      </c>
      <c r="AI125" s="83">
        <v>8.4414199999999998E-3</v>
      </c>
      <c r="AJ125" s="83">
        <v>1.7472099999999999E-3</v>
      </c>
      <c r="AK125" s="83">
        <v>1.15499E-2</v>
      </c>
      <c r="AL125" s="83">
        <v>8.5973999999999998E-3</v>
      </c>
      <c r="AM125" s="83">
        <v>1.83618E-3</v>
      </c>
      <c r="AN125" s="83">
        <v>1.15499E-2</v>
      </c>
      <c r="AO125" s="83">
        <v>8.2019899999999993E-3</v>
      </c>
      <c r="AP125" s="83">
        <v>1.6949000000000001E-3</v>
      </c>
      <c r="AQ125" s="83">
        <v>1.15499E-2</v>
      </c>
      <c r="AR125" s="83">
        <v>7.5000400000000004E-3</v>
      </c>
      <c r="AS125" s="83">
        <v>1.6761300000000001E-3</v>
      </c>
      <c r="AT125" s="83">
        <v>1.15499E-2</v>
      </c>
      <c r="AU125" s="83">
        <v>8.4216299999999994E-3</v>
      </c>
      <c r="AV125" s="83">
        <v>1.7624699999999999E-3</v>
      </c>
      <c r="AW125" s="83">
        <v>1.15499E-2</v>
      </c>
      <c r="AX125" s="83">
        <v>7.7825200000000002E-3</v>
      </c>
      <c r="AY125" s="83">
        <v>1.80444E-3</v>
      </c>
      <c r="AZ125" s="83">
        <v>1.15499E-2</v>
      </c>
      <c r="BA125" s="83">
        <v>8.0436899999999992E-3</v>
      </c>
      <c r="BB125" s="83">
        <v>1.8103800000000001E-3</v>
      </c>
      <c r="BC125" s="83">
        <v>1.15499E-2</v>
      </c>
      <c r="BD125" s="83">
        <v>7.1333100000000003E-3</v>
      </c>
      <c r="BE125" s="83">
        <v>1.79784E-3</v>
      </c>
      <c r="BF125" s="83">
        <v>1.15499E-2</v>
      </c>
      <c r="BG125" s="83">
        <v>6.7053599999999996E-3</v>
      </c>
      <c r="BH125" s="83">
        <v>1.7875E-3</v>
      </c>
      <c r="BI125" s="83">
        <v>1.15499E-2</v>
      </c>
      <c r="BJ125" s="83">
        <v>7.3118200000000001E-3</v>
      </c>
      <c r="BK125" s="83">
        <v>1.76334E-3</v>
      </c>
      <c r="BL125" s="83">
        <v>1.15499E-2</v>
      </c>
      <c r="BM125" s="83">
        <v>7.0537100000000004E-3</v>
      </c>
      <c r="BN125" s="83">
        <v>1.78521E-3</v>
      </c>
      <c r="BO125" s="83">
        <v>1.15499E-2</v>
      </c>
      <c r="BP125" s="83">
        <v>7.0219999999999996E-3</v>
      </c>
      <c r="BQ125" s="83">
        <v>1.7634199999999999E-3</v>
      </c>
      <c r="BR125" s="83">
        <v>1.15499E-2</v>
      </c>
      <c r="BS125" s="83">
        <v>7.4410600000000002E-3</v>
      </c>
      <c r="BT125" s="83">
        <v>1.81277E-3</v>
      </c>
      <c r="BU125" s="83">
        <v>1.15499E-2</v>
      </c>
      <c r="BV125" s="83">
        <v>7.2188499999999997E-3</v>
      </c>
      <c r="BW125" s="83">
        <v>1.7962200000000001E-3</v>
      </c>
      <c r="BX125" s="83">
        <v>1.15499E-2</v>
      </c>
      <c r="BY125" s="83">
        <v>7.2402200000000003E-3</v>
      </c>
      <c r="BZ125" s="83">
        <v>1.7188100000000001E-3</v>
      </c>
      <c r="CA125" s="83">
        <v>1.15499E-2</v>
      </c>
      <c r="CB125" s="83">
        <v>6.9802299999999996E-3</v>
      </c>
      <c r="CC125" s="83">
        <v>1.7466000000000001E-3</v>
      </c>
      <c r="CD125" s="83">
        <v>1.15499E-2</v>
      </c>
      <c r="CE125" s="83">
        <v>6.6445899999999997E-3</v>
      </c>
      <c r="CF125" s="83">
        <v>1.7204900000000001E-3</v>
      </c>
      <c r="CG125" s="83">
        <v>1.15499E-2</v>
      </c>
      <c r="CH125" s="83">
        <v>6.9737899999999997E-3</v>
      </c>
      <c r="CI125" s="83">
        <v>1.73514E-3</v>
      </c>
      <c r="CJ125" s="83">
        <v>1.15499E-2</v>
      </c>
      <c r="CK125" s="83">
        <v>6.3130499999999997E-3</v>
      </c>
      <c r="CL125" s="83">
        <v>1.7356699999999999E-3</v>
      </c>
      <c r="CM125" s="83">
        <v>1.15499E-2</v>
      </c>
      <c r="CN125" s="83">
        <v>6.8675300000000002E-3</v>
      </c>
      <c r="CO125" s="83">
        <v>1.7746800000000001E-3</v>
      </c>
      <c r="CP125" s="83">
        <v>1.15499E-2</v>
      </c>
      <c r="CQ125" s="83">
        <v>6.3611099999999997E-3</v>
      </c>
      <c r="CR125" s="83">
        <v>1.7299399999999999E-3</v>
      </c>
      <c r="CS125" s="83">
        <v>1.15499E-2</v>
      </c>
      <c r="CT125" s="83">
        <v>6.6354999999999999E-3</v>
      </c>
      <c r="CU125" s="83">
        <v>1.7085799999999999E-3</v>
      </c>
      <c r="CV125" s="83">
        <v>1.15499E-2</v>
      </c>
      <c r="CW125" s="83">
        <v>6.1433399999999997E-3</v>
      </c>
      <c r="CX125" s="83">
        <v>1.7785800000000001E-3</v>
      </c>
      <c r="CY125" s="83">
        <v>1.15499E-2</v>
      </c>
      <c r="CZ125" s="83">
        <v>5.9619199999999999E-3</v>
      </c>
      <c r="DA125" s="83">
        <v>1.82821E-3</v>
      </c>
    </row>
    <row r="126" spans="1:105" x14ac:dyDescent="0.2">
      <c r="A126" s="83">
        <v>1.1649899999999999E-2</v>
      </c>
      <c r="B126" s="83">
        <v>7.5066400000000002E-3</v>
      </c>
      <c r="C126" s="83">
        <v>1.5510000000000001E-3</v>
      </c>
      <c r="D126" s="83">
        <v>1.1649899999999999E-2</v>
      </c>
      <c r="E126" s="83">
        <v>7.4805499999999999E-3</v>
      </c>
      <c r="F126" s="83">
        <v>1.5347500000000001E-3</v>
      </c>
      <c r="G126" s="83">
        <v>1.1649899999999999E-2</v>
      </c>
      <c r="H126" s="83">
        <v>7.8669800000000008E-3</v>
      </c>
      <c r="I126" s="83">
        <v>1.6014200000000001E-3</v>
      </c>
      <c r="J126" s="83">
        <v>1.1649899999999999E-2</v>
      </c>
      <c r="K126" s="83">
        <v>7.9692300000000008E-3</v>
      </c>
      <c r="L126" s="83">
        <v>1.6392799999999999E-3</v>
      </c>
      <c r="M126" s="83">
        <v>1.1649899999999999E-2</v>
      </c>
      <c r="N126" s="83">
        <v>8.6907500000000006E-3</v>
      </c>
      <c r="O126" s="83">
        <v>1.68469E-3</v>
      </c>
      <c r="P126" s="83">
        <v>1.1649899999999999E-2</v>
      </c>
      <c r="Q126" s="83">
        <v>7.6993799999999996E-3</v>
      </c>
      <c r="R126" s="83">
        <v>1.64723E-3</v>
      </c>
      <c r="S126" s="83">
        <v>1.1649899999999999E-2</v>
      </c>
      <c r="T126" s="83">
        <v>7.8233899999999995E-3</v>
      </c>
      <c r="U126" s="83">
        <v>1.6155E-3</v>
      </c>
      <c r="V126" s="83">
        <v>1.1649899999999999E-2</v>
      </c>
      <c r="W126" s="83">
        <v>8.2124299999999997E-3</v>
      </c>
      <c r="X126" s="83">
        <v>1.6009900000000001E-3</v>
      </c>
      <c r="Y126" s="83">
        <v>1.1649899999999999E-2</v>
      </c>
      <c r="Z126" s="83">
        <v>7.4127699999999999E-3</v>
      </c>
      <c r="AA126" s="83">
        <v>1.62403E-3</v>
      </c>
      <c r="AB126" s="83">
        <v>1.1649899999999999E-2</v>
      </c>
      <c r="AC126" s="83">
        <v>7.5935100000000004E-3</v>
      </c>
      <c r="AD126" s="83">
        <v>1.6076700000000001E-3</v>
      </c>
      <c r="AE126" s="83">
        <v>1.1649899999999999E-2</v>
      </c>
      <c r="AF126" s="83">
        <v>7.6332099999999996E-3</v>
      </c>
      <c r="AG126" s="83">
        <v>1.62459E-3</v>
      </c>
      <c r="AH126" s="83">
        <v>1.1649899999999999E-2</v>
      </c>
      <c r="AI126" s="83">
        <v>8.3242300000000002E-3</v>
      </c>
      <c r="AJ126" s="83">
        <v>1.64467E-3</v>
      </c>
      <c r="AK126" s="83">
        <v>1.1649899999999999E-2</v>
      </c>
      <c r="AL126" s="83">
        <v>8.3532599999999995E-3</v>
      </c>
      <c r="AM126" s="83">
        <v>1.7307100000000001E-3</v>
      </c>
      <c r="AN126" s="83">
        <v>1.1649899999999999E-2</v>
      </c>
      <c r="AO126" s="83">
        <v>7.2937799999999997E-3</v>
      </c>
      <c r="AP126" s="83">
        <v>1.5923599999999999E-3</v>
      </c>
      <c r="AQ126" s="83">
        <v>1.1649899999999999E-2</v>
      </c>
      <c r="AR126" s="83">
        <v>7.4267999999999999E-3</v>
      </c>
      <c r="AS126" s="83">
        <v>1.58628E-3</v>
      </c>
      <c r="AT126" s="83">
        <v>1.1649899999999999E-2</v>
      </c>
      <c r="AU126" s="83">
        <v>7.7771000000000003E-3</v>
      </c>
      <c r="AV126" s="83">
        <v>1.6570000000000001E-3</v>
      </c>
      <c r="AW126" s="83">
        <v>1.1649899999999999E-2</v>
      </c>
      <c r="AX126" s="83">
        <v>7.1233399999999997E-3</v>
      </c>
      <c r="AY126" s="83">
        <v>1.6853E-3</v>
      </c>
      <c r="AZ126" s="83">
        <v>1.1649899999999999E-2</v>
      </c>
      <c r="BA126" s="83">
        <v>7.86303E-3</v>
      </c>
      <c r="BB126" s="83">
        <v>1.70491E-3</v>
      </c>
      <c r="BC126" s="83">
        <v>1.1649899999999999E-2</v>
      </c>
      <c r="BD126" s="83">
        <v>6.8647500000000002E-3</v>
      </c>
      <c r="BE126" s="83">
        <v>1.6913900000000001E-3</v>
      </c>
      <c r="BF126" s="83">
        <v>1.1649899999999999E-2</v>
      </c>
      <c r="BG126" s="83">
        <v>6.1047799999999998E-3</v>
      </c>
      <c r="BH126" s="83">
        <v>1.68399E-3</v>
      </c>
      <c r="BI126" s="83">
        <v>1.1649899999999999E-2</v>
      </c>
      <c r="BJ126" s="83">
        <v>6.8235400000000003E-3</v>
      </c>
      <c r="BK126" s="83">
        <v>1.6852200000000001E-3</v>
      </c>
      <c r="BL126" s="83">
        <v>1.1649899999999999E-2</v>
      </c>
      <c r="BM126" s="83">
        <v>7.0292999999999996E-3</v>
      </c>
      <c r="BN126" s="83">
        <v>1.6689999999999999E-3</v>
      </c>
      <c r="BO126" s="83">
        <v>1.1649899999999999E-2</v>
      </c>
      <c r="BP126" s="83">
        <v>6.6020699999999998E-3</v>
      </c>
      <c r="BQ126" s="83">
        <v>1.6511099999999999E-3</v>
      </c>
      <c r="BR126" s="83">
        <v>1.1649899999999999E-2</v>
      </c>
      <c r="BS126" s="83">
        <v>6.4449700000000004E-3</v>
      </c>
      <c r="BT126" s="83">
        <v>1.68582E-3</v>
      </c>
      <c r="BU126" s="83">
        <v>1.1649899999999999E-2</v>
      </c>
      <c r="BV126" s="83">
        <v>6.8184500000000002E-3</v>
      </c>
      <c r="BW126" s="83">
        <v>1.6663299999999999E-3</v>
      </c>
      <c r="BX126" s="83">
        <v>1.1649899999999999E-2</v>
      </c>
      <c r="BY126" s="83">
        <v>6.4736200000000002E-3</v>
      </c>
      <c r="BZ126" s="83">
        <v>1.6026E-3</v>
      </c>
      <c r="CA126" s="83">
        <v>1.1649899999999999E-2</v>
      </c>
      <c r="CB126" s="83">
        <v>6.8337500000000004E-3</v>
      </c>
      <c r="CC126" s="83">
        <v>1.64992E-3</v>
      </c>
      <c r="CD126" s="83">
        <v>1.1649899999999999E-2</v>
      </c>
      <c r="CE126" s="83">
        <v>6.3565000000000002E-3</v>
      </c>
      <c r="CF126" s="83">
        <v>1.6355300000000001E-3</v>
      </c>
      <c r="CG126" s="83">
        <v>1.1649899999999999E-2</v>
      </c>
      <c r="CH126" s="83">
        <v>6.6466399999999997E-3</v>
      </c>
      <c r="CI126" s="83">
        <v>1.6560399999999999E-3</v>
      </c>
      <c r="CJ126" s="83">
        <v>1.1649899999999999E-2</v>
      </c>
      <c r="CK126" s="83">
        <v>6.0982099999999997E-3</v>
      </c>
      <c r="CL126" s="83">
        <v>1.63704E-3</v>
      </c>
      <c r="CM126" s="83">
        <v>1.1649899999999999E-2</v>
      </c>
      <c r="CN126" s="83">
        <v>6.4671399999999997E-3</v>
      </c>
      <c r="CO126" s="83">
        <v>1.6760499999999999E-3</v>
      </c>
      <c r="CP126" s="83">
        <v>1.1649899999999999E-2</v>
      </c>
      <c r="CQ126" s="83">
        <v>6.0876699999999999E-3</v>
      </c>
      <c r="CR126" s="83">
        <v>1.60494E-3</v>
      </c>
      <c r="CS126" s="83">
        <v>1.1649899999999999E-2</v>
      </c>
      <c r="CT126" s="83">
        <v>5.7370600000000004E-3</v>
      </c>
      <c r="CU126" s="83">
        <v>1.5952900000000001E-3</v>
      </c>
      <c r="CV126" s="83">
        <v>1.1649899999999999E-2</v>
      </c>
      <c r="CW126" s="83">
        <v>5.3425599999999997E-3</v>
      </c>
      <c r="CX126" s="83">
        <v>1.6379599999999999E-3</v>
      </c>
      <c r="CY126" s="83">
        <v>1.1649899999999999E-2</v>
      </c>
      <c r="CZ126" s="83">
        <v>5.8105500000000003E-3</v>
      </c>
      <c r="DA126" s="83">
        <v>1.68856E-3</v>
      </c>
    </row>
    <row r="127" spans="1:105" x14ac:dyDescent="0.2">
      <c r="A127" s="83">
        <v>1.1749900000000001E-2</v>
      </c>
      <c r="B127" s="83">
        <v>7.1404299999999997E-3</v>
      </c>
      <c r="C127" s="83">
        <v>1.46507E-3</v>
      </c>
      <c r="D127" s="83">
        <v>1.1749900000000001E-2</v>
      </c>
      <c r="E127" s="83">
        <v>7.0948000000000001E-3</v>
      </c>
      <c r="F127" s="83">
        <v>1.4390399999999999E-3</v>
      </c>
      <c r="G127" s="83">
        <v>1.1749900000000001E-2</v>
      </c>
      <c r="H127" s="83">
        <v>6.8757699999999998E-3</v>
      </c>
      <c r="I127" s="83">
        <v>1.51841E-3</v>
      </c>
      <c r="J127" s="83">
        <v>1.1749900000000001E-2</v>
      </c>
      <c r="K127" s="83">
        <v>7.2758700000000003E-3</v>
      </c>
      <c r="L127" s="83">
        <v>1.5299000000000001E-3</v>
      </c>
      <c r="M127" s="83">
        <v>1.1749900000000001E-2</v>
      </c>
      <c r="N127" s="83">
        <v>7.9632100000000001E-3</v>
      </c>
      <c r="O127" s="83">
        <v>1.5792200000000001E-3</v>
      </c>
      <c r="P127" s="83">
        <v>1.1749900000000001E-2</v>
      </c>
      <c r="Q127" s="83">
        <v>7.29899E-3</v>
      </c>
      <c r="R127" s="83">
        <v>1.5495800000000001E-3</v>
      </c>
      <c r="S127" s="83">
        <v>1.1749900000000001E-2</v>
      </c>
      <c r="T127" s="83">
        <v>7.5206600000000002E-3</v>
      </c>
      <c r="U127" s="83">
        <v>1.54714E-3</v>
      </c>
      <c r="V127" s="83">
        <v>1.1749900000000001E-2</v>
      </c>
      <c r="W127" s="83">
        <v>7.0161499999999996E-3</v>
      </c>
      <c r="X127" s="83">
        <v>1.53849E-3</v>
      </c>
      <c r="Y127" s="83">
        <v>1.1749900000000001E-2</v>
      </c>
      <c r="Z127" s="83">
        <v>7.01726E-3</v>
      </c>
      <c r="AA127" s="83">
        <v>1.53517E-3</v>
      </c>
      <c r="AB127" s="83">
        <v>1.1749900000000001E-2</v>
      </c>
      <c r="AC127" s="83">
        <v>6.9880400000000001E-3</v>
      </c>
      <c r="AD127" s="83">
        <v>1.51099E-3</v>
      </c>
      <c r="AE127" s="83">
        <v>1.1749900000000001E-2</v>
      </c>
      <c r="AF127" s="83">
        <v>7.1839900000000003E-3</v>
      </c>
      <c r="AG127" s="83">
        <v>1.5415800000000001E-3</v>
      </c>
      <c r="AH127" s="83">
        <v>1.1749900000000001E-2</v>
      </c>
      <c r="AI127" s="83">
        <v>7.5576300000000001E-3</v>
      </c>
      <c r="AJ127" s="83">
        <v>1.5196700000000001E-3</v>
      </c>
      <c r="AK127" s="83">
        <v>1.1749900000000001E-2</v>
      </c>
      <c r="AL127" s="83">
        <v>7.4401700000000003E-3</v>
      </c>
      <c r="AM127" s="83">
        <v>1.6086399999999999E-3</v>
      </c>
      <c r="AN127" s="83">
        <v>1.1749900000000001E-2</v>
      </c>
      <c r="AO127" s="83">
        <v>6.5516000000000003E-3</v>
      </c>
      <c r="AP127" s="83">
        <v>1.4917800000000001E-3</v>
      </c>
      <c r="AQ127" s="83">
        <v>1.1749900000000001E-2</v>
      </c>
      <c r="AR127" s="83">
        <v>6.8652799999999996E-3</v>
      </c>
      <c r="AS127" s="83">
        <v>1.4983900000000001E-3</v>
      </c>
      <c r="AT127" s="83">
        <v>1.1749900000000001E-2</v>
      </c>
      <c r="AU127" s="83">
        <v>7.0935099999999999E-3</v>
      </c>
      <c r="AV127" s="83">
        <v>1.5554399999999999E-3</v>
      </c>
      <c r="AW127" s="83">
        <v>1.1749900000000001E-2</v>
      </c>
      <c r="AX127" s="83">
        <v>7.0501000000000001E-3</v>
      </c>
      <c r="AY127" s="83">
        <v>1.5866599999999999E-3</v>
      </c>
      <c r="AZ127" s="83">
        <v>1.1749900000000001E-2</v>
      </c>
      <c r="BA127" s="83">
        <v>7.0036500000000002E-3</v>
      </c>
      <c r="BB127" s="83">
        <v>1.5945600000000001E-3</v>
      </c>
      <c r="BC127" s="83">
        <v>1.1749900000000001E-2</v>
      </c>
      <c r="BD127" s="83">
        <v>6.4692400000000002E-3</v>
      </c>
      <c r="BE127" s="83">
        <v>1.5849499999999999E-3</v>
      </c>
      <c r="BF127" s="83">
        <v>1.1749900000000001E-2</v>
      </c>
      <c r="BG127" s="83">
        <v>6.3782099999999996E-3</v>
      </c>
      <c r="BH127" s="83">
        <v>1.5921900000000001E-3</v>
      </c>
      <c r="BI127" s="83">
        <v>1.1749900000000001E-2</v>
      </c>
      <c r="BJ127" s="83">
        <v>5.9836899999999998E-3</v>
      </c>
      <c r="BK127" s="83">
        <v>1.5846300000000001E-3</v>
      </c>
      <c r="BL127" s="83">
        <v>1.1749900000000001E-2</v>
      </c>
      <c r="BM127" s="83">
        <v>6.3457000000000001E-3</v>
      </c>
      <c r="BN127" s="83">
        <v>1.57427E-3</v>
      </c>
      <c r="BO127" s="83">
        <v>1.1749900000000001E-2</v>
      </c>
      <c r="BP127" s="83">
        <v>5.9184800000000003E-3</v>
      </c>
      <c r="BQ127" s="83">
        <v>1.53783E-3</v>
      </c>
      <c r="BR127" s="83">
        <v>1.1749900000000001E-2</v>
      </c>
      <c r="BS127" s="83">
        <v>5.9566899999999997E-3</v>
      </c>
      <c r="BT127" s="83">
        <v>1.5920699999999999E-3</v>
      </c>
      <c r="BU127" s="83">
        <v>1.1749900000000001E-2</v>
      </c>
      <c r="BV127" s="83">
        <v>6.0030200000000004E-3</v>
      </c>
      <c r="BW127" s="83">
        <v>1.57161E-3</v>
      </c>
      <c r="BX127" s="83">
        <v>1.1749900000000001E-2</v>
      </c>
      <c r="BY127" s="83">
        <v>6.3954900000000002E-3</v>
      </c>
      <c r="BZ127" s="83">
        <v>1.49811E-3</v>
      </c>
      <c r="CA127" s="83">
        <v>1.1749900000000001E-2</v>
      </c>
      <c r="CB127" s="83">
        <v>6.6286699999999997E-3</v>
      </c>
      <c r="CC127" s="83">
        <v>1.54152E-3</v>
      </c>
      <c r="CD127" s="83">
        <v>1.1749900000000001E-2</v>
      </c>
      <c r="CE127" s="83">
        <v>6.2051299999999997E-3</v>
      </c>
      <c r="CF127" s="83">
        <v>1.53202E-3</v>
      </c>
      <c r="CG127" s="83">
        <v>1.1749900000000001E-2</v>
      </c>
      <c r="CH127" s="83">
        <v>6.2413599999999996E-3</v>
      </c>
      <c r="CI127" s="83">
        <v>1.5525300000000001E-3</v>
      </c>
      <c r="CJ127" s="83">
        <v>1.1749900000000001E-2</v>
      </c>
      <c r="CK127" s="83">
        <v>5.7075900000000002E-3</v>
      </c>
      <c r="CL127" s="83">
        <v>1.53352E-3</v>
      </c>
      <c r="CM127" s="83">
        <v>1.1749900000000001E-2</v>
      </c>
      <c r="CN127" s="83">
        <v>5.7981999999999999E-3</v>
      </c>
      <c r="CO127" s="83">
        <v>1.5539799999999999E-3</v>
      </c>
      <c r="CP127" s="83">
        <v>1.1749900000000001E-2</v>
      </c>
      <c r="CQ127" s="83">
        <v>5.5408000000000002E-3</v>
      </c>
      <c r="CR127" s="83">
        <v>1.49752E-3</v>
      </c>
      <c r="CS127" s="83">
        <v>1.1749900000000001E-2</v>
      </c>
      <c r="CT127" s="83">
        <v>4.7751499999999997E-3</v>
      </c>
      <c r="CU127" s="83">
        <v>1.4878700000000001E-3</v>
      </c>
      <c r="CV127" s="83">
        <v>1.1749900000000001E-2</v>
      </c>
      <c r="CW127" s="83">
        <v>5.37186E-3</v>
      </c>
      <c r="CX127" s="83">
        <v>1.5598299999999999E-3</v>
      </c>
      <c r="CY127" s="83">
        <v>1.1749900000000001E-2</v>
      </c>
      <c r="CZ127" s="83">
        <v>4.9755900000000002E-3</v>
      </c>
      <c r="DA127" s="83">
        <v>1.5918799999999999E-3</v>
      </c>
    </row>
    <row r="128" spans="1:105" x14ac:dyDescent="0.2">
      <c r="A128" s="83">
        <v>1.18499E-2</v>
      </c>
      <c r="B128" s="83">
        <v>7.0281199999999997E-3</v>
      </c>
      <c r="C128" s="83">
        <v>1.3683899999999999E-3</v>
      </c>
      <c r="D128" s="83">
        <v>1.18499E-2</v>
      </c>
      <c r="E128" s="83">
        <v>6.8946099999999998E-3</v>
      </c>
      <c r="F128" s="83">
        <v>1.3423700000000001E-3</v>
      </c>
      <c r="G128" s="83">
        <v>1.18499E-2</v>
      </c>
      <c r="H128" s="83">
        <v>6.9880699999999999E-3</v>
      </c>
      <c r="I128" s="83">
        <v>1.3856000000000001E-3</v>
      </c>
      <c r="J128" s="83">
        <v>1.18499E-2</v>
      </c>
      <c r="K128" s="83">
        <v>6.9682499999999996E-3</v>
      </c>
      <c r="L128" s="83">
        <v>1.4244399999999999E-3</v>
      </c>
      <c r="M128" s="83">
        <v>1.18499E-2</v>
      </c>
      <c r="N128" s="83">
        <v>6.9964199999999997E-3</v>
      </c>
      <c r="O128" s="83">
        <v>1.4874199999999999E-3</v>
      </c>
      <c r="P128" s="83">
        <v>1.18499E-2</v>
      </c>
      <c r="Q128" s="83">
        <v>6.31754E-3</v>
      </c>
      <c r="R128" s="83">
        <v>1.4275100000000001E-3</v>
      </c>
      <c r="S128" s="83">
        <v>1.18499E-2</v>
      </c>
      <c r="T128" s="83">
        <v>7.2521E-3</v>
      </c>
      <c r="U128" s="83">
        <v>1.4299499999999999E-3</v>
      </c>
      <c r="V128" s="83">
        <v>1.18499E-2</v>
      </c>
      <c r="W128" s="83">
        <v>6.8599000000000004E-3</v>
      </c>
      <c r="X128" s="83">
        <v>1.4105599999999999E-3</v>
      </c>
      <c r="Y128" s="83">
        <v>1.18499E-2</v>
      </c>
      <c r="Z128" s="83">
        <v>6.8414799999999996E-3</v>
      </c>
      <c r="AA128" s="83">
        <v>1.4365300000000001E-3</v>
      </c>
      <c r="AB128" s="83">
        <v>1.18499E-2</v>
      </c>
      <c r="AC128" s="83">
        <v>6.5827699999999999E-3</v>
      </c>
      <c r="AD128" s="83">
        <v>1.4504400000000001E-3</v>
      </c>
      <c r="AE128" s="83">
        <v>1.18499E-2</v>
      </c>
      <c r="AF128" s="83">
        <v>6.9105499999999997E-3</v>
      </c>
      <c r="AG128" s="83">
        <v>1.4068100000000001E-3</v>
      </c>
      <c r="AH128" s="83">
        <v>1.18499E-2</v>
      </c>
      <c r="AI128" s="83">
        <v>6.8691500000000001E-3</v>
      </c>
      <c r="AJ128" s="83">
        <v>1.44057E-3</v>
      </c>
      <c r="AK128" s="83">
        <v>1.18499E-2</v>
      </c>
      <c r="AL128" s="83">
        <v>7.0104900000000003E-3</v>
      </c>
      <c r="AM128" s="83">
        <v>1.5158700000000001E-3</v>
      </c>
      <c r="AN128" s="83">
        <v>1.18499E-2</v>
      </c>
      <c r="AO128" s="83">
        <v>6.5369499999999997E-3</v>
      </c>
      <c r="AP128" s="83">
        <v>1.3892399999999999E-3</v>
      </c>
      <c r="AQ128" s="83">
        <v>1.18499E-2</v>
      </c>
      <c r="AR128" s="83">
        <v>5.9375399999999998E-3</v>
      </c>
      <c r="AS128" s="83">
        <v>1.40171E-3</v>
      </c>
      <c r="AT128" s="83">
        <v>1.18499E-2</v>
      </c>
      <c r="AU128" s="83">
        <v>6.8054200000000004E-3</v>
      </c>
      <c r="AV128" s="83">
        <v>1.47243E-3</v>
      </c>
      <c r="AW128" s="83">
        <v>1.18499E-2</v>
      </c>
      <c r="AX128" s="83">
        <v>6.4739300000000001E-3</v>
      </c>
      <c r="AY128" s="83">
        <v>1.4811900000000001E-3</v>
      </c>
      <c r="AZ128" s="83">
        <v>1.18499E-2</v>
      </c>
      <c r="BA128" s="83">
        <v>6.3347100000000003E-3</v>
      </c>
      <c r="BB128" s="83">
        <v>1.4988499999999999E-3</v>
      </c>
      <c r="BC128" s="83">
        <v>1.18499E-2</v>
      </c>
      <c r="BD128" s="83">
        <v>6.3520599999999997E-3</v>
      </c>
      <c r="BE128" s="83">
        <v>1.49022E-3</v>
      </c>
      <c r="BF128" s="83">
        <v>1.18499E-2</v>
      </c>
      <c r="BG128" s="83">
        <v>5.8069200000000001E-3</v>
      </c>
      <c r="BH128" s="83">
        <v>1.4789099999999999E-3</v>
      </c>
      <c r="BI128" s="83">
        <v>1.18499E-2</v>
      </c>
      <c r="BJ128" s="83">
        <v>5.6907199999999998E-3</v>
      </c>
      <c r="BK128" s="83">
        <v>1.49186E-3</v>
      </c>
      <c r="BL128" s="83">
        <v>1.18499E-2</v>
      </c>
      <c r="BM128" s="83">
        <v>5.8867199999999998E-3</v>
      </c>
      <c r="BN128" s="83">
        <v>1.4795399999999999E-3</v>
      </c>
      <c r="BO128" s="83">
        <v>1.18499E-2</v>
      </c>
      <c r="BP128" s="83">
        <v>5.3423100000000003E-3</v>
      </c>
      <c r="BQ128" s="83">
        <v>1.4440799999999999E-3</v>
      </c>
      <c r="BR128" s="83">
        <v>1.18499E-2</v>
      </c>
      <c r="BS128" s="83">
        <v>5.7369600000000001E-3</v>
      </c>
      <c r="BT128" s="83">
        <v>1.4914800000000001E-3</v>
      </c>
      <c r="BU128" s="83">
        <v>1.18499E-2</v>
      </c>
      <c r="BV128" s="83">
        <v>5.8321299999999996E-3</v>
      </c>
      <c r="BW128" s="83">
        <v>1.4759E-3</v>
      </c>
      <c r="BX128" s="83">
        <v>1.18499E-2</v>
      </c>
      <c r="BY128" s="83">
        <v>5.9365099999999999E-3</v>
      </c>
      <c r="BZ128" s="83">
        <v>1.41315E-3</v>
      </c>
      <c r="CA128" s="83">
        <v>1.18499E-2</v>
      </c>
      <c r="CB128" s="83">
        <v>5.7937099999999997E-3</v>
      </c>
      <c r="CC128" s="83">
        <v>1.4624200000000001E-3</v>
      </c>
      <c r="CD128" s="83">
        <v>1.18499E-2</v>
      </c>
      <c r="CE128" s="83">
        <v>5.5361899999999999E-3</v>
      </c>
      <c r="CF128" s="83">
        <v>1.4324100000000001E-3</v>
      </c>
      <c r="CG128" s="83">
        <v>1.18499E-2</v>
      </c>
      <c r="CH128" s="83">
        <v>6.2462500000000001E-3</v>
      </c>
      <c r="CI128" s="83">
        <v>1.45389E-3</v>
      </c>
      <c r="CJ128" s="83">
        <v>1.18499E-2</v>
      </c>
      <c r="CK128" s="83">
        <v>5.4927400000000003E-3</v>
      </c>
      <c r="CL128" s="83">
        <v>1.44954E-3</v>
      </c>
      <c r="CM128" s="83">
        <v>1.18499E-2</v>
      </c>
      <c r="CN128" s="83">
        <v>5.5296399999999997E-3</v>
      </c>
      <c r="CO128" s="83">
        <v>1.4651099999999999E-3</v>
      </c>
      <c r="CP128" s="83">
        <v>1.18499E-2</v>
      </c>
      <c r="CQ128" s="83">
        <v>5.3894299999999997E-3</v>
      </c>
      <c r="CR128" s="83">
        <v>1.4154899999999999E-3</v>
      </c>
      <c r="CS128" s="83">
        <v>1.18499E-2</v>
      </c>
      <c r="CT128" s="83">
        <v>4.8190999999999998E-3</v>
      </c>
      <c r="CU128" s="83">
        <v>1.44393E-3</v>
      </c>
      <c r="CV128" s="83">
        <v>1.18499E-2</v>
      </c>
      <c r="CW128" s="83">
        <v>4.89822E-3</v>
      </c>
      <c r="CX128" s="83">
        <v>1.44948E-3</v>
      </c>
      <c r="CY128" s="83">
        <v>1.18499E-2</v>
      </c>
      <c r="CZ128" s="83">
        <v>4.6338000000000004E-3</v>
      </c>
      <c r="DA128" s="83">
        <v>1.4903200000000001E-3</v>
      </c>
    </row>
    <row r="129" spans="1:105" x14ac:dyDescent="0.2">
      <c r="A129" s="83">
        <v>1.1949899999999999E-2</v>
      </c>
      <c r="B129" s="83">
        <v>6.5398399999999999E-3</v>
      </c>
      <c r="C129" s="83">
        <v>1.28147E-3</v>
      </c>
      <c r="D129" s="83">
        <v>1.1949899999999999E-2</v>
      </c>
      <c r="E129" s="83">
        <v>6.7969500000000004E-3</v>
      </c>
      <c r="F129" s="83">
        <v>1.2661899999999999E-3</v>
      </c>
      <c r="G129" s="83">
        <v>1.1949899999999999E-2</v>
      </c>
      <c r="H129" s="83">
        <v>6.4070200000000002E-3</v>
      </c>
      <c r="I129" s="83">
        <v>1.29868E-3</v>
      </c>
      <c r="J129" s="83">
        <v>1.1949899999999999E-2</v>
      </c>
      <c r="K129" s="83">
        <v>6.4311400000000001E-3</v>
      </c>
      <c r="L129" s="83">
        <v>1.33752E-3</v>
      </c>
      <c r="M129" s="83">
        <v>1.1949899999999999E-2</v>
      </c>
      <c r="N129" s="83">
        <v>6.8108700000000001E-3</v>
      </c>
      <c r="O129" s="83">
        <v>1.4024599999999999E-3</v>
      </c>
      <c r="P129" s="83">
        <v>1.1949899999999999E-2</v>
      </c>
      <c r="Q129" s="83">
        <v>6.0636400000000003E-3</v>
      </c>
      <c r="R129" s="83">
        <v>1.3571900000000001E-3</v>
      </c>
      <c r="S129" s="83">
        <v>1.1949899999999999E-2</v>
      </c>
      <c r="T129" s="83">
        <v>6.9444800000000003E-3</v>
      </c>
      <c r="U129" s="83">
        <v>1.33034E-3</v>
      </c>
      <c r="V129" s="83">
        <v>1.1949899999999999E-2</v>
      </c>
      <c r="W129" s="83">
        <v>6.4839199999999998E-3</v>
      </c>
      <c r="X129" s="83">
        <v>1.3216899999999999E-3</v>
      </c>
      <c r="Y129" s="83">
        <v>1.1949899999999999E-2</v>
      </c>
      <c r="Z129" s="83">
        <v>6.0651100000000003E-3</v>
      </c>
      <c r="AA129" s="83">
        <v>1.3681800000000001E-3</v>
      </c>
      <c r="AB129" s="83">
        <v>1.1949899999999999E-2</v>
      </c>
      <c r="AC129" s="83">
        <v>5.6794499999999999E-3</v>
      </c>
      <c r="AD129" s="83">
        <v>1.3234900000000001E-3</v>
      </c>
      <c r="AE129" s="83">
        <v>1.1949899999999999E-2</v>
      </c>
      <c r="AF129" s="83">
        <v>6.7347700000000002E-3</v>
      </c>
      <c r="AG129" s="83">
        <v>1.34724E-3</v>
      </c>
      <c r="AH129" s="83">
        <v>1.1949899999999999E-2</v>
      </c>
      <c r="AI129" s="83">
        <v>6.1416200000000004E-3</v>
      </c>
      <c r="AJ129" s="83">
        <v>1.3351000000000001E-3</v>
      </c>
      <c r="AK129" s="83">
        <v>1.1949899999999999E-2</v>
      </c>
      <c r="AL129" s="83">
        <v>6.5368500000000003E-3</v>
      </c>
      <c r="AM129" s="83">
        <v>1.41333E-3</v>
      </c>
      <c r="AN129" s="83">
        <v>1.1949899999999999E-2</v>
      </c>
      <c r="AO129" s="83">
        <v>6.1365600000000001E-3</v>
      </c>
      <c r="AP129" s="83">
        <v>1.3335700000000001E-3</v>
      </c>
      <c r="AQ129" s="83">
        <v>1.1949899999999999E-2</v>
      </c>
      <c r="AR129" s="83">
        <v>5.5859799999999999E-3</v>
      </c>
      <c r="AS129" s="83">
        <v>1.30601E-3</v>
      </c>
      <c r="AT129" s="83">
        <v>1.1949899999999999E-2</v>
      </c>
      <c r="AU129" s="83">
        <v>6.7517100000000002E-3</v>
      </c>
      <c r="AV129" s="83">
        <v>1.35524E-3</v>
      </c>
      <c r="AW129" s="83">
        <v>1.1949899999999999E-2</v>
      </c>
      <c r="AX129" s="83">
        <v>5.8586899999999997E-3</v>
      </c>
      <c r="AY129" s="83">
        <v>1.3981899999999999E-3</v>
      </c>
      <c r="AZ129" s="83">
        <v>1.1949899999999999E-2</v>
      </c>
      <c r="BA129" s="83">
        <v>5.9001399999999999E-3</v>
      </c>
      <c r="BB129" s="83">
        <v>1.41975E-3</v>
      </c>
      <c r="BC129" s="83">
        <v>1.1949899999999999E-2</v>
      </c>
      <c r="BD129" s="83">
        <v>5.9712000000000003E-3</v>
      </c>
      <c r="BE129" s="83">
        <v>1.3730299999999999E-3</v>
      </c>
      <c r="BF129" s="83">
        <v>1.1949899999999999E-2</v>
      </c>
      <c r="BG129" s="83">
        <v>5.0696200000000004E-3</v>
      </c>
      <c r="BH129" s="83">
        <v>1.3832E-3</v>
      </c>
      <c r="BI129" s="83">
        <v>1.1949899999999999E-2</v>
      </c>
      <c r="BJ129" s="83">
        <v>5.2805700000000001E-3</v>
      </c>
      <c r="BK129" s="83">
        <v>1.3961500000000001E-3</v>
      </c>
      <c r="BL129" s="83">
        <v>1.1949899999999999E-2</v>
      </c>
      <c r="BM129" s="83">
        <v>5.5009799999999999E-3</v>
      </c>
      <c r="BN129" s="83">
        <v>1.3936E-3</v>
      </c>
      <c r="BO129" s="83">
        <v>1.1949899999999999E-2</v>
      </c>
      <c r="BP129" s="83">
        <v>5.0737500000000001E-3</v>
      </c>
      <c r="BQ129" s="83">
        <v>1.35717E-3</v>
      </c>
      <c r="BR129" s="83">
        <v>1.1949899999999999E-2</v>
      </c>
      <c r="BS129" s="83">
        <v>5.36587E-3</v>
      </c>
      <c r="BT129" s="83">
        <v>1.4104300000000001E-3</v>
      </c>
      <c r="BU129" s="83">
        <v>1.1949899999999999E-2</v>
      </c>
      <c r="BV129" s="83">
        <v>5.2706000000000003E-3</v>
      </c>
      <c r="BW129" s="83">
        <v>1.3850799999999999E-3</v>
      </c>
      <c r="BX129" s="83">
        <v>1.1949899999999999E-2</v>
      </c>
      <c r="BY129" s="83">
        <v>5.1503800000000004E-3</v>
      </c>
      <c r="BZ129" s="83">
        <v>1.31354E-3</v>
      </c>
      <c r="CA129" s="83">
        <v>1.1949899999999999E-2</v>
      </c>
      <c r="CB129" s="83">
        <v>5.6325799999999999E-3</v>
      </c>
      <c r="CC129" s="83">
        <v>1.35793E-3</v>
      </c>
      <c r="CD129" s="83">
        <v>1.1949899999999999E-2</v>
      </c>
      <c r="CE129" s="83">
        <v>5.0283799999999998E-3</v>
      </c>
      <c r="CF129" s="83">
        <v>1.35038E-3</v>
      </c>
      <c r="CG129" s="83">
        <v>1.1949899999999999E-2</v>
      </c>
      <c r="CH129" s="83">
        <v>5.7140200000000002E-3</v>
      </c>
      <c r="CI129" s="83">
        <v>1.35428E-3</v>
      </c>
      <c r="CJ129" s="83">
        <v>1.1949899999999999E-2</v>
      </c>
      <c r="CK129" s="83">
        <v>5.3902000000000004E-3</v>
      </c>
      <c r="CL129" s="83">
        <v>1.3538300000000001E-3</v>
      </c>
      <c r="CM129" s="83">
        <v>1.1949899999999999E-2</v>
      </c>
      <c r="CN129" s="83">
        <v>4.6604999999999997E-3</v>
      </c>
      <c r="CO129" s="83">
        <v>1.3781900000000001E-3</v>
      </c>
      <c r="CP129" s="83">
        <v>1.1949899999999999E-2</v>
      </c>
      <c r="CQ129" s="83">
        <v>4.7888399999999999E-3</v>
      </c>
      <c r="CR129" s="83">
        <v>1.32858E-3</v>
      </c>
      <c r="CS129" s="83">
        <v>1.1949899999999999E-2</v>
      </c>
      <c r="CT129" s="83">
        <v>4.5847199999999996E-3</v>
      </c>
      <c r="CU129" s="83">
        <v>1.3316199999999999E-3</v>
      </c>
      <c r="CV129" s="83">
        <v>1.1949899999999999E-2</v>
      </c>
      <c r="CW129" s="83">
        <v>4.4294699999999996E-3</v>
      </c>
      <c r="CX129" s="83">
        <v>1.3567099999999999E-3</v>
      </c>
      <c r="CY129" s="83">
        <v>1.1949899999999999E-2</v>
      </c>
      <c r="CZ129" s="83">
        <v>4.4824299999999999E-3</v>
      </c>
      <c r="DA129" s="83">
        <v>1.3946200000000001E-3</v>
      </c>
    </row>
    <row r="130" spans="1:105" x14ac:dyDescent="0.2">
      <c r="A130" s="83">
        <v>1.2049900000000001E-2</v>
      </c>
      <c r="B130" s="83">
        <v>5.9148400000000002E-3</v>
      </c>
      <c r="C130" s="83">
        <v>1.176E-3</v>
      </c>
      <c r="D130" s="83">
        <v>1.2049900000000001E-2</v>
      </c>
      <c r="E130" s="83">
        <v>6.3965599999999999E-3</v>
      </c>
      <c r="F130" s="83">
        <v>1.1890399999999999E-3</v>
      </c>
      <c r="G130" s="83">
        <v>1.2049900000000001E-2</v>
      </c>
      <c r="H130" s="83">
        <v>6.1824100000000002E-3</v>
      </c>
      <c r="I130" s="83">
        <v>1.22153E-3</v>
      </c>
      <c r="J130" s="83">
        <v>1.2049900000000001E-2</v>
      </c>
      <c r="K130" s="83">
        <v>5.6059500000000002E-3</v>
      </c>
      <c r="L130" s="83">
        <v>1.2554899999999999E-3</v>
      </c>
      <c r="M130" s="83">
        <v>1.2049900000000001E-2</v>
      </c>
      <c r="N130" s="83">
        <v>6.5423199999999999E-3</v>
      </c>
      <c r="O130" s="83">
        <v>1.3028499999999999E-3</v>
      </c>
      <c r="P130" s="83">
        <v>1.2049900000000001E-2</v>
      </c>
      <c r="Q130" s="83">
        <v>5.85368E-3</v>
      </c>
      <c r="R130" s="83">
        <v>1.26735E-3</v>
      </c>
      <c r="S130" s="83">
        <v>1.2049900000000001E-2</v>
      </c>
      <c r="T130" s="83">
        <v>6.6417500000000001E-3</v>
      </c>
      <c r="U130" s="83">
        <v>1.2600300000000001E-3</v>
      </c>
      <c r="V130" s="83">
        <v>1.2049900000000001E-2</v>
      </c>
      <c r="W130" s="83">
        <v>6.3813799999999999E-3</v>
      </c>
      <c r="X130" s="83">
        <v>1.24161E-3</v>
      </c>
      <c r="Y130" s="83">
        <v>1.2049900000000001E-2</v>
      </c>
      <c r="Z130" s="83">
        <v>5.2741000000000003E-3</v>
      </c>
      <c r="AA130" s="83">
        <v>1.25001E-3</v>
      </c>
      <c r="AB130" s="83">
        <v>1.2049900000000001E-2</v>
      </c>
      <c r="AC130" s="83">
        <v>5.0105000000000002E-3</v>
      </c>
      <c r="AD130" s="83">
        <v>1.2766100000000001E-3</v>
      </c>
      <c r="AE130" s="83">
        <v>1.2049900000000001E-2</v>
      </c>
      <c r="AF130" s="83">
        <v>6.1341800000000004E-3</v>
      </c>
      <c r="AG130" s="83">
        <v>1.2583799999999999E-3</v>
      </c>
      <c r="AH130" s="83">
        <v>1.2049900000000001E-2</v>
      </c>
      <c r="AI130" s="83">
        <v>6.0000100000000001E-3</v>
      </c>
      <c r="AJ130" s="83">
        <v>1.25307E-3</v>
      </c>
      <c r="AK130" s="83">
        <v>1.2049900000000001E-2</v>
      </c>
      <c r="AL130" s="83">
        <v>5.9997399999999999E-3</v>
      </c>
      <c r="AM130" s="83">
        <v>1.3342300000000001E-3</v>
      </c>
      <c r="AN130" s="83">
        <v>1.2049900000000001E-2</v>
      </c>
      <c r="AO130" s="83">
        <v>5.3699500000000001E-3</v>
      </c>
      <c r="AP130" s="83">
        <v>1.20662E-3</v>
      </c>
      <c r="AQ130" s="83">
        <v>1.2049900000000001E-2</v>
      </c>
      <c r="AR130" s="83">
        <v>5.3711399999999999E-3</v>
      </c>
      <c r="AS130" s="83">
        <v>1.2142100000000001E-3</v>
      </c>
      <c r="AT130" s="83">
        <v>1.2049900000000001E-2</v>
      </c>
      <c r="AU130" s="83">
        <v>6.2634300000000004E-3</v>
      </c>
      <c r="AV130" s="83">
        <v>1.3005499999999999E-3</v>
      </c>
      <c r="AW130" s="83">
        <v>1.2049900000000001E-2</v>
      </c>
      <c r="AX130" s="83">
        <v>5.8879900000000001E-3</v>
      </c>
      <c r="AY130" s="83">
        <v>1.3083400000000001E-3</v>
      </c>
      <c r="AZ130" s="83">
        <v>1.2049900000000001E-2</v>
      </c>
      <c r="BA130" s="83">
        <v>5.6071699999999999E-3</v>
      </c>
      <c r="BB130" s="83">
        <v>1.3025599999999999E-3</v>
      </c>
      <c r="BC130" s="83">
        <v>1.2049900000000001E-2</v>
      </c>
      <c r="BD130" s="83">
        <v>5.1997099999999997E-3</v>
      </c>
      <c r="BE130" s="83">
        <v>1.30565E-3</v>
      </c>
      <c r="BF130" s="83">
        <v>1.2049900000000001E-2</v>
      </c>
      <c r="BG130" s="83">
        <v>4.5227399999999999E-3</v>
      </c>
      <c r="BH130" s="83">
        <v>1.3119200000000001E-3</v>
      </c>
      <c r="BI130" s="83">
        <v>1.2049900000000001E-2</v>
      </c>
      <c r="BJ130" s="83">
        <v>4.8362300000000004E-3</v>
      </c>
      <c r="BK130" s="83">
        <v>1.2779899999999999E-3</v>
      </c>
      <c r="BL130" s="83">
        <v>1.2049900000000001E-2</v>
      </c>
      <c r="BM130" s="83">
        <v>4.7880900000000001E-3</v>
      </c>
      <c r="BN130" s="83">
        <v>1.294E-3</v>
      </c>
      <c r="BO130" s="83">
        <v>1.2049900000000001E-2</v>
      </c>
      <c r="BP130" s="83">
        <v>4.9370300000000002E-3</v>
      </c>
      <c r="BQ130" s="83">
        <v>1.2976000000000001E-3</v>
      </c>
      <c r="BR130" s="83">
        <v>1.2049900000000001E-2</v>
      </c>
      <c r="BS130" s="83">
        <v>5.0484800000000002E-3</v>
      </c>
      <c r="BT130" s="83">
        <v>1.3196099999999999E-3</v>
      </c>
      <c r="BU130" s="83">
        <v>1.2049900000000001E-2</v>
      </c>
      <c r="BV130" s="83">
        <v>5.1729499999999999E-3</v>
      </c>
      <c r="BW130" s="83">
        <v>1.2825499999999999E-3</v>
      </c>
      <c r="BX130" s="83">
        <v>1.2049900000000001E-2</v>
      </c>
      <c r="BY130" s="83">
        <v>5.1992000000000002E-3</v>
      </c>
      <c r="BZ130" s="83">
        <v>1.2315099999999999E-3</v>
      </c>
      <c r="CA130" s="83">
        <v>1.2049900000000001E-2</v>
      </c>
      <c r="CB130" s="83">
        <v>5.16871E-3</v>
      </c>
      <c r="CC130" s="83">
        <v>1.28469E-3</v>
      </c>
      <c r="CD130" s="83">
        <v>1.2049900000000001E-2</v>
      </c>
      <c r="CE130" s="83">
        <v>4.6816999999999996E-3</v>
      </c>
      <c r="CF130" s="83">
        <v>1.2556500000000001E-3</v>
      </c>
      <c r="CG130" s="83">
        <v>1.2049900000000001E-2</v>
      </c>
      <c r="CH130" s="83">
        <v>5.37711E-3</v>
      </c>
      <c r="CI130" s="83">
        <v>1.2449099999999999E-3</v>
      </c>
      <c r="CJ130" s="83">
        <v>1.2049900000000001E-2</v>
      </c>
      <c r="CK130" s="83">
        <v>5.0874700000000002E-3</v>
      </c>
      <c r="CL130" s="83">
        <v>1.2776599999999999E-3</v>
      </c>
      <c r="CM130" s="83">
        <v>1.2049900000000001E-2</v>
      </c>
      <c r="CN130" s="83">
        <v>4.4163600000000003E-3</v>
      </c>
      <c r="CO130" s="83">
        <v>1.2737E-3</v>
      </c>
      <c r="CP130" s="83">
        <v>1.2049900000000001E-2</v>
      </c>
      <c r="CQ130" s="83">
        <v>4.8718499999999996E-3</v>
      </c>
      <c r="CR130" s="83">
        <v>1.2299399999999999E-3</v>
      </c>
      <c r="CS130" s="83">
        <v>1.2049900000000001E-2</v>
      </c>
      <c r="CT130" s="83">
        <v>4.43335E-3</v>
      </c>
      <c r="CU130" s="83">
        <v>1.2417800000000001E-3</v>
      </c>
      <c r="CV130" s="83">
        <v>1.2049900000000001E-2</v>
      </c>
      <c r="CW130" s="83">
        <v>4.4831799999999998E-3</v>
      </c>
      <c r="CX130" s="83">
        <v>1.26881E-3</v>
      </c>
      <c r="CY130" s="83">
        <v>1.2049900000000001E-2</v>
      </c>
      <c r="CZ130" s="83">
        <v>4.2285200000000004E-3</v>
      </c>
      <c r="DA130" s="83">
        <v>1.3213700000000001E-3</v>
      </c>
    </row>
    <row r="131" spans="1:105" x14ac:dyDescent="0.2">
      <c r="A131" s="83">
        <v>1.21499E-2</v>
      </c>
      <c r="B131" s="83">
        <v>5.4802699999999998E-3</v>
      </c>
      <c r="C131" s="83">
        <v>1.1134999999999999E-3</v>
      </c>
      <c r="D131" s="83">
        <v>1.21499E-2</v>
      </c>
      <c r="E131" s="83">
        <v>5.6739099999999999E-3</v>
      </c>
      <c r="F131" s="83">
        <v>1.11287E-3</v>
      </c>
      <c r="G131" s="83">
        <v>1.21499E-2</v>
      </c>
      <c r="H131" s="83">
        <v>5.9040899999999999E-3</v>
      </c>
      <c r="I131" s="83">
        <v>1.1287599999999999E-3</v>
      </c>
      <c r="J131" s="83">
        <v>1.21499E-2</v>
      </c>
      <c r="K131" s="83">
        <v>5.6205999999999999E-3</v>
      </c>
      <c r="L131" s="83">
        <v>1.16369E-3</v>
      </c>
      <c r="M131" s="83">
        <v>1.21499E-2</v>
      </c>
      <c r="N131" s="83">
        <v>5.96614E-3</v>
      </c>
      <c r="O131" s="83">
        <v>1.21692E-3</v>
      </c>
      <c r="P131" s="83">
        <v>1.21499E-2</v>
      </c>
      <c r="Q131" s="83">
        <v>5.7267200000000002E-3</v>
      </c>
      <c r="R131" s="83">
        <v>1.18044E-3</v>
      </c>
      <c r="S131" s="83">
        <v>1.21499E-2</v>
      </c>
      <c r="T131" s="83">
        <v>5.9972200000000002E-3</v>
      </c>
      <c r="U131" s="83">
        <v>1.18093E-3</v>
      </c>
      <c r="V131" s="83">
        <v>1.21499E-2</v>
      </c>
      <c r="W131" s="83">
        <v>6.3032599999999998E-3</v>
      </c>
      <c r="X131" s="83">
        <v>1.17618E-3</v>
      </c>
      <c r="Y131" s="83">
        <v>1.21499E-2</v>
      </c>
      <c r="Z131" s="83">
        <v>5.2496799999999996E-3</v>
      </c>
      <c r="AA131" s="83">
        <v>1.1601700000000001E-3</v>
      </c>
      <c r="AB131" s="83">
        <v>1.21499E-2</v>
      </c>
      <c r="AC131" s="83">
        <v>4.8542500000000001E-3</v>
      </c>
      <c r="AD131" s="83">
        <v>1.1740699999999999E-3</v>
      </c>
      <c r="AE131" s="83">
        <v>1.21499E-2</v>
      </c>
      <c r="AF131" s="83">
        <v>5.7337899999999999E-3</v>
      </c>
      <c r="AG131" s="83">
        <v>1.18318E-3</v>
      </c>
      <c r="AH131" s="83">
        <v>1.21499E-2</v>
      </c>
      <c r="AI131" s="83">
        <v>5.9511900000000003E-3</v>
      </c>
      <c r="AJ131" s="83">
        <v>1.1690800000000001E-3</v>
      </c>
      <c r="AK131" s="83">
        <v>1.21499E-2</v>
      </c>
      <c r="AL131" s="83">
        <v>5.7555999999999996E-3</v>
      </c>
      <c r="AM131" s="83">
        <v>1.2346200000000001E-3</v>
      </c>
      <c r="AN131" s="83">
        <v>1.21499E-2</v>
      </c>
      <c r="AO131" s="83">
        <v>4.9402700000000001E-3</v>
      </c>
      <c r="AP131" s="83">
        <v>1.1372800000000001E-3</v>
      </c>
      <c r="AQ131" s="83">
        <v>1.21499E-2</v>
      </c>
      <c r="AR131" s="83">
        <v>5.30278E-3</v>
      </c>
      <c r="AS131" s="83">
        <v>1.15464E-3</v>
      </c>
      <c r="AT131" s="83">
        <v>1.21499E-2</v>
      </c>
      <c r="AU131" s="83">
        <v>5.8679200000000004E-3</v>
      </c>
      <c r="AV131" s="83">
        <v>1.1892300000000001E-3</v>
      </c>
      <c r="AW131" s="83">
        <v>1.21499E-2</v>
      </c>
      <c r="AX131" s="83">
        <v>5.0090899999999999E-3</v>
      </c>
      <c r="AY131" s="83">
        <v>1.2311900000000001E-3</v>
      </c>
      <c r="AZ131" s="83">
        <v>1.21499E-2</v>
      </c>
      <c r="BA131" s="83">
        <v>5.6755299999999998E-3</v>
      </c>
      <c r="BB131" s="83">
        <v>1.22444E-3</v>
      </c>
      <c r="BC131" s="83">
        <v>1.21499E-2</v>
      </c>
      <c r="BD131" s="83">
        <v>4.5454099999999997E-3</v>
      </c>
      <c r="BE131" s="83">
        <v>1.21776E-3</v>
      </c>
      <c r="BF131" s="83">
        <v>1.21499E-2</v>
      </c>
      <c r="BG131" s="83">
        <v>4.7229400000000001E-3</v>
      </c>
      <c r="BH131" s="83">
        <v>1.22988E-3</v>
      </c>
      <c r="BI131" s="83">
        <v>1.21499E-2</v>
      </c>
      <c r="BJ131" s="83">
        <v>4.7678699999999996E-3</v>
      </c>
      <c r="BK131" s="83">
        <v>1.1969299999999999E-3</v>
      </c>
      <c r="BL131" s="83">
        <v>1.21499E-2</v>
      </c>
      <c r="BM131" s="83">
        <v>4.8857400000000004E-3</v>
      </c>
      <c r="BN131" s="83">
        <v>1.22368E-3</v>
      </c>
      <c r="BO131" s="83">
        <v>1.21499E-2</v>
      </c>
      <c r="BP131" s="83">
        <v>4.5171100000000004E-3</v>
      </c>
      <c r="BQ131" s="83">
        <v>1.21459E-3</v>
      </c>
      <c r="BR131" s="83">
        <v>1.21499E-2</v>
      </c>
      <c r="BS131" s="83">
        <v>4.5455499999999998E-3</v>
      </c>
      <c r="BT131" s="83">
        <v>1.23464E-3</v>
      </c>
      <c r="BU131" s="83">
        <v>1.21499E-2</v>
      </c>
      <c r="BV131" s="83">
        <v>4.8213800000000001E-3</v>
      </c>
      <c r="BW131" s="83">
        <v>1.21419E-3</v>
      </c>
      <c r="BX131" s="83">
        <v>1.21499E-2</v>
      </c>
      <c r="BY131" s="83">
        <v>4.7939300000000001E-3</v>
      </c>
      <c r="BZ131" s="83">
        <v>1.17292E-3</v>
      </c>
      <c r="CA131" s="83">
        <v>1.21499E-2</v>
      </c>
      <c r="CB131" s="83">
        <v>4.55836E-3</v>
      </c>
      <c r="CC131" s="83">
        <v>1.2007000000000001E-3</v>
      </c>
      <c r="CD131" s="83">
        <v>1.21499E-2</v>
      </c>
      <c r="CE131" s="83">
        <v>4.4863799999999999E-3</v>
      </c>
      <c r="CF131" s="83">
        <v>1.18924E-3</v>
      </c>
      <c r="CG131" s="83">
        <v>1.21499E-2</v>
      </c>
      <c r="CH131" s="83">
        <v>4.5030799999999996E-3</v>
      </c>
      <c r="CI131" s="83">
        <v>1.1990099999999999E-3</v>
      </c>
      <c r="CJ131" s="83">
        <v>1.21499E-2</v>
      </c>
      <c r="CK131" s="83">
        <v>4.0571899999999996E-3</v>
      </c>
      <c r="CL131" s="83">
        <v>1.19856E-3</v>
      </c>
      <c r="CM131" s="83">
        <v>1.21499E-2</v>
      </c>
      <c r="CN131" s="83">
        <v>4.4944900000000003E-3</v>
      </c>
      <c r="CO131" s="83">
        <v>1.20437E-3</v>
      </c>
      <c r="CP131" s="83">
        <v>1.21499E-2</v>
      </c>
      <c r="CQ131" s="83">
        <v>4.4958799999999998E-3</v>
      </c>
      <c r="CR131" s="83">
        <v>1.16647E-3</v>
      </c>
      <c r="CS131" s="83">
        <v>1.21499E-2</v>
      </c>
      <c r="CT131" s="83">
        <v>4.3112799999999998E-3</v>
      </c>
      <c r="CU131" s="83">
        <v>1.1617000000000001E-3</v>
      </c>
      <c r="CV131" s="83">
        <v>1.21499E-2</v>
      </c>
      <c r="CW131" s="83">
        <v>4.2341599999999998E-3</v>
      </c>
      <c r="CX131" s="83">
        <v>1.1643199999999999E-3</v>
      </c>
      <c r="CY131" s="83">
        <v>1.21499E-2</v>
      </c>
      <c r="CZ131" s="83">
        <v>4.2968800000000003E-3</v>
      </c>
      <c r="DA131" s="83">
        <v>1.2100399999999999E-3</v>
      </c>
    </row>
    <row r="132" spans="1:105" x14ac:dyDescent="0.2">
      <c r="A132" s="83">
        <v>1.2249899999999999E-2</v>
      </c>
      <c r="B132" s="83">
        <v>4.9382799999999998E-3</v>
      </c>
      <c r="C132" s="83">
        <v>1.0402600000000001E-3</v>
      </c>
      <c r="D132" s="83">
        <v>1.2249899999999999E-2</v>
      </c>
      <c r="E132" s="83">
        <v>5.1319099999999999E-3</v>
      </c>
      <c r="F132" s="83">
        <v>1.0230300000000001E-3</v>
      </c>
      <c r="G132" s="83">
        <v>1.2249899999999999E-2</v>
      </c>
      <c r="H132" s="83">
        <v>5.4792799999999996E-3</v>
      </c>
      <c r="I132" s="83">
        <v>1.06431E-3</v>
      </c>
      <c r="J132" s="83">
        <v>1.2249899999999999E-2</v>
      </c>
      <c r="K132" s="83">
        <v>5.4448200000000004E-3</v>
      </c>
      <c r="L132" s="83">
        <v>1.1002200000000001E-3</v>
      </c>
      <c r="M132" s="83">
        <v>1.2249899999999999E-2</v>
      </c>
      <c r="N132" s="83">
        <v>5.42415E-3</v>
      </c>
      <c r="O132" s="83">
        <v>1.12414E-3</v>
      </c>
      <c r="P132" s="83">
        <v>1.2249899999999999E-2</v>
      </c>
      <c r="Q132" s="83">
        <v>4.6817999999999999E-3</v>
      </c>
      <c r="R132" s="83">
        <v>1.10524E-3</v>
      </c>
      <c r="S132" s="83">
        <v>1.2249899999999999E-2</v>
      </c>
      <c r="T132" s="83">
        <v>5.3477999999999998E-3</v>
      </c>
      <c r="U132" s="83">
        <v>1.10183E-3</v>
      </c>
      <c r="V132" s="83">
        <v>1.2249899999999999E-2</v>
      </c>
      <c r="W132" s="83">
        <v>5.5366499999999997E-3</v>
      </c>
      <c r="X132" s="83">
        <v>1.0902500000000001E-3</v>
      </c>
      <c r="Y132" s="83">
        <v>1.2249899999999999E-2</v>
      </c>
      <c r="Z132" s="83">
        <v>5.0055400000000002E-3</v>
      </c>
      <c r="AA132" s="83">
        <v>1.10548E-3</v>
      </c>
      <c r="AB132" s="83">
        <v>1.2249899999999999E-2</v>
      </c>
      <c r="AC132" s="83">
        <v>4.7126499999999997E-3</v>
      </c>
      <c r="AD132" s="83">
        <v>1.10571E-3</v>
      </c>
      <c r="AE132" s="83">
        <v>1.2249899999999999E-2</v>
      </c>
      <c r="AF132" s="83">
        <v>5.3334000000000003E-3</v>
      </c>
      <c r="AG132" s="83">
        <v>1.1392399999999999E-3</v>
      </c>
      <c r="AH132" s="83">
        <v>1.2249899999999999E-2</v>
      </c>
      <c r="AI132" s="83">
        <v>5.5410299999999997E-3</v>
      </c>
      <c r="AJ132" s="83">
        <v>1.0704499999999999E-3</v>
      </c>
      <c r="AK132" s="83">
        <v>1.2249899999999999E-2</v>
      </c>
      <c r="AL132" s="83">
        <v>4.9401699999999998E-3</v>
      </c>
      <c r="AM132" s="83">
        <v>1.15161E-3</v>
      </c>
      <c r="AN132" s="83">
        <v>1.2249899999999999E-2</v>
      </c>
      <c r="AO132" s="83">
        <v>4.4080400000000002E-3</v>
      </c>
      <c r="AP132" s="83">
        <v>1.0738099999999999E-3</v>
      </c>
      <c r="AQ132" s="83">
        <v>1.2249899999999999E-2</v>
      </c>
      <c r="AR132" s="83">
        <v>4.6143E-3</v>
      </c>
      <c r="AS132" s="83">
        <v>1.0960500000000001E-3</v>
      </c>
      <c r="AT132" s="83">
        <v>1.2249899999999999E-2</v>
      </c>
      <c r="AU132" s="83">
        <v>4.9157799999999998E-3</v>
      </c>
      <c r="AV132" s="83">
        <v>1.1081699999999999E-3</v>
      </c>
      <c r="AW132" s="83">
        <v>1.2249899999999999E-2</v>
      </c>
      <c r="AX132" s="83">
        <v>4.5891600000000001E-3</v>
      </c>
      <c r="AY132" s="83">
        <v>1.1267E-3</v>
      </c>
      <c r="AZ132" s="83">
        <v>1.2249899999999999E-2</v>
      </c>
      <c r="BA132" s="83">
        <v>5.3923299999999999E-3</v>
      </c>
      <c r="BB132" s="83">
        <v>1.1453399999999999E-3</v>
      </c>
      <c r="BC132" s="83">
        <v>1.2249899999999999E-2</v>
      </c>
      <c r="BD132" s="83">
        <v>4.4135800000000003E-3</v>
      </c>
      <c r="BE132" s="83">
        <v>1.16405E-3</v>
      </c>
      <c r="BF132" s="83">
        <v>1.2249899999999999E-2</v>
      </c>
      <c r="BG132" s="83">
        <v>4.3372000000000003E-3</v>
      </c>
      <c r="BH132" s="83">
        <v>1.1517599999999999E-3</v>
      </c>
      <c r="BI132" s="83">
        <v>1.2249899999999999E-2</v>
      </c>
      <c r="BJ132" s="83">
        <v>4.6360400000000001E-3</v>
      </c>
      <c r="BK132" s="83">
        <v>1.12174E-3</v>
      </c>
      <c r="BL132" s="83">
        <v>1.2249899999999999E-2</v>
      </c>
      <c r="BM132" s="83">
        <v>4.7050800000000004E-3</v>
      </c>
      <c r="BN132" s="83">
        <v>1.15923E-3</v>
      </c>
      <c r="BO132" s="83">
        <v>1.2249899999999999E-2</v>
      </c>
      <c r="BP132" s="83">
        <v>4.3364500000000004E-3</v>
      </c>
      <c r="BQ132" s="83">
        <v>1.12572E-3</v>
      </c>
      <c r="BR132" s="83">
        <v>1.2249899999999999E-2</v>
      </c>
      <c r="BS132" s="83">
        <v>4.10122E-3</v>
      </c>
      <c r="BT132" s="83">
        <v>1.15847E-3</v>
      </c>
      <c r="BU132" s="83">
        <v>1.2249899999999999E-2</v>
      </c>
      <c r="BV132" s="83">
        <v>4.8799799999999999E-3</v>
      </c>
      <c r="BW132" s="83">
        <v>1.1263E-3</v>
      </c>
      <c r="BX132" s="83">
        <v>1.2249899999999999E-2</v>
      </c>
      <c r="BY132" s="83">
        <v>4.1494000000000001E-3</v>
      </c>
      <c r="BZ132" s="83">
        <v>1.0918600000000001E-3</v>
      </c>
      <c r="CA132" s="83">
        <v>1.2249899999999999E-2</v>
      </c>
      <c r="CB132" s="83">
        <v>4.2165600000000003E-3</v>
      </c>
      <c r="CC132" s="83">
        <v>1.11965E-3</v>
      </c>
      <c r="CD132" s="83">
        <v>1.2249899999999999E-2</v>
      </c>
      <c r="CE132" s="83">
        <v>4.2861899999999996E-3</v>
      </c>
      <c r="CF132" s="83">
        <v>1.1062400000000001E-3</v>
      </c>
      <c r="CG132" s="83">
        <v>1.2249899999999999E-2</v>
      </c>
      <c r="CH132" s="83">
        <v>4.57633E-3</v>
      </c>
      <c r="CI132" s="83">
        <v>1.10819E-3</v>
      </c>
      <c r="CJ132" s="83">
        <v>1.2249899999999999E-2</v>
      </c>
      <c r="CK132" s="83">
        <v>3.6421600000000002E-3</v>
      </c>
      <c r="CL132" s="83">
        <v>1.1136E-3</v>
      </c>
      <c r="CM132" s="83">
        <v>1.2249899999999999E-2</v>
      </c>
      <c r="CN132" s="83">
        <v>4.2796400000000004E-3</v>
      </c>
      <c r="CO132" s="83">
        <v>1.10866E-3</v>
      </c>
      <c r="CP132" s="83">
        <v>1.2249899999999999E-2</v>
      </c>
      <c r="CQ132" s="83">
        <v>4.5739999999999999E-3</v>
      </c>
      <c r="CR132" s="83">
        <v>1.0795500000000001E-3</v>
      </c>
      <c r="CS132" s="83">
        <v>1.2249899999999999E-2</v>
      </c>
      <c r="CT132" s="83">
        <v>4.2917500000000004E-3</v>
      </c>
      <c r="CU132" s="83">
        <v>1.09432E-3</v>
      </c>
      <c r="CV132" s="83">
        <v>1.2249899999999999E-2</v>
      </c>
      <c r="CW132" s="83">
        <v>4.0388500000000001E-3</v>
      </c>
      <c r="CX132" s="83">
        <v>1.08913E-3</v>
      </c>
      <c r="CY132" s="83">
        <v>1.2249899999999999E-2</v>
      </c>
      <c r="CZ132" s="83">
        <v>3.8574299999999998E-3</v>
      </c>
      <c r="DA132" s="83">
        <v>1.1563299999999999E-3</v>
      </c>
    </row>
    <row r="133" spans="1:105" x14ac:dyDescent="0.2">
      <c r="A133" s="83">
        <v>1.23499E-2</v>
      </c>
      <c r="B133" s="83">
        <v>4.7576199999999997E-3</v>
      </c>
      <c r="C133" s="83">
        <v>9.6506499999999998E-4</v>
      </c>
      <c r="D133" s="83">
        <v>1.23499E-2</v>
      </c>
      <c r="E133" s="83">
        <v>4.6143299999999998E-3</v>
      </c>
      <c r="F133" s="83">
        <v>9.6443500000000003E-4</v>
      </c>
      <c r="G133" s="83">
        <v>1.23499E-2</v>
      </c>
      <c r="H133" s="83">
        <v>5.2888500000000003E-3</v>
      </c>
      <c r="I133" s="83">
        <v>1.0086400000000001E-3</v>
      </c>
      <c r="J133" s="83">
        <v>1.23499E-2</v>
      </c>
      <c r="K133" s="83">
        <v>4.9956000000000002E-3</v>
      </c>
      <c r="L133" s="83">
        <v>1.05334E-3</v>
      </c>
      <c r="M133" s="83">
        <v>1.23499E-2</v>
      </c>
      <c r="N133" s="83">
        <v>5.0335299999999996E-3</v>
      </c>
      <c r="O133" s="83">
        <v>1.0675000000000001E-3</v>
      </c>
      <c r="P133" s="83">
        <v>1.23499E-2</v>
      </c>
      <c r="Q133" s="83">
        <v>4.4132499999999996E-3</v>
      </c>
      <c r="R133" s="83">
        <v>1.03005E-3</v>
      </c>
      <c r="S133" s="83">
        <v>1.23499E-2</v>
      </c>
      <c r="T133" s="83">
        <v>5.2257299999999996E-3</v>
      </c>
      <c r="U133" s="83">
        <v>1.0227299999999999E-3</v>
      </c>
      <c r="V133" s="83">
        <v>1.23499E-2</v>
      </c>
      <c r="W133" s="83">
        <v>5.1265E-3</v>
      </c>
      <c r="X133" s="83">
        <v>1.01505E-3</v>
      </c>
      <c r="Y133" s="83">
        <v>1.23499E-2</v>
      </c>
      <c r="Z133" s="83">
        <v>4.6442200000000001E-3</v>
      </c>
      <c r="AA133" s="83">
        <v>9.882929999999999E-4</v>
      </c>
      <c r="AB133" s="83">
        <v>1.23499E-2</v>
      </c>
      <c r="AC133" s="83">
        <v>4.5515199999999999E-3</v>
      </c>
      <c r="AD133" s="83">
        <v>1.0168499999999999E-3</v>
      </c>
      <c r="AE133" s="83">
        <v>1.23499E-2</v>
      </c>
      <c r="AF133" s="83">
        <v>4.5423900000000003E-3</v>
      </c>
      <c r="AG133" s="83">
        <v>1.0533000000000001E-3</v>
      </c>
      <c r="AH133" s="83">
        <v>1.23499E-2</v>
      </c>
      <c r="AI133" s="83">
        <v>4.98439E-3</v>
      </c>
      <c r="AJ133" s="83">
        <v>1.02553E-3</v>
      </c>
      <c r="AK133" s="83">
        <v>1.23499E-2</v>
      </c>
      <c r="AL133" s="83">
        <v>4.8962299999999997E-3</v>
      </c>
      <c r="AM133" s="83">
        <v>1.09986E-3</v>
      </c>
      <c r="AN133" s="83">
        <v>1.23499E-2</v>
      </c>
      <c r="AO133" s="83">
        <v>4.2273800000000002E-3</v>
      </c>
      <c r="AP133" s="83">
        <v>9.9470500000000002E-4</v>
      </c>
      <c r="AQ133" s="83">
        <v>1.23499E-2</v>
      </c>
      <c r="AR133" s="83">
        <v>4.3017999999999997E-3</v>
      </c>
      <c r="AS133" s="83">
        <v>1.0071800000000001E-3</v>
      </c>
      <c r="AT133" s="83">
        <v>1.23499E-2</v>
      </c>
      <c r="AU133" s="83">
        <v>4.8278799999999997E-3</v>
      </c>
      <c r="AV133" s="83">
        <v>1.0739899999999999E-3</v>
      </c>
      <c r="AW133" s="83">
        <v>1.23499E-2</v>
      </c>
      <c r="AX133" s="83">
        <v>4.5354499999999999E-3</v>
      </c>
      <c r="AY133" s="83">
        <v>1.04565E-3</v>
      </c>
      <c r="AZ133" s="83">
        <v>1.23499E-2</v>
      </c>
      <c r="BA133" s="83">
        <v>4.8307999999999997E-3</v>
      </c>
      <c r="BB133" s="83">
        <v>1.0603800000000001E-3</v>
      </c>
      <c r="BC133" s="83">
        <v>1.23499E-2</v>
      </c>
      <c r="BD133" s="83">
        <v>4.2866299999999996E-3</v>
      </c>
      <c r="BE133" s="83">
        <v>1.0800600000000001E-3</v>
      </c>
      <c r="BF133" s="83">
        <v>1.23499E-2</v>
      </c>
      <c r="BG133" s="83">
        <v>4.0295799999999996E-3</v>
      </c>
      <c r="BH133" s="83">
        <v>1.0628899999999999E-3</v>
      </c>
      <c r="BI133" s="83">
        <v>1.23499E-2</v>
      </c>
      <c r="BJ133" s="83">
        <v>4.3430700000000001E-3</v>
      </c>
      <c r="BK133" s="83">
        <v>1.0514299999999999E-3</v>
      </c>
      <c r="BL133" s="83">
        <v>1.23499E-2</v>
      </c>
      <c r="BM133" s="83">
        <v>4.2998100000000003E-3</v>
      </c>
      <c r="BN133" s="83">
        <v>1.06353E-3</v>
      </c>
      <c r="BO133" s="83">
        <v>1.23499E-2</v>
      </c>
      <c r="BP133" s="83">
        <v>4.0630099999999997E-3</v>
      </c>
      <c r="BQ133" s="83">
        <v>1.0183E-3</v>
      </c>
      <c r="BR133" s="83">
        <v>1.23499E-2</v>
      </c>
      <c r="BS133" s="83">
        <v>3.51528E-3</v>
      </c>
      <c r="BT133" s="83">
        <v>1.07839E-3</v>
      </c>
      <c r="BU133" s="83">
        <v>1.23499E-2</v>
      </c>
      <c r="BV133" s="83">
        <v>4.6163100000000002E-3</v>
      </c>
      <c r="BW133" s="83">
        <v>1.0579400000000001E-3</v>
      </c>
      <c r="BX133" s="83">
        <v>1.23499E-2</v>
      </c>
      <c r="BY133" s="83">
        <v>4.0126800000000002E-3</v>
      </c>
      <c r="BZ133" s="83">
        <v>1.00299E-3</v>
      </c>
      <c r="CA133" s="83">
        <v>1.23499E-2</v>
      </c>
      <c r="CB133" s="83">
        <v>4.3630400000000003E-3</v>
      </c>
      <c r="CC133" s="83">
        <v>1.0395700000000001E-3</v>
      </c>
      <c r="CD133" s="83">
        <v>1.23499E-2</v>
      </c>
      <c r="CE133" s="83">
        <v>3.95416E-3</v>
      </c>
      <c r="CF133" s="83">
        <v>1.0398300000000001E-3</v>
      </c>
      <c r="CG133" s="83">
        <v>1.23499E-2</v>
      </c>
      <c r="CH133" s="83">
        <v>4.3419499999999998E-3</v>
      </c>
      <c r="CI133" s="83">
        <v>1.04178E-3</v>
      </c>
      <c r="CJ133" s="83">
        <v>1.23499E-2</v>
      </c>
      <c r="CK133" s="83">
        <v>3.3931299999999998E-3</v>
      </c>
      <c r="CL133" s="83">
        <v>1.0286399999999999E-3</v>
      </c>
      <c r="CM133" s="83">
        <v>1.23499E-2</v>
      </c>
      <c r="CN133" s="83">
        <v>4.0648000000000004E-3</v>
      </c>
      <c r="CO133" s="83">
        <v>1.0217500000000001E-3</v>
      </c>
      <c r="CP133" s="83">
        <v>1.23499E-2</v>
      </c>
      <c r="CQ133" s="83">
        <v>4.3640399999999996E-3</v>
      </c>
      <c r="CR133" s="83">
        <v>1.0141200000000001E-3</v>
      </c>
      <c r="CS133" s="83">
        <v>1.23499E-2</v>
      </c>
      <c r="CT133" s="83">
        <v>3.6521000000000001E-3</v>
      </c>
      <c r="CU133" s="83">
        <v>9.9959099999999998E-4</v>
      </c>
      <c r="CV133" s="83">
        <v>1.23499E-2</v>
      </c>
      <c r="CW133" s="83">
        <v>3.9118900000000003E-3</v>
      </c>
      <c r="CX133" s="83">
        <v>1.01881E-3</v>
      </c>
      <c r="CY133" s="83">
        <v>1.23499E-2</v>
      </c>
      <c r="CZ133" s="83">
        <v>4.0332099999999997E-3</v>
      </c>
      <c r="DA133" s="83">
        <v>1.10165E-3</v>
      </c>
    </row>
    <row r="134" spans="1:105" x14ac:dyDescent="0.2">
      <c r="A134" s="83">
        <v>1.24499E-2</v>
      </c>
      <c r="B134" s="83">
        <v>4.6111299999999997E-3</v>
      </c>
      <c r="C134" s="83">
        <v>8.8498699999999995E-4</v>
      </c>
      <c r="D134" s="83">
        <v>1.24499E-2</v>
      </c>
      <c r="E134" s="83">
        <v>4.6729299999999996E-3</v>
      </c>
      <c r="F134" s="83">
        <v>8.9998200000000002E-4</v>
      </c>
      <c r="G134" s="83">
        <v>1.24499E-2</v>
      </c>
      <c r="H134" s="83">
        <v>4.9665899999999999E-3</v>
      </c>
      <c r="I134" s="83">
        <v>9.4223799999999997E-4</v>
      </c>
      <c r="J134" s="83">
        <v>1.24499E-2</v>
      </c>
      <c r="K134" s="83">
        <v>4.6098600000000003E-3</v>
      </c>
      <c r="L134" s="83">
        <v>9.6154499999999996E-4</v>
      </c>
      <c r="M134" s="83">
        <v>1.24499E-2</v>
      </c>
      <c r="N134" s="83">
        <v>4.6184900000000003E-3</v>
      </c>
      <c r="O134" s="83">
        <v>1.0245300000000001E-3</v>
      </c>
      <c r="P134" s="83">
        <v>1.24499E-2</v>
      </c>
      <c r="Q134" s="83">
        <v>4.1642199999999997E-3</v>
      </c>
      <c r="R134" s="83">
        <v>9.6363899999999997E-4</v>
      </c>
      <c r="S134" s="83">
        <v>1.24499E-2</v>
      </c>
      <c r="T134" s="83">
        <v>4.6202600000000002E-3</v>
      </c>
      <c r="U134" s="83">
        <v>9.6413300000000005E-4</v>
      </c>
      <c r="V134" s="83">
        <v>1.24499E-2</v>
      </c>
      <c r="W134" s="83">
        <v>4.4184899999999997E-3</v>
      </c>
      <c r="X134" s="83">
        <v>9.6524600000000001E-4</v>
      </c>
      <c r="Y134" s="83">
        <v>1.24499E-2</v>
      </c>
      <c r="Z134" s="83">
        <v>4.6442200000000001E-3</v>
      </c>
      <c r="AA134" s="83">
        <v>9.3067599999999996E-4</v>
      </c>
      <c r="AB134" s="83">
        <v>1.24499E-2</v>
      </c>
      <c r="AC134" s="83">
        <v>4.0778799999999999E-3</v>
      </c>
      <c r="AD134" s="83">
        <v>9.5923000000000004E-4</v>
      </c>
      <c r="AE134" s="83">
        <v>1.24499E-2</v>
      </c>
      <c r="AF134" s="83">
        <v>4.4837899999999997E-3</v>
      </c>
      <c r="AG134" s="83">
        <v>9.7712600000000004E-4</v>
      </c>
      <c r="AH134" s="83">
        <v>1.24499E-2</v>
      </c>
      <c r="AI134" s="83">
        <v>4.6718899999999997E-3</v>
      </c>
      <c r="AJ134" s="83">
        <v>9.5326299999999998E-4</v>
      </c>
      <c r="AK134" s="83">
        <v>1.24499E-2</v>
      </c>
      <c r="AL134" s="83">
        <v>4.2077499999999997E-3</v>
      </c>
      <c r="AM134" s="83">
        <v>1.04907E-3</v>
      </c>
      <c r="AN134" s="83">
        <v>1.24499E-2</v>
      </c>
      <c r="AO134" s="83">
        <v>4.0564800000000003E-3</v>
      </c>
      <c r="AP134" s="83">
        <v>9.3904100000000005E-4</v>
      </c>
      <c r="AQ134" s="83">
        <v>1.24499E-2</v>
      </c>
      <c r="AR134" s="83">
        <v>4.6240700000000001E-3</v>
      </c>
      <c r="AS134" s="83">
        <v>9.5151600000000002E-4</v>
      </c>
      <c r="AT134" s="83">
        <v>1.24499E-2</v>
      </c>
      <c r="AU134" s="83">
        <v>4.6032800000000004E-3</v>
      </c>
      <c r="AV134" s="83">
        <v>9.90007E-4</v>
      </c>
      <c r="AW134" s="83">
        <v>1.24499E-2</v>
      </c>
      <c r="AX134" s="83">
        <v>4.3450199999999998E-3</v>
      </c>
      <c r="AY134" s="83">
        <v>9.7435800000000004E-4</v>
      </c>
      <c r="AZ134" s="83">
        <v>1.24499E-2</v>
      </c>
      <c r="BA134" s="83">
        <v>5.1237699999999997E-3</v>
      </c>
      <c r="BB134" s="83">
        <v>9.8420499999999993E-4</v>
      </c>
      <c r="BC134" s="83">
        <v>1.24499E-2</v>
      </c>
      <c r="BD134" s="83">
        <v>4.1743199999999996E-3</v>
      </c>
      <c r="BE134" s="83">
        <v>1.0263500000000001E-3</v>
      </c>
      <c r="BF134" s="83">
        <v>1.24499E-2</v>
      </c>
      <c r="BG134" s="83">
        <v>3.7317299999999999E-3</v>
      </c>
      <c r="BH134" s="83">
        <v>9.8476700000000011E-4</v>
      </c>
      <c r="BI134" s="83">
        <v>1.24499E-2</v>
      </c>
      <c r="BJ134" s="83">
        <v>4.0598600000000002E-3</v>
      </c>
      <c r="BK134" s="83">
        <v>9.8209100000000004E-4</v>
      </c>
      <c r="BL134" s="83">
        <v>1.24499E-2</v>
      </c>
      <c r="BM134" s="83">
        <v>4.5976599999999999E-3</v>
      </c>
      <c r="BN134" s="83">
        <v>1.0293500000000001E-3</v>
      </c>
      <c r="BO134" s="83">
        <v>1.24499E-2</v>
      </c>
      <c r="BP134" s="83">
        <v>2.9790300000000001E-3</v>
      </c>
      <c r="BQ134" s="83">
        <v>9.3919999999999995E-4</v>
      </c>
      <c r="BR134" s="83">
        <v>1.24499E-2</v>
      </c>
      <c r="BS134" s="83">
        <v>3.8619599999999998E-3</v>
      </c>
      <c r="BT134" s="83">
        <v>1.0071100000000001E-3</v>
      </c>
      <c r="BU134" s="83">
        <v>1.24499E-2</v>
      </c>
      <c r="BV134" s="83">
        <v>3.9620100000000002E-3</v>
      </c>
      <c r="BW134" s="83">
        <v>1.00618E-3</v>
      </c>
      <c r="BX134" s="83">
        <v>1.24499E-2</v>
      </c>
      <c r="BY134" s="83">
        <v>3.9833799999999999E-3</v>
      </c>
      <c r="BZ134" s="83">
        <v>9.4049400000000005E-4</v>
      </c>
      <c r="CA134" s="83">
        <v>1.24499E-2</v>
      </c>
      <c r="CB134" s="83">
        <v>4.1823800000000003E-3</v>
      </c>
      <c r="CC134" s="83">
        <v>9.8195399999999994E-4</v>
      </c>
      <c r="CD134" s="83">
        <v>1.24499E-2</v>
      </c>
      <c r="CE134" s="83">
        <v>4.1885300000000002E-3</v>
      </c>
      <c r="CF134" s="83">
        <v>9.6268199999999997E-4</v>
      </c>
      <c r="CG134" s="83">
        <v>1.24499E-2</v>
      </c>
      <c r="CH134" s="83">
        <v>4.2003500000000003E-3</v>
      </c>
      <c r="CI134" s="83">
        <v>9.5975200000000002E-4</v>
      </c>
      <c r="CJ134" s="83">
        <v>1.24499E-2</v>
      </c>
      <c r="CK134" s="83">
        <v>3.3882500000000002E-3</v>
      </c>
      <c r="CL134" s="83">
        <v>9.6125599999999996E-4</v>
      </c>
      <c r="CM134" s="83">
        <v>1.24499E-2</v>
      </c>
      <c r="CN134" s="83">
        <v>3.77671E-3</v>
      </c>
      <c r="CO134" s="83">
        <v>9.5045999999999998E-4</v>
      </c>
      <c r="CP134" s="83">
        <v>1.24499E-2</v>
      </c>
      <c r="CQ134" s="83">
        <v>3.5095500000000002E-3</v>
      </c>
      <c r="CR134" s="83">
        <v>9.6236399999999995E-4</v>
      </c>
      <c r="CS134" s="83">
        <v>1.24499E-2</v>
      </c>
      <c r="CT134" s="83">
        <v>3.1833500000000002E-3</v>
      </c>
      <c r="CU134" s="83">
        <v>9.6345800000000004E-4</v>
      </c>
      <c r="CV134" s="83">
        <v>1.24499E-2</v>
      </c>
      <c r="CW134" s="83">
        <v>3.7165800000000001E-3</v>
      </c>
      <c r="CX134" s="83">
        <v>9.5338499999999995E-4</v>
      </c>
      <c r="CY134" s="83">
        <v>1.24499E-2</v>
      </c>
      <c r="CZ134" s="83">
        <v>4.0478600000000003E-3</v>
      </c>
      <c r="DA134" s="83">
        <v>9.9324799999999996E-4</v>
      </c>
    </row>
    <row r="135" spans="1:105" x14ac:dyDescent="0.2">
      <c r="A135" s="83" t="s">
        <v>57</v>
      </c>
      <c r="B135" s="83" t="s">
        <v>131</v>
      </c>
      <c r="D135" s="83" t="s">
        <v>57</v>
      </c>
      <c r="E135" s="83" t="s">
        <v>131</v>
      </c>
      <c r="G135" s="83" t="s">
        <v>57</v>
      </c>
      <c r="H135" s="83" t="s">
        <v>131</v>
      </c>
      <c r="J135" s="83" t="s">
        <v>57</v>
      </c>
      <c r="K135" s="83" t="s">
        <v>131</v>
      </c>
      <c r="M135" s="83" t="s">
        <v>57</v>
      </c>
      <c r="N135" s="83" t="s">
        <v>131</v>
      </c>
      <c r="P135" s="83" t="s">
        <v>57</v>
      </c>
      <c r="Q135" s="83" t="s">
        <v>131</v>
      </c>
      <c r="S135" s="83" t="s">
        <v>57</v>
      </c>
      <c r="T135" s="83" t="s">
        <v>131</v>
      </c>
      <c r="V135" s="83" t="s">
        <v>57</v>
      </c>
      <c r="W135" s="83" t="s">
        <v>131</v>
      </c>
      <c r="Y135" s="83" t="s">
        <v>57</v>
      </c>
      <c r="Z135" s="83" t="s">
        <v>131</v>
      </c>
      <c r="AB135" s="83" t="s">
        <v>57</v>
      </c>
      <c r="AC135" s="83" t="s">
        <v>131</v>
      </c>
      <c r="AE135" s="83" t="s">
        <v>57</v>
      </c>
      <c r="AF135" s="83" t="s">
        <v>131</v>
      </c>
      <c r="AH135" s="83" t="s">
        <v>57</v>
      </c>
      <c r="AI135" s="83" t="s">
        <v>131</v>
      </c>
      <c r="AK135" s="83" t="s">
        <v>57</v>
      </c>
      <c r="AL135" s="83" t="s">
        <v>131</v>
      </c>
      <c r="AN135" s="83" t="s">
        <v>57</v>
      </c>
      <c r="AO135" s="83" t="s">
        <v>131</v>
      </c>
      <c r="AQ135" s="83" t="s">
        <v>57</v>
      </c>
      <c r="AR135" s="83" t="s">
        <v>131</v>
      </c>
      <c r="AT135" s="83" t="s">
        <v>57</v>
      </c>
      <c r="AU135" s="83" t="s">
        <v>131</v>
      </c>
      <c r="AW135" s="83" t="s">
        <v>57</v>
      </c>
      <c r="AX135" s="83" t="s">
        <v>131</v>
      </c>
      <c r="AZ135" s="83" t="s">
        <v>57</v>
      </c>
      <c r="BA135" s="83" t="s">
        <v>131</v>
      </c>
      <c r="BC135" s="83" t="s">
        <v>57</v>
      </c>
      <c r="BD135" s="83" t="s">
        <v>131</v>
      </c>
      <c r="BF135" s="83" t="s">
        <v>57</v>
      </c>
      <c r="BG135" s="83" t="s">
        <v>131</v>
      </c>
      <c r="BI135" s="83" t="s">
        <v>57</v>
      </c>
      <c r="BJ135" s="83" t="s">
        <v>131</v>
      </c>
      <c r="BL135" s="83" t="s">
        <v>57</v>
      </c>
      <c r="BM135" s="83" t="s">
        <v>131</v>
      </c>
      <c r="BO135" s="83" t="s">
        <v>57</v>
      </c>
      <c r="BP135" s="83" t="s">
        <v>131</v>
      </c>
      <c r="BR135" s="83" t="s">
        <v>57</v>
      </c>
      <c r="BS135" s="83" t="s">
        <v>131</v>
      </c>
      <c r="BU135" s="83" t="s">
        <v>57</v>
      </c>
      <c r="BV135" s="83" t="s">
        <v>131</v>
      </c>
      <c r="BX135" s="83" t="s">
        <v>57</v>
      </c>
      <c r="BY135" s="83" t="s">
        <v>131</v>
      </c>
      <c r="CA135" s="83" t="s">
        <v>57</v>
      </c>
      <c r="CB135" s="83" t="s">
        <v>131</v>
      </c>
      <c r="CD135" s="83" t="s">
        <v>57</v>
      </c>
      <c r="CE135" s="83" t="s">
        <v>131</v>
      </c>
      <c r="CG135" s="83" t="s">
        <v>57</v>
      </c>
      <c r="CH135" s="83" t="s">
        <v>131</v>
      </c>
      <c r="CJ135" s="83" t="s">
        <v>57</v>
      </c>
      <c r="CK135" s="83" t="s">
        <v>131</v>
      </c>
      <c r="CM135" s="83" t="s">
        <v>57</v>
      </c>
      <c r="CN135" s="83" t="s">
        <v>131</v>
      </c>
      <c r="CP135" s="83" t="s">
        <v>57</v>
      </c>
      <c r="CQ135" s="83" t="s">
        <v>131</v>
      </c>
      <c r="CS135" s="83" t="s">
        <v>57</v>
      </c>
      <c r="CT135" s="83" t="s">
        <v>131</v>
      </c>
      <c r="CV135" s="83" t="s">
        <v>57</v>
      </c>
      <c r="CW135" s="83" t="s">
        <v>131</v>
      </c>
      <c r="CY135" s="83" t="s">
        <v>57</v>
      </c>
      <c r="CZ135" s="83" t="s">
        <v>131</v>
      </c>
    </row>
    <row r="137" spans="1:105" x14ac:dyDescent="0.2">
      <c r="A137" s="83" t="s">
        <v>80</v>
      </c>
      <c r="B137" s="83" t="s">
        <v>132</v>
      </c>
      <c r="D137" s="83" t="s">
        <v>80</v>
      </c>
      <c r="E137" s="83" t="s">
        <v>132</v>
      </c>
      <c r="G137" s="83" t="s">
        <v>80</v>
      </c>
      <c r="H137" s="83" t="s">
        <v>132</v>
      </c>
      <c r="J137" s="83" t="s">
        <v>80</v>
      </c>
      <c r="K137" s="83" t="s">
        <v>132</v>
      </c>
      <c r="M137" s="83" t="s">
        <v>80</v>
      </c>
      <c r="N137" s="83" t="s">
        <v>132</v>
      </c>
      <c r="P137" s="83" t="s">
        <v>80</v>
      </c>
      <c r="Q137" s="83" t="s">
        <v>132</v>
      </c>
      <c r="S137" s="83" t="s">
        <v>80</v>
      </c>
      <c r="T137" s="83" t="s">
        <v>132</v>
      </c>
      <c r="V137" s="83" t="s">
        <v>80</v>
      </c>
      <c r="W137" s="83" t="s">
        <v>132</v>
      </c>
      <c r="Y137" s="83" t="s">
        <v>80</v>
      </c>
      <c r="Z137" s="83" t="s">
        <v>132</v>
      </c>
      <c r="AB137" s="83" t="s">
        <v>80</v>
      </c>
      <c r="AC137" s="83" t="s">
        <v>132</v>
      </c>
      <c r="AE137" s="83" t="s">
        <v>80</v>
      </c>
      <c r="AF137" s="83" t="s">
        <v>132</v>
      </c>
      <c r="AH137" s="83" t="s">
        <v>80</v>
      </c>
      <c r="AI137" s="83" t="s">
        <v>132</v>
      </c>
      <c r="AK137" s="83" t="s">
        <v>80</v>
      </c>
      <c r="AL137" s="83" t="s">
        <v>132</v>
      </c>
      <c r="AN137" s="83" t="s">
        <v>80</v>
      </c>
      <c r="AO137" s="83" t="s">
        <v>132</v>
      </c>
      <c r="AQ137" s="83" t="s">
        <v>80</v>
      </c>
      <c r="AR137" s="83" t="s">
        <v>132</v>
      </c>
      <c r="AT137" s="83" t="s">
        <v>80</v>
      </c>
      <c r="AU137" s="83" t="s">
        <v>132</v>
      </c>
      <c r="AW137" s="83" t="s">
        <v>80</v>
      </c>
      <c r="AX137" s="83" t="s">
        <v>132</v>
      </c>
      <c r="AZ137" s="83" t="s">
        <v>80</v>
      </c>
      <c r="BA137" s="83" t="s">
        <v>132</v>
      </c>
      <c r="BC137" s="83" t="s">
        <v>80</v>
      </c>
      <c r="BD137" s="83" t="s">
        <v>132</v>
      </c>
      <c r="BF137" s="83" t="s">
        <v>80</v>
      </c>
      <c r="BG137" s="83" t="s">
        <v>132</v>
      </c>
      <c r="BI137" s="83" t="s">
        <v>80</v>
      </c>
      <c r="BJ137" s="83" t="s">
        <v>132</v>
      </c>
      <c r="BL137" s="83" t="s">
        <v>80</v>
      </c>
      <c r="BM137" s="83" t="s">
        <v>132</v>
      </c>
      <c r="BO137" s="83" t="s">
        <v>80</v>
      </c>
      <c r="BP137" s="83" t="s">
        <v>132</v>
      </c>
      <c r="BR137" s="83" t="s">
        <v>80</v>
      </c>
      <c r="BS137" s="83" t="s">
        <v>132</v>
      </c>
      <c r="BU137" s="83" t="s">
        <v>80</v>
      </c>
      <c r="BV137" s="83" t="s">
        <v>132</v>
      </c>
      <c r="BX137" s="83" t="s">
        <v>80</v>
      </c>
      <c r="BY137" s="83" t="s">
        <v>132</v>
      </c>
      <c r="CA137" s="83" t="s">
        <v>80</v>
      </c>
      <c r="CB137" s="83" t="s">
        <v>132</v>
      </c>
      <c r="CD137" s="83" t="s">
        <v>80</v>
      </c>
      <c r="CE137" s="83" t="s">
        <v>132</v>
      </c>
      <c r="CG137" s="83" t="s">
        <v>80</v>
      </c>
      <c r="CH137" s="83" t="s">
        <v>132</v>
      </c>
      <c r="CJ137" s="83" t="s">
        <v>80</v>
      </c>
      <c r="CK137" s="83" t="s">
        <v>132</v>
      </c>
      <c r="CM137" s="83" t="s">
        <v>80</v>
      </c>
      <c r="CN137" s="83" t="s">
        <v>132</v>
      </c>
      <c r="CP137" s="83" t="s">
        <v>80</v>
      </c>
      <c r="CQ137" s="83" t="s">
        <v>132</v>
      </c>
      <c r="CS137" s="83" t="s">
        <v>80</v>
      </c>
      <c r="CT137" s="83" t="s">
        <v>132</v>
      </c>
      <c r="CV137" s="83" t="s">
        <v>80</v>
      </c>
      <c r="CW137" s="83" t="s">
        <v>132</v>
      </c>
      <c r="CY137" s="83" t="s">
        <v>80</v>
      </c>
      <c r="CZ137" s="83" t="s">
        <v>132</v>
      </c>
    </row>
    <row r="139" spans="1:105" x14ac:dyDescent="0.2">
      <c r="A139" s="83" t="s">
        <v>69</v>
      </c>
      <c r="B139" s="83">
        <v>5</v>
      </c>
      <c r="D139" s="83" t="s">
        <v>69</v>
      </c>
      <c r="E139" s="83">
        <v>5</v>
      </c>
      <c r="G139" s="83" t="s">
        <v>69</v>
      </c>
      <c r="H139" s="83">
        <v>5</v>
      </c>
      <c r="J139" s="83" t="s">
        <v>69</v>
      </c>
      <c r="K139" s="83">
        <v>5</v>
      </c>
      <c r="M139" s="83" t="s">
        <v>69</v>
      </c>
      <c r="N139" s="83">
        <v>5</v>
      </c>
      <c r="P139" s="83" t="s">
        <v>69</v>
      </c>
      <c r="Q139" s="83">
        <v>5</v>
      </c>
      <c r="S139" s="83" t="s">
        <v>69</v>
      </c>
      <c r="T139" s="83">
        <v>5</v>
      </c>
      <c r="V139" s="83" t="s">
        <v>69</v>
      </c>
      <c r="W139" s="83">
        <v>5</v>
      </c>
      <c r="Y139" s="83" t="s">
        <v>69</v>
      </c>
      <c r="Z139" s="83">
        <v>5</v>
      </c>
      <c r="AB139" s="83" t="s">
        <v>69</v>
      </c>
      <c r="AC139" s="83">
        <v>5</v>
      </c>
      <c r="AE139" s="83" t="s">
        <v>69</v>
      </c>
      <c r="AF139" s="83">
        <v>5</v>
      </c>
      <c r="AH139" s="83" t="s">
        <v>69</v>
      </c>
      <c r="AI139" s="83">
        <v>5</v>
      </c>
      <c r="AK139" s="83" t="s">
        <v>69</v>
      </c>
      <c r="AL139" s="83">
        <v>5</v>
      </c>
      <c r="AN139" s="83" t="s">
        <v>69</v>
      </c>
      <c r="AO139" s="83">
        <v>5</v>
      </c>
      <c r="AQ139" s="83" t="s">
        <v>69</v>
      </c>
      <c r="AR139" s="83">
        <v>5</v>
      </c>
      <c r="AT139" s="83" t="s">
        <v>69</v>
      </c>
      <c r="AU139" s="83">
        <v>5</v>
      </c>
      <c r="AW139" s="83" t="s">
        <v>69</v>
      </c>
      <c r="AX139" s="83">
        <v>5</v>
      </c>
      <c r="AZ139" s="83" t="s">
        <v>69</v>
      </c>
      <c r="BA139" s="83">
        <v>5</v>
      </c>
      <c r="BC139" s="83" t="s">
        <v>69</v>
      </c>
      <c r="BD139" s="83">
        <v>5</v>
      </c>
      <c r="BF139" s="83" t="s">
        <v>69</v>
      </c>
      <c r="BG139" s="83">
        <v>5</v>
      </c>
      <c r="BI139" s="83" t="s">
        <v>69</v>
      </c>
      <c r="BJ139" s="83">
        <v>5</v>
      </c>
      <c r="BL139" s="83" t="s">
        <v>69</v>
      </c>
      <c r="BM139" s="83">
        <v>5</v>
      </c>
      <c r="BO139" s="83" t="s">
        <v>69</v>
      </c>
      <c r="BP139" s="83">
        <v>5</v>
      </c>
      <c r="BR139" s="83" t="s">
        <v>69</v>
      </c>
      <c r="BS139" s="83">
        <v>5</v>
      </c>
      <c r="BU139" s="83" t="s">
        <v>69</v>
      </c>
      <c r="BV139" s="83">
        <v>5</v>
      </c>
      <c r="BX139" s="83" t="s">
        <v>69</v>
      </c>
      <c r="BY139" s="83">
        <v>5</v>
      </c>
      <c r="CA139" s="83" t="s">
        <v>69</v>
      </c>
      <c r="CB139" s="83">
        <v>5</v>
      </c>
      <c r="CD139" s="83" t="s">
        <v>69</v>
      </c>
      <c r="CE139" s="83">
        <v>5</v>
      </c>
      <c r="CG139" s="83" t="s">
        <v>69</v>
      </c>
      <c r="CH139" s="83">
        <v>5</v>
      </c>
      <c r="CJ139" s="83" t="s">
        <v>69</v>
      </c>
      <c r="CK139" s="83">
        <v>5</v>
      </c>
      <c r="CM139" s="83" t="s">
        <v>69</v>
      </c>
      <c r="CN139" s="83">
        <v>5</v>
      </c>
      <c r="CP139" s="83" t="s">
        <v>69</v>
      </c>
      <c r="CQ139" s="83">
        <v>5</v>
      </c>
      <c r="CS139" s="83" t="s">
        <v>69</v>
      </c>
      <c r="CT139" s="83">
        <v>5</v>
      </c>
      <c r="CV139" s="83" t="s">
        <v>69</v>
      </c>
      <c r="CW139" s="83">
        <v>5</v>
      </c>
      <c r="CY139" s="83" t="s">
        <v>69</v>
      </c>
      <c r="CZ139" s="83">
        <v>5</v>
      </c>
    </row>
    <row r="141" spans="1:105" x14ac:dyDescent="0.2">
      <c r="A141" s="83" t="s">
        <v>68</v>
      </c>
      <c r="B141" s="83">
        <v>5</v>
      </c>
      <c r="D141" s="83" t="s">
        <v>68</v>
      </c>
      <c r="E141" s="83">
        <v>5</v>
      </c>
      <c r="G141" s="83" t="s">
        <v>68</v>
      </c>
      <c r="H141" s="83">
        <v>5</v>
      </c>
      <c r="J141" s="83" t="s">
        <v>68</v>
      </c>
      <c r="K141" s="83">
        <v>5</v>
      </c>
      <c r="M141" s="83" t="s">
        <v>68</v>
      </c>
      <c r="N141" s="83">
        <v>5</v>
      </c>
      <c r="P141" s="83" t="s">
        <v>68</v>
      </c>
      <c r="Q141" s="83">
        <v>5</v>
      </c>
      <c r="S141" s="83" t="s">
        <v>68</v>
      </c>
      <c r="T141" s="83">
        <v>5</v>
      </c>
      <c r="V141" s="83" t="s">
        <v>68</v>
      </c>
      <c r="W141" s="83">
        <v>5</v>
      </c>
      <c r="Y141" s="83" t="s">
        <v>68</v>
      </c>
      <c r="Z141" s="83">
        <v>5</v>
      </c>
      <c r="AB141" s="83" t="s">
        <v>68</v>
      </c>
      <c r="AC141" s="83">
        <v>5</v>
      </c>
      <c r="AE141" s="83" t="s">
        <v>68</v>
      </c>
      <c r="AF141" s="83">
        <v>5</v>
      </c>
      <c r="AH141" s="83" t="s">
        <v>68</v>
      </c>
      <c r="AI141" s="83">
        <v>5</v>
      </c>
      <c r="AK141" s="83" t="s">
        <v>68</v>
      </c>
      <c r="AL141" s="83">
        <v>5</v>
      </c>
      <c r="AN141" s="83" t="s">
        <v>68</v>
      </c>
      <c r="AO141" s="83">
        <v>5</v>
      </c>
      <c r="AQ141" s="83" t="s">
        <v>68</v>
      </c>
      <c r="AR141" s="83">
        <v>5</v>
      </c>
      <c r="AT141" s="83" t="s">
        <v>68</v>
      </c>
      <c r="AU141" s="83">
        <v>5</v>
      </c>
      <c r="AW141" s="83" t="s">
        <v>68</v>
      </c>
      <c r="AX141" s="83">
        <v>5</v>
      </c>
      <c r="AZ141" s="83" t="s">
        <v>68</v>
      </c>
      <c r="BA141" s="83">
        <v>5</v>
      </c>
      <c r="BC141" s="83" t="s">
        <v>68</v>
      </c>
      <c r="BD141" s="83">
        <v>5</v>
      </c>
      <c r="BF141" s="83" t="s">
        <v>68</v>
      </c>
      <c r="BG141" s="83">
        <v>5</v>
      </c>
      <c r="BI141" s="83" t="s">
        <v>68</v>
      </c>
      <c r="BJ141" s="83">
        <v>5</v>
      </c>
      <c r="BL141" s="83" t="s">
        <v>68</v>
      </c>
      <c r="BM141" s="83">
        <v>5</v>
      </c>
      <c r="BO141" s="83" t="s">
        <v>68</v>
      </c>
      <c r="BP141" s="83">
        <v>5</v>
      </c>
      <c r="BR141" s="83" t="s">
        <v>68</v>
      </c>
      <c r="BS141" s="83">
        <v>5</v>
      </c>
      <c r="BU141" s="83" t="s">
        <v>68</v>
      </c>
      <c r="BV141" s="83">
        <v>5</v>
      </c>
      <c r="BX141" s="83" t="s">
        <v>68</v>
      </c>
      <c r="BY141" s="83">
        <v>5</v>
      </c>
      <c r="CA141" s="83" t="s">
        <v>68</v>
      </c>
      <c r="CB141" s="83">
        <v>5</v>
      </c>
      <c r="CD141" s="83" t="s">
        <v>68</v>
      </c>
      <c r="CE141" s="83">
        <v>5</v>
      </c>
      <c r="CG141" s="83" t="s">
        <v>68</v>
      </c>
      <c r="CH141" s="83">
        <v>5</v>
      </c>
      <c r="CJ141" s="83" t="s">
        <v>68</v>
      </c>
      <c r="CK141" s="83">
        <v>5</v>
      </c>
      <c r="CM141" s="83" t="s">
        <v>68</v>
      </c>
      <c r="CN141" s="83">
        <v>5</v>
      </c>
      <c r="CP141" s="83" t="s">
        <v>68</v>
      </c>
      <c r="CQ141" s="83">
        <v>5</v>
      </c>
      <c r="CS141" s="83" t="s">
        <v>68</v>
      </c>
      <c r="CT141" s="83">
        <v>5</v>
      </c>
      <c r="CV141" s="83" t="s">
        <v>68</v>
      </c>
      <c r="CW141" s="83">
        <v>5</v>
      </c>
      <c r="CY141" s="83" t="s">
        <v>68</v>
      </c>
      <c r="CZ141" s="83">
        <v>5</v>
      </c>
    </row>
    <row r="143" spans="1:105" x14ac:dyDescent="0.2">
      <c r="A143" s="83" t="s">
        <v>67</v>
      </c>
      <c r="B143" s="83">
        <v>10</v>
      </c>
      <c r="D143" s="83" t="s">
        <v>67</v>
      </c>
      <c r="E143" s="83">
        <v>10</v>
      </c>
      <c r="G143" s="83" t="s">
        <v>67</v>
      </c>
      <c r="H143" s="83">
        <v>10</v>
      </c>
      <c r="J143" s="83" t="s">
        <v>67</v>
      </c>
      <c r="K143" s="83">
        <v>10</v>
      </c>
      <c r="M143" s="83" t="s">
        <v>67</v>
      </c>
      <c r="N143" s="83">
        <v>10</v>
      </c>
      <c r="P143" s="83" t="s">
        <v>67</v>
      </c>
      <c r="Q143" s="83">
        <v>10</v>
      </c>
      <c r="S143" s="83" t="s">
        <v>67</v>
      </c>
      <c r="T143" s="83">
        <v>10</v>
      </c>
      <c r="V143" s="83" t="s">
        <v>67</v>
      </c>
      <c r="W143" s="83">
        <v>10</v>
      </c>
      <c r="Y143" s="83" t="s">
        <v>67</v>
      </c>
      <c r="Z143" s="83">
        <v>10</v>
      </c>
      <c r="AB143" s="83" t="s">
        <v>67</v>
      </c>
      <c r="AC143" s="83">
        <v>10</v>
      </c>
      <c r="AE143" s="83" t="s">
        <v>67</v>
      </c>
      <c r="AF143" s="83">
        <v>10</v>
      </c>
      <c r="AH143" s="83" t="s">
        <v>67</v>
      </c>
      <c r="AI143" s="83">
        <v>10</v>
      </c>
      <c r="AK143" s="83" t="s">
        <v>67</v>
      </c>
      <c r="AL143" s="83">
        <v>10</v>
      </c>
      <c r="AN143" s="83" t="s">
        <v>67</v>
      </c>
      <c r="AO143" s="83">
        <v>10</v>
      </c>
      <c r="AQ143" s="83" t="s">
        <v>67</v>
      </c>
      <c r="AR143" s="83">
        <v>10</v>
      </c>
      <c r="AT143" s="83" t="s">
        <v>67</v>
      </c>
      <c r="AU143" s="83">
        <v>10</v>
      </c>
      <c r="AW143" s="83" t="s">
        <v>67</v>
      </c>
      <c r="AX143" s="83">
        <v>10</v>
      </c>
      <c r="AZ143" s="83" t="s">
        <v>67</v>
      </c>
      <c r="BA143" s="83">
        <v>10</v>
      </c>
      <c r="BC143" s="83" t="s">
        <v>67</v>
      </c>
      <c r="BD143" s="83">
        <v>10</v>
      </c>
      <c r="BF143" s="83" t="s">
        <v>67</v>
      </c>
      <c r="BG143" s="83">
        <v>10</v>
      </c>
      <c r="BI143" s="83" t="s">
        <v>67</v>
      </c>
      <c r="BJ143" s="83">
        <v>10</v>
      </c>
      <c r="BL143" s="83" t="s">
        <v>67</v>
      </c>
      <c r="BM143" s="83">
        <v>10</v>
      </c>
      <c r="BO143" s="83" t="s">
        <v>67</v>
      </c>
      <c r="BP143" s="83">
        <v>10</v>
      </c>
      <c r="BR143" s="83" t="s">
        <v>67</v>
      </c>
      <c r="BS143" s="83">
        <v>10</v>
      </c>
      <c r="BU143" s="83" t="s">
        <v>67</v>
      </c>
      <c r="BV143" s="83">
        <v>10</v>
      </c>
      <c r="BX143" s="83" t="s">
        <v>67</v>
      </c>
      <c r="BY143" s="83">
        <v>10</v>
      </c>
      <c r="CA143" s="83" t="s">
        <v>67</v>
      </c>
      <c r="CB143" s="83">
        <v>10</v>
      </c>
      <c r="CD143" s="83" t="s">
        <v>67</v>
      </c>
      <c r="CE143" s="83">
        <v>10</v>
      </c>
      <c r="CG143" s="83" t="s">
        <v>67</v>
      </c>
      <c r="CH143" s="83">
        <v>10</v>
      </c>
      <c r="CJ143" s="83" t="s">
        <v>67</v>
      </c>
      <c r="CK143" s="83">
        <v>10</v>
      </c>
      <c r="CM143" s="83" t="s">
        <v>67</v>
      </c>
      <c r="CN143" s="83">
        <v>10</v>
      </c>
      <c r="CP143" s="83" t="s">
        <v>67</v>
      </c>
      <c r="CQ143" s="83">
        <v>10</v>
      </c>
      <c r="CS143" s="83" t="s">
        <v>67</v>
      </c>
      <c r="CT143" s="83">
        <v>10</v>
      </c>
      <c r="CV143" s="83" t="s">
        <v>67</v>
      </c>
      <c r="CW143" s="83">
        <v>10</v>
      </c>
      <c r="CY143" s="83" t="s">
        <v>67</v>
      </c>
      <c r="CZ143" s="83">
        <v>10</v>
      </c>
    </row>
    <row r="145" spans="1:104" x14ac:dyDescent="0.2">
      <c r="A145" s="83" t="s">
        <v>66</v>
      </c>
      <c r="B145" s="83">
        <v>20</v>
      </c>
      <c r="D145" s="83" t="s">
        <v>66</v>
      </c>
      <c r="E145" s="83">
        <v>20</v>
      </c>
      <c r="G145" s="83" t="s">
        <v>66</v>
      </c>
      <c r="H145" s="83">
        <v>20</v>
      </c>
      <c r="J145" s="83" t="s">
        <v>66</v>
      </c>
      <c r="K145" s="83">
        <v>20</v>
      </c>
      <c r="M145" s="83" t="s">
        <v>66</v>
      </c>
      <c r="N145" s="83">
        <v>20</v>
      </c>
      <c r="P145" s="83" t="s">
        <v>66</v>
      </c>
      <c r="Q145" s="83">
        <v>20</v>
      </c>
      <c r="S145" s="83" t="s">
        <v>66</v>
      </c>
      <c r="T145" s="83">
        <v>20</v>
      </c>
      <c r="V145" s="83" t="s">
        <v>66</v>
      </c>
      <c r="W145" s="83">
        <v>20</v>
      </c>
      <c r="Y145" s="83" t="s">
        <v>66</v>
      </c>
      <c r="Z145" s="83">
        <v>20</v>
      </c>
      <c r="AB145" s="83" t="s">
        <v>66</v>
      </c>
      <c r="AC145" s="83">
        <v>20</v>
      </c>
      <c r="AE145" s="83" t="s">
        <v>66</v>
      </c>
      <c r="AF145" s="83">
        <v>20</v>
      </c>
      <c r="AH145" s="83" t="s">
        <v>66</v>
      </c>
      <c r="AI145" s="83">
        <v>20</v>
      </c>
      <c r="AK145" s="83" t="s">
        <v>66</v>
      </c>
      <c r="AL145" s="83">
        <v>20</v>
      </c>
      <c r="AN145" s="83" t="s">
        <v>66</v>
      </c>
      <c r="AO145" s="83">
        <v>20</v>
      </c>
      <c r="AQ145" s="83" t="s">
        <v>66</v>
      </c>
      <c r="AR145" s="83">
        <v>20</v>
      </c>
      <c r="AT145" s="83" t="s">
        <v>66</v>
      </c>
      <c r="AU145" s="83">
        <v>20</v>
      </c>
      <c r="AW145" s="83" t="s">
        <v>66</v>
      </c>
      <c r="AX145" s="83">
        <v>20</v>
      </c>
      <c r="AZ145" s="83" t="s">
        <v>66</v>
      </c>
      <c r="BA145" s="83">
        <v>20</v>
      </c>
      <c r="BC145" s="83" t="s">
        <v>66</v>
      </c>
      <c r="BD145" s="83">
        <v>20</v>
      </c>
      <c r="BF145" s="83" t="s">
        <v>66</v>
      </c>
      <c r="BG145" s="83">
        <v>20</v>
      </c>
      <c r="BI145" s="83" t="s">
        <v>66</v>
      </c>
      <c r="BJ145" s="83">
        <v>20</v>
      </c>
      <c r="BL145" s="83" t="s">
        <v>66</v>
      </c>
      <c r="BM145" s="83">
        <v>20</v>
      </c>
      <c r="BO145" s="83" t="s">
        <v>66</v>
      </c>
      <c r="BP145" s="83">
        <v>20</v>
      </c>
      <c r="BR145" s="83" t="s">
        <v>66</v>
      </c>
      <c r="BS145" s="83">
        <v>20</v>
      </c>
      <c r="BU145" s="83" t="s">
        <v>66</v>
      </c>
      <c r="BV145" s="83">
        <v>20</v>
      </c>
      <c r="BX145" s="83" t="s">
        <v>66</v>
      </c>
      <c r="BY145" s="83">
        <v>20</v>
      </c>
      <c r="CA145" s="83" t="s">
        <v>66</v>
      </c>
      <c r="CB145" s="83">
        <v>20</v>
      </c>
      <c r="CD145" s="83" t="s">
        <v>66</v>
      </c>
      <c r="CE145" s="83">
        <v>20</v>
      </c>
      <c r="CG145" s="83" t="s">
        <v>66</v>
      </c>
      <c r="CH145" s="83">
        <v>20</v>
      </c>
      <c r="CJ145" s="83" t="s">
        <v>66</v>
      </c>
      <c r="CK145" s="83">
        <v>20</v>
      </c>
      <c r="CM145" s="83" t="s">
        <v>66</v>
      </c>
      <c r="CN145" s="83">
        <v>20</v>
      </c>
      <c r="CP145" s="83" t="s">
        <v>66</v>
      </c>
      <c r="CQ145" s="83">
        <v>20</v>
      </c>
      <c r="CS145" s="83" t="s">
        <v>66</v>
      </c>
      <c r="CT145" s="83">
        <v>20</v>
      </c>
      <c r="CV145" s="83" t="s">
        <v>66</v>
      </c>
      <c r="CW145" s="83">
        <v>20</v>
      </c>
      <c r="CY145" s="83" t="s">
        <v>66</v>
      </c>
      <c r="CZ145" s="83">
        <v>20</v>
      </c>
    </row>
    <row r="147" spans="1:104" x14ac:dyDescent="0.2">
      <c r="A147" s="83" t="s">
        <v>73</v>
      </c>
      <c r="B147" s="83">
        <v>1</v>
      </c>
      <c r="D147" s="83" t="s">
        <v>73</v>
      </c>
      <c r="E147" s="83">
        <v>1</v>
      </c>
      <c r="G147" s="83" t="s">
        <v>73</v>
      </c>
      <c r="H147" s="83">
        <v>1</v>
      </c>
      <c r="J147" s="83" t="s">
        <v>73</v>
      </c>
      <c r="K147" s="83">
        <v>1</v>
      </c>
      <c r="M147" s="83" t="s">
        <v>73</v>
      </c>
      <c r="N147" s="83">
        <v>1</v>
      </c>
      <c r="P147" s="83" t="s">
        <v>73</v>
      </c>
      <c r="Q147" s="83">
        <v>1</v>
      </c>
      <c r="S147" s="83" t="s">
        <v>73</v>
      </c>
      <c r="T147" s="83">
        <v>1</v>
      </c>
      <c r="V147" s="83" t="s">
        <v>73</v>
      </c>
      <c r="W147" s="83">
        <v>1</v>
      </c>
      <c r="Y147" s="83" t="s">
        <v>73</v>
      </c>
      <c r="Z147" s="83">
        <v>1</v>
      </c>
      <c r="AB147" s="83" t="s">
        <v>73</v>
      </c>
      <c r="AC147" s="83">
        <v>1</v>
      </c>
      <c r="AE147" s="83" t="s">
        <v>73</v>
      </c>
      <c r="AF147" s="83">
        <v>1</v>
      </c>
      <c r="AH147" s="83" t="s">
        <v>73</v>
      </c>
      <c r="AI147" s="83">
        <v>1</v>
      </c>
      <c r="AK147" s="83" t="s">
        <v>73</v>
      </c>
      <c r="AL147" s="83">
        <v>1</v>
      </c>
      <c r="AN147" s="83" t="s">
        <v>73</v>
      </c>
      <c r="AO147" s="83">
        <v>1</v>
      </c>
      <c r="AQ147" s="83" t="s">
        <v>73</v>
      </c>
      <c r="AR147" s="83">
        <v>1</v>
      </c>
      <c r="AT147" s="83" t="s">
        <v>73</v>
      </c>
      <c r="AU147" s="83">
        <v>1</v>
      </c>
      <c r="AW147" s="83" t="s">
        <v>73</v>
      </c>
      <c r="AX147" s="83">
        <v>1</v>
      </c>
      <c r="AZ147" s="83" t="s">
        <v>73</v>
      </c>
      <c r="BA147" s="83">
        <v>1</v>
      </c>
      <c r="BC147" s="83" t="s">
        <v>73</v>
      </c>
      <c r="BD147" s="83">
        <v>1</v>
      </c>
      <c r="BF147" s="83" t="s">
        <v>73</v>
      </c>
      <c r="BG147" s="83">
        <v>1</v>
      </c>
      <c r="BI147" s="83" t="s">
        <v>73</v>
      </c>
      <c r="BJ147" s="83">
        <v>1</v>
      </c>
      <c r="BL147" s="83" t="s">
        <v>73</v>
      </c>
      <c r="BM147" s="83">
        <v>1</v>
      </c>
      <c r="BO147" s="83" t="s">
        <v>73</v>
      </c>
      <c r="BP147" s="83">
        <v>1</v>
      </c>
      <c r="BR147" s="83" t="s">
        <v>73</v>
      </c>
      <c r="BS147" s="83">
        <v>1</v>
      </c>
      <c r="BU147" s="83" t="s">
        <v>73</v>
      </c>
      <c r="BV147" s="83">
        <v>1</v>
      </c>
      <c r="BX147" s="83" t="s">
        <v>73</v>
      </c>
      <c r="BY147" s="83">
        <v>1</v>
      </c>
      <c r="CA147" s="83" t="s">
        <v>73</v>
      </c>
      <c r="CB147" s="83">
        <v>1</v>
      </c>
      <c r="CD147" s="83" t="s">
        <v>73</v>
      </c>
      <c r="CE147" s="83">
        <v>1</v>
      </c>
      <c r="CG147" s="83" t="s">
        <v>73</v>
      </c>
      <c r="CH147" s="83">
        <v>1</v>
      </c>
      <c r="CJ147" s="83" t="s">
        <v>73</v>
      </c>
      <c r="CK147" s="83">
        <v>1</v>
      </c>
      <c r="CM147" s="83" t="s">
        <v>73</v>
      </c>
      <c r="CN147" s="83">
        <v>1</v>
      </c>
      <c r="CP147" s="83" t="s">
        <v>73</v>
      </c>
      <c r="CQ147" s="83">
        <v>1</v>
      </c>
      <c r="CS147" s="83" t="s">
        <v>73</v>
      </c>
      <c r="CT147" s="83">
        <v>1</v>
      </c>
      <c r="CV147" s="83" t="s">
        <v>73</v>
      </c>
      <c r="CW147" s="83">
        <v>1</v>
      </c>
      <c r="CY147" s="83" t="s">
        <v>73</v>
      </c>
      <c r="CZ147" s="83">
        <v>1</v>
      </c>
    </row>
    <row r="149" spans="1:104" x14ac:dyDescent="0.2">
      <c r="A149" s="83" t="s">
        <v>72</v>
      </c>
      <c r="B149" s="83">
        <v>1</v>
      </c>
      <c r="D149" s="83" t="s">
        <v>72</v>
      </c>
      <c r="E149" s="83">
        <v>1</v>
      </c>
      <c r="G149" s="83" t="s">
        <v>72</v>
      </c>
      <c r="H149" s="83">
        <v>1</v>
      </c>
      <c r="J149" s="83" t="s">
        <v>72</v>
      </c>
      <c r="K149" s="83">
        <v>1</v>
      </c>
      <c r="M149" s="83" t="s">
        <v>72</v>
      </c>
      <c r="N149" s="83">
        <v>1</v>
      </c>
      <c r="P149" s="83" t="s">
        <v>72</v>
      </c>
      <c r="Q149" s="83">
        <v>1</v>
      </c>
      <c r="S149" s="83" t="s">
        <v>72</v>
      </c>
      <c r="T149" s="83">
        <v>1</v>
      </c>
      <c r="V149" s="83" t="s">
        <v>72</v>
      </c>
      <c r="W149" s="83">
        <v>1</v>
      </c>
      <c r="Y149" s="83" t="s">
        <v>72</v>
      </c>
      <c r="Z149" s="83">
        <v>1</v>
      </c>
      <c r="AB149" s="83" t="s">
        <v>72</v>
      </c>
      <c r="AC149" s="83">
        <v>1</v>
      </c>
      <c r="AE149" s="83" t="s">
        <v>72</v>
      </c>
      <c r="AF149" s="83">
        <v>1</v>
      </c>
      <c r="AH149" s="83" t="s">
        <v>72</v>
      </c>
      <c r="AI149" s="83">
        <v>1</v>
      </c>
      <c r="AK149" s="83" t="s">
        <v>72</v>
      </c>
      <c r="AL149" s="83">
        <v>1</v>
      </c>
      <c r="AN149" s="83" t="s">
        <v>72</v>
      </c>
      <c r="AO149" s="83">
        <v>1</v>
      </c>
      <c r="AQ149" s="83" t="s">
        <v>72</v>
      </c>
      <c r="AR149" s="83">
        <v>1</v>
      </c>
      <c r="AT149" s="83" t="s">
        <v>72</v>
      </c>
      <c r="AU149" s="83">
        <v>1</v>
      </c>
      <c r="AW149" s="83" t="s">
        <v>72</v>
      </c>
      <c r="AX149" s="83">
        <v>1</v>
      </c>
      <c r="AZ149" s="83" t="s">
        <v>72</v>
      </c>
      <c r="BA149" s="83">
        <v>1</v>
      </c>
      <c r="BC149" s="83" t="s">
        <v>72</v>
      </c>
      <c r="BD149" s="83">
        <v>1</v>
      </c>
      <c r="BF149" s="83" t="s">
        <v>72</v>
      </c>
      <c r="BG149" s="83">
        <v>1</v>
      </c>
      <c r="BI149" s="83" t="s">
        <v>72</v>
      </c>
      <c r="BJ149" s="83">
        <v>1</v>
      </c>
      <c r="BL149" s="83" t="s">
        <v>72</v>
      </c>
      <c r="BM149" s="83">
        <v>1</v>
      </c>
      <c r="BO149" s="83" t="s">
        <v>72</v>
      </c>
      <c r="BP149" s="83">
        <v>1</v>
      </c>
      <c r="BR149" s="83" t="s">
        <v>72</v>
      </c>
      <c r="BS149" s="83">
        <v>1</v>
      </c>
      <c r="BU149" s="83" t="s">
        <v>72</v>
      </c>
      <c r="BV149" s="83">
        <v>1</v>
      </c>
      <c r="BX149" s="83" t="s">
        <v>72</v>
      </c>
      <c r="BY149" s="83">
        <v>1</v>
      </c>
      <c r="CA149" s="83" t="s">
        <v>72</v>
      </c>
      <c r="CB149" s="83">
        <v>1</v>
      </c>
      <c r="CD149" s="83" t="s">
        <v>72</v>
      </c>
      <c r="CE149" s="83">
        <v>1</v>
      </c>
      <c r="CG149" s="83" t="s">
        <v>72</v>
      </c>
      <c r="CH149" s="83">
        <v>1</v>
      </c>
      <c r="CJ149" s="83" t="s">
        <v>72</v>
      </c>
      <c r="CK149" s="83">
        <v>1</v>
      </c>
      <c r="CM149" s="83" t="s">
        <v>72</v>
      </c>
      <c r="CN149" s="83">
        <v>1</v>
      </c>
      <c r="CP149" s="83" t="s">
        <v>72</v>
      </c>
      <c r="CQ149" s="83">
        <v>1</v>
      </c>
      <c r="CS149" s="83" t="s">
        <v>72</v>
      </c>
      <c r="CT149" s="83">
        <v>1</v>
      </c>
      <c r="CV149" s="83" t="s">
        <v>72</v>
      </c>
      <c r="CW149" s="83">
        <v>1</v>
      </c>
      <c r="CY149" s="83" t="s">
        <v>72</v>
      </c>
      <c r="CZ149" s="83">
        <v>1</v>
      </c>
    </row>
    <row r="151" spans="1:104" x14ac:dyDescent="0.2">
      <c r="A151" s="83" t="s">
        <v>71</v>
      </c>
      <c r="B151" s="83">
        <v>2.9199299999999999</v>
      </c>
      <c r="D151" s="83" t="s">
        <v>71</v>
      </c>
      <c r="E151" s="83">
        <v>2.9830199999999998</v>
      </c>
      <c r="G151" s="83" t="s">
        <v>71</v>
      </c>
      <c r="H151" s="83">
        <v>3.0433699999999999</v>
      </c>
      <c r="J151" s="83" t="s">
        <v>71</v>
      </c>
      <c r="K151" s="83">
        <v>3.0769500000000001</v>
      </c>
      <c r="M151" s="83" t="s">
        <v>71</v>
      </c>
      <c r="N151" s="83">
        <v>3.1877800000000001</v>
      </c>
      <c r="P151" s="83" t="s">
        <v>71</v>
      </c>
      <c r="Q151" s="83">
        <v>3.1823000000000001</v>
      </c>
      <c r="S151" s="83" t="s">
        <v>71</v>
      </c>
      <c r="T151" s="83">
        <v>3.2396699999999998</v>
      </c>
      <c r="V151" s="83" t="s">
        <v>71</v>
      </c>
      <c r="W151" s="83">
        <v>3.2828900000000001</v>
      </c>
      <c r="Y151" s="83" t="s">
        <v>71</v>
      </c>
      <c r="Z151" s="83">
        <v>3.2956799999999999</v>
      </c>
      <c r="AB151" s="83" t="s">
        <v>71</v>
      </c>
      <c r="AC151" s="83">
        <v>3.32009</v>
      </c>
      <c r="AE151" s="83" t="s">
        <v>71</v>
      </c>
      <c r="AF151" s="83">
        <v>3.3052299999999999</v>
      </c>
      <c r="AH151" s="83" t="s">
        <v>71</v>
      </c>
      <c r="AI151" s="83">
        <v>3.36287</v>
      </c>
      <c r="AK151" s="83" t="s">
        <v>71</v>
      </c>
      <c r="AL151" s="83">
        <v>3.4412099999999999</v>
      </c>
      <c r="AN151" s="83" t="s">
        <v>71</v>
      </c>
      <c r="AO151" s="83">
        <v>3.4000400000000002</v>
      </c>
      <c r="AQ151" s="83" t="s">
        <v>71</v>
      </c>
      <c r="AR151" s="83">
        <v>3.4161800000000002</v>
      </c>
      <c r="AT151" s="83" t="s">
        <v>71</v>
      </c>
      <c r="AU151" s="83">
        <v>3.5420699999999998</v>
      </c>
      <c r="AW151" s="83" t="s">
        <v>71</v>
      </c>
      <c r="AX151" s="83">
        <v>3.5274899999999998</v>
      </c>
      <c r="AZ151" s="83" t="s">
        <v>71</v>
      </c>
      <c r="BA151" s="83">
        <v>3.5554999999999999</v>
      </c>
      <c r="BC151" s="83" t="s">
        <v>71</v>
      </c>
      <c r="BD151" s="83">
        <v>3.6274799999999998</v>
      </c>
      <c r="BF151" s="83" t="s">
        <v>71</v>
      </c>
      <c r="BG151" s="83">
        <v>3.6362199999999998</v>
      </c>
      <c r="BI151" s="83" t="s">
        <v>71</v>
      </c>
      <c r="BJ151" s="83">
        <v>3.6181199999999998</v>
      </c>
      <c r="BL151" s="83" t="s">
        <v>71</v>
      </c>
      <c r="BM151" s="83">
        <v>3.6717900000000001</v>
      </c>
      <c r="BO151" s="83" t="s">
        <v>71</v>
      </c>
      <c r="BP151" s="83">
        <v>3.6915200000000001</v>
      </c>
      <c r="BR151" s="83" t="s">
        <v>71</v>
      </c>
      <c r="BS151" s="83">
        <v>3.8285100000000001</v>
      </c>
      <c r="BU151" s="83" t="s">
        <v>71</v>
      </c>
      <c r="BV151" s="83">
        <v>3.8064100000000001</v>
      </c>
      <c r="BX151" s="83" t="s">
        <v>71</v>
      </c>
      <c r="BY151" s="83">
        <v>3.86626</v>
      </c>
      <c r="CA151" s="83" t="s">
        <v>71</v>
      </c>
      <c r="CB151" s="83">
        <v>3.8884300000000001</v>
      </c>
      <c r="CD151" s="83" t="s">
        <v>71</v>
      </c>
      <c r="CE151" s="83">
        <v>4.0057600000000004</v>
      </c>
      <c r="CG151" s="83" t="s">
        <v>71</v>
      </c>
      <c r="CH151" s="83">
        <v>4.0642300000000002</v>
      </c>
      <c r="CJ151" s="83" t="s">
        <v>71</v>
      </c>
      <c r="CK151" s="83">
        <v>4.0950100000000003</v>
      </c>
      <c r="CM151" s="83" t="s">
        <v>71</v>
      </c>
      <c r="CN151" s="83">
        <v>4.1377199999999998</v>
      </c>
      <c r="CP151" s="83" t="s">
        <v>71</v>
      </c>
      <c r="CQ151" s="83">
        <v>4.1722000000000001</v>
      </c>
      <c r="CS151" s="83" t="s">
        <v>71</v>
      </c>
      <c r="CT151" s="83">
        <v>4.1475799999999996</v>
      </c>
      <c r="CV151" s="83" t="s">
        <v>71</v>
      </c>
      <c r="CW151" s="83">
        <v>4.1864999999999997</v>
      </c>
      <c r="CY151" s="83" t="s">
        <v>71</v>
      </c>
      <c r="CZ151" s="83">
        <v>4.2766200000000003</v>
      </c>
    </row>
    <row r="153" spans="1:104" x14ac:dyDescent="0.2">
      <c r="A153" s="83" t="s">
        <v>70</v>
      </c>
      <c r="B153" s="83">
        <v>0.62287300000000001</v>
      </c>
      <c r="D153" s="83" t="s">
        <v>70</v>
      </c>
      <c r="E153" s="83">
        <v>0.62579499999999999</v>
      </c>
      <c r="G153" s="83" t="s">
        <v>70</v>
      </c>
      <c r="H153" s="83">
        <v>0.62726599999999999</v>
      </c>
      <c r="J153" s="83" t="s">
        <v>70</v>
      </c>
      <c r="K153" s="83">
        <v>0.62237900000000002</v>
      </c>
      <c r="M153" s="83" t="s">
        <v>70</v>
      </c>
      <c r="N153" s="83">
        <v>0.633131</v>
      </c>
      <c r="P153" s="83" t="s">
        <v>70</v>
      </c>
      <c r="Q153" s="83">
        <v>0.62239500000000003</v>
      </c>
      <c r="S153" s="83" t="s">
        <v>70</v>
      </c>
      <c r="T153" s="83">
        <v>0.62678599999999995</v>
      </c>
      <c r="V153" s="83" t="s">
        <v>70</v>
      </c>
      <c r="W153" s="83">
        <v>0.63069299999999995</v>
      </c>
      <c r="Y153" s="83" t="s">
        <v>70</v>
      </c>
      <c r="Z153" s="83">
        <v>0.62580899999999995</v>
      </c>
      <c r="AB153" s="83" t="s">
        <v>70</v>
      </c>
      <c r="AC153" s="83">
        <v>0.62581299999999995</v>
      </c>
      <c r="AE153" s="83" t="s">
        <v>70</v>
      </c>
      <c r="AF153" s="83">
        <v>0.61751500000000004</v>
      </c>
      <c r="AH153" s="83" t="s">
        <v>70</v>
      </c>
      <c r="AI153" s="83">
        <v>0.62239699999999998</v>
      </c>
      <c r="AK153" s="83" t="s">
        <v>70</v>
      </c>
      <c r="AL153" s="83">
        <v>0.63217100000000004</v>
      </c>
      <c r="AN153" s="83" t="s">
        <v>70</v>
      </c>
      <c r="AO153" s="83">
        <v>0.61934800000000001</v>
      </c>
      <c r="AQ153" s="83" t="s">
        <v>70</v>
      </c>
      <c r="AR153" s="83">
        <v>0.61642600000000003</v>
      </c>
      <c r="AT153" s="83" t="s">
        <v>70</v>
      </c>
      <c r="AU153" s="83">
        <v>0.63450600000000001</v>
      </c>
      <c r="AW153" s="83" t="s">
        <v>70</v>
      </c>
      <c r="AX153" s="83">
        <v>0.62669900000000001</v>
      </c>
      <c r="AZ153" s="83" t="s">
        <v>70</v>
      </c>
      <c r="BA153" s="83">
        <v>0.62388600000000005</v>
      </c>
      <c r="BC153" s="83" t="s">
        <v>70</v>
      </c>
      <c r="BD153" s="83">
        <v>0.63122299999999998</v>
      </c>
      <c r="BF153" s="83" t="s">
        <v>70</v>
      </c>
      <c r="BG153" s="83">
        <v>0.62682599999999999</v>
      </c>
      <c r="BI153" s="83" t="s">
        <v>70</v>
      </c>
      <c r="BJ153" s="83">
        <v>0.61706399999999995</v>
      </c>
      <c r="BL153" s="83" t="s">
        <v>70</v>
      </c>
      <c r="BM153" s="83">
        <v>0.61901399999999995</v>
      </c>
      <c r="BO153" s="83" t="s">
        <v>70</v>
      </c>
      <c r="BP153" s="83">
        <v>0.61559900000000001</v>
      </c>
      <c r="BR153" s="83" t="s">
        <v>70</v>
      </c>
      <c r="BS153" s="83">
        <v>0.63220200000000004</v>
      </c>
      <c r="BU153" s="83" t="s">
        <v>70</v>
      </c>
      <c r="BV153" s="83">
        <v>0.62195500000000004</v>
      </c>
      <c r="BX153" s="83" t="s">
        <v>70</v>
      </c>
      <c r="BY153" s="83">
        <v>0.62537200000000004</v>
      </c>
      <c r="CA153" s="83" t="s">
        <v>70</v>
      </c>
      <c r="CB153" s="83">
        <v>0.62342399999999998</v>
      </c>
      <c r="CD153" s="83" t="s">
        <v>70</v>
      </c>
      <c r="CE153" s="83">
        <v>0.63318600000000003</v>
      </c>
      <c r="CG153" s="83" t="s">
        <v>70</v>
      </c>
      <c r="CH153" s="83">
        <v>0.63417100000000004</v>
      </c>
      <c r="CJ153" s="83" t="s">
        <v>70</v>
      </c>
      <c r="CK153" s="83">
        <v>0.63270000000000004</v>
      </c>
      <c r="CM153" s="83" t="s">
        <v>70</v>
      </c>
      <c r="CN153" s="83">
        <v>0.63123799999999997</v>
      </c>
      <c r="CP153" s="83" t="s">
        <v>70</v>
      </c>
      <c r="CQ153" s="83">
        <v>0.63320799999999999</v>
      </c>
      <c r="CS153" s="83" t="s">
        <v>70</v>
      </c>
      <c r="CT153" s="83">
        <v>0.62440799999999996</v>
      </c>
      <c r="CV153" s="83" t="s">
        <v>70</v>
      </c>
      <c r="CW153" s="83">
        <v>0.62587800000000005</v>
      </c>
      <c r="CY153" s="83" t="s">
        <v>70</v>
      </c>
      <c r="CZ153" s="83">
        <v>0.63368800000000003</v>
      </c>
    </row>
    <row r="155" spans="1:104" x14ac:dyDescent="0.2">
      <c r="A155" s="83" t="s">
        <v>63</v>
      </c>
      <c r="B155" s="83">
        <v>125</v>
      </c>
      <c r="D155" s="83" t="s">
        <v>63</v>
      </c>
      <c r="E155" s="83">
        <v>125</v>
      </c>
      <c r="G155" s="83" t="s">
        <v>63</v>
      </c>
      <c r="H155" s="83">
        <v>125</v>
      </c>
      <c r="J155" s="83" t="s">
        <v>63</v>
      </c>
      <c r="K155" s="83">
        <v>125</v>
      </c>
      <c r="M155" s="83" t="s">
        <v>63</v>
      </c>
      <c r="N155" s="83">
        <v>125</v>
      </c>
      <c r="P155" s="83" t="s">
        <v>63</v>
      </c>
      <c r="Q155" s="83">
        <v>125</v>
      </c>
      <c r="S155" s="83" t="s">
        <v>63</v>
      </c>
      <c r="T155" s="83">
        <v>125</v>
      </c>
      <c r="V155" s="83" t="s">
        <v>63</v>
      </c>
      <c r="W155" s="83">
        <v>125</v>
      </c>
      <c r="Y155" s="83" t="s">
        <v>63</v>
      </c>
      <c r="Z155" s="83">
        <v>125</v>
      </c>
      <c r="AB155" s="83" t="s">
        <v>63</v>
      </c>
      <c r="AC155" s="83">
        <v>125</v>
      </c>
      <c r="AE155" s="83" t="s">
        <v>63</v>
      </c>
      <c r="AF155" s="83">
        <v>125</v>
      </c>
      <c r="AH155" s="83" t="s">
        <v>63</v>
      </c>
      <c r="AI155" s="83">
        <v>125</v>
      </c>
      <c r="AK155" s="83" t="s">
        <v>63</v>
      </c>
      <c r="AL155" s="83">
        <v>125</v>
      </c>
      <c r="AN155" s="83" t="s">
        <v>63</v>
      </c>
      <c r="AO155" s="83">
        <v>125</v>
      </c>
      <c r="AQ155" s="83" t="s">
        <v>63</v>
      </c>
      <c r="AR155" s="83">
        <v>125</v>
      </c>
      <c r="AT155" s="83" t="s">
        <v>63</v>
      </c>
      <c r="AU155" s="83">
        <v>125</v>
      </c>
      <c r="AW155" s="83" t="s">
        <v>63</v>
      </c>
      <c r="AX155" s="83">
        <v>125</v>
      </c>
      <c r="AZ155" s="83" t="s">
        <v>63</v>
      </c>
      <c r="BA155" s="83">
        <v>125</v>
      </c>
      <c r="BC155" s="83" t="s">
        <v>63</v>
      </c>
      <c r="BD155" s="83">
        <v>125</v>
      </c>
      <c r="BF155" s="83" t="s">
        <v>63</v>
      </c>
      <c r="BG155" s="83">
        <v>125</v>
      </c>
      <c r="BI155" s="83" t="s">
        <v>63</v>
      </c>
      <c r="BJ155" s="83">
        <v>125</v>
      </c>
      <c r="BL155" s="83" t="s">
        <v>63</v>
      </c>
      <c r="BM155" s="83">
        <v>125</v>
      </c>
      <c r="BO155" s="83" t="s">
        <v>63</v>
      </c>
      <c r="BP155" s="83">
        <v>125</v>
      </c>
      <c r="BR155" s="83" t="s">
        <v>63</v>
      </c>
      <c r="BS155" s="83">
        <v>125</v>
      </c>
      <c r="BU155" s="83" t="s">
        <v>63</v>
      </c>
      <c r="BV155" s="83">
        <v>125</v>
      </c>
      <c r="BX155" s="83" t="s">
        <v>63</v>
      </c>
      <c r="BY155" s="83">
        <v>125</v>
      </c>
      <c r="CA155" s="83" t="s">
        <v>63</v>
      </c>
      <c r="CB155" s="83">
        <v>125</v>
      </c>
      <c r="CD155" s="83" t="s">
        <v>63</v>
      </c>
      <c r="CE155" s="83">
        <v>125</v>
      </c>
      <c r="CG155" s="83" t="s">
        <v>63</v>
      </c>
      <c r="CH155" s="83">
        <v>125</v>
      </c>
      <c r="CJ155" s="83" t="s">
        <v>63</v>
      </c>
      <c r="CK155" s="83">
        <v>125</v>
      </c>
      <c r="CM155" s="83" t="s">
        <v>63</v>
      </c>
      <c r="CN155" s="83">
        <v>125</v>
      </c>
      <c r="CP155" s="83" t="s">
        <v>63</v>
      </c>
      <c r="CQ155" s="83">
        <v>125</v>
      </c>
      <c r="CS155" s="83" t="s">
        <v>63</v>
      </c>
      <c r="CT155" s="83">
        <v>125</v>
      </c>
      <c r="CV155" s="83" t="s">
        <v>63</v>
      </c>
      <c r="CW155" s="83">
        <v>125</v>
      </c>
      <c r="CY155" s="83" t="s">
        <v>63</v>
      </c>
      <c r="CZ155" s="83">
        <v>125</v>
      </c>
    </row>
    <row r="157" spans="1:104" x14ac:dyDescent="0.2">
      <c r="A157" s="83" t="s">
        <v>61</v>
      </c>
      <c r="B157" s="83">
        <v>12500</v>
      </c>
      <c r="D157" s="83" t="s">
        <v>61</v>
      </c>
      <c r="E157" s="83">
        <v>12500</v>
      </c>
      <c r="G157" s="83" t="s">
        <v>61</v>
      </c>
      <c r="H157" s="83">
        <v>12500</v>
      </c>
      <c r="J157" s="83" t="s">
        <v>61</v>
      </c>
      <c r="K157" s="83">
        <v>12500</v>
      </c>
      <c r="M157" s="83" t="s">
        <v>61</v>
      </c>
      <c r="N157" s="83">
        <v>12500</v>
      </c>
      <c r="P157" s="83" t="s">
        <v>61</v>
      </c>
      <c r="Q157" s="83">
        <v>12500</v>
      </c>
      <c r="S157" s="83" t="s">
        <v>61</v>
      </c>
      <c r="T157" s="83">
        <v>12500</v>
      </c>
      <c r="V157" s="83" t="s">
        <v>61</v>
      </c>
      <c r="W157" s="83">
        <v>12500</v>
      </c>
      <c r="Y157" s="83" t="s">
        <v>61</v>
      </c>
      <c r="Z157" s="83">
        <v>12500</v>
      </c>
      <c r="AB157" s="83" t="s">
        <v>61</v>
      </c>
      <c r="AC157" s="83">
        <v>12500</v>
      </c>
      <c r="AE157" s="83" t="s">
        <v>61</v>
      </c>
      <c r="AF157" s="83">
        <v>12500</v>
      </c>
      <c r="AH157" s="83" t="s">
        <v>61</v>
      </c>
      <c r="AI157" s="83">
        <v>12500</v>
      </c>
      <c r="AK157" s="83" t="s">
        <v>61</v>
      </c>
      <c r="AL157" s="83">
        <v>12500</v>
      </c>
      <c r="AN157" s="83" t="s">
        <v>61</v>
      </c>
      <c r="AO157" s="83">
        <v>12500</v>
      </c>
      <c r="AQ157" s="83" t="s">
        <v>61</v>
      </c>
      <c r="AR157" s="83">
        <v>12500</v>
      </c>
      <c r="AT157" s="83" t="s">
        <v>61</v>
      </c>
      <c r="AU157" s="83">
        <v>12500</v>
      </c>
      <c r="AW157" s="83" t="s">
        <v>61</v>
      </c>
      <c r="AX157" s="83">
        <v>12500</v>
      </c>
      <c r="AZ157" s="83" t="s">
        <v>61</v>
      </c>
      <c r="BA157" s="83">
        <v>12500</v>
      </c>
      <c r="BC157" s="83" t="s">
        <v>61</v>
      </c>
      <c r="BD157" s="83">
        <v>12500</v>
      </c>
      <c r="BF157" s="83" t="s">
        <v>61</v>
      </c>
      <c r="BG157" s="83">
        <v>12500</v>
      </c>
      <c r="BI157" s="83" t="s">
        <v>61</v>
      </c>
      <c r="BJ157" s="83">
        <v>12500</v>
      </c>
      <c r="BL157" s="83" t="s">
        <v>61</v>
      </c>
      <c r="BM157" s="83">
        <v>12500</v>
      </c>
      <c r="BO157" s="83" t="s">
        <v>61</v>
      </c>
      <c r="BP157" s="83">
        <v>12500</v>
      </c>
      <c r="BR157" s="83" t="s">
        <v>61</v>
      </c>
      <c r="BS157" s="83">
        <v>12500</v>
      </c>
      <c r="BU157" s="83" t="s">
        <v>61</v>
      </c>
      <c r="BV157" s="83">
        <v>12500</v>
      </c>
      <c r="BX157" s="83" t="s">
        <v>61</v>
      </c>
      <c r="BY157" s="83">
        <v>12500</v>
      </c>
      <c r="CA157" s="83" t="s">
        <v>61</v>
      </c>
      <c r="CB157" s="83">
        <v>12500</v>
      </c>
      <c r="CD157" s="83" t="s">
        <v>61</v>
      </c>
      <c r="CE157" s="83">
        <v>12500</v>
      </c>
      <c r="CG157" s="83" t="s">
        <v>61</v>
      </c>
      <c r="CH157" s="83">
        <v>12500</v>
      </c>
      <c r="CJ157" s="83" t="s">
        <v>61</v>
      </c>
      <c r="CK157" s="83">
        <v>12500</v>
      </c>
      <c r="CM157" s="83" t="s">
        <v>61</v>
      </c>
      <c r="CN157" s="83">
        <v>12500</v>
      </c>
      <c r="CP157" s="83" t="s">
        <v>61</v>
      </c>
      <c r="CQ157" s="83">
        <v>12500</v>
      </c>
      <c r="CS157" s="83" t="s">
        <v>61</v>
      </c>
      <c r="CT157" s="83">
        <v>12500</v>
      </c>
      <c r="CV157" s="83" t="s">
        <v>61</v>
      </c>
      <c r="CW157" s="83">
        <v>12500</v>
      </c>
      <c r="CY157" s="83" t="s">
        <v>61</v>
      </c>
      <c r="CZ157" s="83">
        <v>12500</v>
      </c>
    </row>
    <row r="159" spans="1:104" x14ac:dyDescent="0.2">
      <c r="A159" s="83" t="s">
        <v>58</v>
      </c>
      <c r="B159" s="83">
        <v>0.2</v>
      </c>
      <c r="D159" s="83" t="s">
        <v>58</v>
      </c>
      <c r="E159" s="83">
        <v>0.2</v>
      </c>
      <c r="G159" s="83" t="s">
        <v>58</v>
      </c>
      <c r="H159" s="83">
        <v>0.2</v>
      </c>
      <c r="J159" s="83" t="s">
        <v>58</v>
      </c>
      <c r="K159" s="83">
        <v>0.2</v>
      </c>
      <c r="M159" s="83" t="s">
        <v>58</v>
      </c>
      <c r="N159" s="83">
        <v>0.2</v>
      </c>
      <c r="P159" s="83" t="s">
        <v>58</v>
      </c>
      <c r="Q159" s="83">
        <v>0.2</v>
      </c>
      <c r="S159" s="83" t="s">
        <v>58</v>
      </c>
      <c r="T159" s="83">
        <v>0.2</v>
      </c>
      <c r="V159" s="83" t="s">
        <v>58</v>
      </c>
      <c r="W159" s="83">
        <v>0.2</v>
      </c>
      <c r="Y159" s="83" t="s">
        <v>58</v>
      </c>
      <c r="Z159" s="83">
        <v>0.2</v>
      </c>
      <c r="AB159" s="83" t="s">
        <v>58</v>
      </c>
      <c r="AC159" s="83">
        <v>0.2</v>
      </c>
      <c r="AE159" s="83" t="s">
        <v>58</v>
      </c>
      <c r="AF159" s="83">
        <v>0.2</v>
      </c>
      <c r="AH159" s="83" t="s">
        <v>58</v>
      </c>
      <c r="AI159" s="83">
        <v>0.2</v>
      </c>
      <c r="AK159" s="83" t="s">
        <v>58</v>
      </c>
      <c r="AL159" s="83">
        <v>0.2</v>
      </c>
      <c r="AN159" s="83" t="s">
        <v>58</v>
      </c>
      <c r="AO159" s="83">
        <v>0.2</v>
      </c>
      <c r="AQ159" s="83" t="s">
        <v>58</v>
      </c>
      <c r="AR159" s="83">
        <v>0.2</v>
      </c>
      <c r="AT159" s="83" t="s">
        <v>58</v>
      </c>
      <c r="AU159" s="83">
        <v>0.2</v>
      </c>
      <c r="AW159" s="83" t="s">
        <v>58</v>
      </c>
      <c r="AX159" s="83">
        <v>0.2</v>
      </c>
      <c r="AZ159" s="83" t="s">
        <v>58</v>
      </c>
      <c r="BA159" s="83">
        <v>0.2</v>
      </c>
      <c r="BC159" s="83" t="s">
        <v>58</v>
      </c>
      <c r="BD159" s="83">
        <v>0.2</v>
      </c>
      <c r="BF159" s="83" t="s">
        <v>58</v>
      </c>
      <c r="BG159" s="83">
        <v>0.2</v>
      </c>
      <c r="BI159" s="83" t="s">
        <v>58</v>
      </c>
      <c r="BJ159" s="83">
        <v>0.2</v>
      </c>
      <c r="BL159" s="83" t="s">
        <v>58</v>
      </c>
      <c r="BM159" s="83">
        <v>0.2</v>
      </c>
      <c r="BO159" s="83" t="s">
        <v>58</v>
      </c>
      <c r="BP159" s="83">
        <v>0.2</v>
      </c>
      <c r="BR159" s="83" t="s">
        <v>58</v>
      </c>
      <c r="BS159" s="83">
        <v>0.2</v>
      </c>
      <c r="BU159" s="83" t="s">
        <v>58</v>
      </c>
      <c r="BV159" s="83">
        <v>0.2</v>
      </c>
      <c r="BX159" s="83" t="s">
        <v>58</v>
      </c>
      <c r="BY159" s="83">
        <v>0.2</v>
      </c>
      <c r="CA159" s="83" t="s">
        <v>58</v>
      </c>
      <c r="CB159" s="83">
        <v>0.2</v>
      </c>
      <c r="CD159" s="83" t="s">
        <v>58</v>
      </c>
      <c r="CE159" s="83">
        <v>0.2</v>
      </c>
      <c r="CG159" s="83" t="s">
        <v>58</v>
      </c>
      <c r="CH159" s="83">
        <v>0.2</v>
      </c>
      <c r="CJ159" s="83" t="s">
        <v>58</v>
      </c>
      <c r="CK159" s="83">
        <v>0.2</v>
      </c>
      <c r="CM159" s="83" t="s">
        <v>58</v>
      </c>
      <c r="CN159" s="83">
        <v>0.2</v>
      </c>
      <c r="CP159" s="83" t="s">
        <v>58</v>
      </c>
      <c r="CQ159" s="83">
        <v>0.2</v>
      </c>
      <c r="CS159" s="83" t="s">
        <v>58</v>
      </c>
      <c r="CT159" s="83">
        <v>0.2</v>
      </c>
      <c r="CV159" s="83" t="s">
        <v>58</v>
      </c>
      <c r="CW159" s="83">
        <v>0.2</v>
      </c>
      <c r="CY159" s="83" t="s">
        <v>58</v>
      </c>
      <c r="CZ159" s="83">
        <v>0.2</v>
      </c>
    </row>
    <row r="161" spans="1:104" x14ac:dyDescent="0.2">
      <c r="A161" s="83" t="s">
        <v>59</v>
      </c>
      <c r="B161" s="83">
        <v>0.02</v>
      </c>
      <c r="D161" s="83" t="s">
        <v>59</v>
      </c>
      <c r="E161" s="83">
        <v>0.02</v>
      </c>
      <c r="G161" s="83" t="s">
        <v>59</v>
      </c>
      <c r="H161" s="83">
        <v>0.02</v>
      </c>
      <c r="J161" s="83" t="s">
        <v>59</v>
      </c>
      <c r="K161" s="83">
        <v>0.02</v>
      </c>
      <c r="M161" s="83" t="s">
        <v>59</v>
      </c>
      <c r="N161" s="83">
        <v>0.02</v>
      </c>
      <c r="P161" s="83" t="s">
        <v>59</v>
      </c>
      <c r="Q161" s="83">
        <v>0.02</v>
      </c>
      <c r="S161" s="83" t="s">
        <v>59</v>
      </c>
      <c r="T161" s="83">
        <v>0.02</v>
      </c>
      <c r="V161" s="83" t="s">
        <v>59</v>
      </c>
      <c r="W161" s="83">
        <v>0.02</v>
      </c>
      <c r="Y161" s="83" t="s">
        <v>59</v>
      </c>
      <c r="Z161" s="83">
        <v>0.02</v>
      </c>
      <c r="AB161" s="83" t="s">
        <v>59</v>
      </c>
      <c r="AC161" s="83">
        <v>0.02</v>
      </c>
      <c r="AE161" s="83" t="s">
        <v>59</v>
      </c>
      <c r="AF161" s="83">
        <v>0.02</v>
      </c>
      <c r="AH161" s="83" t="s">
        <v>59</v>
      </c>
      <c r="AI161" s="83">
        <v>0.02</v>
      </c>
      <c r="AK161" s="83" t="s">
        <v>59</v>
      </c>
      <c r="AL161" s="83">
        <v>0.02</v>
      </c>
      <c r="AN161" s="83" t="s">
        <v>59</v>
      </c>
      <c r="AO161" s="83">
        <v>0.02</v>
      </c>
      <c r="AQ161" s="83" t="s">
        <v>59</v>
      </c>
      <c r="AR161" s="83">
        <v>0.02</v>
      </c>
      <c r="AT161" s="83" t="s">
        <v>59</v>
      </c>
      <c r="AU161" s="83">
        <v>0.02</v>
      </c>
      <c r="AW161" s="83" t="s">
        <v>59</v>
      </c>
      <c r="AX161" s="83">
        <v>0.02</v>
      </c>
      <c r="AZ161" s="83" t="s">
        <v>59</v>
      </c>
      <c r="BA161" s="83">
        <v>0.02</v>
      </c>
      <c r="BC161" s="83" t="s">
        <v>59</v>
      </c>
      <c r="BD161" s="83">
        <v>0.02</v>
      </c>
      <c r="BF161" s="83" t="s">
        <v>59</v>
      </c>
      <c r="BG161" s="83">
        <v>0.02</v>
      </c>
      <c r="BI161" s="83" t="s">
        <v>59</v>
      </c>
      <c r="BJ161" s="83">
        <v>0.02</v>
      </c>
      <c r="BL161" s="83" t="s">
        <v>59</v>
      </c>
      <c r="BM161" s="83">
        <v>0.02</v>
      </c>
      <c r="BO161" s="83" t="s">
        <v>59</v>
      </c>
      <c r="BP161" s="83">
        <v>0.02</v>
      </c>
      <c r="BR161" s="83" t="s">
        <v>59</v>
      </c>
      <c r="BS161" s="83">
        <v>0.02</v>
      </c>
      <c r="BU161" s="83" t="s">
        <v>59</v>
      </c>
      <c r="BV161" s="83">
        <v>0.02</v>
      </c>
      <c r="BX161" s="83" t="s">
        <v>59</v>
      </c>
      <c r="BY161" s="83">
        <v>0.02</v>
      </c>
      <c r="CA161" s="83" t="s">
        <v>59</v>
      </c>
      <c r="CB161" s="83">
        <v>0.02</v>
      </c>
      <c r="CD161" s="83" t="s">
        <v>59</v>
      </c>
      <c r="CE161" s="83">
        <v>0.02</v>
      </c>
      <c r="CG161" s="83" t="s">
        <v>59</v>
      </c>
      <c r="CH161" s="83">
        <v>0.02</v>
      </c>
      <c r="CJ161" s="83" t="s">
        <v>59</v>
      </c>
      <c r="CK161" s="83">
        <v>0.02</v>
      </c>
      <c r="CM161" s="83" t="s">
        <v>59</v>
      </c>
      <c r="CN161" s="83">
        <v>0.02</v>
      </c>
      <c r="CP161" s="83" t="s">
        <v>59</v>
      </c>
      <c r="CQ161" s="83">
        <v>0.02</v>
      </c>
      <c r="CS161" s="83" t="s">
        <v>59</v>
      </c>
      <c r="CT161" s="83">
        <v>0.02</v>
      </c>
      <c r="CV161" s="83" t="s">
        <v>59</v>
      </c>
      <c r="CW161" s="83">
        <v>0.02</v>
      </c>
      <c r="CY161" s="83" t="s">
        <v>59</v>
      </c>
      <c r="CZ161" s="83">
        <v>0.02</v>
      </c>
    </row>
    <row r="163" spans="1:104" x14ac:dyDescent="0.2">
      <c r="A163" s="83" t="s">
        <v>60</v>
      </c>
      <c r="B163" s="83">
        <v>1000</v>
      </c>
      <c r="D163" s="83" t="s">
        <v>60</v>
      </c>
      <c r="E163" s="83">
        <v>1000</v>
      </c>
      <c r="G163" s="83" t="s">
        <v>60</v>
      </c>
      <c r="H163" s="83">
        <v>1000</v>
      </c>
      <c r="J163" s="83" t="s">
        <v>60</v>
      </c>
      <c r="K163" s="83">
        <v>1000</v>
      </c>
      <c r="M163" s="83" t="s">
        <v>60</v>
      </c>
      <c r="N163" s="83">
        <v>1000</v>
      </c>
      <c r="P163" s="83" t="s">
        <v>60</v>
      </c>
      <c r="Q163" s="83">
        <v>1000</v>
      </c>
      <c r="S163" s="83" t="s">
        <v>60</v>
      </c>
      <c r="T163" s="83">
        <v>1000</v>
      </c>
      <c r="V163" s="83" t="s">
        <v>60</v>
      </c>
      <c r="W163" s="83">
        <v>1000</v>
      </c>
      <c r="Y163" s="83" t="s">
        <v>60</v>
      </c>
      <c r="Z163" s="83">
        <v>1000</v>
      </c>
      <c r="AB163" s="83" t="s">
        <v>60</v>
      </c>
      <c r="AC163" s="83">
        <v>1000</v>
      </c>
      <c r="AE163" s="83" t="s">
        <v>60</v>
      </c>
      <c r="AF163" s="83">
        <v>1000</v>
      </c>
      <c r="AH163" s="83" t="s">
        <v>60</v>
      </c>
      <c r="AI163" s="83">
        <v>1000</v>
      </c>
      <c r="AK163" s="83" t="s">
        <v>60</v>
      </c>
      <c r="AL163" s="83">
        <v>1000</v>
      </c>
      <c r="AN163" s="83" t="s">
        <v>60</v>
      </c>
      <c r="AO163" s="83">
        <v>1000</v>
      </c>
      <c r="AQ163" s="83" t="s">
        <v>60</v>
      </c>
      <c r="AR163" s="83">
        <v>1000</v>
      </c>
      <c r="AT163" s="83" t="s">
        <v>60</v>
      </c>
      <c r="AU163" s="83">
        <v>1000</v>
      </c>
      <c r="AW163" s="83" t="s">
        <v>60</v>
      </c>
      <c r="AX163" s="83">
        <v>1000</v>
      </c>
      <c r="AZ163" s="83" t="s">
        <v>60</v>
      </c>
      <c r="BA163" s="83">
        <v>1000</v>
      </c>
      <c r="BC163" s="83" t="s">
        <v>60</v>
      </c>
      <c r="BD163" s="83">
        <v>1000</v>
      </c>
      <c r="BF163" s="83" t="s">
        <v>60</v>
      </c>
      <c r="BG163" s="83">
        <v>1000</v>
      </c>
      <c r="BI163" s="83" t="s">
        <v>60</v>
      </c>
      <c r="BJ163" s="83">
        <v>1000</v>
      </c>
      <c r="BL163" s="83" t="s">
        <v>60</v>
      </c>
      <c r="BM163" s="83">
        <v>1000</v>
      </c>
      <c r="BO163" s="83" t="s">
        <v>60</v>
      </c>
      <c r="BP163" s="83">
        <v>1000</v>
      </c>
      <c r="BR163" s="83" t="s">
        <v>60</v>
      </c>
      <c r="BS163" s="83">
        <v>1000</v>
      </c>
      <c r="BU163" s="83" t="s">
        <v>60</v>
      </c>
      <c r="BV163" s="83">
        <v>1000</v>
      </c>
      <c r="BX163" s="83" t="s">
        <v>60</v>
      </c>
      <c r="BY163" s="83">
        <v>1000</v>
      </c>
      <c r="CA163" s="83" t="s">
        <v>60</v>
      </c>
      <c r="CB163" s="83">
        <v>1000</v>
      </c>
      <c r="CD163" s="83" t="s">
        <v>60</v>
      </c>
      <c r="CE163" s="83">
        <v>1000</v>
      </c>
      <c r="CG163" s="83" t="s">
        <v>60</v>
      </c>
      <c r="CH163" s="83">
        <v>1000</v>
      </c>
      <c r="CJ163" s="83" t="s">
        <v>60</v>
      </c>
      <c r="CK163" s="83">
        <v>1000</v>
      </c>
      <c r="CM163" s="83" t="s">
        <v>60</v>
      </c>
      <c r="CN163" s="83">
        <v>1000</v>
      </c>
      <c r="CP163" s="83" t="s">
        <v>60</v>
      </c>
      <c r="CQ163" s="83">
        <v>1000</v>
      </c>
      <c r="CS163" s="83" t="s">
        <v>60</v>
      </c>
      <c r="CT163" s="83">
        <v>1000</v>
      </c>
      <c r="CV163" s="83" t="s">
        <v>60</v>
      </c>
      <c r="CW163" s="83">
        <v>1000</v>
      </c>
      <c r="CY163" s="83" t="s">
        <v>60</v>
      </c>
      <c r="CZ163" s="83">
        <v>1000</v>
      </c>
    </row>
    <row r="165" spans="1:104" x14ac:dyDescent="0.2">
      <c r="A165" s="83" t="s">
        <v>62</v>
      </c>
      <c r="B165" s="83">
        <v>0.05</v>
      </c>
      <c r="D165" s="83" t="s">
        <v>62</v>
      </c>
      <c r="E165" s="83">
        <v>0.05</v>
      </c>
      <c r="G165" s="83" t="s">
        <v>62</v>
      </c>
      <c r="H165" s="83">
        <v>0.05</v>
      </c>
      <c r="J165" s="83" t="s">
        <v>62</v>
      </c>
      <c r="K165" s="83">
        <v>0.05</v>
      </c>
      <c r="M165" s="83" t="s">
        <v>62</v>
      </c>
      <c r="N165" s="83">
        <v>0.05</v>
      </c>
      <c r="P165" s="83" t="s">
        <v>62</v>
      </c>
      <c r="Q165" s="83">
        <v>0.05</v>
      </c>
      <c r="S165" s="83" t="s">
        <v>62</v>
      </c>
      <c r="T165" s="83">
        <v>0.05</v>
      </c>
      <c r="V165" s="83" t="s">
        <v>62</v>
      </c>
      <c r="W165" s="83">
        <v>0.05</v>
      </c>
      <c r="Y165" s="83" t="s">
        <v>62</v>
      </c>
      <c r="Z165" s="83">
        <v>0.05</v>
      </c>
      <c r="AB165" s="83" t="s">
        <v>62</v>
      </c>
      <c r="AC165" s="83">
        <v>0.05</v>
      </c>
      <c r="AE165" s="83" t="s">
        <v>62</v>
      </c>
      <c r="AF165" s="83">
        <v>0.05</v>
      </c>
      <c r="AH165" s="83" t="s">
        <v>62</v>
      </c>
      <c r="AI165" s="83">
        <v>0.05</v>
      </c>
      <c r="AK165" s="83" t="s">
        <v>62</v>
      </c>
      <c r="AL165" s="83">
        <v>0.05</v>
      </c>
      <c r="AN165" s="83" t="s">
        <v>62</v>
      </c>
      <c r="AO165" s="83">
        <v>0.05</v>
      </c>
      <c r="AQ165" s="83" t="s">
        <v>62</v>
      </c>
      <c r="AR165" s="83">
        <v>0.05</v>
      </c>
      <c r="AT165" s="83" t="s">
        <v>62</v>
      </c>
      <c r="AU165" s="83">
        <v>0.05</v>
      </c>
      <c r="AW165" s="83" t="s">
        <v>62</v>
      </c>
      <c r="AX165" s="83">
        <v>0.05</v>
      </c>
      <c r="AZ165" s="83" t="s">
        <v>62</v>
      </c>
      <c r="BA165" s="83">
        <v>0.05</v>
      </c>
      <c r="BC165" s="83" t="s">
        <v>62</v>
      </c>
      <c r="BD165" s="83">
        <v>0.05</v>
      </c>
      <c r="BF165" s="83" t="s">
        <v>62</v>
      </c>
      <c r="BG165" s="83">
        <v>0.05</v>
      </c>
      <c r="BI165" s="83" t="s">
        <v>62</v>
      </c>
      <c r="BJ165" s="83">
        <v>0.05</v>
      </c>
      <c r="BL165" s="83" t="s">
        <v>62</v>
      </c>
      <c r="BM165" s="83">
        <v>0.05</v>
      </c>
      <c r="BO165" s="83" t="s">
        <v>62</v>
      </c>
      <c r="BP165" s="83">
        <v>0.05</v>
      </c>
      <c r="BR165" s="83" t="s">
        <v>62</v>
      </c>
      <c r="BS165" s="83">
        <v>0.05</v>
      </c>
      <c r="BU165" s="83" t="s">
        <v>62</v>
      </c>
      <c r="BV165" s="83">
        <v>0.05</v>
      </c>
      <c r="BX165" s="83" t="s">
        <v>62</v>
      </c>
      <c r="BY165" s="83">
        <v>0.05</v>
      </c>
      <c r="CA165" s="83" t="s">
        <v>62</v>
      </c>
      <c r="CB165" s="83">
        <v>0.05</v>
      </c>
      <c r="CD165" s="83" t="s">
        <v>62</v>
      </c>
      <c r="CE165" s="83">
        <v>0.05</v>
      </c>
      <c r="CG165" s="83" t="s">
        <v>62</v>
      </c>
      <c r="CH165" s="83">
        <v>0.05</v>
      </c>
      <c r="CJ165" s="83" t="s">
        <v>62</v>
      </c>
      <c r="CK165" s="83">
        <v>0.05</v>
      </c>
      <c r="CM165" s="83" t="s">
        <v>62</v>
      </c>
      <c r="CN165" s="83">
        <v>0.05</v>
      </c>
      <c r="CP165" s="83" t="s">
        <v>62</v>
      </c>
      <c r="CQ165" s="83">
        <v>0.05</v>
      </c>
      <c r="CS165" s="83" t="s">
        <v>62</v>
      </c>
      <c r="CT165" s="83">
        <v>0.05</v>
      </c>
      <c r="CV165" s="83" t="s">
        <v>62</v>
      </c>
      <c r="CW165" s="83">
        <v>0.05</v>
      </c>
      <c r="CY165" s="83" t="s">
        <v>62</v>
      </c>
      <c r="CZ165" s="83">
        <v>0.05</v>
      </c>
    </row>
    <row r="167" spans="1:104" x14ac:dyDescent="0.2">
      <c r="A167" s="83" t="s">
        <v>64</v>
      </c>
      <c r="B167" s="83">
        <v>-0.24995500000000001</v>
      </c>
      <c r="D167" s="83" t="s">
        <v>64</v>
      </c>
      <c r="E167" s="83">
        <v>-0.23440900000000001</v>
      </c>
      <c r="G167" s="83" t="s">
        <v>64</v>
      </c>
      <c r="H167" s="83">
        <v>-0.224492</v>
      </c>
      <c r="J167" s="83" t="s">
        <v>64</v>
      </c>
      <c r="K167" s="83">
        <v>-0.21354899999999999</v>
      </c>
      <c r="M167" s="83" t="s">
        <v>64</v>
      </c>
      <c r="N167" s="83">
        <v>-0.205174</v>
      </c>
      <c r="P167" s="83" t="s">
        <v>64</v>
      </c>
      <c r="Q167" s="83">
        <v>-0.19824600000000001</v>
      </c>
      <c r="S167" s="83" t="s">
        <v>64</v>
      </c>
      <c r="T167" s="83">
        <v>-0.19209300000000001</v>
      </c>
      <c r="V167" s="83" t="s">
        <v>64</v>
      </c>
      <c r="W167" s="83">
        <v>-0.187915</v>
      </c>
      <c r="Y167" s="83" t="s">
        <v>64</v>
      </c>
      <c r="Z167" s="83">
        <v>-0.185692</v>
      </c>
      <c r="AB167" s="83" t="s">
        <v>64</v>
      </c>
      <c r="AC167" s="83">
        <v>-0.18587200000000001</v>
      </c>
      <c r="AE167" s="83" t="s">
        <v>64</v>
      </c>
      <c r="AF167" s="83">
        <v>-0.187363</v>
      </c>
      <c r="AH167" s="83" t="s">
        <v>64</v>
      </c>
      <c r="AI167" s="83">
        <v>-0.190026</v>
      </c>
      <c r="AK167" s="83" t="s">
        <v>64</v>
      </c>
      <c r="AL167" s="83">
        <v>-0.19439899999999999</v>
      </c>
      <c r="AN167" s="83" t="s">
        <v>64</v>
      </c>
      <c r="AO167" s="83">
        <v>-0.206564</v>
      </c>
      <c r="AQ167" s="83" t="s">
        <v>64</v>
      </c>
      <c r="AR167" s="83">
        <v>-0.21387800000000001</v>
      </c>
      <c r="AT167" s="83" t="s">
        <v>64</v>
      </c>
      <c r="AU167" s="83">
        <v>-0.22131899999999999</v>
      </c>
      <c r="AW167" s="83" t="s">
        <v>64</v>
      </c>
      <c r="AX167" s="83">
        <v>-0.22984599999999999</v>
      </c>
      <c r="AZ167" s="83" t="s">
        <v>64</v>
      </c>
      <c r="BA167" s="83">
        <v>-0.23402899999999999</v>
      </c>
      <c r="BC167" s="83" t="s">
        <v>64</v>
      </c>
      <c r="BD167" s="83">
        <v>-0.24454799999999999</v>
      </c>
      <c r="BF167" s="83" t="s">
        <v>64</v>
      </c>
      <c r="BG167" s="83">
        <v>-0.258133</v>
      </c>
      <c r="BI167" s="83" t="s">
        <v>64</v>
      </c>
      <c r="BJ167" s="83">
        <v>-0.26979700000000001</v>
      </c>
      <c r="BL167" s="83" t="s">
        <v>64</v>
      </c>
      <c r="BM167" s="83">
        <v>-0.28410600000000003</v>
      </c>
      <c r="BO167" s="83" t="s">
        <v>64</v>
      </c>
      <c r="BP167" s="83">
        <v>-0.29821900000000001</v>
      </c>
      <c r="BR167" s="83" t="s">
        <v>64</v>
      </c>
      <c r="BS167" s="83">
        <v>-0.31401600000000002</v>
      </c>
      <c r="BU167" s="83" t="s">
        <v>64</v>
      </c>
      <c r="BV167" s="83">
        <v>-0.33128000000000002</v>
      </c>
      <c r="BX167" s="83" t="s">
        <v>64</v>
      </c>
      <c r="BY167" s="83">
        <v>-0.34736600000000001</v>
      </c>
      <c r="CA167" s="83" t="s">
        <v>64</v>
      </c>
      <c r="CB167" s="83">
        <v>-0.366645</v>
      </c>
      <c r="CD167" s="83" t="s">
        <v>64</v>
      </c>
      <c r="CE167" s="83">
        <v>-0.38609599999999999</v>
      </c>
      <c r="CG167" s="83" t="s">
        <v>64</v>
      </c>
      <c r="CH167" s="83">
        <v>-0.40706100000000001</v>
      </c>
      <c r="CJ167" s="83" t="s">
        <v>64</v>
      </c>
      <c r="CK167" s="83">
        <v>-0.42893500000000001</v>
      </c>
      <c r="CM167" s="83" t="s">
        <v>64</v>
      </c>
      <c r="CN167" s="83">
        <v>-0.45060899999999998</v>
      </c>
      <c r="CP167" s="83" t="s">
        <v>64</v>
      </c>
      <c r="CQ167" s="83">
        <v>-0.47388000000000002</v>
      </c>
      <c r="CS167" s="83" t="s">
        <v>64</v>
      </c>
      <c r="CT167" s="83">
        <v>-0.49788500000000002</v>
      </c>
      <c r="CV167" s="83" t="s">
        <v>64</v>
      </c>
      <c r="CW167" s="83">
        <v>-0.52247100000000002</v>
      </c>
      <c r="CY167" s="83" t="s">
        <v>64</v>
      </c>
      <c r="CZ167" s="83">
        <v>-0.54605999999999999</v>
      </c>
    </row>
    <row r="169" spans="1:104" x14ac:dyDescent="0.2">
      <c r="A169" s="83" t="s">
        <v>76</v>
      </c>
      <c r="B169" s="83" t="s">
        <v>131</v>
      </c>
      <c r="D169" s="83" t="s">
        <v>76</v>
      </c>
      <c r="E169" s="83" t="s">
        <v>131</v>
      </c>
      <c r="G169" s="83" t="s">
        <v>76</v>
      </c>
      <c r="H169" s="83" t="s">
        <v>131</v>
      </c>
      <c r="J169" s="83" t="s">
        <v>76</v>
      </c>
      <c r="K169" s="83" t="s">
        <v>131</v>
      </c>
      <c r="M169" s="83" t="s">
        <v>76</v>
      </c>
      <c r="N169" s="83" t="s">
        <v>131</v>
      </c>
      <c r="P169" s="83" t="s">
        <v>76</v>
      </c>
      <c r="Q169" s="83" t="s">
        <v>131</v>
      </c>
      <c r="S169" s="83" t="s">
        <v>76</v>
      </c>
      <c r="T169" s="83" t="s">
        <v>131</v>
      </c>
      <c r="V169" s="83" t="s">
        <v>76</v>
      </c>
      <c r="W169" s="83" t="s">
        <v>131</v>
      </c>
      <c r="Y169" s="83" t="s">
        <v>76</v>
      </c>
      <c r="Z169" s="83" t="s">
        <v>131</v>
      </c>
      <c r="AB169" s="83" t="s">
        <v>76</v>
      </c>
      <c r="AC169" s="83" t="s">
        <v>131</v>
      </c>
      <c r="AE169" s="83" t="s">
        <v>76</v>
      </c>
      <c r="AF169" s="83" t="s">
        <v>131</v>
      </c>
      <c r="AH169" s="83" t="s">
        <v>76</v>
      </c>
      <c r="AI169" s="83" t="s">
        <v>131</v>
      </c>
      <c r="AK169" s="83" t="s">
        <v>76</v>
      </c>
      <c r="AL169" s="83" t="s">
        <v>131</v>
      </c>
      <c r="AN169" s="83" t="s">
        <v>76</v>
      </c>
      <c r="AO169" s="83" t="s">
        <v>131</v>
      </c>
      <c r="AQ169" s="83" t="s">
        <v>76</v>
      </c>
      <c r="AR169" s="83" t="s">
        <v>131</v>
      </c>
      <c r="AT169" s="83" t="s">
        <v>76</v>
      </c>
      <c r="AU169" s="83" t="s">
        <v>131</v>
      </c>
      <c r="AW169" s="83" t="s">
        <v>76</v>
      </c>
      <c r="AX169" s="83" t="s">
        <v>131</v>
      </c>
      <c r="AZ169" s="83" t="s">
        <v>76</v>
      </c>
      <c r="BA169" s="83" t="s">
        <v>131</v>
      </c>
      <c r="BC169" s="83" t="s">
        <v>76</v>
      </c>
      <c r="BD169" s="83" t="s">
        <v>131</v>
      </c>
      <c r="BF169" s="83" t="s">
        <v>76</v>
      </c>
      <c r="BG169" s="83" t="s">
        <v>131</v>
      </c>
      <c r="BI169" s="83" t="s">
        <v>76</v>
      </c>
      <c r="BJ169" s="83" t="s">
        <v>131</v>
      </c>
      <c r="BL169" s="83" t="s">
        <v>76</v>
      </c>
      <c r="BM169" s="83" t="s">
        <v>131</v>
      </c>
      <c r="BO169" s="83" t="s">
        <v>76</v>
      </c>
      <c r="BP169" s="83" t="s">
        <v>131</v>
      </c>
      <c r="BR169" s="83" t="s">
        <v>76</v>
      </c>
      <c r="BS169" s="83" t="s">
        <v>131</v>
      </c>
      <c r="BU169" s="83" t="s">
        <v>76</v>
      </c>
      <c r="BV169" s="83" t="s">
        <v>131</v>
      </c>
      <c r="BX169" s="83" t="s">
        <v>76</v>
      </c>
      <c r="BY169" s="83" t="s">
        <v>131</v>
      </c>
      <c r="CA169" s="83" t="s">
        <v>76</v>
      </c>
      <c r="CB169" s="83" t="s">
        <v>131</v>
      </c>
      <c r="CD169" s="83" t="s">
        <v>76</v>
      </c>
      <c r="CE169" s="83" t="s">
        <v>131</v>
      </c>
      <c r="CG169" s="83" t="s">
        <v>76</v>
      </c>
      <c r="CH169" s="83" t="s">
        <v>131</v>
      </c>
      <c r="CJ169" s="83" t="s">
        <v>76</v>
      </c>
      <c r="CK169" s="83" t="s">
        <v>131</v>
      </c>
      <c r="CM169" s="83" t="s">
        <v>76</v>
      </c>
      <c r="CN169" s="83" t="s">
        <v>131</v>
      </c>
      <c r="CP169" s="83" t="s">
        <v>76</v>
      </c>
      <c r="CQ169" s="83" t="s">
        <v>131</v>
      </c>
      <c r="CS169" s="83" t="s">
        <v>76</v>
      </c>
      <c r="CT169" s="83" t="s">
        <v>131</v>
      </c>
      <c r="CV169" s="83" t="s">
        <v>76</v>
      </c>
      <c r="CW169" s="83" t="s">
        <v>131</v>
      </c>
      <c r="CY169" s="83" t="s">
        <v>76</v>
      </c>
      <c r="CZ169" s="83" t="s">
        <v>131</v>
      </c>
    </row>
    <row r="171" spans="1:104" x14ac:dyDescent="0.2">
      <c r="A171" s="83" t="s">
        <v>74</v>
      </c>
      <c r="B171" s="83" t="s">
        <v>131</v>
      </c>
      <c r="D171" s="83" t="s">
        <v>74</v>
      </c>
      <c r="E171" s="83" t="s">
        <v>131</v>
      </c>
      <c r="G171" s="83" t="s">
        <v>74</v>
      </c>
      <c r="H171" s="83" t="s">
        <v>131</v>
      </c>
      <c r="J171" s="83" t="s">
        <v>74</v>
      </c>
      <c r="K171" s="83" t="s">
        <v>131</v>
      </c>
      <c r="M171" s="83" t="s">
        <v>74</v>
      </c>
      <c r="N171" s="83" t="s">
        <v>131</v>
      </c>
      <c r="P171" s="83" t="s">
        <v>74</v>
      </c>
      <c r="Q171" s="83" t="s">
        <v>131</v>
      </c>
      <c r="S171" s="83" t="s">
        <v>74</v>
      </c>
      <c r="T171" s="83" t="s">
        <v>131</v>
      </c>
      <c r="V171" s="83" t="s">
        <v>74</v>
      </c>
      <c r="W171" s="83" t="s">
        <v>131</v>
      </c>
      <c r="Y171" s="83" t="s">
        <v>74</v>
      </c>
      <c r="Z171" s="83" t="s">
        <v>131</v>
      </c>
      <c r="AB171" s="83" t="s">
        <v>74</v>
      </c>
      <c r="AC171" s="83" t="s">
        <v>131</v>
      </c>
      <c r="AE171" s="83" t="s">
        <v>74</v>
      </c>
      <c r="AF171" s="83" t="s">
        <v>131</v>
      </c>
      <c r="AH171" s="83" t="s">
        <v>74</v>
      </c>
      <c r="AI171" s="83" t="s">
        <v>131</v>
      </c>
      <c r="AK171" s="83" t="s">
        <v>74</v>
      </c>
      <c r="AL171" s="83" t="s">
        <v>131</v>
      </c>
      <c r="AN171" s="83" t="s">
        <v>74</v>
      </c>
      <c r="AO171" s="83" t="s">
        <v>131</v>
      </c>
      <c r="AQ171" s="83" t="s">
        <v>74</v>
      </c>
      <c r="AR171" s="83" t="s">
        <v>131</v>
      </c>
      <c r="AT171" s="83" t="s">
        <v>74</v>
      </c>
      <c r="AU171" s="83" t="s">
        <v>131</v>
      </c>
      <c r="AW171" s="83" t="s">
        <v>74</v>
      </c>
      <c r="AX171" s="83" t="s">
        <v>131</v>
      </c>
      <c r="AZ171" s="83" t="s">
        <v>74</v>
      </c>
      <c r="BA171" s="83" t="s">
        <v>131</v>
      </c>
      <c r="BC171" s="83" t="s">
        <v>74</v>
      </c>
      <c r="BD171" s="83" t="s">
        <v>131</v>
      </c>
      <c r="BF171" s="83" t="s">
        <v>74</v>
      </c>
      <c r="BG171" s="83" t="s">
        <v>131</v>
      </c>
      <c r="BI171" s="83" t="s">
        <v>74</v>
      </c>
      <c r="BJ171" s="83" t="s">
        <v>131</v>
      </c>
      <c r="BL171" s="83" t="s">
        <v>74</v>
      </c>
      <c r="BM171" s="83" t="s">
        <v>131</v>
      </c>
      <c r="BO171" s="83" t="s">
        <v>74</v>
      </c>
      <c r="BP171" s="83" t="s">
        <v>131</v>
      </c>
      <c r="BR171" s="83" t="s">
        <v>74</v>
      </c>
      <c r="BS171" s="83" t="s">
        <v>131</v>
      </c>
      <c r="BU171" s="83" t="s">
        <v>74</v>
      </c>
      <c r="BV171" s="83" t="s">
        <v>131</v>
      </c>
      <c r="BX171" s="83" t="s">
        <v>74</v>
      </c>
      <c r="BY171" s="83" t="s">
        <v>131</v>
      </c>
      <c r="CA171" s="83" t="s">
        <v>74</v>
      </c>
      <c r="CB171" s="83" t="s">
        <v>131</v>
      </c>
      <c r="CD171" s="83" t="s">
        <v>74</v>
      </c>
      <c r="CE171" s="83" t="s">
        <v>131</v>
      </c>
      <c r="CG171" s="83" t="s">
        <v>74</v>
      </c>
      <c r="CH171" s="83" t="s">
        <v>131</v>
      </c>
      <c r="CJ171" s="83" t="s">
        <v>74</v>
      </c>
      <c r="CK171" s="83" t="s">
        <v>131</v>
      </c>
      <c r="CM171" s="83" t="s">
        <v>74</v>
      </c>
      <c r="CN171" s="83" t="s">
        <v>131</v>
      </c>
      <c r="CP171" s="83" t="s">
        <v>74</v>
      </c>
      <c r="CQ171" s="83" t="s">
        <v>131</v>
      </c>
      <c r="CS171" s="83" t="s">
        <v>74</v>
      </c>
      <c r="CT171" s="83" t="s">
        <v>131</v>
      </c>
      <c r="CV171" s="83" t="s">
        <v>74</v>
      </c>
      <c r="CW171" s="83" t="s">
        <v>131</v>
      </c>
      <c r="CY171" s="83" t="s">
        <v>74</v>
      </c>
      <c r="CZ171" s="83" t="s">
        <v>131</v>
      </c>
    </row>
    <row r="173" spans="1:104" x14ac:dyDescent="0.2">
      <c r="A173" s="83" t="s">
        <v>75</v>
      </c>
      <c r="B173" s="83" t="s">
        <v>132</v>
      </c>
      <c r="D173" s="83" t="s">
        <v>75</v>
      </c>
      <c r="E173" s="83" t="s">
        <v>132</v>
      </c>
      <c r="G173" s="83" t="s">
        <v>75</v>
      </c>
      <c r="H173" s="83" t="s">
        <v>132</v>
      </c>
      <c r="J173" s="83" t="s">
        <v>75</v>
      </c>
      <c r="K173" s="83" t="s">
        <v>132</v>
      </c>
      <c r="M173" s="83" t="s">
        <v>75</v>
      </c>
      <c r="N173" s="83" t="s">
        <v>132</v>
      </c>
      <c r="P173" s="83" t="s">
        <v>75</v>
      </c>
      <c r="Q173" s="83" t="s">
        <v>132</v>
      </c>
      <c r="S173" s="83" t="s">
        <v>75</v>
      </c>
      <c r="T173" s="83" t="s">
        <v>132</v>
      </c>
      <c r="V173" s="83" t="s">
        <v>75</v>
      </c>
      <c r="W173" s="83" t="s">
        <v>132</v>
      </c>
      <c r="Y173" s="83" t="s">
        <v>75</v>
      </c>
      <c r="Z173" s="83" t="s">
        <v>132</v>
      </c>
      <c r="AB173" s="83" t="s">
        <v>75</v>
      </c>
      <c r="AC173" s="83" t="s">
        <v>132</v>
      </c>
      <c r="AE173" s="83" t="s">
        <v>75</v>
      </c>
      <c r="AF173" s="83" t="s">
        <v>132</v>
      </c>
      <c r="AH173" s="83" t="s">
        <v>75</v>
      </c>
      <c r="AI173" s="83" t="s">
        <v>132</v>
      </c>
      <c r="AK173" s="83" t="s">
        <v>75</v>
      </c>
      <c r="AL173" s="83" t="s">
        <v>132</v>
      </c>
      <c r="AN173" s="83" t="s">
        <v>75</v>
      </c>
      <c r="AO173" s="83" t="s">
        <v>132</v>
      </c>
      <c r="AQ173" s="83" t="s">
        <v>75</v>
      </c>
      <c r="AR173" s="83" t="s">
        <v>132</v>
      </c>
      <c r="AT173" s="83" t="s">
        <v>75</v>
      </c>
      <c r="AU173" s="83" t="s">
        <v>132</v>
      </c>
      <c r="AW173" s="83" t="s">
        <v>75</v>
      </c>
      <c r="AX173" s="83" t="s">
        <v>132</v>
      </c>
      <c r="AZ173" s="83" t="s">
        <v>75</v>
      </c>
      <c r="BA173" s="83" t="s">
        <v>132</v>
      </c>
      <c r="BC173" s="83" t="s">
        <v>75</v>
      </c>
      <c r="BD173" s="83" t="s">
        <v>132</v>
      </c>
      <c r="BF173" s="83" t="s">
        <v>75</v>
      </c>
      <c r="BG173" s="83" t="s">
        <v>132</v>
      </c>
      <c r="BI173" s="83" t="s">
        <v>75</v>
      </c>
      <c r="BJ173" s="83" t="s">
        <v>132</v>
      </c>
      <c r="BL173" s="83" t="s">
        <v>75</v>
      </c>
      <c r="BM173" s="83" t="s">
        <v>132</v>
      </c>
      <c r="BO173" s="83" t="s">
        <v>75</v>
      </c>
      <c r="BP173" s="83" t="s">
        <v>132</v>
      </c>
      <c r="BR173" s="83" t="s">
        <v>75</v>
      </c>
      <c r="BS173" s="83" t="s">
        <v>132</v>
      </c>
      <c r="BU173" s="83" t="s">
        <v>75</v>
      </c>
      <c r="BV173" s="83" t="s">
        <v>132</v>
      </c>
      <c r="BX173" s="83" t="s">
        <v>75</v>
      </c>
      <c r="BY173" s="83" t="s">
        <v>132</v>
      </c>
      <c r="CA173" s="83" t="s">
        <v>75</v>
      </c>
      <c r="CB173" s="83" t="s">
        <v>132</v>
      </c>
      <c r="CD173" s="83" t="s">
        <v>75</v>
      </c>
      <c r="CE173" s="83" t="s">
        <v>132</v>
      </c>
      <c r="CG173" s="83" t="s">
        <v>75</v>
      </c>
      <c r="CH173" s="83" t="s">
        <v>132</v>
      </c>
      <c r="CJ173" s="83" t="s">
        <v>75</v>
      </c>
      <c r="CK173" s="83" t="s">
        <v>132</v>
      </c>
      <c r="CM173" s="83" t="s">
        <v>75</v>
      </c>
      <c r="CN173" s="83" t="s">
        <v>132</v>
      </c>
      <c r="CP173" s="83" t="s">
        <v>75</v>
      </c>
      <c r="CQ173" s="83" t="s">
        <v>132</v>
      </c>
      <c r="CS173" s="83" t="s">
        <v>75</v>
      </c>
      <c r="CT173" s="83" t="s">
        <v>132</v>
      </c>
      <c r="CV173" s="83" t="s">
        <v>75</v>
      </c>
      <c r="CW173" s="83" t="s">
        <v>132</v>
      </c>
      <c r="CY173" s="83" t="s">
        <v>75</v>
      </c>
      <c r="CZ173" s="83" t="s">
        <v>132</v>
      </c>
    </row>
    <row r="175" spans="1:104" x14ac:dyDescent="0.2">
      <c r="A175" s="83" t="s">
        <v>79</v>
      </c>
      <c r="B175" s="83">
        <v>20000</v>
      </c>
      <c r="D175" s="83" t="s">
        <v>79</v>
      </c>
      <c r="E175" s="83">
        <v>20000</v>
      </c>
      <c r="G175" s="83" t="s">
        <v>79</v>
      </c>
      <c r="H175" s="83">
        <v>20000</v>
      </c>
      <c r="J175" s="83" t="s">
        <v>79</v>
      </c>
      <c r="K175" s="83">
        <v>20000</v>
      </c>
      <c r="M175" s="83" t="s">
        <v>79</v>
      </c>
      <c r="N175" s="83">
        <v>20000</v>
      </c>
      <c r="P175" s="83" t="s">
        <v>79</v>
      </c>
      <c r="Q175" s="83">
        <v>20000</v>
      </c>
      <c r="S175" s="83" t="s">
        <v>79</v>
      </c>
      <c r="T175" s="83">
        <v>20000</v>
      </c>
      <c r="V175" s="83" t="s">
        <v>79</v>
      </c>
      <c r="W175" s="83">
        <v>20000</v>
      </c>
      <c r="Y175" s="83" t="s">
        <v>79</v>
      </c>
      <c r="Z175" s="83">
        <v>20000</v>
      </c>
      <c r="AB175" s="83" t="s">
        <v>79</v>
      </c>
      <c r="AC175" s="83">
        <v>20000</v>
      </c>
      <c r="AE175" s="83" t="s">
        <v>79</v>
      </c>
      <c r="AF175" s="83">
        <v>20000</v>
      </c>
      <c r="AH175" s="83" t="s">
        <v>79</v>
      </c>
      <c r="AI175" s="83">
        <v>20000</v>
      </c>
      <c r="AK175" s="83" t="s">
        <v>79</v>
      </c>
      <c r="AL175" s="83">
        <v>20000</v>
      </c>
      <c r="AN175" s="83" t="s">
        <v>79</v>
      </c>
      <c r="AO175" s="83">
        <v>20000</v>
      </c>
      <c r="AQ175" s="83" t="s">
        <v>79</v>
      </c>
      <c r="AR175" s="83">
        <v>20000</v>
      </c>
      <c r="AT175" s="83" t="s">
        <v>79</v>
      </c>
      <c r="AU175" s="83">
        <v>20000</v>
      </c>
      <c r="AW175" s="83" t="s">
        <v>79</v>
      </c>
      <c r="AX175" s="83">
        <v>20000</v>
      </c>
      <c r="AZ175" s="83" t="s">
        <v>79</v>
      </c>
      <c r="BA175" s="83">
        <v>20000</v>
      </c>
      <c r="BC175" s="83" t="s">
        <v>79</v>
      </c>
      <c r="BD175" s="83">
        <v>20000</v>
      </c>
      <c r="BF175" s="83" t="s">
        <v>79</v>
      </c>
      <c r="BG175" s="83">
        <v>20000</v>
      </c>
      <c r="BI175" s="83" t="s">
        <v>79</v>
      </c>
      <c r="BJ175" s="83">
        <v>20000</v>
      </c>
      <c r="BL175" s="83" t="s">
        <v>79</v>
      </c>
      <c r="BM175" s="83">
        <v>20000</v>
      </c>
      <c r="BO175" s="83" t="s">
        <v>79</v>
      </c>
      <c r="BP175" s="83">
        <v>20000</v>
      </c>
      <c r="BR175" s="83" t="s">
        <v>79</v>
      </c>
      <c r="BS175" s="83">
        <v>20000</v>
      </c>
      <c r="BU175" s="83" t="s">
        <v>79</v>
      </c>
      <c r="BV175" s="83">
        <v>20000</v>
      </c>
      <c r="BX175" s="83" t="s">
        <v>79</v>
      </c>
      <c r="BY175" s="83">
        <v>20000</v>
      </c>
      <c r="CA175" s="83" t="s">
        <v>79</v>
      </c>
      <c r="CB175" s="83">
        <v>20000</v>
      </c>
      <c r="CD175" s="83" t="s">
        <v>79</v>
      </c>
      <c r="CE175" s="83">
        <v>20000</v>
      </c>
      <c r="CG175" s="83" t="s">
        <v>79</v>
      </c>
      <c r="CH175" s="83">
        <v>20000</v>
      </c>
      <c r="CJ175" s="83" t="s">
        <v>79</v>
      </c>
      <c r="CK175" s="83">
        <v>20000</v>
      </c>
      <c r="CM175" s="83" t="s">
        <v>79</v>
      </c>
      <c r="CN175" s="83">
        <v>20000</v>
      </c>
      <c r="CP175" s="83" t="s">
        <v>79</v>
      </c>
      <c r="CQ175" s="83">
        <v>20000</v>
      </c>
      <c r="CS175" s="83" t="s">
        <v>79</v>
      </c>
      <c r="CT175" s="83">
        <v>20000</v>
      </c>
      <c r="CV175" s="83" t="s">
        <v>79</v>
      </c>
      <c r="CW175" s="83">
        <v>20000</v>
      </c>
      <c r="CY175" s="83" t="s">
        <v>79</v>
      </c>
      <c r="CZ175" s="83">
        <v>20000</v>
      </c>
    </row>
    <row r="177" spans="1:104" x14ac:dyDescent="0.2">
      <c r="A177" s="83" t="s">
        <v>77</v>
      </c>
      <c r="B177" s="83">
        <v>6</v>
      </c>
      <c r="D177" s="83" t="s">
        <v>77</v>
      </c>
      <c r="E177" s="83">
        <v>6</v>
      </c>
      <c r="G177" s="83" t="s">
        <v>77</v>
      </c>
      <c r="H177" s="83">
        <v>6</v>
      </c>
      <c r="J177" s="83" t="s">
        <v>77</v>
      </c>
      <c r="K177" s="83">
        <v>6</v>
      </c>
      <c r="M177" s="83" t="s">
        <v>77</v>
      </c>
      <c r="N177" s="83">
        <v>6</v>
      </c>
      <c r="P177" s="83" t="s">
        <v>77</v>
      </c>
      <c r="Q177" s="83">
        <v>6</v>
      </c>
      <c r="S177" s="83" t="s">
        <v>77</v>
      </c>
      <c r="T177" s="83">
        <v>6</v>
      </c>
      <c r="V177" s="83" t="s">
        <v>77</v>
      </c>
      <c r="W177" s="83">
        <v>6</v>
      </c>
      <c r="Y177" s="83" t="s">
        <v>77</v>
      </c>
      <c r="Z177" s="83">
        <v>6</v>
      </c>
      <c r="AB177" s="83" t="s">
        <v>77</v>
      </c>
      <c r="AC177" s="83">
        <v>6</v>
      </c>
      <c r="AE177" s="83" t="s">
        <v>77</v>
      </c>
      <c r="AF177" s="83">
        <v>6</v>
      </c>
      <c r="AH177" s="83" t="s">
        <v>77</v>
      </c>
      <c r="AI177" s="83">
        <v>6</v>
      </c>
      <c r="AK177" s="83" t="s">
        <v>77</v>
      </c>
      <c r="AL177" s="83">
        <v>6</v>
      </c>
      <c r="AN177" s="83" t="s">
        <v>77</v>
      </c>
      <c r="AO177" s="83">
        <v>6</v>
      </c>
      <c r="AQ177" s="83" t="s">
        <v>77</v>
      </c>
      <c r="AR177" s="83">
        <v>6</v>
      </c>
      <c r="AT177" s="83" t="s">
        <v>77</v>
      </c>
      <c r="AU177" s="83">
        <v>6</v>
      </c>
      <c r="AW177" s="83" t="s">
        <v>77</v>
      </c>
      <c r="AX177" s="83">
        <v>6</v>
      </c>
      <c r="AZ177" s="83" t="s">
        <v>77</v>
      </c>
      <c r="BA177" s="83">
        <v>6</v>
      </c>
      <c r="BC177" s="83" t="s">
        <v>77</v>
      </c>
      <c r="BD177" s="83">
        <v>6</v>
      </c>
      <c r="BF177" s="83" t="s">
        <v>77</v>
      </c>
      <c r="BG177" s="83">
        <v>6</v>
      </c>
      <c r="BI177" s="83" t="s">
        <v>77</v>
      </c>
      <c r="BJ177" s="83">
        <v>6</v>
      </c>
      <c r="BL177" s="83" t="s">
        <v>77</v>
      </c>
      <c r="BM177" s="83">
        <v>6</v>
      </c>
      <c r="BO177" s="83" t="s">
        <v>77</v>
      </c>
      <c r="BP177" s="83">
        <v>6</v>
      </c>
      <c r="BR177" s="83" t="s">
        <v>77</v>
      </c>
      <c r="BS177" s="83">
        <v>6</v>
      </c>
      <c r="BU177" s="83" t="s">
        <v>77</v>
      </c>
      <c r="BV177" s="83">
        <v>6</v>
      </c>
      <c r="BX177" s="83" t="s">
        <v>77</v>
      </c>
      <c r="BY177" s="83">
        <v>6</v>
      </c>
      <c r="CA177" s="83" t="s">
        <v>77</v>
      </c>
      <c r="CB177" s="83">
        <v>6</v>
      </c>
      <c r="CD177" s="83" t="s">
        <v>77</v>
      </c>
      <c r="CE177" s="83">
        <v>6</v>
      </c>
      <c r="CG177" s="83" t="s">
        <v>77</v>
      </c>
      <c r="CH177" s="83">
        <v>6</v>
      </c>
      <c r="CJ177" s="83" t="s">
        <v>77</v>
      </c>
      <c r="CK177" s="83">
        <v>6</v>
      </c>
      <c r="CM177" s="83" t="s">
        <v>77</v>
      </c>
      <c r="CN177" s="83">
        <v>6</v>
      </c>
      <c r="CP177" s="83" t="s">
        <v>77</v>
      </c>
      <c r="CQ177" s="83">
        <v>6</v>
      </c>
      <c r="CS177" s="83" t="s">
        <v>77</v>
      </c>
      <c r="CT177" s="83">
        <v>6</v>
      </c>
      <c r="CV177" s="83" t="s">
        <v>77</v>
      </c>
      <c r="CW177" s="83">
        <v>6</v>
      </c>
      <c r="CY177" s="83" t="s">
        <v>77</v>
      </c>
      <c r="CZ177" s="83">
        <v>6</v>
      </c>
    </row>
    <row r="179" spans="1:104" x14ac:dyDescent="0.2">
      <c r="A179" s="83" t="s">
        <v>78</v>
      </c>
      <c r="B179" s="83">
        <v>1</v>
      </c>
      <c r="D179" s="83" t="s">
        <v>78</v>
      </c>
      <c r="E179" s="83">
        <v>1</v>
      </c>
      <c r="G179" s="83" t="s">
        <v>78</v>
      </c>
      <c r="H179" s="83">
        <v>1</v>
      </c>
      <c r="J179" s="83" t="s">
        <v>78</v>
      </c>
      <c r="K179" s="83">
        <v>1</v>
      </c>
      <c r="M179" s="83" t="s">
        <v>78</v>
      </c>
      <c r="N179" s="83">
        <v>1</v>
      </c>
      <c r="P179" s="83" t="s">
        <v>78</v>
      </c>
      <c r="Q179" s="83">
        <v>1</v>
      </c>
      <c r="S179" s="83" t="s">
        <v>78</v>
      </c>
      <c r="T179" s="83">
        <v>1</v>
      </c>
      <c r="V179" s="83" t="s">
        <v>78</v>
      </c>
      <c r="W179" s="83">
        <v>1</v>
      </c>
      <c r="Y179" s="83" t="s">
        <v>78</v>
      </c>
      <c r="Z179" s="83">
        <v>1</v>
      </c>
      <c r="AB179" s="83" t="s">
        <v>78</v>
      </c>
      <c r="AC179" s="83">
        <v>1</v>
      </c>
      <c r="AE179" s="83" t="s">
        <v>78</v>
      </c>
      <c r="AF179" s="83">
        <v>1</v>
      </c>
      <c r="AH179" s="83" t="s">
        <v>78</v>
      </c>
      <c r="AI179" s="83">
        <v>1</v>
      </c>
      <c r="AK179" s="83" t="s">
        <v>78</v>
      </c>
      <c r="AL179" s="83">
        <v>1</v>
      </c>
      <c r="AN179" s="83" t="s">
        <v>78</v>
      </c>
      <c r="AO179" s="83">
        <v>1</v>
      </c>
      <c r="AQ179" s="83" t="s">
        <v>78</v>
      </c>
      <c r="AR179" s="83">
        <v>1</v>
      </c>
      <c r="AT179" s="83" t="s">
        <v>78</v>
      </c>
      <c r="AU179" s="83">
        <v>1</v>
      </c>
      <c r="AW179" s="83" t="s">
        <v>78</v>
      </c>
      <c r="AX179" s="83">
        <v>1</v>
      </c>
      <c r="AZ179" s="83" t="s">
        <v>78</v>
      </c>
      <c r="BA179" s="83">
        <v>1</v>
      </c>
      <c r="BC179" s="83" t="s">
        <v>78</v>
      </c>
      <c r="BD179" s="83">
        <v>1</v>
      </c>
      <c r="BF179" s="83" t="s">
        <v>78</v>
      </c>
      <c r="BG179" s="83">
        <v>1</v>
      </c>
      <c r="BI179" s="83" t="s">
        <v>78</v>
      </c>
      <c r="BJ179" s="83">
        <v>1</v>
      </c>
      <c r="BL179" s="83" t="s">
        <v>78</v>
      </c>
      <c r="BM179" s="83">
        <v>1</v>
      </c>
      <c r="BO179" s="83" t="s">
        <v>78</v>
      </c>
      <c r="BP179" s="83">
        <v>1</v>
      </c>
      <c r="BR179" s="83" t="s">
        <v>78</v>
      </c>
      <c r="BS179" s="83">
        <v>1</v>
      </c>
      <c r="BU179" s="83" t="s">
        <v>78</v>
      </c>
      <c r="BV179" s="83">
        <v>1</v>
      </c>
      <c r="BX179" s="83" t="s">
        <v>78</v>
      </c>
      <c r="BY179" s="83">
        <v>1</v>
      </c>
      <c r="CA179" s="83" t="s">
        <v>78</v>
      </c>
      <c r="CB179" s="83">
        <v>1</v>
      </c>
      <c r="CD179" s="83" t="s">
        <v>78</v>
      </c>
      <c r="CE179" s="83">
        <v>1</v>
      </c>
      <c r="CG179" s="83" t="s">
        <v>78</v>
      </c>
      <c r="CH179" s="83">
        <v>1</v>
      </c>
      <c r="CJ179" s="83" t="s">
        <v>78</v>
      </c>
      <c r="CK179" s="83">
        <v>1</v>
      </c>
      <c r="CM179" s="83" t="s">
        <v>78</v>
      </c>
      <c r="CN179" s="83">
        <v>1</v>
      </c>
      <c r="CP179" s="83" t="s">
        <v>78</v>
      </c>
      <c r="CQ179" s="83">
        <v>1</v>
      </c>
      <c r="CS179" s="83" t="s">
        <v>78</v>
      </c>
      <c r="CT179" s="83">
        <v>1</v>
      </c>
      <c r="CV179" s="83" t="s">
        <v>78</v>
      </c>
      <c r="CW179" s="83">
        <v>1</v>
      </c>
      <c r="CY179" s="83" t="s">
        <v>78</v>
      </c>
      <c r="CZ179" s="83">
        <v>1</v>
      </c>
    </row>
    <row r="181" spans="1:104" x14ac:dyDescent="0.2">
      <c r="A181" s="83" t="s">
        <v>81</v>
      </c>
      <c r="B181" s="83">
        <v>20</v>
      </c>
      <c r="D181" s="83" t="s">
        <v>81</v>
      </c>
      <c r="E181" s="83">
        <v>20</v>
      </c>
      <c r="G181" s="83" t="s">
        <v>81</v>
      </c>
      <c r="H181" s="83">
        <v>20</v>
      </c>
      <c r="J181" s="83" t="s">
        <v>81</v>
      </c>
      <c r="K181" s="83">
        <v>20</v>
      </c>
      <c r="M181" s="83" t="s">
        <v>81</v>
      </c>
      <c r="N181" s="83">
        <v>20</v>
      </c>
      <c r="P181" s="83" t="s">
        <v>81</v>
      </c>
      <c r="Q181" s="83">
        <v>20</v>
      </c>
      <c r="S181" s="83" t="s">
        <v>81</v>
      </c>
      <c r="T181" s="83">
        <v>20</v>
      </c>
      <c r="V181" s="83" t="s">
        <v>81</v>
      </c>
      <c r="W181" s="83">
        <v>20</v>
      </c>
      <c r="Y181" s="83" t="s">
        <v>81</v>
      </c>
      <c r="Z181" s="83">
        <v>20</v>
      </c>
      <c r="AB181" s="83" t="s">
        <v>81</v>
      </c>
      <c r="AC181" s="83">
        <v>20</v>
      </c>
      <c r="AE181" s="83" t="s">
        <v>81</v>
      </c>
      <c r="AF181" s="83">
        <v>20</v>
      </c>
      <c r="AH181" s="83" t="s">
        <v>81</v>
      </c>
      <c r="AI181" s="83">
        <v>20</v>
      </c>
      <c r="AK181" s="83" t="s">
        <v>81</v>
      </c>
      <c r="AL181" s="83">
        <v>20</v>
      </c>
      <c r="AN181" s="83" t="s">
        <v>81</v>
      </c>
      <c r="AO181" s="83">
        <v>20</v>
      </c>
      <c r="AQ181" s="83" t="s">
        <v>81</v>
      </c>
      <c r="AR181" s="83">
        <v>20</v>
      </c>
      <c r="AT181" s="83" t="s">
        <v>81</v>
      </c>
      <c r="AU181" s="83">
        <v>20</v>
      </c>
      <c r="AW181" s="83" t="s">
        <v>81</v>
      </c>
      <c r="AX181" s="83">
        <v>20</v>
      </c>
      <c r="AZ181" s="83" t="s">
        <v>81</v>
      </c>
      <c r="BA181" s="83">
        <v>20</v>
      </c>
      <c r="BC181" s="83" t="s">
        <v>81</v>
      </c>
      <c r="BD181" s="83">
        <v>20</v>
      </c>
      <c r="BF181" s="83" t="s">
        <v>81</v>
      </c>
      <c r="BG181" s="83">
        <v>20</v>
      </c>
      <c r="BI181" s="83" t="s">
        <v>81</v>
      </c>
      <c r="BJ181" s="83">
        <v>20</v>
      </c>
      <c r="BL181" s="83" t="s">
        <v>81</v>
      </c>
      <c r="BM181" s="83">
        <v>20</v>
      </c>
      <c r="BO181" s="83" t="s">
        <v>81</v>
      </c>
      <c r="BP181" s="83">
        <v>20</v>
      </c>
      <c r="BR181" s="83" t="s">
        <v>81</v>
      </c>
      <c r="BS181" s="83">
        <v>20</v>
      </c>
      <c r="BU181" s="83" t="s">
        <v>81</v>
      </c>
      <c r="BV181" s="83">
        <v>20</v>
      </c>
      <c r="BX181" s="83" t="s">
        <v>81</v>
      </c>
      <c r="BY181" s="83">
        <v>20</v>
      </c>
      <c r="CA181" s="83" t="s">
        <v>81</v>
      </c>
      <c r="CB181" s="83">
        <v>20</v>
      </c>
      <c r="CD181" s="83" t="s">
        <v>81</v>
      </c>
      <c r="CE181" s="83">
        <v>20</v>
      </c>
      <c r="CG181" s="83" t="s">
        <v>81</v>
      </c>
      <c r="CH181" s="83">
        <v>20</v>
      </c>
      <c r="CJ181" s="83" t="s">
        <v>81</v>
      </c>
      <c r="CK181" s="83">
        <v>20</v>
      </c>
      <c r="CM181" s="83" t="s">
        <v>81</v>
      </c>
      <c r="CN181" s="83">
        <v>20</v>
      </c>
      <c r="CP181" s="83" t="s">
        <v>81</v>
      </c>
      <c r="CQ181" s="83">
        <v>20</v>
      </c>
      <c r="CS181" s="83" t="s">
        <v>81</v>
      </c>
      <c r="CT181" s="83">
        <v>20</v>
      </c>
      <c r="CV181" s="83" t="s">
        <v>81</v>
      </c>
      <c r="CW181" s="83">
        <v>20</v>
      </c>
      <c r="CY181" s="83" t="s">
        <v>81</v>
      </c>
      <c r="CZ181" s="83">
        <v>20</v>
      </c>
    </row>
    <row r="183" spans="1:104" x14ac:dyDescent="0.2">
      <c r="A183" s="83" t="s">
        <v>83</v>
      </c>
      <c r="B183" s="83">
        <v>1</v>
      </c>
      <c r="D183" s="83" t="s">
        <v>83</v>
      </c>
      <c r="E183" s="83">
        <v>1</v>
      </c>
      <c r="G183" s="83" t="s">
        <v>83</v>
      </c>
      <c r="H183" s="83">
        <v>1</v>
      </c>
      <c r="J183" s="83" t="s">
        <v>83</v>
      </c>
      <c r="K183" s="83">
        <v>1</v>
      </c>
      <c r="M183" s="83" t="s">
        <v>83</v>
      </c>
      <c r="N183" s="83">
        <v>1</v>
      </c>
      <c r="P183" s="83" t="s">
        <v>83</v>
      </c>
      <c r="Q183" s="83">
        <v>1</v>
      </c>
      <c r="S183" s="83" t="s">
        <v>83</v>
      </c>
      <c r="T183" s="83">
        <v>1</v>
      </c>
      <c r="V183" s="83" t="s">
        <v>83</v>
      </c>
      <c r="W183" s="83">
        <v>1</v>
      </c>
      <c r="Y183" s="83" t="s">
        <v>83</v>
      </c>
      <c r="Z183" s="83">
        <v>1</v>
      </c>
      <c r="AB183" s="83" t="s">
        <v>83</v>
      </c>
      <c r="AC183" s="83">
        <v>1</v>
      </c>
      <c r="AE183" s="83" t="s">
        <v>83</v>
      </c>
      <c r="AF183" s="83">
        <v>1</v>
      </c>
      <c r="AH183" s="83" t="s">
        <v>83</v>
      </c>
      <c r="AI183" s="83">
        <v>1</v>
      </c>
      <c r="AK183" s="83" t="s">
        <v>83</v>
      </c>
      <c r="AL183" s="83">
        <v>1</v>
      </c>
      <c r="AN183" s="83" t="s">
        <v>83</v>
      </c>
      <c r="AO183" s="83">
        <v>1</v>
      </c>
      <c r="AQ183" s="83" t="s">
        <v>83</v>
      </c>
      <c r="AR183" s="83">
        <v>1</v>
      </c>
      <c r="AT183" s="83" t="s">
        <v>83</v>
      </c>
      <c r="AU183" s="83">
        <v>1</v>
      </c>
      <c r="AW183" s="83" t="s">
        <v>83</v>
      </c>
      <c r="AX183" s="83">
        <v>1</v>
      </c>
      <c r="AZ183" s="83" t="s">
        <v>83</v>
      </c>
      <c r="BA183" s="83">
        <v>1</v>
      </c>
      <c r="BC183" s="83" t="s">
        <v>83</v>
      </c>
      <c r="BD183" s="83">
        <v>1</v>
      </c>
      <c r="BF183" s="83" t="s">
        <v>83</v>
      </c>
      <c r="BG183" s="83">
        <v>1</v>
      </c>
      <c r="BI183" s="83" t="s">
        <v>83</v>
      </c>
      <c r="BJ183" s="83">
        <v>1</v>
      </c>
      <c r="BL183" s="83" t="s">
        <v>83</v>
      </c>
      <c r="BM183" s="83">
        <v>1</v>
      </c>
      <c r="BO183" s="83" t="s">
        <v>83</v>
      </c>
      <c r="BP183" s="83">
        <v>1</v>
      </c>
      <c r="BR183" s="83" t="s">
        <v>83</v>
      </c>
      <c r="BS183" s="83">
        <v>1</v>
      </c>
      <c r="BU183" s="83" t="s">
        <v>83</v>
      </c>
      <c r="BV183" s="83">
        <v>1</v>
      </c>
      <c r="BX183" s="83" t="s">
        <v>83</v>
      </c>
      <c r="BY183" s="83">
        <v>1</v>
      </c>
      <c r="CA183" s="83" t="s">
        <v>83</v>
      </c>
      <c r="CB183" s="83">
        <v>1</v>
      </c>
      <c r="CD183" s="83" t="s">
        <v>83</v>
      </c>
      <c r="CE183" s="83">
        <v>1</v>
      </c>
      <c r="CG183" s="83" t="s">
        <v>83</v>
      </c>
      <c r="CH183" s="83">
        <v>1</v>
      </c>
      <c r="CJ183" s="83" t="s">
        <v>83</v>
      </c>
      <c r="CK183" s="83">
        <v>1</v>
      </c>
      <c r="CM183" s="83" t="s">
        <v>83</v>
      </c>
      <c r="CN183" s="83">
        <v>1</v>
      </c>
      <c r="CP183" s="83" t="s">
        <v>83</v>
      </c>
      <c r="CQ183" s="83">
        <v>1</v>
      </c>
      <c r="CS183" s="83" t="s">
        <v>83</v>
      </c>
      <c r="CT183" s="83">
        <v>1</v>
      </c>
      <c r="CV183" s="83" t="s">
        <v>83</v>
      </c>
      <c r="CW183" s="83">
        <v>1</v>
      </c>
      <c r="CY183" s="83" t="s">
        <v>83</v>
      </c>
      <c r="CZ183" s="83">
        <v>1</v>
      </c>
    </row>
    <row r="185" spans="1:104" x14ac:dyDescent="0.2">
      <c r="A185" s="83" t="s">
        <v>84</v>
      </c>
      <c r="B185" s="83" t="s">
        <v>132</v>
      </c>
      <c r="D185" s="83" t="s">
        <v>84</v>
      </c>
      <c r="E185" s="83" t="s">
        <v>132</v>
      </c>
      <c r="G185" s="83" t="s">
        <v>84</v>
      </c>
      <c r="H185" s="83" t="s">
        <v>132</v>
      </c>
      <c r="J185" s="83" t="s">
        <v>84</v>
      </c>
      <c r="K185" s="83" t="s">
        <v>132</v>
      </c>
      <c r="M185" s="83" t="s">
        <v>84</v>
      </c>
      <c r="N185" s="83" t="s">
        <v>132</v>
      </c>
      <c r="P185" s="83" t="s">
        <v>84</v>
      </c>
      <c r="Q185" s="83" t="s">
        <v>132</v>
      </c>
      <c r="S185" s="83" t="s">
        <v>84</v>
      </c>
      <c r="T185" s="83" t="s">
        <v>132</v>
      </c>
      <c r="V185" s="83" t="s">
        <v>84</v>
      </c>
      <c r="W185" s="83" t="s">
        <v>132</v>
      </c>
      <c r="Y185" s="83" t="s">
        <v>84</v>
      </c>
      <c r="Z185" s="83" t="s">
        <v>132</v>
      </c>
      <c r="AB185" s="83" t="s">
        <v>84</v>
      </c>
      <c r="AC185" s="83" t="s">
        <v>132</v>
      </c>
      <c r="AE185" s="83" t="s">
        <v>84</v>
      </c>
      <c r="AF185" s="83" t="s">
        <v>132</v>
      </c>
      <c r="AH185" s="83" t="s">
        <v>84</v>
      </c>
      <c r="AI185" s="83" t="s">
        <v>132</v>
      </c>
      <c r="AK185" s="83" t="s">
        <v>84</v>
      </c>
      <c r="AL185" s="83" t="s">
        <v>132</v>
      </c>
      <c r="AN185" s="83" t="s">
        <v>84</v>
      </c>
      <c r="AO185" s="83" t="s">
        <v>132</v>
      </c>
      <c r="AQ185" s="83" t="s">
        <v>84</v>
      </c>
      <c r="AR185" s="83" t="s">
        <v>132</v>
      </c>
      <c r="AT185" s="83" t="s">
        <v>84</v>
      </c>
      <c r="AU185" s="83" t="s">
        <v>132</v>
      </c>
      <c r="AW185" s="83" t="s">
        <v>84</v>
      </c>
      <c r="AX185" s="83" t="s">
        <v>132</v>
      </c>
      <c r="AZ185" s="83" t="s">
        <v>84</v>
      </c>
      <c r="BA185" s="83" t="s">
        <v>132</v>
      </c>
      <c r="BC185" s="83" t="s">
        <v>84</v>
      </c>
      <c r="BD185" s="83" t="s">
        <v>132</v>
      </c>
      <c r="BF185" s="83" t="s">
        <v>84</v>
      </c>
      <c r="BG185" s="83" t="s">
        <v>132</v>
      </c>
      <c r="BI185" s="83" t="s">
        <v>84</v>
      </c>
      <c r="BJ185" s="83" t="s">
        <v>132</v>
      </c>
      <c r="BL185" s="83" t="s">
        <v>84</v>
      </c>
      <c r="BM185" s="83" t="s">
        <v>132</v>
      </c>
      <c r="BO185" s="83" t="s">
        <v>84</v>
      </c>
      <c r="BP185" s="83" t="s">
        <v>132</v>
      </c>
      <c r="BR185" s="83" t="s">
        <v>84</v>
      </c>
      <c r="BS185" s="83" t="s">
        <v>132</v>
      </c>
      <c r="BU185" s="83" t="s">
        <v>84</v>
      </c>
      <c r="BV185" s="83" t="s">
        <v>132</v>
      </c>
      <c r="BX185" s="83" t="s">
        <v>84</v>
      </c>
      <c r="BY185" s="83" t="s">
        <v>132</v>
      </c>
      <c r="CA185" s="83" t="s">
        <v>84</v>
      </c>
      <c r="CB185" s="83" t="s">
        <v>132</v>
      </c>
      <c r="CD185" s="83" t="s">
        <v>84</v>
      </c>
      <c r="CE185" s="83" t="s">
        <v>132</v>
      </c>
      <c r="CG185" s="83" t="s">
        <v>84</v>
      </c>
      <c r="CH185" s="83" t="s">
        <v>132</v>
      </c>
      <c r="CJ185" s="83" t="s">
        <v>84</v>
      </c>
      <c r="CK185" s="83" t="s">
        <v>132</v>
      </c>
      <c r="CM185" s="83" t="s">
        <v>84</v>
      </c>
      <c r="CN185" s="83" t="s">
        <v>132</v>
      </c>
      <c r="CP185" s="83" t="s">
        <v>84</v>
      </c>
      <c r="CQ185" s="83" t="s">
        <v>132</v>
      </c>
      <c r="CS185" s="83" t="s">
        <v>84</v>
      </c>
      <c r="CT185" s="83" t="s">
        <v>132</v>
      </c>
      <c r="CV185" s="83" t="s">
        <v>84</v>
      </c>
      <c r="CW185" s="83" t="s">
        <v>132</v>
      </c>
      <c r="CY185" s="83" t="s">
        <v>84</v>
      </c>
      <c r="CZ185" s="83" t="s">
        <v>132</v>
      </c>
    </row>
    <row r="187" spans="1:104" x14ac:dyDescent="0.2">
      <c r="A187" s="83" t="s">
        <v>85</v>
      </c>
      <c r="D187" s="83" t="s">
        <v>85</v>
      </c>
      <c r="G187" s="83" t="s">
        <v>85</v>
      </c>
      <c r="J187" s="83" t="s">
        <v>85</v>
      </c>
      <c r="M187" s="83" t="s">
        <v>85</v>
      </c>
      <c r="P187" s="83" t="s">
        <v>85</v>
      </c>
      <c r="S187" s="83" t="s">
        <v>85</v>
      </c>
      <c r="V187" s="83" t="s">
        <v>85</v>
      </c>
      <c r="Y187" s="83" t="s">
        <v>85</v>
      </c>
      <c r="AB187" s="83" t="s">
        <v>85</v>
      </c>
      <c r="AE187" s="83" t="s">
        <v>85</v>
      </c>
      <c r="AH187" s="83" t="s">
        <v>85</v>
      </c>
      <c r="AK187" s="83" t="s">
        <v>85</v>
      </c>
      <c r="AN187" s="83" t="s">
        <v>85</v>
      </c>
      <c r="AQ187" s="83" t="s">
        <v>85</v>
      </c>
      <c r="AT187" s="83" t="s">
        <v>85</v>
      </c>
      <c r="AW187" s="83" t="s">
        <v>85</v>
      </c>
      <c r="AZ187" s="83" t="s">
        <v>85</v>
      </c>
      <c r="BC187" s="83" t="s">
        <v>85</v>
      </c>
      <c r="BF187" s="83" t="s">
        <v>85</v>
      </c>
      <c r="BI187" s="83" t="s">
        <v>85</v>
      </c>
      <c r="BL187" s="83" t="s">
        <v>85</v>
      </c>
      <c r="BO187" s="83" t="s">
        <v>85</v>
      </c>
      <c r="BR187" s="83" t="s">
        <v>85</v>
      </c>
      <c r="BU187" s="83" t="s">
        <v>85</v>
      </c>
      <c r="BX187" s="83" t="s">
        <v>85</v>
      </c>
      <c r="CA187" s="83" t="s">
        <v>85</v>
      </c>
      <c r="CD187" s="83" t="s">
        <v>85</v>
      </c>
      <c r="CG187" s="83" t="s">
        <v>85</v>
      </c>
      <c r="CJ187" s="83" t="s">
        <v>85</v>
      </c>
      <c r="CM187" s="83" t="s">
        <v>85</v>
      </c>
      <c r="CP187" s="83" t="s">
        <v>85</v>
      </c>
      <c r="CS187" s="83" t="s">
        <v>85</v>
      </c>
      <c r="CV187" s="83" t="s">
        <v>85</v>
      </c>
      <c r="CY187" s="83" t="s">
        <v>85</v>
      </c>
    </row>
    <row r="188" spans="1:104" x14ac:dyDescent="0.2">
      <c r="A188" s="83" t="s">
        <v>99</v>
      </c>
      <c r="B188" s="83">
        <v>1</v>
      </c>
      <c r="D188" s="83" t="s">
        <v>99</v>
      </c>
      <c r="E188" s="83">
        <v>1</v>
      </c>
      <c r="G188" s="83" t="s">
        <v>99</v>
      </c>
      <c r="H188" s="83">
        <v>1</v>
      </c>
      <c r="J188" s="83" t="s">
        <v>99</v>
      </c>
      <c r="K188" s="83">
        <v>1</v>
      </c>
      <c r="M188" s="83" t="s">
        <v>99</v>
      </c>
      <c r="N188" s="83">
        <v>1</v>
      </c>
      <c r="P188" s="83" t="s">
        <v>99</v>
      </c>
      <c r="Q188" s="83">
        <v>1</v>
      </c>
      <c r="S188" s="83" t="s">
        <v>99</v>
      </c>
      <c r="T188" s="83">
        <v>1</v>
      </c>
      <c r="V188" s="83" t="s">
        <v>99</v>
      </c>
      <c r="W188" s="83">
        <v>1</v>
      </c>
      <c r="Y188" s="83" t="s">
        <v>99</v>
      </c>
      <c r="Z188" s="83">
        <v>1</v>
      </c>
      <c r="AB188" s="83" t="s">
        <v>99</v>
      </c>
      <c r="AC188" s="83">
        <v>1</v>
      </c>
      <c r="AE188" s="83" t="s">
        <v>99</v>
      </c>
      <c r="AF188" s="83">
        <v>1</v>
      </c>
      <c r="AH188" s="83" t="s">
        <v>99</v>
      </c>
      <c r="AI188" s="83">
        <v>1</v>
      </c>
      <c r="AK188" s="83" t="s">
        <v>99</v>
      </c>
      <c r="AL188" s="83">
        <v>1</v>
      </c>
      <c r="AN188" s="83" t="s">
        <v>99</v>
      </c>
      <c r="AO188" s="83">
        <v>1</v>
      </c>
      <c r="AQ188" s="83" t="s">
        <v>99</v>
      </c>
      <c r="AR188" s="83">
        <v>1</v>
      </c>
      <c r="AT188" s="83" t="s">
        <v>99</v>
      </c>
      <c r="AU188" s="83">
        <v>1</v>
      </c>
      <c r="AW188" s="83" t="s">
        <v>99</v>
      </c>
      <c r="AX188" s="83">
        <v>1</v>
      </c>
      <c r="AZ188" s="83" t="s">
        <v>99</v>
      </c>
      <c r="BA188" s="83">
        <v>1</v>
      </c>
      <c r="BC188" s="83" t="s">
        <v>99</v>
      </c>
      <c r="BD188" s="83">
        <v>1</v>
      </c>
      <c r="BF188" s="83" t="s">
        <v>99</v>
      </c>
      <c r="BG188" s="83">
        <v>1</v>
      </c>
      <c r="BI188" s="83" t="s">
        <v>99</v>
      </c>
      <c r="BJ188" s="83">
        <v>1</v>
      </c>
      <c r="BL188" s="83" t="s">
        <v>99</v>
      </c>
      <c r="BM188" s="83">
        <v>1</v>
      </c>
      <c r="BO188" s="83" t="s">
        <v>99</v>
      </c>
      <c r="BP188" s="83">
        <v>1</v>
      </c>
      <c r="BR188" s="83" t="s">
        <v>99</v>
      </c>
      <c r="BS188" s="83">
        <v>1</v>
      </c>
      <c r="BU188" s="83" t="s">
        <v>99</v>
      </c>
      <c r="BV188" s="83">
        <v>1</v>
      </c>
      <c r="BX188" s="83" t="s">
        <v>99</v>
      </c>
      <c r="BY188" s="83">
        <v>1</v>
      </c>
      <c r="CA188" s="83" t="s">
        <v>99</v>
      </c>
      <c r="CB188" s="83">
        <v>1</v>
      </c>
      <c r="CD188" s="83" t="s">
        <v>99</v>
      </c>
      <c r="CE188" s="83">
        <v>1</v>
      </c>
      <c r="CG188" s="83" t="s">
        <v>99</v>
      </c>
      <c r="CH188" s="83">
        <v>1</v>
      </c>
      <c r="CJ188" s="83" t="s">
        <v>99</v>
      </c>
      <c r="CK188" s="83">
        <v>1</v>
      </c>
      <c r="CM188" s="83" t="s">
        <v>99</v>
      </c>
      <c r="CN188" s="83">
        <v>1</v>
      </c>
      <c r="CP188" s="83" t="s">
        <v>99</v>
      </c>
      <c r="CQ188" s="83">
        <v>1</v>
      </c>
      <c r="CS188" s="83" t="s">
        <v>99</v>
      </c>
      <c r="CT188" s="83">
        <v>1</v>
      </c>
      <c r="CV188" s="83" t="s">
        <v>99</v>
      </c>
      <c r="CW188" s="83">
        <v>1</v>
      </c>
      <c r="CY188" s="83" t="s">
        <v>99</v>
      </c>
      <c r="CZ188" s="83">
        <v>1</v>
      </c>
    </row>
    <row r="190" spans="1:104" x14ac:dyDescent="0.2">
      <c r="A190" s="83" t="s">
        <v>100</v>
      </c>
      <c r="B190" s="83">
        <v>1</v>
      </c>
      <c r="D190" s="83" t="s">
        <v>100</v>
      </c>
      <c r="E190" s="83">
        <v>1</v>
      </c>
      <c r="G190" s="83" t="s">
        <v>100</v>
      </c>
      <c r="H190" s="83">
        <v>1</v>
      </c>
      <c r="J190" s="83" t="s">
        <v>100</v>
      </c>
      <c r="K190" s="83">
        <v>1</v>
      </c>
      <c r="M190" s="83" t="s">
        <v>100</v>
      </c>
      <c r="N190" s="83">
        <v>1</v>
      </c>
      <c r="P190" s="83" t="s">
        <v>100</v>
      </c>
      <c r="Q190" s="83">
        <v>1</v>
      </c>
      <c r="S190" s="83" t="s">
        <v>100</v>
      </c>
      <c r="T190" s="83">
        <v>1</v>
      </c>
      <c r="V190" s="83" t="s">
        <v>100</v>
      </c>
      <c r="W190" s="83">
        <v>1</v>
      </c>
      <c r="Y190" s="83" t="s">
        <v>100</v>
      </c>
      <c r="Z190" s="83">
        <v>1</v>
      </c>
      <c r="AB190" s="83" t="s">
        <v>100</v>
      </c>
      <c r="AC190" s="83">
        <v>1</v>
      </c>
      <c r="AE190" s="83" t="s">
        <v>100</v>
      </c>
      <c r="AF190" s="83">
        <v>1</v>
      </c>
      <c r="AH190" s="83" t="s">
        <v>100</v>
      </c>
      <c r="AI190" s="83">
        <v>1</v>
      </c>
      <c r="AK190" s="83" t="s">
        <v>100</v>
      </c>
      <c r="AL190" s="83">
        <v>1</v>
      </c>
      <c r="AN190" s="83" t="s">
        <v>100</v>
      </c>
      <c r="AO190" s="83">
        <v>1</v>
      </c>
      <c r="AQ190" s="83" t="s">
        <v>100</v>
      </c>
      <c r="AR190" s="83">
        <v>1</v>
      </c>
      <c r="AT190" s="83" t="s">
        <v>100</v>
      </c>
      <c r="AU190" s="83">
        <v>1</v>
      </c>
      <c r="AW190" s="83" t="s">
        <v>100</v>
      </c>
      <c r="AX190" s="83">
        <v>1</v>
      </c>
      <c r="AZ190" s="83" t="s">
        <v>100</v>
      </c>
      <c r="BA190" s="83">
        <v>1</v>
      </c>
      <c r="BC190" s="83" t="s">
        <v>100</v>
      </c>
      <c r="BD190" s="83">
        <v>1</v>
      </c>
      <c r="BF190" s="83" t="s">
        <v>100</v>
      </c>
      <c r="BG190" s="83">
        <v>1</v>
      </c>
      <c r="BI190" s="83" t="s">
        <v>100</v>
      </c>
      <c r="BJ190" s="83">
        <v>1</v>
      </c>
      <c r="BL190" s="83" t="s">
        <v>100</v>
      </c>
      <c r="BM190" s="83">
        <v>1</v>
      </c>
      <c r="BO190" s="83" t="s">
        <v>100</v>
      </c>
      <c r="BP190" s="83">
        <v>1</v>
      </c>
      <c r="BR190" s="83" t="s">
        <v>100</v>
      </c>
      <c r="BS190" s="83">
        <v>1</v>
      </c>
      <c r="BU190" s="83" t="s">
        <v>100</v>
      </c>
      <c r="BV190" s="83">
        <v>1</v>
      </c>
      <c r="BX190" s="83" t="s">
        <v>100</v>
      </c>
      <c r="BY190" s="83">
        <v>1</v>
      </c>
      <c r="CA190" s="83" t="s">
        <v>100</v>
      </c>
      <c r="CB190" s="83">
        <v>1</v>
      </c>
      <c r="CD190" s="83" t="s">
        <v>100</v>
      </c>
      <c r="CE190" s="83">
        <v>1</v>
      </c>
      <c r="CG190" s="83" t="s">
        <v>100</v>
      </c>
      <c r="CH190" s="83">
        <v>1</v>
      </c>
      <c r="CJ190" s="83" t="s">
        <v>100</v>
      </c>
      <c r="CK190" s="83">
        <v>1</v>
      </c>
      <c r="CM190" s="83" t="s">
        <v>100</v>
      </c>
      <c r="CN190" s="83">
        <v>1</v>
      </c>
      <c r="CP190" s="83" t="s">
        <v>100</v>
      </c>
      <c r="CQ190" s="83">
        <v>1</v>
      </c>
      <c r="CS190" s="83" t="s">
        <v>100</v>
      </c>
      <c r="CT190" s="83">
        <v>1</v>
      </c>
      <c r="CV190" s="83" t="s">
        <v>100</v>
      </c>
      <c r="CW190" s="83">
        <v>1</v>
      </c>
      <c r="CY190" s="83" t="s">
        <v>100</v>
      </c>
      <c r="CZ190" s="83">
        <v>1</v>
      </c>
    </row>
    <row r="192" spans="1:104" x14ac:dyDescent="0.2">
      <c r="A192" s="83" t="s">
        <v>101</v>
      </c>
      <c r="B192" s="83">
        <v>1</v>
      </c>
      <c r="D192" s="83" t="s">
        <v>101</v>
      </c>
      <c r="E192" s="83">
        <v>1</v>
      </c>
      <c r="G192" s="83" t="s">
        <v>101</v>
      </c>
      <c r="H192" s="83">
        <v>1</v>
      </c>
      <c r="J192" s="83" t="s">
        <v>101</v>
      </c>
      <c r="K192" s="83">
        <v>1</v>
      </c>
      <c r="M192" s="83" t="s">
        <v>101</v>
      </c>
      <c r="N192" s="83">
        <v>1</v>
      </c>
      <c r="P192" s="83" t="s">
        <v>101</v>
      </c>
      <c r="Q192" s="83">
        <v>1</v>
      </c>
      <c r="S192" s="83" t="s">
        <v>101</v>
      </c>
      <c r="T192" s="83">
        <v>1</v>
      </c>
      <c r="V192" s="83" t="s">
        <v>101</v>
      </c>
      <c r="W192" s="83">
        <v>1</v>
      </c>
      <c r="Y192" s="83" t="s">
        <v>101</v>
      </c>
      <c r="Z192" s="83">
        <v>1</v>
      </c>
      <c r="AB192" s="83" t="s">
        <v>101</v>
      </c>
      <c r="AC192" s="83">
        <v>1</v>
      </c>
      <c r="AE192" s="83" t="s">
        <v>101</v>
      </c>
      <c r="AF192" s="83">
        <v>1</v>
      </c>
      <c r="AH192" s="83" t="s">
        <v>101</v>
      </c>
      <c r="AI192" s="83">
        <v>1</v>
      </c>
      <c r="AK192" s="83" t="s">
        <v>101</v>
      </c>
      <c r="AL192" s="83">
        <v>1</v>
      </c>
      <c r="AN192" s="83" t="s">
        <v>101</v>
      </c>
      <c r="AO192" s="83">
        <v>1</v>
      </c>
      <c r="AQ192" s="83" t="s">
        <v>101</v>
      </c>
      <c r="AR192" s="83">
        <v>1</v>
      </c>
      <c r="AT192" s="83" t="s">
        <v>101</v>
      </c>
      <c r="AU192" s="83">
        <v>1</v>
      </c>
      <c r="AW192" s="83" t="s">
        <v>101</v>
      </c>
      <c r="AX192" s="83">
        <v>1</v>
      </c>
      <c r="AZ192" s="83" t="s">
        <v>101</v>
      </c>
      <c r="BA192" s="83">
        <v>1</v>
      </c>
      <c r="BC192" s="83" t="s">
        <v>101</v>
      </c>
      <c r="BD192" s="83">
        <v>1</v>
      </c>
      <c r="BF192" s="83" t="s">
        <v>101</v>
      </c>
      <c r="BG192" s="83">
        <v>1</v>
      </c>
      <c r="BI192" s="83" t="s">
        <v>101</v>
      </c>
      <c r="BJ192" s="83">
        <v>1</v>
      </c>
      <c r="BL192" s="83" t="s">
        <v>101</v>
      </c>
      <c r="BM192" s="83">
        <v>1</v>
      </c>
      <c r="BO192" s="83" t="s">
        <v>101</v>
      </c>
      <c r="BP192" s="83">
        <v>1</v>
      </c>
      <c r="BR192" s="83" t="s">
        <v>101</v>
      </c>
      <c r="BS192" s="83">
        <v>1</v>
      </c>
      <c r="BU192" s="83" t="s">
        <v>101</v>
      </c>
      <c r="BV192" s="83">
        <v>1</v>
      </c>
      <c r="BX192" s="83" t="s">
        <v>101</v>
      </c>
      <c r="BY192" s="83">
        <v>1</v>
      </c>
      <c r="CA192" s="83" t="s">
        <v>101</v>
      </c>
      <c r="CB192" s="83">
        <v>1</v>
      </c>
      <c r="CD192" s="83" t="s">
        <v>101</v>
      </c>
      <c r="CE192" s="83">
        <v>1</v>
      </c>
      <c r="CG192" s="83" t="s">
        <v>101</v>
      </c>
      <c r="CH192" s="83">
        <v>1</v>
      </c>
      <c r="CJ192" s="83" t="s">
        <v>101</v>
      </c>
      <c r="CK192" s="83">
        <v>1</v>
      </c>
      <c r="CM192" s="83" t="s">
        <v>101</v>
      </c>
      <c r="CN192" s="83">
        <v>1</v>
      </c>
      <c r="CP192" s="83" t="s">
        <v>101</v>
      </c>
      <c r="CQ192" s="83">
        <v>1</v>
      </c>
      <c r="CS192" s="83" t="s">
        <v>101</v>
      </c>
      <c r="CT192" s="83">
        <v>1</v>
      </c>
      <c r="CV192" s="83" t="s">
        <v>101</v>
      </c>
      <c r="CW192" s="83">
        <v>1</v>
      </c>
      <c r="CY192" s="83" t="s">
        <v>101</v>
      </c>
      <c r="CZ192" s="83">
        <v>1</v>
      </c>
    </row>
    <row r="194" spans="1:104" x14ac:dyDescent="0.2">
      <c r="A194" s="83" t="s">
        <v>102</v>
      </c>
      <c r="B194" s="83">
        <v>1</v>
      </c>
      <c r="D194" s="83" t="s">
        <v>102</v>
      </c>
      <c r="E194" s="83">
        <v>1</v>
      </c>
      <c r="G194" s="83" t="s">
        <v>102</v>
      </c>
      <c r="H194" s="83">
        <v>1</v>
      </c>
      <c r="J194" s="83" t="s">
        <v>102</v>
      </c>
      <c r="K194" s="83">
        <v>1</v>
      </c>
      <c r="M194" s="83" t="s">
        <v>102</v>
      </c>
      <c r="N194" s="83">
        <v>1</v>
      </c>
      <c r="P194" s="83" t="s">
        <v>102</v>
      </c>
      <c r="Q194" s="83">
        <v>1</v>
      </c>
      <c r="S194" s="83" t="s">
        <v>102</v>
      </c>
      <c r="T194" s="83">
        <v>1</v>
      </c>
      <c r="V194" s="83" t="s">
        <v>102</v>
      </c>
      <c r="W194" s="83">
        <v>1</v>
      </c>
      <c r="Y194" s="83" t="s">
        <v>102</v>
      </c>
      <c r="Z194" s="83">
        <v>1</v>
      </c>
      <c r="AB194" s="83" t="s">
        <v>102</v>
      </c>
      <c r="AC194" s="83">
        <v>1</v>
      </c>
      <c r="AE194" s="83" t="s">
        <v>102</v>
      </c>
      <c r="AF194" s="83">
        <v>1</v>
      </c>
      <c r="AH194" s="83" t="s">
        <v>102</v>
      </c>
      <c r="AI194" s="83">
        <v>1</v>
      </c>
      <c r="AK194" s="83" t="s">
        <v>102</v>
      </c>
      <c r="AL194" s="83">
        <v>1</v>
      </c>
      <c r="AN194" s="83" t="s">
        <v>102</v>
      </c>
      <c r="AO194" s="83">
        <v>1</v>
      </c>
      <c r="AQ194" s="83" t="s">
        <v>102</v>
      </c>
      <c r="AR194" s="83">
        <v>1</v>
      </c>
      <c r="AT194" s="83" t="s">
        <v>102</v>
      </c>
      <c r="AU194" s="83">
        <v>1</v>
      </c>
      <c r="AW194" s="83" t="s">
        <v>102</v>
      </c>
      <c r="AX194" s="83">
        <v>1</v>
      </c>
      <c r="AZ194" s="83" t="s">
        <v>102</v>
      </c>
      <c r="BA194" s="83">
        <v>1</v>
      </c>
      <c r="BC194" s="83" t="s">
        <v>102</v>
      </c>
      <c r="BD194" s="83">
        <v>1</v>
      </c>
      <c r="BF194" s="83" t="s">
        <v>102</v>
      </c>
      <c r="BG194" s="83">
        <v>1</v>
      </c>
      <c r="BI194" s="83" t="s">
        <v>102</v>
      </c>
      <c r="BJ194" s="83">
        <v>1</v>
      </c>
      <c r="BL194" s="83" t="s">
        <v>102</v>
      </c>
      <c r="BM194" s="83">
        <v>1</v>
      </c>
      <c r="BO194" s="83" t="s">
        <v>102</v>
      </c>
      <c r="BP194" s="83">
        <v>1</v>
      </c>
      <c r="BR194" s="83" t="s">
        <v>102</v>
      </c>
      <c r="BS194" s="83">
        <v>1</v>
      </c>
      <c r="BU194" s="83" t="s">
        <v>102</v>
      </c>
      <c r="BV194" s="83">
        <v>1</v>
      </c>
      <c r="BX194" s="83" t="s">
        <v>102</v>
      </c>
      <c r="BY194" s="83">
        <v>1</v>
      </c>
      <c r="CA194" s="83" t="s">
        <v>102</v>
      </c>
      <c r="CB194" s="83">
        <v>1</v>
      </c>
      <c r="CD194" s="83" t="s">
        <v>102</v>
      </c>
      <c r="CE194" s="83">
        <v>1</v>
      </c>
      <c r="CG194" s="83" t="s">
        <v>102</v>
      </c>
      <c r="CH194" s="83">
        <v>1</v>
      </c>
      <c r="CJ194" s="83" t="s">
        <v>102</v>
      </c>
      <c r="CK194" s="83">
        <v>1</v>
      </c>
      <c r="CM194" s="83" t="s">
        <v>102</v>
      </c>
      <c r="CN194" s="83">
        <v>1</v>
      </c>
      <c r="CP194" s="83" t="s">
        <v>102</v>
      </c>
      <c r="CQ194" s="83">
        <v>1</v>
      </c>
      <c r="CS194" s="83" t="s">
        <v>102</v>
      </c>
      <c r="CT194" s="83">
        <v>1</v>
      </c>
      <c r="CV194" s="83" t="s">
        <v>102</v>
      </c>
      <c r="CW194" s="83">
        <v>1</v>
      </c>
      <c r="CY194" s="83" t="s">
        <v>102</v>
      </c>
      <c r="CZ194" s="83">
        <v>1</v>
      </c>
    </row>
    <row r="196" spans="1:104" x14ac:dyDescent="0.2">
      <c r="A196" s="83" t="s">
        <v>103</v>
      </c>
      <c r="B196" s="83">
        <v>1</v>
      </c>
      <c r="D196" s="83" t="s">
        <v>103</v>
      </c>
      <c r="E196" s="83">
        <v>1</v>
      </c>
      <c r="G196" s="83" t="s">
        <v>103</v>
      </c>
      <c r="H196" s="83">
        <v>1</v>
      </c>
      <c r="J196" s="83" t="s">
        <v>103</v>
      </c>
      <c r="K196" s="83">
        <v>1</v>
      </c>
      <c r="M196" s="83" t="s">
        <v>103</v>
      </c>
      <c r="N196" s="83">
        <v>1</v>
      </c>
      <c r="P196" s="83" t="s">
        <v>103</v>
      </c>
      <c r="Q196" s="83">
        <v>1</v>
      </c>
      <c r="S196" s="83" t="s">
        <v>103</v>
      </c>
      <c r="T196" s="83">
        <v>1</v>
      </c>
      <c r="V196" s="83" t="s">
        <v>103</v>
      </c>
      <c r="W196" s="83">
        <v>1</v>
      </c>
      <c r="Y196" s="83" t="s">
        <v>103</v>
      </c>
      <c r="Z196" s="83">
        <v>1</v>
      </c>
      <c r="AB196" s="83" t="s">
        <v>103</v>
      </c>
      <c r="AC196" s="83">
        <v>1</v>
      </c>
      <c r="AE196" s="83" t="s">
        <v>103</v>
      </c>
      <c r="AF196" s="83">
        <v>1</v>
      </c>
      <c r="AH196" s="83" t="s">
        <v>103</v>
      </c>
      <c r="AI196" s="83">
        <v>1</v>
      </c>
      <c r="AK196" s="83" t="s">
        <v>103</v>
      </c>
      <c r="AL196" s="83">
        <v>1</v>
      </c>
      <c r="AN196" s="83" t="s">
        <v>103</v>
      </c>
      <c r="AO196" s="83">
        <v>1</v>
      </c>
      <c r="AQ196" s="83" t="s">
        <v>103</v>
      </c>
      <c r="AR196" s="83">
        <v>1</v>
      </c>
      <c r="AT196" s="83" t="s">
        <v>103</v>
      </c>
      <c r="AU196" s="83">
        <v>1</v>
      </c>
      <c r="AW196" s="83" t="s">
        <v>103</v>
      </c>
      <c r="AX196" s="83">
        <v>1</v>
      </c>
      <c r="AZ196" s="83" t="s">
        <v>103</v>
      </c>
      <c r="BA196" s="83">
        <v>1</v>
      </c>
      <c r="BC196" s="83" t="s">
        <v>103</v>
      </c>
      <c r="BD196" s="83">
        <v>1</v>
      </c>
      <c r="BF196" s="83" t="s">
        <v>103</v>
      </c>
      <c r="BG196" s="83">
        <v>1</v>
      </c>
      <c r="BI196" s="83" t="s">
        <v>103</v>
      </c>
      <c r="BJ196" s="83">
        <v>1</v>
      </c>
      <c r="BL196" s="83" t="s">
        <v>103</v>
      </c>
      <c r="BM196" s="83">
        <v>1</v>
      </c>
      <c r="BO196" s="83" t="s">
        <v>103</v>
      </c>
      <c r="BP196" s="83">
        <v>1</v>
      </c>
      <c r="BR196" s="83" t="s">
        <v>103</v>
      </c>
      <c r="BS196" s="83">
        <v>1</v>
      </c>
      <c r="BU196" s="83" t="s">
        <v>103</v>
      </c>
      <c r="BV196" s="83">
        <v>1</v>
      </c>
      <c r="BX196" s="83" t="s">
        <v>103</v>
      </c>
      <c r="BY196" s="83">
        <v>1</v>
      </c>
      <c r="CA196" s="83" t="s">
        <v>103</v>
      </c>
      <c r="CB196" s="83">
        <v>1</v>
      </c>
      <c r="CD196" s="83" t="s">
        <v>103</v>
      </c>
      <c r="CE196" s="83">
        <v>1</v>
      </c>
      <c r="CG196" s="83" t="s">
        <v>103</v>
      </c>
      <c r="CH196" s="83">
        <v>1</v>
      </c>
      <c r="CJ196" s="83" t="s">
        <v>103</v>
      </c>
      <c r="CK196" s="83">
        <v>1</v>
      </c>
      <c r="CM196" s="83" t="s">
        <v>103</v>
      </c>
      <c r="CN196" s="83">
        <v>1</v>
      </c>
      <c r="CP196" s="83" t="s">
        <v>103</v>
      </c>
      <c r="CQ196" s="83">
        <v>1</v>
      </c>
      <c r="CS196" s="83" t="s">
        <v>103</v>
      </c>
      <c r="CT196" s="83">
        <v>1</v>
      </c>
      <c r="CV196" s="83" t="s">
        <v>103</v>
      </c>
      <c r="CW196" s="83">
        <v>1</v>
      </c>
      <c r="CY196" s="83" t="s">
        <v>103</v>
      </c>
      <c r="CZ196" s="83">
        <v>1</v>
      </c>
    </row>
    <row r="198" spans="1:104" x14ac:dyDescent="0.2">
      <c r="A198" s="83" t="s">
        <v>104</v>
      </c>
      <c r="B198" s="83">
        <v>1</v>
      </c>
      <c r="D198" s="83" t="s">
        <v>104</v>
      </c>
      <c r="E198" s="83">
        <v>1</v>
      </c>
      <c r="G198" s="83" t="s">
        <v>104</v>
      </c>
      <c r="H198" s="83">
        <v>1</v>
      </c>
      <c r="J198" s="83" t="s">
        <v>104</v>
      </c>
      <c r="K198" s="83">
        <v>1</v>
      </c>
      <c r="M198" s="83" t="s">
        <v>104</v>
      </c>
      <c r="N198" s="83">
        <v>1</v>
      </c>
      <c r="P198" s="83" t="s">
        <v>104</v>
      </c>
      <c r="Q198" s="83">
        <v>1</v>
      </c>
      <c r="S198" s="83" t="s">
        <v>104</v>
      </c>
      <c r="T198" s="83">
        <v>1</v>
      </c>
      <c r="V198" s="83" t="s">
        <v>104</v>
      </c>
      <c r="W198" s="83">
        <v>1</v>
      </c>
      <c r="Y198" s="83" t="s">
        <v>104</v>
      </c>
      <c r="Z198" s="83">
        <v>1</v>
      </c>
      <c r="AB198" s="83" t="s">
        <v>104</v>
      </c>
      <c r="AC198" s="83">
        <v>1</v>
      </c>
      <c r="AE198" s="83" t="s">
        <v>104</v>
      </c>
      <c r="AF198" s="83">
        <v>1</v>
      </c>
      <c r="AH198" s="83" t="s">
        <v>104</v>
      </c>
      <c r="AI198" s="83">
        <v>1</v>
      </c>
      <c r="AK198" s="83" t="s">
        <v>104</v>
      </c>
      <c r="AL198" s="83">
        <v>1</v>
      </c>
      <c r="AN198" s="83" t="s">
        <v>104</v>
      </c>
      <c r="AO198" s="83">
        <v>1</v>
      </c>
      <c r="AQ198" s="83" t="s">
        <v>104</v>
      </c>
      <c r="AR198" s="83">
        <v>1</v>
      </c>
      <c r="AT198" s="83" t="s">
        <v>104</v>
      </c>
      <c r="AU198" s="83">
        <v>1</v>
      </c>
      <c r="AW198" s="83" t="s">
        <v>104</v>
      </c>
      <c r="AX198" s="83">
        <v>1</v>
      </c>
      <c r="AZ198" s="83" t="s">
        <v>104</v>
      </c>
      <c r="BA198" s="83">
        <v>1</v>
      </c>
      <c r="BC198" s="83" t="s">
        <v>104</v>
      </c>
      <c r="BD198" s="83">
        <v>1</v>
      </c>
      <c r="BF198" s="83" t="s">
        <v>104</v>
      </c>
      <c r="BG198" s="83">
        <v>1</v>
      </c>
      <c r="BI198" s="83" t="s">
        <v>104</v>
      </c>
      <c r="BJ198" s="83">
        <v>1</v>
      </c>
      <c r="BL198" s="83" t="s">
        <v>104</v>
      </c>
      <c r="BM198" s="83">
        <v>1</v>
      </c>
      <c r="BO198" s="83" t="s">
        <v>104</v>
      </c>
      <c r="BP198" s="83">
        <v>1</v>
      </c>
      <c r="BR198" s="83" t="s">
        <v>104</v>
      </c>
      <c r="BS198" s="83">
        <v>1</v>
      </c>
      <c r="BU198" s="83" t="s">
        <v>104</v>
      </c>
      <c r="BV198" s="83">
        <v>1</v>
      </c>
      <c r="BX198" s="83" t="s">
        <v>104</v>
      </c>
      <c r="BY198" s="83">
        <v>1</v>
      </c>
      <c r="CA198" s="83" t="s">
        <v>104</v>
      </c>
      <c r="CB198" s="83">
        <v>1</v>
      </c>
      <c r="CD198" s="83" t="s">
        <v>104</v>
      </c>
      <c r="CE198" s="83">
        <v>1</v>
      </c>
      <c r="CG198" s="83" t="s">
        <v>104</v>
      </c>
      <c r="CH198" s="83">
        <v>1</v>
      </c>
      <c r="CJ198" s="83" t="s">
        <v>104</v>
      </c>
      <c r="CK198" s="83">
        <v>1</v>
      </c>
      <c r="CM198" s="83" t="s">
        <v>104</v>
      </c>
      <c r="CN198" s="83">
        <v>1</v>
      </c>
      <c r="CP198" s="83" t="s">
        <v>104</v>
      </c>
      <c r="CQ198" s="83">
        <v>1</v>
      </c>
      <c r="CS198" s="83" t="s">
        <v>104</v>
      </c>
      <c r="CT198" s="83">
        <v>1</v>
      </c>
      <c r="CV198" s="83" t="s">
        <v>104</v>
      </c>
      <c r="CW198" s="83">
        <v>1</v>
      </c>
      <c r="CY198" s="83" t="s">
        <v>104</v>
      </c>
      <c r="CZ198" s="83">
        <v>1</v>
      </c>
    </row>
    <row r="200" spans="1:104" x14ac:dyDescent="0.2">
      <c r="A200" s="83" t="s">
        <v>105</v>
      </c>
      <c r="B200" s="83">
        <v>1</v>
      </c>
      <c r="D200" s="83" t="s">
        <v>105</v>
      </c>
      <c r="E200" s="83">
        <v>1</v>
      </c>
      <c r="G200" s="83" t="s">
        <v>105</v>
      </c>
      <c r="H200" s="83">
        <v>1</v>
      </c>
      <c r="J200" s="83" t="s">
        <v>105</v>
      </c>
      <c r="K200" s="83">
        <v>1</v>
      </c>
      <c r="M200" s="83" t="s">
        <v>105</v>
      </c>
      <c r="N200" s="83">
        <v>1</v>
      </c>
      <c r="P200" s="83" t="s">
        <v>105</v>
      </c>
      <c r="Q200" s="83">
        <v>1</v>
      </c>
      <c r="S200" s="83" t="s">
        <v>105</v>
      </c>
      <c r="T200" s="83">
        <v>1</v>
      </c>
      <c r="V200" s="83" t="s">
        <v>105</v>
      </c>
      <c r="W200" s="83">
        <v>1</v>
      </c>
      <c r="Y200" s="83" t="s">
        <v>105</v>
      </c>
      <c r="Z200" s="83">
        <v>1</v>
      </c>
      <c r="AB200" s="83" t="s">
        <v>105</v>
      </c>
      <c r="AC200" s="83">
        <v>1</v>
      </c>
      <c r="AE200" s="83" t="s">
        <v>105</v>
      </c>
      <c r="AF200" s="83">
        <v>1</v>
      </c>
      <c r="AH200" s="83" t="s">
        <v>105</v>
      </c>
      <c r="AI200" s="83">
        <v>1</v>
      </c>
      <c r="AK200" s="83" t="s">
        <v>105</v>
      </c>
      <c r="AL200" s="83">
        <v>1</v>
      </c>
      <c r="AN200" s="83" t="s">
        <v>105</v>
      </c>
      <c r="AO200" s="83">
        <v>1</v>
      </c>
      <c r="AQ200" s="83" t="s">
        <v>105</v>
      </c>
      <c r="AR200" s="83">
        <v>1</v>
      </c>
      <c r="AT200" s="83" t="s">
        <v>105</v>
      </c>
      <c r="AU200" s="83">
        <v>1</v>
      </c>
      <c r="AW200" s="83" t="s">
        <v>105</v>
      </c>
      <c r="AX200" s="83">
        <v>1</v>
      </c>
      <c r="AZ200" s="83" t="s">
        <v>105</v>
      </c>
      <c r="BA200" s="83">
        <v>1</v>
      </c>
      <c r="BC200" s="83" t="s">
        <v>105</v>
      </c>
      <c r="BD200" s="83">
        <v>1</v>
      </c>
      <c r="BF200" s="83" t="s">
        <v>105</v>
      </c>
      <c r="BG200" s="83">
        <v>1</v>
      </c>
      <c r="BI200" s="83" t="s">
        <v>105</v>
      </c>
      <c r="BJ200" s="83">
        <v>1</v>
      </c>
      <c r="BL200" s="83" t="s">
        <v>105</v>
      </c>
      <c r="BM200" s="83">
        <v>1</v>
      </c>
      <c r="BO200" s="83" t="s">
        <v>105</v>
      </c>
      <c r="BP200" s="83">
        <v>1</v>
      </c>
      <c r="BR200" s="83" t="s">
        <v>105</v>
      </c>
      <c r="BS200" s="83">
        <v>1</v>
      </c>
      <c r="BU200" s="83" t="s">
        <v>105</v>
      </c>
      <c r="BV200" s="83">
        <v>1</v>
      </c>
      <c r="BX200" s="83" t="s">
        <v>105</v>
      </c>
      <c r="BY200" s="83">
        <v>1</v>
      </c>
      <c r="CA200" s="83" t="s">
        <v>105</v>
      </c>
      <c r="CB200" s="83">
        <v>1</v>
      </c>
      <c r="CD200" s="83" t="s">
        <v>105</v>
      </c>
      <c r="CE200" s="83">
        <v>1</v>
      </c>
      <c r="CG200" s="83" t="s">
        <v>105</v>
      </c>
      <c r="CH200" s="83">
        <v>1</v>
      </c>
      <c r="CJ200" s="83" t="s">
        <v>105</v>
      </c>
      <c r="CK200" s="83">
        <v>1</v>
      </c>
      <c r="CM200" s="83" t="s">
        <v>105</v>
      </c>
      <c r="CN200" s="83">
        <v>1</v>
      </c>
      <c r="CP200" s="83" t="s">
        <v>105</v>
      </c>
      <c r="CQ200" s="83">
        <v>1</v>
      </c>
      <c r="CS200" s="83" t="s">
        <v>105</v>
      </c>
      <c r="CT200" s="83">
        <v>1</v>
      </c>
      <c r="CV200" s="83" t="s">
        <v>105</v>
      </c>
      <c r="CW200" s="83">
        <v>1</v>
      </c>
      <c r="CY200" s="83" t="s">
        <v>105</v>
      </c>
      <c r="CZ200" s="83">
        <v>1</v>
      </c>
    </row>
    <row r="202" spans="1:104" x14ac:dyDescent="0.2">
      <c r="A202" s="83" t="s">
        <v>106</v>
      </c>
      <c r="B202" s="83">
        <v>1</v>
      </c>
      <c r="D202" s="83" t="s">
        <v>106</v>
      </c>
      <c r="E202" s="83">
        <v>1</v>
      </c>
      <c r="G202" s="83" t="s">
        <v>106</v>
      </c>
      <c r="H202" s="83">
        <v>1</v>
      </c>
      <c r="J202" s="83" t="s">
        <v>106</v>
      </c>
      <c r="K202" s="83">
        <v>1</v>
      </c>
      <c r="M202" s="83" t="s">
        <v>106</v>
      </c>
      <c r="N202" s="83">
        <v>1</v>
      </c>
      <c r="P202" s="83" t="s">
        <v>106</v>
      </c>
      <c r="Q202" s="83">
        <v>1</v>
      </c>
      <c r="S202" s="83" t="s">
        <v>106</v>
      </c>
      <c r="T202" s="83">
        <v>1</v>
      </c>
      <c r="V202" s="83" t="s">
        <v>106</v>
      </c>
      <c r="W202" s="83">
        <v>1</v>
      </c>
      <c r="Y202" s="83" t="s">
        <v>106</v>
      </c>
      <c r="Z202" s="83">
        <v>1</v>
      </c>
      <c r="AB202" s="83" t="s">
        <v>106</v>
      </c>
      <c r="AC202" s="83">
        <v>1</v>
      </c>
      <c r="AE202" s="83" t="s">
        <v>106</v>
      </c>
      <c r="AF202" s="83">
        <v>1</v>
      </c>
      <c r="AH202" s="83" t="s">
        <v>106</v>
      </c>
      <c r="AI202" s="83">
        <v>1</v>
      </c>
      <c r="AK202" s="83" t="s">
        <v>106</v>
      </c>
      <c r="AL202" s="83">
        <v>1</v>
      </c>
      <c r="AN202" s="83" t="s">
        <v>106</v>
      </c>
      <c r="AO202" s="83">
        <v>1</v>
      </c>
      <c r="AQ202" s="83" t="s">
        <v>106</v>
      </c>
      <c r="AR202" s="83">
        <v>1</v>
      </c>
      <c r="AT202" s="83" t="s">
        <v>106</v>
      </c>
      <c r="AU202" s="83">
        <v>1</v>
      </c>
      <c r="AW202" s="83" t="s">
        <v>106</v>
      </c>
      <c r="AX202" s="83">
        <v>1</v>
      </c>
      <c r="AZ202" s="83" t="s">
        <v>106</v>
      </c>
      <c r="BA202" s="83">
        <v>1</v>
      </c>
      <c r="BC202" s="83" t="s">
        <v>106</v>
      </c>
      <c r="BD202" s="83">
        <v>1</v>
      </c>
      <c r="BF202" s="83" t="s">
        <v>106</v>
      </c>
      <c r="BG202" s="83">
        <v>1</v>
      </c>
      <c r="BI202" s="83" t="s">
        <v>106</v>
      </c>
      <c r="BJ202" s="83">
        <v>1</v>
      </c>
      <c r="BL202" s="83" t="s">
        <v>106</v>
      </c>
      <c r="BM202" s="83">
        <v>1</v>
      </c>
      <c r="BO202" s="83" t="s">
        <v>106</v>
      </c>
      <c r="BP202" s="83">
        <v>1</v>
      </c>
      <c r="BR202" s="83" t="s">
        <v>106</v>
      </c>
      <c r="BS202" s="83">
        <v>1</v>
      </c>
      <c r="BU202" s="83" t="s">
        <v>106</v>
      </c>
      <c r="BV202" s="83">
        <v>1</v>
      </c>
      <c r="BX202" s="83" t="s">
        <v>106</v>
      </c>
      <c r="BY202" s="83">
        <v>1</v>
      </c>
      <c r="CA202" s="83" t="s">
        <v>106</v>
      </c>
      <c r="CB202" s="83">
        <v>1</v>
      </c>
      <c r="CD202" s="83" t="s">
        <v>106</v>
      </c>
      <c r="CE202" s="83">
        <v>1</v>
      </c>
      <c r="CG202" s="83" t="s">
        <v>106</v>
      </c>
      <c r="CH202" s="83">
        <v>1</v>
      </c>
      <c r="CJ202" s="83" t="s">
        <v>106</v>
      </c>
      <c r="CK202" s="83">
        <v>1</v>
      </c>
      <c r="CM202" s="83" t="s">
        <v>106</v>
      </c>
      <c r="CN202" s="83">
        <v>1</v>
      </c>
      <c r="CP202" s="83" t="s">
        <v>106</v>
      </c>
      <c r="CQ202" s="83">
        <v>1</v>
      </c>
      <c r="CS202" s="83" t="s">
        <v>106</v>
      </c>
      <c r="CT202" s="83">
        <v>1</v>
      </c>
      <c r="CV202" s="83" t="s">
        <v>106</v>
      </c>
      <c r="CW202" s="83">
        <v>1</v>
      </c>
      <c r="CY202" s="83" t="s">
        <v>106</v>
      </c>
      <c r="CZ202" s="83">
        <v>1</v>
      </c>
    </row>
    <row r="204" spans="1:104" x14ac:dyDescent="0.2">
      <c r="A204" s="83" t="s">
        <v>107</v>
      </c>
      <c r="B204" s="83">
        <v>1</v>
      </c>
      <c r="D204" s="83" t="s">
        <v>107</v>
      </c>
      <c r="E204" s="83">
        <v>1</v>
      </c>
      <c r="G204" s="83" t="s">
        <v>107</v>
      </c>
      <c r="H204" s="83">
        <v>1</v>
      </c>
      <c r="J204" s="83" t="s">
        <v>107</v>
      </c>
      <c r="K204" s="83">
        <v>1</v>
      </c>
      <c r="M204" s="83" t="s">
        <v>107</v>
      </c>
      <c r="N204" s="83">
        <v>1</v>
      </c>
      <c r="P204" s="83" t="s">
        <v>107</v>
      </c>
      <c r="Q204" s="83">
        <v>1</v>
      </c>
      <c r="S204" s="83" t="s">
        <v>107</v>
      </c>
      <c r="T204" s="83">
        <v>1</v>
      </c>
      <c r="V204" s="83" t="s">
        <v>107</v>
      </c>
      <c r="W204" s="83">
        <v>1</v>
      </c>
      <c r="Y204" s="83" t="s">
        <v>107</v>
      </c>
      <c r="Z204" s="83">
        <v>1</v>
      </c>
      <c r="AB204" s="83" t="s">
        <v>107</v>
      </c>
      <c r="AC204" s="83">
        <v>1</v>
      </c>
      <c r="AE204" s="83" t="s">
        <v>107</v>
      </c>
      <c r="AF204" s="83">
        <v>1</v>
      </c>
      <c r="AH204" s="83" t="s">
        <v>107</v>
      </c>
      <c r="AI204" s="83">
        <v>1</v>
      </c>
      <c r="AK204" s="83" t="s">
        <v>107</v>
      </c>
      <c r="AL204" s="83">
        <v>1</v>
      </c>
      <c r="AN204" s="83" t="s">
        <v>107</v>
      </c>
      <c r="AO204" s="83">
        <v>1</v>
      </c>
      <c r="AQ204" s="83" t="s">
        <v>107</v>
      </c>
      <c r="AR204" s="83">
        <v>1</v>
      </c>
      <c r="AT204" s="83" t="s">
        <v>107</v>
      </c>
      <c r="AU204" s="83">
        <v>1</v>
      </c>
      <c r="AW204" s="83" t="s">
        <v>107</v>
      </c>
      <c r="AX204" s="83">
        <v>1</v>
      </c>
      <c r="AZ204" s="83" t="s">
        <v>107</v>
      </c>
      <c r="BA204" s="83">
        <v>1</v>
      </c>
      <c r="BC204" s="83" t="s">
        <v>107</v>
      </c>
      <c r="BD204" s="83">
        <v>1</v>
      </c>
      <c r="BF204" s="83" t="s">
        <v>107</v>
      </c>
      <c r="BG204" s="83">
        <v>1</v>
      </c>
      <c r="BI204" s="83" t="s">
        <v>107</v>
      </c>
      <c r="BJ204" s="83">
        <v>1</v>
      </c>
      <c r="BL204" s="83" t="s">
        <v>107</v>
      </c>
      <c r="BM204" s="83">
        <v>1</v>
      </c>
      <c r="BO204" s="83" t="s">
        <v>107</v>
      </c>
      <c r="BP204" s="83">
        <v>1</v>
      </c>
      <c r="BR204" s="83" t="s">
        <v>107</v>
      </c>
      <c r="BS204" s="83">
        <v>1</v>
      </c>
      <c r="BU204" s="83" t="s">
        <v>107</v>
      </c>
      <c r="BV204" s="83">
        <v>1</v>
      </c>
      <c r="BX204" s="83" t="s">
        <v>107</v>
      </c>
      <c r="BY204" s="83">
        <v>1</v>
      </c>
      <c r="CA204" s="83" t="s">
        <v>107</v>
      </c>
      <c r="CB204" s="83">
        <v>1</v>
      </c>
      <c r="CD204" s="83" t="s">
        <v>107</v>
      </c>
      <c r="CE204" s="83">
        <v>1</v>
      </c>
      <c r="CG204" s="83" t="s">
        <v>107</v>
      </c>
      <c r="CH204" s="83">
        <v>1</v>
      </c>
      <c r="CJ204" s="83" t="s">
        <v>107</v>
      </c>
      <c r="CK204" s="83">
        <v>1</v>
      </c>
      <c r="CM204" s="83" t="s">
        <v>107</v>
      </c>
      <c r="CN204" s="83">
        <v>1</v>
      </c>
      <c r="CP204" s="83" t="s">
        <v>107</v>
      </c>
      <c r="CQ204" s="83">
        <v>1</v>
      </c>
      <c r="CS204" s="83" t="s">
        <v>107</v>
      </c>
      <c r="CT204" s="83">
        <v>1</v>
      </c>
      <c r="CV204" s="83" t="s">
        <v>107</v>
      </c>
      <c r="CW204" s="83">
        <v>1</v>
      </c>
      <c r="CY204" s="83" t="s">
        <v>107</v>
      </c>
      <c r="CZ204" s="83">
        <v>1</v>
      </c>
    </row>
    <row r="206" spans="1:104" x14ac:dyDescent="0.2">
      <c r="A206" s="83" t="s">
        <v>108</v>
      </c>
      <c r="B206" s="83" t="s">
        <v>132</v>
      </c>
      <c r="D206" s="83" t="s">
        <v>108</v>
      </c>
      <c r="E206" s="83" t="s">
        <v>132</v>
      </c>
      <c r="G206" s="83" t="s">
        <v>108</v>
      </c>
      <c r="H206" s="83" t="s">
        <v>132</v>
      </c>
      <c r="J206" s="83" t="s">
        <v>108</v>
      </c>
      <c r="K206" s="83" t="s">
        <v>132</v>
      </c>
      <c r="M206" s="83" t="s">
        <v>108</v>
      </c>
      <c r="N206" s="83" t="s">
        <v>132</v>
      </c>
      <c r="P206" s="83" t="s">
        <v>108</v>
      </c>
      <c r="Q206" s="83" t="s">
        <v>132</v>
      </c>
      <c r="S206" s="83" t="s">
        <v>108</v>
      </c>
      <c r="T206" s="83" t="s">
        <v>132</v>
      </c>
      <c r="V206" s="83" t="s">
        <v>108</v>
      </c>
      <c r="W206" s="83" t="s">
        <v>132</v>
      </c>
      <c r="Y206" s="83" t="s">
        <v>108</v>
      </c>
      <c r="Z206" s="83" t="s">
        <v>132</v>
      </c>
      <c r="AB206" s="83" t="s">
        <v>108</v>
      </c>
      <c r="AC206" s="83" t="s">
        <v>132</v>
      </c>
      <c r="AE206" s="83" t="s">
        <v>108</v>
      </c>
      <c r="AF206" s="83" t="s">
        <v>132</v>
      </c>
      <c r="AH206" s="83" t="s">
        <v>108</v>
      </c>
      <c r="AI206" s="83" t="s">
        <v>132</v>
      </c>
      <c r="AK206" s="83" t="s">
        <v>108</v>
      </c>
      <c r="AL206" s="83" t="s">
        <v>132</v>
      </c>
      <c r="AN206" s="83" t="s">
        <v>108</v>
      </c>
      <c r="AO206" s="83" t="s">
        <v>132</v>
      </c>
      <c r="AQ206" s="83" t="s">
        <v>108</v>
      </c>
      <c r="AR206" s="83" t="s">
        <v>132</v>
      </c>
      <c r="AT206" s="83" t="s">
        <v>108</v>
      </c>
      <c r="AU206" s="83" t="s">
        <v>132</v>
      </c>
      <c r="AW206" s="83" t="s">
        <v>108</v>
      </c>
      <c r="AX206" s="83" t="s">
        <v>132</v>
      </c>
      <c r="AZ206" s="83" t="s">
        <v>108</v>
      </c>
      <c r="BA206" s="83" t="s">
        <v>132</v>
      </c>
      <c r="BC206" s="83" t="s">
        <v>108</v>
      </c>
      <c r="BD206" s="83" t="s">
        <v>132</v>
      </c>
      <c r="BF206" s="83" t="s">
        <v>108</v>
      </c>
      <c r="BG206" s="83" t="s">
        <v>132</v>
      </c>
      <c r="BI206" s="83" t="s">
        <v>108</v>
      </c>
      <c r="BJ206" s="83" t="s">
        <v>132</v>
      </c>
      <c r="BL206" s="83" t="s">
        <v>108</v>
      </c>
      <c r="BM206" s="83" t="s">
        <v>132</v>
      </c>
      <c r="BO206" s="83" t="s">
        <v>108</v>
      </c>
      <c r="BP206" s="83" t="s">
        <v>132</v>
      </c>
      <c r="BR206" s="83" t="s">
        <v>108</v>
      </c>
      <c r="BS206" s="83" t="s">
        <v>132</v>
      </c>
      <c r="BU206" s="83" t="s">
        <v>108</v>
      </c>
      <c r="BV206" s="83" t="s">
        <v>132</v>
      </c>
      <c r="BX206" s="83" t="s">
        <v>108</v>
      </c>
      <c r="BY206" s="83" t="s">
        <v>132</v>
      </c>
      <c r="CA206" s="83" t="s">
        <v>108</v>
      </c>
      <c r="CB206" s="83" t="s">
        <v>132</v>
      </c>
      <c r="CD206" s="83" t="s">
        <v>108</v>
      </c>
      <c r="CE206" s="83" t="s">
        <v>132</v>
      </c>
      <c r="CG206" s="83" t="s">
        <v>108</v>
      </c>
      <c r="CH206" s="83" t="s">
        <v>132</v>
      </c>
      <c r="CJ206" s="83" t="s">
        <v>108</v>
      </c>
      <c r="CK206" s="83" t="s">
        <v>132</v>
      </c>
      <c r="CM206" s="83" t="s">
        <v>108</v>
      </c>
      <c r="CN206" s="83" t="s">
        <v>132</v>
      </c>
      <c r="CP206" s="83" t="s">
        <v>108</v>
      </c>
      <c r="CQ206" s="83" t="s">
        <v>132</v>
      </c>
      <c r="CS206" s="83" t="s">
        <v>108</v>
      </c>
      <c r="CT206" s="83" t="s">
        <v>132</v>
      </c>
      <c r="CV206" s="83" t="s">
        <v>108</v>
      </c>
      <c r="CW206" s="83" t="s">
        <v>132</v>
      </c>
      <c r="CY206" s="83" t="s">
        <v>108</v>
      </c>
      <c r="CZ206" s="83" t="s">
        <v>132</v>
      </c>
    </row>
    <row r="208" spans="1:104" x14ac:dyDescent="0.2">
      <c r="A208" s="83" t="s">
        <v>109</v>
      </c>
      <c r="B208" s="83">
        <v>1</v>
      </c>
      <c r="D208" s="83" t="s">
        <v>109</v>
      </c>
      <c r="E208" s="83">
        <v>1</v>
      </c>
      <c r="G208" s="83" t="s">
        <v>109</v>
      </c>
      <c r="H208" s="83">
        <v>1</v>
      </c>
      <c r="J208" s="83" t="s">
        <v>109</v>
      </c>
      <c r="K208" s="83">
        <v>1</v>
      </c>
      <c r="M208" s="83" t="s">
        <v>109</v>
      </c>
      <c r="N208" s="83">
        <v>1</v>
      </c>
      <c r="P208" s="83" t="s">
        <v>109</v>
      </c>
      <c r="Q208" s="83">
        <v>1</v>
      </c>
      <c r="S208" s="83" t="s">
        <v>109</v>
      </c>
      <c r="T208" s="83">
        <v>1</v>
      </c>
      <c r="V208" s="83" t="s">
        <v>109</v>
      </c>
      <c r="W208" s="83">
        <v>1</v>
      </c>
      <c r="Y208" s="83" t="s">
        <v>109</v>
      </c>
      <c r="Z208" s="83">
        <v>1</v>
      </c>
      <c r="AB208" s="83" t="s">
        <v>109</v>
      </c>
      <c r="AC208" s="83">
        <v>1</v>
      </c>
      <c r="AE208" s="83" t="s">
        <v>109</v>
      </c>
      <c r="AF208" s="83">
        <v>1</v>
      </c>
      <c r="AH208" s="83" t="s">
        <v>109</v>
      </c>
      <c r="AI208" s="83">
        <v>1</v>
      </c>
      <c r="AK208" s="83" t="s">
        <v>109</v>
      </c>
      <c r="AL208" s="83">
        <v>1</v>
      </c>
      <c r="AN208" s="83" t="s">
        <v>109</v>
      </c>
      <c r="AO208" s="83">
        <v>1</v>
      </c>
      <c r="AQ208" s="83" t="s">
        <v>109</v>
      </c>
      <c r="AR208" s="83">
        <v>1</v>
      </c>
      <c r="AT208" s="83" t="s">
        <v>109</v>
      </c>
      <c r="AU208" s="83">
        <v>1</v>
      </c>
      <c r="AW208" s="83" t="s">
        <v>109</v>
      </c>
      <c r="AX208" s="83">
        <v>1</v>
      </c>
      <c r="AZ208" s="83" t="s">
        <v>109</v>
      </c>
      <c r="BA208" s="83">
        <v>1</v>
      </c>
      <c r="BC208" s="83" t="s">
        <v>109</v>
      </c>
      <c r="BD208" s="83">
        <v>1</v>
      </c>
      <c r="BF208" s="83" t="s">
        <v>109</v>
      </c>
      <c r="BG208" s="83">
        <v>1</v>
      </c>
      <c r="BI208" s="83" t="s">
        <v>109</v>
      </c>
      <c r="BJ208" s="83">
        <v>1</v>
      </c>
      <c r="BL208" s="83" t="s">
        <v>109</v>
      </c>
      <c r="BM208" s="83">
        <v>1</v>
      </c>
      <c r="BO208" s="83" t="s">
        <v>109</v>
      </c>
      <c r="BP208" s="83">
        <v>1</v>
      </c>
      <c r="BR208" s="83" t="s">
        <v>109</v>
      </c>
      <c r="BS208" s="83">
        <v>1</v>
      </c>
      <c r="BU208" s="83" t="s">
        <v>109</v>
      </c>
      <c r="BV208" s="83">
        <v>1</v>
      </c>
      <c r="BX208" s="83" t="s">
        <v>109</v>
      </c>
      <c r="BY208" s="83">
        <v>1</v>
      </c>
      <c r="CA208" s="83" t="s">
        <v>109</v>
      </c>
      <c r="CB208" s="83">
        <v>1</v>
      </c>
      <c r="CD208" s="83" t="s">
        <v>109</v>
      </c>
      <c r="CE208" s="83">
        <v>1</v>
      </c>
      <c r="CG208" s="83" t="s">
        <v>109</v>
      </c>
      <c r="CH208" s="83">
        <v>1</v>
      </c>
      <c r="CJ208" s="83" t="s">
        <v>109</v>
      </c>
      <c r="CK208" s="83">
        <v>1</v>
      </c>
      <c r="CM208" s="83" t="s">
        <v>109</v>
      </c>
      <c r="CN208" s="83">
        <v>1</v>
      </c>
      <c r="CP208" s="83" t="s">
        <v>109</v>
      </c>
      <c r="CQ208" s="83">
        <v>1</v>
      </c>
      <c r="CS208" s="83" t="s">
        <v>109</v>
      </c>
      <c r="CT208" s="83">
        <v>1</v>
      </c>
      <c r="CV208" s="83" t="s">
        <v>109</v>
      </c>
      <c r="CW208" s="83">
        <v>1</v>
      </c>
      <c r="CY208" s="83" t="s">
        <v>109</v>
      </c>
      <c r="CZ208" s="83">
        <v>1</v>
      </c>
    </row>
    <row r="210" spans="1:104" x14ac:dyDescent="0.2">
      <c r="A210" s="83" t="s">
        <v>110</v>
      </c>
      <c r="B210" s="83">
        <v>1</v>
      </c>
      <c r="D210" s="83" t="s">
        <v>110</v>
      </c>
      <c r="E210" s="83">
        <v>1</v>
      </c>
      <c r="G210" s="83" t="s">
        <v>110</v>
      </c>
      <c r="H210" s="83">
        <v>1</v>
      </c>
      <c r="J210" s="83" t="s">
        <v>110</v>
      </c>
      <c r="K210" s="83">
        <v>1</v>
      </c>
      <c r="M210" s="83" t="s">
        <v>110</v>
      </c>
      <c r="N210" s="83">
        <v>1</v>
      </c>
      <c r="P210" s="83" t="s">
        <v>110</v>
      </c>
      <c r="Q210" s="83">
        <v>1</v>
      </c>
      <c r="S210" s="83" t="s">
        <v>110</v>
      </c>
      <c r="T210" s="83">
        <v>1</v>
      </c>
      <c r="V210" s="83" t="s">
        <v>110</v>
      </c>
      <c r="W210" s="83">
        <v>1</v>
      </c>
      <c r="Y210" s="83" t="s">
        <v>110</v>
      </c>
      <c r="Z210" s="83">
        <v>1</v>
      </c>
      <c r="AB210" s="83" t="s">
        <v>110</v>
      </c>
      <c r="AC210" s="83">
        <v>1</v>
      </c>
      <c r="AE210" s="83" t="s">
        <v>110</v>
      </c>
      <c r="AF210" s="83">
        <v>1</v>
      </c>
      <c r="AH210" s="83" t="s">
        <v>110</v>
      </c>
      <c r="AI210" s="83">
        <v>1</v>
      </c>
      <c r="AK210" s="83" t="s">
        <v>110</v>
      </c>
      <c r="AL210" s="83">
        <v>1</v>
      </c>
      <c r="AN210" s="83" t="s">
        <v>110</v>
      </c>
      <c r="AO210" s="83">
        <v>1</v>
      </c>
      <c r="AQ210" s="83" t="s">
        <v>110</v>
      </c>
      <c r="AR210" s="83">
        <v>1</v>
      </c>
      <c r="AT210" s="83" t="s">
        <v>110</v>
      </c>
      <c r="AU210" s="83">
        <v>1</v>
      </c>
      <c r="AW210" s="83" t="s">
        <v>110</v>
      </c>
      <c r="AX210" s="83">
        <v>1</v>
      </c>
      <c r="AZ210" s="83" t="s">
        <v>110</v>
      </c>
      <c r="BA210" s="83">
        <v>1</v>
      </c>
      <c r="BC210" s="83" t="s">
        <v>110</v>
      </c>
      <c r="BD210" s="83">
        <v>1</v>
      </c>
      <c r="BF210" s="83" t="s">
        <v>110</v>
      </c>
      <c r="BG210" s="83">
        <v>1</v>
      </c>
      <c r="BI210" s="83" t="s">
        <v>110</v>
      </c>
      <c r="BJ210" s="83">
        <v>1</v>
      </c>
      <c r="BL210" s="83" t="s">
        <v>110</v>
      </c>
      <c r="BM210" s="83">
        <v>1</v>
      </c>
      <c r="BO210" s="83" t="s">
        <v>110</v>
      </c>
      <c r="BP210" s="83">
        <v>1</v>
      </c>
      <c r="BR210" s="83" t="s">
        <v>110</v>
      </c>
      <c r="BS210" s="83">
        <v>1</v>
      </c>
      <c r="BU210" s="83" t="s">
        <v>110</v>
      </c>
      <c r="BV210" s="83">
        <v>1</v>
      </c>
      <c r="BX210" s="83" t="s">
        <v>110</v>
      </c>
      <c r="BY210" s="83">
        <v>1</v>
      </c>
      <c r="CA210" s="83" t="s">
        <v>110</v>
      </c>
      <c r="CB210" s="83">
        <v>1</v>
      </c>
      <c r="CD210" s="83" t="s">
        <v>110</v>
      </c>
      <c r="CE210" s="83">
        <v>1</v>
      </c>
      <c r="CG210" s="83" t="s">
        <v>110</v>
      </c>
      <c r="CH210" s="83">
        <v>1</v>
      </c>
      <c r="CJ210" s="83" t="s">
        <v>110</v>
      </c>
      <c r="CK210" s="83">
        <v>1</v>
      </c>
      <c r="CM210" s="83" t="s">
        <v>110</v>
      </c>
      <c r="CN210" s="83">
        <v>1</v>
      </c>
      <c r="CP210" s="83" t="s">
        <v>110</v>
      </c>
      <c r="CQ210" s="83">
        <v>1</v>
      </c>
      <c r="CS210" s="83" t="s">
        <v>110</v>
      </c>
      <c r="CT210" s="83">
        <v>1</v>
      </c>
      <c r="CV210" s="83" t="s">
        <v>110</v>
      </c>
      <c r="CW210" s="83">
        <v>1</v>
      </c>
      <c r="CY210" s="83" t="s">
        <v>110</v>
      </c>
      <c r="CZ210" s="83">
        <v>1</v>
      </c>
    </row>
    <row r="212" spans="1:104" x14ac:dyDescent="0.2">
      <c r="A212" s="83" t="s">
        <v>91</v>
      </c>
      <c r="B212" s="83">
        <v>1</v>
      </c>
      <c r="D212" s="83" t="s">
        <v>91</v>
      </c>
      <c r="E212" s="83">
        <v>1</v>
      </c>
      <c r="G212" s="83" t="s">
        <v>91</v>
      </c>
      <c r="H212" s="83">
        <v>1</v>
      </c>
      <c r="J212" s="83" t="s">
        <v>91</v>
      </c>
      <c r="K212" s="83">
        <v>1</v>
      </c>
      <c r="M212" s="83" t="s">
        <v>91</v>
      </c>
      <c r="N212" s="83">
        <v>1</v>
      </c>
      <c r="P212" s="83" t="s">
        <v>91</v>
      </c>
      <c r="Q212" s="83">
        <v>1</v>
      </c>
      <c r="S212" s="83" t="s">
        <v>91</v>
      </c>
      <c r="T212" s="83">
        <v>1</v>
      </c>
      <c r="V212" s="83" t="s">
        <v>91</v>
      </c>
      <c r="W212" s="83">
        <v>1</v>
      </c>
      <c r="Y212" s="83" t="s">
        <v>91</v>
      </c>
      <c r="Z212" s="83">
        <v>1</v>
      </c>
      <c r="AB212" s="83" t="s">
        <v>91</v>
      </c>
      <c r="AC212" s="83">
        <v>1</v>
      </c>
      <c r="AE212" s="83" t="s">
        <v>91</v>
      </c>
      <c r="AF212" s="83">
        <v>1</v>
      </c>
      <c r="AH212" s="83" t="s">
        <v>91</v>
      </c>
      <c r="AI212" s="83">
        <v>1</v>
      </c>
      <c r="AK212" s="83" t="s">
        <v>91</v>
      </c>
      <c r="AL212" s="83">
        <v>1</v>
      </c>
      <c r="AN212" s="83" t="s">
        <v>91</v>
      </c>
      <c r="AO212" s="83">
        <v>1</v>
      </c>
      <c r="AQ212" s="83" t="s">
        <v>91</v>
      </c>
      <c r="AR212" s="83">
        <v>1</v>
      </c>
      <c r="AT212" s="83" t="s">
        <v>91</v>
      </c>
      <c r="AU212" s="83">
        <v>1</v>
      </c>
      <c r="AW212" s="83" t="s">
        <v>91</v>
      </c>
      <c r="AX212" s="83">
        <v>1</v>
      </c>
      <c r="AZ212" s="83" t="s">
        <v>91</v>
      </c>
      <c r="BA212" s="83">
        <v>1</v>
      </c>
      <c r="BC212" s="83" t="s">
        <v>91</v>
      </c>
      <c r="BD212" s="83">
        <v>1</v>
      </c>
      <c r="BF212" s="83" t="s">
        <v>91</v>
      </c>
      <c r="BG212" s="83">
        <v>1</v>
      </c>
      <c r="BI212" s="83" t="s">
        <v>91</v>
      </c>
      <c r="BJ212" s="83">
        <v>1</v>
      </c>
      <c r="BL212" s="83" t="s">
        <v>91</v>
      </c>
      <c r="BM212" s="83">
        <v>1</v>
      </c>
      <c r="BO212" s="83" t="s">
        <v>91</v>
      </c>
      <c r="BP212" s="83">
        <v>1</v>
      </c>
      <c r="BR212" s="83" t="s">
        <v>91</v>
      </c>
      <c r="BS212" s="83">
        <v>1</v>
      </c>
      <c r="BU212" s="83" t="s">
        <v>91</v>
      </c>
      <c r="BV212" s="83">
        <v>1</v>
      </c>
      <c r="BX212" s="83" t="s">
        <v>91</v>
      </c>
      <c r="BY212" s="83">
        <v>1</v>
      </c>
      <c r="CA212" s="83" t="s">
        <v>91</v>
      </c>
      <c r="CB212" s="83">
        <v>1</v>
      </c>
      <c r="CD212" s="83" t="s">
        <v>91</v>
      </c>
      <c r="CE212" s="83">
        <v>1</v>
      </c>
      <c r="CG212" s="83" t="s">
        <v>91</v>
      </c>
      <c r="CH212" s="83">
        <v>1</v>
      </c>
      <c r="CJ212" s="83" t="s">
        <v>91</v>
      </c>
      <c r="CK212" s="83">
        <v>1</v>
      </c>
      <c r="CM212" s="83" t="s">
        <v>91</v>
      </c>
      <c r="CN212" s="83">
        <v>1</v>
      </c>
      <c r="CP212" s="83" t="s">
        <v>91</v>
      </c>
      <c r="CQ212" s="83">
        <v>1</v>
      </c>
      <c r="CS212" s="83" t="s">
        <v>91</v>
      </c>
      <c r="CT212" s="83">
        <v>1</v>
      </c>
      <c r="CV212" s="83" t="s">
        <v>91</v>
      </c>
      <c r="CW212" s="83">
        <v>1</v>
      </c>
      <c r="CY212" s="83" t="s">
        <v>91</v>
      </c>
      <c r="CZ212" s="83">
        <v>1</v>
      </c>
    </row>
    <row r="214" spans="1:104" x14ac:dyDescent="0.2">
      <c r="A214" s="83" t="s">
        <v>92</v>
      </c>
      <c r="B214" s="83">
        <v>1</v>
      </c>
      <c r="D214" s="83" t="s">
        <v>92</v>
      </c>
      <c r="E214" s="83">
        <v>1</v>
      </c>
      <c r="G214" s="83" t="s">
        <v>92</v>
      </c>
      <c r="H214" s="83">
        <v>1</v>
      </c>
      <c r="J214" s="83" t="s">
        <v>92</v>
      </c>
      <c r="K214" s="83">
        <v>1</v>
      </c>
      <c r="M214" s="83" t="s">
        <v>92</v>
      </c>
      <c r="N214" s="83">
        <v>1</v>
      </c>
      <c r="P214" s="83" t="s">
        <v>92</v>
      </c>
      <c r="Q214" s="83">
        <v>1</v>
      </c>
      <c r="S214" s="83" t="s">
        <v>92</v>
      </c>
      <c r="T214" s="83">
        <v>1</v>
      </c>
      <c r="V214" s="83" t="s">
        <v>92</v>
      </c>
      <c r="W214" s="83">
        <v>1</v>
      </c>
      <c r="Y214" s="83" t="s">
        <v>92</v>
      </c>
      <c r="Z214" s="83">
        <v>1</v>
      </c>
      <c r="AB214" s="83" t="s">
        <v>92</v>
      </c>
      <c r="AC214" s="83">
        <v>1</v>
      </c>
      <c r="AE214" s="83" t="s">
        <v>92</v>
      </c>
      <c r="AF214" s="83">
        <v>1</v>
      </c>
      <c r="AH214" s="83" t="s">
        <v>92</v>
      </c>
      <c r="AI214" s="83">
        <v>1</v>
      </c>
      <c r="AK214" s="83" t="s">
        <v>92</v>
      </c>
      <c r="AL214" s="83">
        <v>1</v>
      </c>
      <c r="AN214" s="83" t="s">
        <v>92</v>
      </c>
      <c r="AO214" s="83">
        <v>1</v>
      </c>
      <c r="AQ214" s="83" t="s">
        <v>92</v>
      </c>
      <c r="AR214" s="83">
        <v>1</v>
      </c>
      <c r="AT214" s="83" t="s">
        <v>92</v>
      </c>
      <c r="AU214" s="83">
        <v>1</v>
      </c>
      <c r="AW214" s="83" t="s">
        <v>92</v>
      </c>
      <c r="AX214" s="83">
        <v>1</v>
      </c>
      <c r="AZ214" s="83" t="s">
        <v>92</v>
      </c>
      <c r="BA214" s="83">
        <v>1</v>
      </c>
      <c r="BC214" s="83" t="s">
        <v>92</v>
      </c>
      <c r="BD214" s="83">
        <v>1</v>
      </c>
      <c r="BF214" s="83" t="s">
        <v>92</v>
      </c>
      <c r="BG214" s="83">
        <v>1</v>
      </c>
      <c r="BI214" s="83" t="s">
        <v>92</v>
      </c>
      <c r="BJ214" s="83">
        <v>1</v>
      </c>
      <c r="BL214" s="83" t="s">
        <v>92</v>
      </c>
      <c r="BM214" s="83">
        <v>1</v>
      </c>
      <c r="BO214" s="83" t="s">
        <v>92</v>
      </c>
      <c r="BP214" s="83">
        <v>1</v>
      </c>
      <c r="BR214" s="83" t="s">
        <v>92</v>
      </c>
      <c r="BS214" s="83">
        <v>1</v>
      </c>
      <c r="BU214" s="83" t="s">
        <v>92</v>
      </c>
      <c r="BV214" s="83">
        <v>1</v>
      </c>
      <c r="BX214" s="83" t="s">
        <v>92</v>
      </c>
      <c r="BY214" s="83">
        <v>1</v>
      </c>
      <c r="CA214" s="83" t="s">
        <v>92</v>
      </c>
      <c r="CB214" s="83">
        <v>1</v>
      </c>
      <c r="CD214" s="83" t="s">
        <v>92</v>
      </c>
      <c r="CE214" s="83">
        <v>1</v>
      </c>
      <c r="CG214" s="83" t="s">
        <v>92</v>
      </c>
      <c r="CH214" s="83">
        <v>1</v>
      </c>
      <c r="CJ214" s="83" t="s">
        <v>92</v>
      </c>
      <c r="CK214" s="83">
        <v>1</v>
      </c>
      <c r="CM214" s="83" t="s">
        <v>92</v>
      </c>
      <c r="CN214" s="83">
        <v>1</v>
      </c>
      <c r="CP214" s="83" t="s">
        <v>92</v>
      </c>
      <c r="CQ214" s="83">
        <v>1</v>
      </c>
      <c r="CS214" s="83" t="s">
        <v>92</v>
      </c>
      <c r="CT214" s="83">
        <v>1</v>
      </c>
      <c r="CV214" s="83" t="s">
        <v>92</v>
      </c>
      <c r="CW214" s="83">
        <v>1</v>
      </c>
      <c r="CY214" s="83" t="s">
        <v>92</v>
      </c>
      <c r="CZ214" s="83">
        <v>1</v>
      </c>
    </row>
    <row r="216" spans="1:104" x14ac:dyDescent="0.2">
      <c r="A216" s="83" t="s">
        <v>93</v>
      </c>
      <c r="B216" s="83">
        <v>1</v>
      </c>
      <c r="D216" s="83" t="s">
        <v>93</v>
      </c>
      <c r="E216" s="83">
        <v>1</v>
      </c>
      <c r="G216" s="83" t="s">
        <v>93</v>
      </c>
      <c r="H216" s="83">
        <v>1</v>
      </c>
      <c r="J216" s="83" t="s">
        <v>93</v>
      </c>
      <c r="K216" s="83">
        <v>1</v>
      </c>
      <c r="M216" s="83" t="s">
        <v>93</v>
      </c>
      <c r="N216" s="83">
        <v>1</v>
      </c>
      <c r="P216" s="83" t="s">
        <v>93</v>
      </c>
      <c r="Q216" s="83">
        <v>1</v>
      </c>
      <c r="S216" s="83" t="s">
        <v>93</v>
      </c>
      <c r="T216" s="83">
        <v>1</v>
      </c>
      <c r="V216" s="83" t="s">
        <v>93</v>
      </c>
      <c r="W216" s="83">
        <v>1</v>
      </c>
      <c r="Y216" s="83" t="s">
        <v>93</v>
      </c>
      <c r="Z216" s="83">
        <v>1</v>
      </c>
      <c r="AB216" s="83" t="s">
        <v>93</v>
      </c>
      <c r="AC216" s="83">
        <v>1</v>
      </c>
      <c r="AE216" s="83" t="s">
        <v>93</v>
      </c>
      <c r="AF216" s="83">
        <v>1</v>
      </c>
      <c r="AH216" s="83" t="s">
        <v>93</v>
      </c>
      <c r="AI216" s="83">
        <v>1</v>
      </c>
      <c r="AK216" s="83" t="s">
        <v>93</v>
      </c>
      <c r="AL216" s="83">
        <v>1</v>
      </c>
      <c r="AN216" s="83" t="s">
        <v>93</v>
      </c>
      <c r="AO216" s="83">
        <v>1</v>
      </c>
      <c r="AQ216" s="83" t="s">
        <v>93</v>
      </c>
      <c r="AR216" s="83">
        <v>1</v>
      </c>
      <c r="AT216" s="83" t="s">
        <v>93</v>
      </c>
      <c r="AU216" s="83">
        <v>1</v>
      </c>
      <c r="AW216" s="83" t="s">
        <v>93</v>
      </c>
      <c r="AX216" s="83">
        <v>1</v>
      </c>
      <c r="AZ216" s="83" t="s">
        <v>93</v>
      </c>
      <c r="BA216" s="83">
        <v>1</v>
      </c>
      <c r="BC216" s="83" t="s">
        <v>93</v>
      </c>
      <c r="BD216" s="83">
        <v>1</v>
      </c>
      <c r="BF216" s="83" t="s">
        <v>93</v>
      </c>
      <c r="BG216" s="83">
        <v>1</v>
      </c>
      <c r="BI216" s="83" t="s">
        <v>93</v>
      </c>
      <c r="BJ216" s="83">
        <v>1</v>
      </c>
      <c r="BL216" s="83" t="s">
        <v>93</v>
      </c>
      <c r="BM216" s="83">
        <v>1</v>
      </c>
      <c r="BO216" s="83" t="s">
        <v>93</v>
      </c>
      <c r="BP216" s="83">
        <v>1</v>
      </c>
      <c r="BR216" s="83" t="s">
        <v>93</v>
      </c>
      <c r="BS216" s="83">
        <v>1</v>
      </c>
      <c r="BU216" s="83" t="s">
        <v>93</v>
      </c>
      <c r="BV216" s="83">
        <v>1</v>
      </c>
      <c r="BX216" s="83" t="s">
        <v>93</v>
      </c>
      <c r="BY216" s="83">
        <v>1</v>
      </c>
      <c r="CA216" s="83" t="s">
        <v>93</v>
      </c>
      <c r="CB216" s="83">
        <v>1</v>
      </c>
      <c r="CD216" s="83" t="s">
        <v>93</v>
      </c>
      <c r="CE216" s="83">
        <v>1</v>
      </c>
      <c r="CG216" s="83" t="s">
        <v>93</v>
      </c>
      <c r="CH216" s="83">
        <v>1</v>
      </c>
      <c r="CJ216" s="83" t="s">
        <v>93</v>
      </c>
      <c r="CK216" s="83">
        <v>1</v>
      </c>
      <c r="CM216" s="83" t="s">
        <v>93</v>
      </c>
      <c r="CN216" s="83">
        <v>1</v>
      </c>
      <c r="CP216" s="83" t="s">
        <v>93</v>
      </c>
      <c r="CQ216" s="83">
        <v>1</v>
      </c>
      <c r="CS216" s="83" t="s">
        <v>93</v>
      </c>
      <c r="CT216" s="83">
        <v>1</v>
      </c>
      <c r="CV216" s="83" t="s">
        <v>93</v>
      </c>
      <c r="CW216" s="83">
        <v>1</v>
      </c>
      <c r="CY216" s="83" t="s">
        <v>93</v>
      </c>
      <c r="CZ216" s="83">
        <v>1</v>
      </c>
    </row>
    <row r="218" spans="1:104" x14ac:dyDescent="0.2">
      <c r="A218" s="83" t="s">
        <v>94</v>
      </c>
      <c r="B218" s="83">
        <v>1</v>
      </c>
      <c r="D218" s="83" t="s">
        <v>94</v>
      </c>
      <c r="E218" s="83">
        <v>1</v>
      </c>
      <c r="G218" s="83" t="s">
        <v>94</v>
      </c>
      <c r="H218" s="83">
        <v>1</v>
      </c>
      <c r="J218" s="83" t="s">
        <v>94</v>
      </c>
      <c r="K218" s="83">
        <v>1</v>
      </c>
      <c r="M218" s="83" t="s">
        <v>94</v>
      </c>
      <c r="N218" s="83">
        <v>1</v>
      </c>
      <c r="P218" s="83" t="s">
        <v>94</v>
      </c>
      <c r="Q218" s="83">
        <v>1</v>
      </c>
      <c r="S218" s="83" t="s">
        <v>94</v>
      </c>
      <c r="T218" s="83">
        <v>1</v>
      </c>
      <c r="V218" s="83" t="s">
        <v>94</v>
      </c>
      <c r="W218" s="83">
        <v>1</v>
      </c>
      <c r="Y218" s="83" t="s">
        <v>94</v>
      </c>
      <c r="Z218" s="83">
        <v>1</v>
      </c>
      <c r="AB218" s="83" t="s">
        <v>94</v>
      </c>
      <c r="AC218" s="83">
        <v>1</v>
      </c>
      <c r="AE218" s="83" t="s">
        <v>94</v>
      </c>
      <c r="AF218" s="83">
        <v>1</v>
      </c>
      <c r="AH218" s="83" t="s">
        <v>94</v>
      </c>
      <c r="AI218" s="83">
        <v>1</v>
      </c>
      <c r="AK218" s="83" t="s">
        <v>94</v>
      </c>
      <c r="AL218" s="83">
        <v>1</v>
      </c>
      <c r="AN218" s="83" t="s">
        <v>94</v>
      </c>
      <c r="AO218" s="83">
        <v>1</v>
      </c>
      <c r="AQ218" s="83" t="s">
        <v>94</v>
      </c>
      <c r="AR218" s="83">
        <v>1</v>
      </c>
      <c r="AT218" s="83" t="s">
        <v>94</v>
      </c>
      <c r="AU218" s="83">
        <v>1</v>
      </c>
      <c r="AW218" s="83" t="s">
        <v>94</v>
      </c>
      <c r="AX218" s="83">
        <v>1</v>
      </c>
      <c r="AZ218" s="83" t="s">
        <v>94</v>
      </c>
      <c r="BA218" s="83">
        <v>1</v>
      </c>
      <c r="BC218" s="83" t="s">
        <v>94</v>
      </c>
      <c r="BD218" s="83">
        <v>1</v>
      </c>
      <c r="BF218" s="83" t="s">
        <v>94</v>
      </c>
      <c r="BG218" s="83">
        <v>1</v>
      </c>
      <c r="BI218" s="83" t="s">
        <v>94</v>
      </c>
      <c r="BJ218" s="83">
        <v>1</v>
      </c>
      <c r="BL218" s="83" t="s">
        <v>94</v>
      </c>
      <c r="BM218" s="83">
        <v>1</v>
      </c>
      <c r="BO218" s="83" t="s">
        <v>94</v>
      </c>
      <c r="BP218" s="83">
        <v>1</v>
      </c>
      <c r="BR218" s="83" t="s">
        <v>94</v>
      </c>
      <c r="BS218" s="83">
        <v>1</v>
      </c>
      <c r="BU218" s="83" t="s">
        <v>94</v>
      </c>
      <c r="BV218" s="83">
        <v>1</v>
      </c>
      <c r="BX218" s="83" t="s">
        <v>94</v>
      </c>
      <c r="BY218" s="83">
        <v>1</v>
      </c>
      <c r="CA218" s="83" t="s">
        <v>94</v>
      </c>
      <c r="CB218" s="83">
        <v>1</v>
      </c>
      <c r="CD218" s="83" t="s">
        <v>94</v>
      </c>
      <c r="CE218" s="83">
        <v>1</v>
      </c>
      <c r="CG218" s="83" t="s">
        <v>94</v>
      </c>
      <c r="CH218" s="83">
        <v>1</v>
      </c>
      <c r="CJ218" s="83" t="s">
        <v>94</v>
      </c>
      <c r="CK218" s="83">
        <v>1</v>
      </c>
      <c r="CM218" s="83" t="s">
        <v>94</v>
      </c>
      <c r="CN218" s="83">
        <v>1</v>
      </c>
      <c r="CP218" s="83" t="s">
        <v>94</v>
      </c>
      <c r="CQ218" s="83">
        <v>1</v>
      </c>
      <c r="CS218" s="83" t="s">
        <v>94</v>
      </c>
      <c r="CT218" s="83">
        <v>1</v>
      </c>
      <c r="CV218" s="83" t="s">
        <v>94</v>
      </c>
      <c r="CW218" s="83">
        <v>1</v>
      </c>
      <c r="CY218" s="83" t="s">
        <v>94</v>
      </c>
      <c r="CZ218" s="83">
        <v>1</v>
      </c>
    </row>
    <row r="220" spans="1:104" x14ac:dyDescent="0.2">
      <c r="A220" s="83" t="s">
        <v>95</v>
      </c>
      <c r="B220" s="83">
        <v>1</v>
      </c>
      <c r="D220" s="83" t="s">
        <v>95</v>
      </c>
      <c r="E220" s="83">
        <v>1</v>
      </c>
      <c r="G220" s="83" t="s">
        <v>95</v>
      </c>
      <c r="H220" s="83">
        <v>1</v>
      </c>
      <c r="J220" s="83" t="s">
        <v>95</v>
      </c>
      <c r="K220" s="83">
        <v>1</v>
      </c>
      <c r="M220" s="83" t="s">
        <v>95</v>
      </c>
      <c r="N220" s="83">
        <v>1</v>
      </c>
      <c r="P220" s="83" t="s">
        <v>95</v>
      </c>
      <c r="Q220" s="83">
        <v>1</v>
      </c>
      <c r="S220" s="83" t="s">
        <v>95</v>
      </c>
      <c r="T220" s="83">
        <v>1</v>
      </c>
      <c r="V220" s="83" t="s">
        <v>95</v>
      </c>
      <c r="W220" s="83">
        <v>1</v>
      </c>
      <c r="Y220" s="83" t="s">
        <v>95</v>
      </c>
      <c r="Z220" s="83">
        <v>1</v>
      </c>
      <c r="AB220" s="83" t="s">
        <v>95</v>
      </c>
      <c r="AC220" s="83">
        <v>1</v>
      </c>
      <c r="AE220" s="83" t="s">
        <v>95</v>
      </c>
      <c r="AF220" s="83">
        <v>1</v>
      </c>
      <c r="AH220" s="83" t="s">
        <v>95</v>
      </c>
      <c r="AI220" s="83">
        <v>1</v>
      </c>
      <c r="AK220" s="83" t="s">
        <v>95</v>
      </c>
      <c r="AL220" s="83">
        <v>1</v>
      </c>
      <c r="AN220" s="83" t="s">
        <v>95</v>
      </c>
      <c r="AO220" s="83">
        <v>1</v>
      </c>
      <c r="AQ220" s="83" t="s">
        <v>95</v>
      </c>
      <c r="AR220" s="83">
        <v>1</v>
      </c>
      <c r="AT220" s="83" t="s">
        <v>95</v>
      </c>
      <c r="AU220" s="83">
        <v>1</v>
      </c>
      <c r="AW220" s="83" t="s">
        <v>95</v>
      </c>
      <c r="AX220" s="83">
        <v>1</v>
      </c>
      <c r="AZ220" s="83" t="s">
        <v>95</v>
      </c>
      <c r="BA220" s="83">
        <v>1</v>
      </c>
      <c r="BC220" s="83" t="s">
        <v>95</v>
      </c>
      <c r="BD220" s="83">
        <v>1</v>
      </c>
      <c r="BF220" s="83" t="s">
        <v>95</v>
      </c>
      <c r="BG220" s="83">
        <v>1</v>
      </c>
      <c r="BI220" s="83" t="s">
        <v>95</v>
      </c>
      <c r="BJ220" s="83">
        <v>1</v>
      </c>
      <c r="BL220" s="83" t="s">
        <v>95</v>
      </c>
      <c r="BM220" s="83">
        <v>1</v>
      </c>
      <c r="BO220" s="83" t="s">
        <v>95</v>
      </c>
      <c r="BP220" s="83">
        <v>1</v>
      </c>
      <c r="BR220" s="83" t="s">
        <v>95</v>
      </c>
      <c r="BS220" s="83">
        <v>1</v>
      </c>
      <c r="BU220" s="83" t="s">
        <v>95</v>
      </c>
      <c r="BV220" s="83">
        <v>1</v>
      </c>
      <c r="BX220" s="83" t="s">
        <v>95</v>
      </c>
      <c r="BY220" s="83">
        <v>1</v>
      </c>
      <c r="CA220" s="83" t="s">
        <v>95</v>
      </c>
      <c r="CB220" s="83">
        <v>1</v>
      </c>
      <c r="CD220" s="83" t="s">
        <v>95</v>
      </c>
      <c r="CE220" s="83">
        <v>1</v>
      </c>
      <c r="CG220" s="83" t="s">
        <v>95</v>
      </c>
      <c r="CH220" s="83">
        <v>1</v>
      </c>
      <c r="CJ220" s="83" t="s">
        <v>95</v>
      </c>
      <c r="CK220" s="83">
        <v>1</v>
      </c>
      <c r="CM220" s="83" t="s">
        <v>95</v>
      </c>
      <c r="CN220" s="83">
        <v>1</v>
      </c>
      <c r="CP220" s="83" t="s">
        <v>95</v>
      </c>
      <c r="CQ220" s="83">
        <v>1</v>
      </c>
      <c r="CS220" s="83" t="s">
        <v>95</v>
      </c>
      <c r="CT220" s="83">
        <v>1</v>
      </c>
      <c r="CV220" s="83" t="s">
        <v>95</v>
      </c>
      <c r="CW220" s="83">
        <v>1</v>
      </c>
      <c r="CY220" s="83" t="s">
        <v>95</v>
      </c>
      <c r="CZ220" s="83">
        <v>1</v>
      </c>
    </row>
    <row r="222" spans="1:104" x14ac:dyDescent="0.2">
      <c r="A222" s="83" t="s">
        <v>98</v>
      </c>
      <c r="B222" s="83">
        <v>1</v>
      </c>
      <c r="D222" s="83" t="s">
        <v>98</v>
      </c>
      <c r="E222" s="83">
        <v>1</v>
      </c>
      <c r="G222" s="83" t="s">
        <v>98</v>
      </c>
      <c r="H222" s="83">
        <v>1</v>
      </c>
      <c r="J222" s="83" t="s">
        <v>98</v>
      </c>
      <c r="K222" s="83">
        <v>1</v>
      </c>
      <c r="M222" s="83" t="s">
        <v>98</v>
      </c>
      <c r="N222" s="83">
        <v>1</v>
      </c>
      <c r="P222" s="83" t="s">
        <v>98</v>
      </c>
      <c r="Q222" s="83">
        <v>1</v>
      </c>
      <c r="S222" s="83" t="s">
        <v>98</v>
      </c>
      <c r="T222" s="83">
        <v>1</v>
      </c>
      <c r="V222" s="83" t="s">
        <v>98</v>
      </c>
      <c r="W222" s="83">
        <v>1</v>
      </c>
      <c r="Y222" s="83" t="s">
        <v>98</v>
      </c>
      <c r="Z222" s="83">
        <v>1</v>
      </c>
      <c r="AB222" s="83" t="s">
        <v>98</v>
      </c>
      <c r="AC222" s="83">
        <v>1</v>
      </c>
      <c r="AE222" s="83" t="s">
        <v>98</v>
      </c>
      <c r="AF222" s="83">
        <v>1</v>
      </c>
      <c r="AH222" s="83" t="s">
        <v>98</v>
      </c>
      <c r="AI222" s="83">
        <v>1</v>
      </c>
      <c r="AK222" s="83" t="s">
        <v>98</v>
      </c>
      <c r="AL222" s="83">
        <v>1</v>
      </c>
      <c r="AN222" s="83" t="s">
        <v>98</v>
      </c>
      <c r="AO222" s="83">
        <v>1</v>
      </c>
      <c r="AQ222" s="83" t="s">
        <v>98</v>
      </c>
      <c r="AR222" s="83">
        <v>1</v>
      </c>
      <c r="AT222" s="83" t="s">
        <v>98</v>
      </c>
      <c r="AU222" s="83">
        <v>1</v>
      </c>
      <c r="AW222" s="83" t="s">
        <v>98</v>
      </c>
      <c r="AX222" s="83">
        <v>1</v>
      </c>
      <c r="AZ222" s="83" t="s">
        <v>98</v>
      </c>
      <c r="BA222" s="83">
        <v>1</v>
      </c>
      <c r="BC222" s="83" t="s">
        <v>98</v>
      </c>
      <c r="BD222" s="83">
        <v>1</v>
      </c>
      <c r="BF222" s="83" t="s">
        <v>98</v>
      </c>
      <c r="BG222" s="83">
        <v>1</v>
      </c>
      <c r="BI222" s="83" t="s">
        <v>98</v>
      </c>
      <c r="BJ222" s="83">
        <v>1</v>
      </c>
      <c r="BL222" s="83" t="s">
        <v>98</v>
      </c>
      <c r="BM222" s="83">
        <v>1</v>
      </c>
      <c r="BO222" s="83" t="s">
        <v>98</v>
      </c>
      <c r="BP222" s="83">
        <v>1</v>
      </c>
      <c r="BR222" s="83" t="s">
        <v>98</v>
      </c>
      <c r="BS222" s="83">
        <v>1</v>
      </c>
      <c r="BU222" s="83" t="s">
        <v>98</v>
      </c>
      <c r="BV222" s="83">
        <v>1</v>
      </c>
      <c r="BX222" s="83" t="s">
        <v>98</v>
      </c>
      <c r="BY222" s="83">
        <v>1</v>
      </c>
      <c r="CA222" s="83" t="s">
        <v>98</v>
      </c>
      <c r="CB222" s="83">
        <v>1</v>
      </c>
      <c r="CD222" s="83" t="s">
        <v>98</v>
      </c>
      <c r="CE222" s="83">
        <v>1</v>
      </c>
      <c r="CG222" s="83" t="s">
        <v>98</v>
      </c>
      <c r="CH222" s="83">
        <v>1</v>
      </c>
      <c r="CJ222" s="83" t="s">
        <v>98</v>
      </c>
      <c r="CK222" s="83">
        <v>1</v>
      </c>
      <c r="CM222" s="83" t="s">
        <v>98</v>
      </c>
      <c r="CN222" s="83">
        <v>1</v>
      </c>
      <c r="CP222" s="83" t="s">
        <v>98</v>
      </c>
      <c r="CQ222" s="83">
        <v>1</v>
      </c>
      <c r="CS222" s="83" t="s">
        <v>98</v>
      </c>
      <c r="CT222" s="83">
        <v>1</v>
      </c>
      <c r="CV222" s="83" t="s">
        <v>98</v>
      </c>
      <c r="CW222" s="83">
        <v>1</v>
      </c>
      <c r="CY222" s="83" t="s">
        <v>98</v>
      </c>
      <c r="CZ222" s="83">
        <v>1</v>
      </c>
    </row>
    <row r="224" spans="1:104" x14ac:dyDescent="0.2">
      <c r="A224" s="83" t="s">
        <v>96</v>
      </c>
      <c r="B224" s="83">
        <v>1</v>
      </c>
      <c r="D224" s="83" t="s">
        <v>96</v>
      </c>
      <c r="E224" s="83">
        <v>1</v>
      </c>
      <c r="G224" s="83" t="s">
        <v>96</v>
      </c>
      <c r="H224" s="83">
        <v>1</v>
      </c>
      <c r="J224" s="83" t="s">
        <v>96</v>
      </c>
      <c r="K224" s="83">
        <v>1</v>
      </c>
      <c r="M224" s="83" t="s">
        <v>96</v>
      </c>
      <c r="N224" s="83">
        <v>1</v>
      </c>
      <c r="P224" s="83" t="s">
        <v>96</v>
      </c>
      <c r="Q224" s="83">
        <v>1</v>
      </c>
      <c r="S224" s="83" t="s">
        <v>96</v>
      </c>
      <c r="T224" s="83">
        <v>1</v>
      </c>
      <c r="V224" s="83" t="s">
        <v>96</v>
      </c>
      <c r="W224" s="83">
        <v>1</v>
      </c>
      <c r="Y224" s="83" t="s">
        <v>96</v>
      </c>
      <c r="Z224" s="83">
        <v>1</v>
      </c>
      <c r="AB224" s="83" t="s">
        <v>96</v>
      </c>
      <c r="AC224" s="83">
        <v>1</v>
      </c>
      <c r="AE224" s="83" t="s">
        <v>96</v>
      </c>
      <c r="AF224" s="83">
        <v>1</v>
      </c>
      <c r="AH224" s="83" t="s">
        <v>96</v>
      </c>
      <c r="AI224" s="83">
        <v>1</v>
      </c>
      <c r="AK224" s="83" t="s">
        <v>96</v>
      </c>
      <c r="AL224" s="83">
        <v>1</v>
      </c>
      <c r="AN224" s="83" t="s">
        <v>96</v>
      </c>
      <c r="AO224" s="83">
        <v>1</v>
      </c>
      <c r="AQ224" s="83" t="s">
        <v>96</v>
      </c>
      <c r="AR224" s="83">
        <v>1</v>
      </c>
      <c r="AT224" s="83" t="s">
        <v>96</v>
      </c>
      <c r="AU224" s="83">
        <v>1</v>
      </c>
      <c r="AW224" s="83" t="s">
        <v>96</v>
      </c>
      <c r="AX224" s="83">
        <v>1</v>
      </c>
      <c r="AZ224" s="83" t="s">
        <v>96</v>
      </c>
      <c r="BA224" s="83">
        <v>1</v>
      </c>
      <c r="BC224" s="83" t="s">
        <v>96</v>
      </c>
      <c r="BD224" s="83">
        <v>1</v>
      </c>
      <c r="BF224" s="83" t="s">
        <v>96</v>
      </c>
      <c r="BG224" s="83">
        <v>1</v>
      </c>
      <c r="BI224" s="83" t="s">
        <v>96</v>
      </c>
      <c r="BJ224" s="83">
        <v>1</v>
      </c>
      <c r="BL224" s="83" t="s">
        <v>96</v>
      </c>
      <c r="BM224" s="83">
        <v>1</v>
      </c>
      <c r="BO224" s="83" t="s">
        <v>96</v>
      </c>
      <c r="BP224" s="83">
        <v>1</v>
      </c>
      <c r="BR224" s="83" t="s">
        <v>96</v>
      </c>
      <c r="BS224" s="83">
        <v>1</v>
      </c>
      <c r="BU224" s="83" t="s">
        <v>96</v>
      </c>
      <c r="BV224" s="83">
        <v>1</v>
      </c>
      <c r="BX224" s="83" t="s">
        <v>96</v>
      </c>
      <c r="BY224" s="83">
        <v>1</v>
      </c>
      <c r="CA224" s="83" t="s">
        <v>96</v>
      </c>
      <c r="CB224" s="83">
        <v>1</v>
      </c>
      <c r="CD224" s="83" t="s">
        <v>96</v>
      </c>
      <c r="CE224" s="83">
        <v>1</v>
      </c>
      <c r="CG224" s="83" t="s">
        <v>96</v>
      </c>
      <c r="CH224" s="83">
        <v>1</v>
      </c>
      <c r="CJ224" s="83" t="s">
        <v>96</v>
      </c>
      <c r="CK224" s="83">
        <v>1</v>
      </c>
      <c r="CM224" s="83" t="s">
        <v>96</v>
      </c>
      <c r="CN224" s="83">
        <v>1</v>
      </c>
      <c r="CP224" s="83" t="s">
        <v>96</v>
      </c>
      <c r="CQ224" s="83">
        <v>1</v>
      </c>
      <c r="CS224" s="83" t="s">
        <v>96</v>
      </c>
      <c r="CT224" s="83">
        <v>1</v>
      </c>
      <c r="CV224" s="83" t="s">
        <v>96</v>
      </c>
      <c r="CW224" s="83">
        <v>1</v>
      </c>
      <c r="CY224" s="83" t="s">
        <v>96</v>
      </c>
      <c r="CZ224" s="83">
        <v>1</v>
      </c>
    </row>
    <row r="226" spans="1:104" x14ac:dyDescent="0.2">
      <c r="A226" s="83" t="s">
        <v>97</v>
      </c>
      <c r="B226" s="83">
        <v>1</v>
      </c>
      <c r="D226" s="83" t="s">
        <v>97</v>
      </c>
      <c r="E226" s="83">
        <v>1</v>
      </c>
      <c r="G226" s="83" t="s">
        <v>97</v>
      </c>
      <c r="H226" s="83">
        <v>1</v>
      </c>
      <c r="J226" s="83" t="s">
        <v>97</v>
      </c>
      <c r="K226" s="83">
        <v>1</v>
      </c>
      <c r="M226" s="83" t="s">
        <v>97</v>
      </c>
      <c r="N226" s="83">
        <v>1</v>
      </c>
      <c r="P226" s="83" t="s">
        <v>97</v>
      </c>
      <c r="Q226" s="83">
        <v>1</v>
      </c>
      <c r="S226" s="83" t="s">
        <v>97</v>
      </c>
      <c r="T226" s="83">
        <v>1</v>
      </c>
      <c r="V226" s="83" t="s">
        <v>97</v>
      </c>
      <c r="W226" s="83">
        <v>1</v>
      </c>
      <c r="Y226" s="83" t="s">
        <v>97</v>
      </c>
      <c r="Z226" s="83">
        <v>1</v>
      </c>
      <c r="AB226" s="83" t="s">
        <v>97</v>
      </c>
      <c r="AC226" s="83">
        <v>1</v>
      </c>
      <c r="AE226" s="83" t="s">
        <v>97</v>
      </c>
      <c r="AF226" s="83">
        <v>1</v>
      </c>
      <c r="AH226" s="83" t="s">
        <v>97</v>
      </c>
      <c r="AI226" s="83">
        <v>1</v>
      </c>
      <c r="AK226" s="83" t="s">
        <v>97</v>
      </c>
      <c r="AL226" s="83">
        <v>1</v>
      </c>
      <c r="AN226" s="83" t="s">
        <v>97</v>
      </c>
      <c r="AO226" s="83">
        <v>1</v>
      </c>
      <c r="AQ226" s="83" t="s">
        <v>97</v>
      </c>
      <c r="AR226" s="83">
        <v>1</v>
      </c>
      <c r="AT226" s="83" t="s">
        <v>97</v>
      </c>
      <c r="AU226" s="83">
        <v>1</v>
      </c>
      <c r="AW226" s="83" t="s">
        <v>97</v>
      </c>
      <c r="AX226" s="83">
        <v>1</v>
      </c>
      <c r="AZ226" s="83" t="s">
        <v>97</v>
      </c>
      <c r="BA226" s="83">
        <v>1</v>
      </c>
      <c r="BC226" s="83" t="s">
        <v>97</v>
      </c>
      <c r="BD226" s="83">
        <v>1</v>
      </c>
      <c r="BF226" s="83" t="s">
        <v>97</v>
      </c>
      <c r="BG226" s="83">
        <v>1</v>
      </c>
      <c r="BI226" s="83" t="s">
        <v>97</v>
      </c>
      <c r="BJ226" s="83">
        <v>1</v>
      </c>
      <c r="BL226" s="83" t="s">
        <v>97</v>
      </c>
      <c r="BM226" s="83">
        <v>1</v>
      </c>
      <c r="BO226" s="83" t="s">
        <v>97</v>
      </c>
      <c r="BP226" s="83">
        <v>1</v>
      </c>
      <c r="BR226" s="83" t="s">
        <v>97</v>
      </c>
      <c r="BS226" s="83">
        <v>1</v>
      </c>
      <c r="BU226" s="83" t="s">
        <v>97</v>
      </c>
      <c r="BV226" s="83">
        <v>1</v>
      </c>
      <c r="BX226" s="83" t="s">
        <v>97</v>
      </c>
      <c r="BY226" s="83">
        <v>1</v>
      </c>
      <c r="CA226" s="83" t="s">
        <v>97</v>
      </c>
      <c r="CB226" s="83">
        <v>1</v>
      </c>
      <c r="CD226" s="83" t="s">
        <v>97</v>
      </c>
      <c r="CE226" s="83">
        <v>1</v>
      </c>
      <c r="CG226" s="83" t="s">
        <v>97</v>
      </c>
      <c r="CH226" s="83">
        <v>1</v>
      </c>
      <c r="CJ226" s="83" t="s">
        <v>97</v>
      </c>
      <c r="CK226" s="83">
        <v>1</v>
      </c>
      <c r="CM226" s="83" t="s">
        <v>97</v>
      </c>
      <c r="CN226" s="83">
        <v>1</v>
      </c>
      <c r="CP226" s="83" t="s">
        <v>97</v>
      </c>
      <c r="CQ226" s="83">
        <v>1</v>
      </c>
      <c r="CS226" s="83" t="s">
        <v>97</v>
      </c>
      <c r="CT226" s="83">
        <v>1</v>
      </c>
      <c r="CV226" s="83" t="s">
        <v>97</v>
      </c>
      <c r="CW226" s="83">
        <v>1</v>
      </c>
      <c r="CY226" s="83" t="s">
        <v>97</v>
      </c>
      <c r="CZ226" s="83">
        <v>1</v>
      </c>
    </row>
    <row r="228" spans="1:104" x14ac:dyDescent="0.2">
      <c r="A228" s="83" t="s">
        <v>111</v>
      </c>
      <c r="B228" s="83">
        <v>1</v>
      </c>
      <c r="D228" s="83" t="s">
        <v>111</v>
      </c>
      <c r="E228" s="83">
        <v>1</v>
      </c>
      <c r="G228" s="83" t="s">
        <v>111</v>
      </c>
      <c r="H228" s="83">
        <v>1</v>
      </c>
      <c r="J228" s="83" t="s">
        <v>111</v>
      </c>
      <c r="K228" s="83">
        <v>1</v>
      </c>
      <c r="M228" s="83" t="s">
        <v>111</v>
      </c>
      <c r="N228" s="83">
        <v>1</v>
      </c>
      <c r="P228" s="83" t="s">
        <v>111</v>
      </c>
      <c r="Q228" s="83">
        <v>1</v>
      </c>
      <c r="S228" s="83" t="s">
        <v>111</v>
      </c>
      <c r="T228" s="83">
        <v>1</v>
      </c>
      <c r="V228" s="83" t="s">
        <v>111</v>
      </c>
      <c r="W228" s="83">
        <v>1</v>
      </c>
      <c r="Y228" s="83" t="s">
        <v>111</v>
      </c>
      <c r="Z228" s="83">
        <v>1</v>
      </c>
      <c r="AB228" s="83" t="s">
        <v>111</v>
      </c>
      <c r="AC228" s="83">
        <v>1</v>
      </c>
      <c r="AE228" s="83" t="s">
        <v>111</v>
      </c>
      <c r="AF228" s="83">
        <v>1</v>
      </c>
      <c r="AH228" s="83" t="s">
        <v>111</v>
      </c>
      <c r="AI228" s="83">
        <v>1</v>
      </c>
      <c r="AK228" s="83" t="s">
        <v>111</v>
      </c>
      <c r="AL228" s="83">
        <v>1</v>
      </c>
      <c r="AN228" s="83" t="s">
        <v>111</v>
      </c>
      <c r="AO228" s="83">
        <v>1</v>
      </c>
      <c r="AQ228" s="83" t="s">
        <v>111</v>
      </c>
      <c r="AR228" s="83">
        <v>1</v>
      </c>
      <c r="AT228" s="83" t="s">
        <v>111</v>
      </c>
      <c r="AU228" s="83">
        <v>1</v>
      </c>
      <c r="AW228" s="83" t="s">
        <v>111</v>
      </c>
      <c r="AX228" s="83">
        <v>1</v>
      </c>
      <c r="AZ228" s="83" t="s">
        <v>111</v>
      </c>
      <c r="BA228" s="83">
        <v>1</v>
      </c>
      <c r="BC228" s="83" t="s">
        <v>111</v>
      </c>
      <c r="BD228" s="83">
        <v>1</v>
      </c>
      <c r="BF228" s="83" t="s">
        <v>111</v>
      </c>
      <c r="BG228" s="83">
        <v>1</v>
      </c>
      <c r="BI228" s="83" t="s">
        <v>111</v>
      </c>
      <c r="BJ228" s="83">
        <v>1</v>
      </c>
      <c r="BL228" s="83" t="s">
        <v>111</v>
      </c>
      <c r="BM228" s="83">
        <v>1</v>
      </c>
      <c r="BO228" s="83" t="s">
        <v>111</v>
      </c>
      <c r="BP228" s="83">
        <v>1</v>
      </c>
      <c r="BR228" s="83" t="s">
        <v>111</v>
      </c>
      <c r="BS228" s="83">
        <v>1</v>
      </c>
      <c r="BU228" s="83" t="s">
        <v>111</v>
      </c>
      <c r="BV228" s="83">
        <v>1</v>
      </c>
      <c r="BX228" s="83" t="s">
        <v>111</v>
      </c>
      <c r="BY228" s="83">
        <v>1</v>
      </c>
      <c r="CA228" s="83" t="s">
        <v>111</v>
      </c>
      <c r="CB228" s="83">
        <v>1</v>
      </c>
      <c r="CD228" s="83" t="s">
        <v>111</v>
      </c>
      <c r="CE228" s="83">
        <v>1</v>
      </c>
      <c r="CG228" s="83" t="s">
        <v>111</v>
      </c>
      <c r="CH228" s="83">
        <v>1</v>
      </c>
      <c r="CJ228" s="83" t="s">
        <v>111</v>
      </c>
      <c r="CK228" s="83">
        <v>1</v>
      </c>
      <c r="CM228" s="83" t="s">
        <v>111</v>
      </c>
      <c r="CN228" s="83">
        <v>1</v>
      </c>
      <c r="CP228" s="83" t="s">
        <v>111</v>
      </c>
      <c r="CQ228" s="83">
        <v>1</v>
      </c>
      <c r="CS228" s="83" t="s">
        <v>111</v>
      </c>
      <c r="CT228" s="83">
        <v>1</v>
      </c>
      <c r="CV228" s="83" t="s">
        <v>111</v>
      </c>
      <c r="CW228" s="83">
        <v>1</v>
      </c>
      <c r="CY228" s="83" t="s">
        <v>111</v>
      </c>
      <c r="CZ228" s="83">
        <v>1</v>
      </c>
    </row>
    <row r="230" spans="1:104" x14ac:dyDescent="0.2">
      <c r="A230" s="83" t="s">
        <v>112</v>
      </c>
      <c r="B230" s="83">
        <v>1</v>
      </c>
      <c r="D230" s="83" t="s">
        <v>112</v>
      </c>
      <c r="E230" s="83">
        <v>1</v>
      </c>
      <c r="G230" s="83" t="s">
        <v>112</v>
      </c>
      <c r="H230" s="83">
        <v>1</v>
      </c>
      <c r="J230" s="83" t="s">
        <v>112</v>
      </c>
      <c r="K230" s="83">
        <v>1</v>
      </c>
      <c r="M230" s="83" t="s">
        <v>112</v>
      </c>
      <c r="N230" s="83">
        <v>1</v>
      </c>
      <c r="P230" s="83" t="s">
        <v>112</v>
      </c>
      <c r="Q230" s="83">
        <v>1</v>
      </c>
      <c r="S230" s="83" t="s">
        <v>112</v>
      </c>
      <c r="T230" s="83">
        <v>1</v>
      </c>
      <c r="V230" s="83" t="s">
        <v>112</v>
      </c>
      <c r="W230" s="83">
        <v>1</v>
      </c>
      <c r="Y230" s="83" t="s">
        <v>112</v>
      </c>
      <c r="Z230" s="83">
        <v>1</v>
      </c>
      <c r="AB230" s="83" t="s">
        <v>112</v>
      </c>
      <c r="AC230" s="83">
        <v>1</v>
      </c>
      <c r="AE230" s="83" t="s">
        <v>112</v>
      </c>
      <c r="AF230" s="83">
        <v>1</v>
      </c>
      <c r="AH230" s="83" t="s">
        <v>112</v>
      </c>
      <c r="AI230" s="83">
        <v>1</v>
      </c>
      <c r="AK230" s="83" t="s">
        <v>112</v>
      </c>
      <c r="AL230" s="83">
        <v>1</v>
      </c>
      <c r="AN230" s="83" t="s">
        <v>112</v>
      </c>
      <c r="AO230" s="83">
        <v>1</v>
      </c>
      <c r="AQ230" s="83" t="s">
        <v>112</v>
      </c>
      <c r="AR230" s="83">
        <v>1</v>
      </c>
      <c r="AT230" s="83" t="s">
        <v>112</v>
      </c>
      <c r="AU230" s="83">
        <v>1</v>
      </c>
      <c r="AW230" s="83" t="s">
        <v>112</v>
      </c>
      <c r="AX230" s="83">
        <v>1</v>
      </c>
      <c r="AZ230" s="83" t="s">
        <v>112</v>
      </c>
      <c r="BA230" s="83">
        <v>1</v>
      </c>
      <c r="BC230" s="83" t="s">
        <v>112</v>
      </c>
      <c r="BD230" s="83">
        <v>1</v>
      </c>
      <c r="BF230" s="83" t="s">
        <v>112</v>
      </c>
      <c r="BG230" s="83">
        <v>1</v>
      </c>
      <c r="BI230" s="83" t="s">
        <v>112</v>
      </c>
      <c r="BJ230" s="83">
        <v>1</v>
      </c>
      <c r="BL230" s="83" t="s">
        <v>112</v>
      </c>
      <c r="BM230" s="83">
        <v>1</v>
      </c>
      <c r="BO230" s="83" t="s">
        <v>112</v>
      </c>
      <c r="BP230" s="83">
        <v>1</v>
      </c>
      <c r="BR230" s="83" t="s">
        <v>112</v>
      </c>
      <c r="BS230" s="83">
        <v>1</v>
      </c>
      <c r="BU230" s="83" t="s">
        <v>112</v>
      </c>
      <c r="BV230" s="83">
        <v>1</v>
      </c>
      <c r="BX230" s="83" t="s">
        <v>112</v>
      </c>
      <c r="BY230" s="83">
        <v>1</v>
      </c>
      <c r="CA230" s="83" t="s">
        <v>112</v>
      </c>
      <c r="CB230" s="83">
        <v>1</v>
      </c>
      <c r="CD230" s="83" t="s">
        <v>112</v>
      </c>
      <c r="CE230" s="83">
        <v>1</v>
      </c>
      <c r="CG230" s="83" t="s">
        <v>112</v>
      </c>
      <c r="CH230" s="83">
        <v>1</v>
      </c>
      <c r="CJ230" s="83" t="s">
        <v>112</v>
      </c>
      <c r="CK230" s="83">
        <v>1</v>
      </c>
      <c r="CM230" s="83" t="s">
        <v>112</v>
      </c>
      <c r="CN230" s="83">
        <v>1</v>
      </c>
      <c r="CP230" s="83" t="s">
        <v>112</v>
      </c>
      <c r="CQ230" s="83">
        <v>1</v>
      </c>
      <c r="CS230" s="83" t="s">
        <v>112</v>
      </c>
      <c r="CT230" s="83">
        <v>1</v>
      </c>
      <c r="CV230" s="83" t="s">
        <v>112</v>
      </c>
      <c r="CW230" s="83">
        <v>1</v>
      </c>
      <c r="CY230" s="83" t="s">
        <v>112</v>
      </c>
      <c r="CZ230" s="83">
        <v>1</v>
      </c>
    </row>
    <row r="232" spans="1:104" x14ac:dyDescent="0.2">
      <c r="A232" s="83" t="s">
        <v>149</v>
      </c>
      <c r="B232" s="83">
        <v>1</v>
      </c>
      <c r="D232" s="83" t="s">
        <v>149</v>
      </c>
      <c r="E232" s="83">
        <v>1</v>
      </c>
      <c r="G232" s="83" t="s">
        <v>149</v>
      </c>
      <c r="H232" s="83">
        <v>1</v>
      </c>
      <c r="J232" s="83" t="s">
        <v>149</v>
      </c>
      <c r="K232" s="83">
        <v>1</v>
      </c>
      <c r="M232" s="83" t="s">
        <v>149</v>
      </c>
      <c r="N232" s="83">
        <v>1</v>
      </c>
      <c r="P232" s="83" t="s">
        <v>149</v>
      </c>
      <c r="Q232" s="83">
        <v>1</v>
      </c>
      <c r="S232" s="83" t="s">
        <v>149</v>
      </c>
      <c r="T232" s="83">
        <v>1</v>
      </c>
      <c r="V232" s="83" t="s">
        <v>149</v>
      </c>
      <c r="W232" s="83">
        <v>1</v>
      </c>
      <c r="Y232" s="83" t="s">
        <v>149</v>
      </c>
      <c r="Z232" s="83">
        <v>1</v>
      </c>
      <c r="AB232" s="83" t="s">
        <v>149</v>
      </c>
      <c r="AC232" s="83">
        <v>1</v>
      </c>
      <c r="AE232" s="83" t="s">
        <v>149</v>
      </c>
      <c r="AF232" s="83">
        <v>1</v>
      </c>
      <c r="AH232" s="83" t="s">
        <v>149</v>
      </c>
      <c r="AI232" s="83">
        <v>1</v>
      </c>
      <c r="AK232" s="83" t="s">
        <v>149</v>
      </c>
      <c r="AL232" s="83">
        <v>1</v>
      </c>
      <c r="AN232" s="83" t="s">
        <v>149</v>
      </c>
      <c r="AO232" s="83">
        <v>1</v>
      </c>
      <c r="AQ232" s="83" t="s">
        <v>149</v>
      </c>
      <c r="AR232" s="83">
        <v>1</v>
      </c>
      <c r="AT232" s="83" t="s">
        <v>149</v>
      </c>
      <c r="AU232" s="83">
        <v>1</v>
      </c>
      <c r="AW232" s="83" t="s">
        <v>149</v>
      </c>
      <c r="AX232" s="83">
        <v>1</v>
      </c>
      <c r="AZ232" s="83" t="s">
        <v>149</v>
      </c>
      <c r="BA232" s="83">
        <v>1</v>
      </c>
      <c r="BC232" s="83" t="s">
        <v>149</v>
      </c>
      <c r="BD232" s="83">
        <v>1</v>
      </c>
      <c r="BF232" s="83" t="s">
        <v>149</v>
      </c>
      <c r="BG232" s="83">
        <v>1</v>
      </c>
      <c r="BI232" s="83" t="s">
        <v>149</v>
      </c>
      <c r="BJ232" s="83">
        <v>1</v>
      </c>
      <c r="BL232" s="83" t="s">
        <v>149</v>
      </c>
      <c r="BM232" s="83">
        <v>1</v>
      </c>
      <c r="BO232" s="83" t="s">
        <v>149</v>
      </c>
      <c r="BP232" s="83">
        <v>1</v>
      </c>
      <c r="BR232" s="83" t="s">
        <v>149</v>
      </c>
      <c r="BS232" s="83">
        <v>1</v>
      </c>
      <c r="BU232" s="83" t="s">
        <v>149</v>
      </c>
      <c r="BV232" s="83">
        <v>1</v>
      </c>
      <c r="BX232" s="83" t="s">
        <v>149</v>
      </c>
      <c r="BY232" s="83">
        <v>1</v>
      </c>
      <c r="CA232" s="83" t="s">
        <v>149</v>
      </c>
      <c r="CB232" s="83">
        <v>1</v>
      </c>
      <c r="CD232" s="83" t="s">
        <v>149</v>
      </c>
      <c r="CE232" s="83">
        <v>1</v>
      </c>
      <c r="CG232" s="83" t="s">
        <v>149</v>
      </c>
      <c r="CH232" s="83">
        <v>1</v>
      </c>
      <c r="CJ232" s="83" t="s">
        <v>149</v>
      </c>
      <c r="CK232" s="83">
        <v>1</v>
      </c>
      <c r="CM232" s="83" t="s">
        <v>149</v>
      </c>
      <c r="CN232" s="83">
        <v>1</v>
      </c>
      <c r="CP232" s="83" t="s">
        <v>149</v>
      </c>
      <c r="CQ232" s="83">
        <v>1</v>
      </c>
      <c r="CS232" s="83" t="s">
        <v>149</v>
      </c>
      <c r="CT232" s="83">
        <v>1</v>
      </c>
      <c r="CV232" s="83" t="s">
        <v>149</v>
      </c>
      <c r="CW232" s="83">
        <v>1</v>
      </c>
      <c r="CY232" s="83" t="s">
        <v>149</v>
      </c>
      <c r="CZ232" s="83">
        <v>1</v>
      </c>
    </row>
    <row r="234" spans="1:104" x14ac:dyDescent="0.2">
      <c r="A234" s="83" t="s">
        <v>150</v>
      </c>
      <c r="B234" s="83">
        <v>1</v>
      </c>
      <c r="D234" s="83" t="s">
        <v>150</v>
      </c>
      <c r="E234" s="83">
        <v>1</v>
      </c>
      <c r="G234" s="83" t="s">
        <v>150</v>
      </c>
      <c r="H234" s="83">
        <v>1</v>
      </c>
      <c r="J234" s="83" t="s">
        <v>150</v>
      </c>
      <c r="K234" s="83">
        <v>1</v>
      </c>
      <c r="M234" s="83" t="s">
        <v>150</v>
      </c>
      <c r="N234" s="83">
        <v>1</v>
      </c>
      <c r="P234" s="83" t="s">
        <v>150</v>
      </c>
      <c r="Q234" s="83">
        <v>1</v>
      </c>
      <c r="S234" s="83" t="s">
        <v>150</v>
      </c>
      <c r="T234" s="83">
        <v>1</v>
      </c>
      <c r="V234" s="83" t="s">
        <v>150</v>
      </c>
      <c r="W234" s="83">
        <v>1</v>
      </c>
      <c r="Y234" s="83" t="s">
        <v>150</v>
      </c>
      <c r="Z234" s="83">
        <v>1</v>
      </c>
      <c r="AB234" s="83" t="s">
        <v>150</v>
      </c>
      <c r="AC234" s="83">
        <v>1</v>
      </c>
      <c r="AE234" s="83" t="s">
        <v>150</v>
      </c>
      <c r="AF234" s="83">
        <v>1</v>
      </c>
      <c r="AH234" s="83" t="s">
        <v>150</v>
      </c>
      <c r="AI234" s="83">
        <v>1</v>
      </c>
      <c r="AK234" s="83" t="s">
        <v>150</v>
      </c>
      <c r="AL234" s="83">
        <v>1</v>
      </c>
      <c r="AN234" s="83" t="s">
        <v>150</v>
      </c>
      <c r="AO234" s="83">
        <v>1</v>
      </c>
      <c r="AQ234" s="83" t="s">
        <v>150</v>
      </c>
      <c r="AR234" s="83">
        <v>1</v>
      </c>
      <c r="AT234" s="83" t="s">
        <v>150</v>
      </c>
      <c r="AU234" s="83">
        <v>1</v>
      </c>
      <c r="AW234" s="83" t="s">
        <v>150</v>
      </c>
      <c r="AX234" s="83">
        <v>1</v>
      </c>
      <c r="AZ234" s="83" t="s">
        <v>150</v>
      </c>
      <c r="BA234" s="83">
        <v>1</v>
      </c>
      <c r="BC234" s="83" t="s">
        <v>150</v>
      </c>
      <c r="BD234" s="83">
        <v>1</v>
      </c>
      <c r="BF234" s="83" t="s">
        <v>150</v>
      </c>
      <c r="BG234" s="83">
        <v>1</v>
      </c>
      <c r="BI234" s="83" t="s">
        <v>150</v>
      </c>
      <c r="BJ234" s="83">
        <v>1</v>
      </c>
      <c r="BL234" s="83" t="s">
        <v>150</v>
      </c>
      <c r="BM234" s="83">
        <v>1</v>
      </c>
      <c r="BO234" s="83" t="s">
        <v>150</v>
      </c>
      <c r="BP234" s="83">
        <v>1</v>
      </c>
      <c r="BR234" s="83" t="s">
        <v>150</v>
      </c>
      <c r="BS234" s="83">
        <v>1</v>
      </c>
      <c r="BU234" s="83" t="s">
        <v>150</v>
      </c>
      <c r="BV234" s="83">
        <v>1</v>
      </c>
      <c r="BX234" s="83" t="s">
        <v>150</v>
      </c>
      <c r="BY234" s="83">
        <v>1</v>
      </c>
      <c r="CA234" s="83" t="s">
        <v>150</v>
      </c>
      <c r="CB234" s="83">
        <v>1</v>
      </c>
      <c r="CD234" s="83" t="s">
        <v>150</v>
      </c>
      <c r="CE234" s="83">
        <v>1</v>
      </c>
      <c r="CG234" s="83" t="s">
        <v>150</v>
      </c>
      <c r="CH234" s="83">
        <v>1</v>
      </c>
      <c r="CJ234" s="83" t="s">
        <v>150</v>
      </c>
      <c r="CK234" s="83">
        <v>1</v>
      </c>
      <c r="CM234" s="83" t="s">
        <v>150</v>
      </c>
      <c r="CN234" s="83">
        <v>1</v>
      </c>
      <c r="CP234" s="83" t="s">
        <v>150</v>
      </c>
      <c r="CQ234" s="83">
        <v>1</v>
      </c>
      <c r="CS234" s="83" t="s">
        <v>150</v>
      </c>
      <c r="CT234" s="83">
        <v>1</v>
      </c>
      <c r="CV234" s="83" t="s">
        <v>150</v>
      </c>
      <c r="CW234" s="83">
        <v>1</v>
      </c>
      <c r="CY234" s="83" t="s">
        <v>150</v>
      </c>
      <c r="CZ234" s="83">
        <v>1</v>
      </c>
    </row>
    <row r="236" spans="1:104" x14ac:dyDescent="0.2">
      <c r="A236" s="83" t="s">
        <v>134</v>
      </c>
      <c r="B236" s="83">
        <v>1</v>
      </c>
      <c r="D236" s="83" t="s">
        <v>134</v>
      </c>
      <c r="E236" s="83">
        <v>1</v>
      </c>
      <c r="G236" s="83" t="s">
        <v>134</v>
      </c>
      <c r="H236" s="83">
        <v>1</v>
      </c>
      <c r="J236" s="83" t="s">
        <v>134</v>
      </c>
      <c r="K236" s="83">
        <v>1</v>
      </c>
      <c r="M236" s="83" t="s">
        <v>134</v>
      </c>
      <c r="N236" s="83">
        <v>1</v>
      </c>
      <c r="P236" s="83" t="s">
        <v>134</v>
      </c>
      <c r="Q236" s="83">
        <v>1</v>
      </c>
      <c r="S236" s="83" t="s">
        <v>134</v>
      </c>
      <c r="T236" s="83">
        <v>1</v>
      </c>
      <c r="V236" s="83" t="s">
        <v>134</v>
      </c>
      <c r="W236" s="83">
        <v>1</v>
      </c>
      <c r="Y236" s="83" t="s">
        <v>134</v>
      </c>
      <c r="Z236" s="83">
        <v>1</v>
      </c>
      <c r="AB236" s="83" t="s">
        <v>134</v>
      </c>
      <c r="AC236" s="83">
        <v>1</v>
      </c>
      <c r="AE236" s="83" t="s">
        <v>134</v>
      </c>
      <c r="AF236" s="83">
        <v>1</v>
      </c>
      <c r="AH236" s="83" t="s">
        <v>134</v>
      </c>
      <c r="AI236" s="83">
        <v>1</v>
      </c>
      <c r="AK236" s="83" t="s">
        <v>134</v>
      </c>
      <c r="AL236" s="83">
        <v>1</v>
      </c>
      <c r="AN236" s="83" t="s">
        <v>134</v>
      </c>
      <c r="AO236" s="83">
        <v>1</v>
      </c>
      <c r="AQ236" s="83" t="s">
        <v>134</v>
      </c>
      <c r="AR236" s="83">
        <v>1</v>
      </c>
      <c r="AT236" s="83" t="s">
        <v>134</v>
      </c>
      <c r="AU236" s="83">
        <v>1</v>
      </c>
      <c r="AW236" s="83" t="s">
        <v>134</v>
      </c>
      <c r="AX236" s="83">
        <v>1</v>
      </c>
      <c r="AZ236" s="83" t="s">
        <v>134</v>
      </c>
      <c r="BA236" s="83">
        <v>1</v>
      </c>
      <c r="BC236" s="83" t="s">
        <v>134</v>
      </c>
      <c r="BD236" s="83">
        <v>1</v>
      </c>
      <c r="BF236" s="83" t="s">
        <v>134</v>
      </c>
      <c r="BG236" s="83">
        <v>1</v>
      </c>
      <c r="BI236" s="83" t="s">
        <v>134</v>
      </c>
      <c r="BJ236" s="83">
        <v>1</v>
      </c>
      <c r="BL236" s="83" t="s">
        <v>134</v>
      </c>
      <c r="BM236" s="83">
        <v>1</v>
      </c>
      <c r="BO236" s="83" t="s">
        <v>134</v>
      </c>
      <c r="BP236" s="83">
        <v>1</v>
      </c>
      <c r="BR236" s="83" t="s">
        <v>134</v>
      </c>
      <c r="BS236" s="83">
        <v>1</v>
      </c>
      <c r="BU236" s="83" t="s">
        <v>134</v>
      </c>
      <c r="BV236" s="83">
        <v>1</v>
      </c>
      <c r="BX236" s="83" t="s">
        <v>134</v>
      </c>
      <c r="BY236" s="83">
        <v>1</v>
      </c>
      <c r="CA236" s="83" t="s">
        <v>134</v>
      </c>
      <c r="CB236" s="83">
        <v>1</v>
      </c>
      <c r="CD236" s="83" t="s">
        <v>134</v>
      </c>
      <c r="CE236" s="83">
        <v>1</v>
      </c>
      <c r="CG236" s="83" t="s">
        <v>134</v>
      </c>
      <c r="CH236" s="83">
        <v>1</v>
      </c>
      <c r="CJ236" s="83" t="s">
        <v>134</v>
      </c>
      <c r="CK236" s="83">
        <v>1</v>
      </c>
      <c r="CM236" s="83" t="s">
        <v>134</v>
      </c>
      <c r="CN236" s="83">
        <v>1</v>
      </c>
      <c r="CP236" s="83" t="s">
        <v>134</v>
      </c>
      <c r="CQ236" s="83">
        <v>1</v>
      </c>
      <c r="CS236" s="83" t="s">
        <v>134</v>
      </c>
      <c r="CT236" s="83">
        <v>1</v>
      </c>
      <c r="CV236" s="83" t="s">
        <v>134</v>
      </c>
      <c r="CW236" s="83">
        <v>1</v>
      </c>
      <c r="CY236" s="83" t="s">
        <v>134</v>
      </c>
      <c r="CZ236" s="83">
        <v>1</v>
      </c>
    </row>
    <row r="238" spans="1:104" x14ac:dyDescent="0.2">
      <c r="A238" s="83" t="s">
        <v>133</v>
      </c>
      <c r="B238" s="83">
        <v>1</v>
      </c>
      <c r="D238" s="83" t="s">
        <v>133</v>
      </c>
      <c r="E238" s="83">
        <v>1</v>
      </c>
      <c r="G238" s="83" t="s">
        <v>133</v>
      </c>
      <c r="H238" s="83">
        <v>1</v>
      </c>
      <c r="J238" s="83" t="s">
        <v>133</v>
      </c>
      <c r="K238" s="83">
        <v>1</v>
      </c>
      <c r="M238" s="83" t="s">
        <v>133</v>
      </c>
      <c r="N238" s="83">
        <v>1</v>
      </c>
      <c r="P238" s="83" t="s">
        <v>133</v>
      </c>
      <c r="Q238" s="83">
        <v>1</v>
      </c>
      <c r="S238" s="83" t="s">
        <v>133</v>
      </c>
      <c r="T238" s="83">
        <v>1</v>
      </c>
      <c r="V238" s="83" t="s">
        <v>133</v>
      </c>
      <c r="W238" s="83">
        <v>1</v>
      </c>
      <c r="Y238" s="83" t="s">
        <v>133</v>
      </c>
      <c r="Z238" s="83">
        <v>1</v>
      </c>
      <c r="AB238" s="83" t="s">
        <v>133</v>
      </c>
      <c r="AC238" s="83">
        <v>1</v>
      </c>
      <c r="AE238" s="83" t="s">
        <v>133</v>
      </c>
      <c r="AF238" s="83">
        <v>1</v>
      </c>
      <c r="AH238" s="83" t="s">
        <v>133</v>
      </c>
      <c r="AI238" s="83">
        <v>1</v>
      </c>
      <c r="AK238" s="83" t="s">
        <v>133</v>
      </c>
      <c r="AL238" s="83">
        <v>1</v>
      </c>
      <c r="AN238" s="83" t="s">
        <v>133</v>
      </c>
      <c r="AO238" s="83">
        <v>1</v>
      </c>
      <c r="AQ238" s="83" t="s">
        <v>133</v>
      </c>
      <c r="AR238" s="83">
        <v>1</v>
      </c>
      <c r="AT238" s="83" t="s">
        <v>133</v>
      </c>
      <c r="AU238" s="83">
        <v>1</v>
      </c>
      <c r="AW238" s="83" t="s">
        <v>133</v>
      </c>
      <c r="AX238" s="83">
        <v>1</v>
      </c>
      <c r="AZ238" s="83" t="s">
        <v>133</v>
      </c>
      <c r="BA238" s="83">
        <v>1</v>
      </c>
      <c r="BC238" s="83" t="s">
        <v>133</v>
      </c>
      <c r="BD238" s="83">
        <v>1</v>
      </c>
      <c r="BF238" s="83" t="s">
        <v>133</v>
      </c>
      <c r="BG238" s="83">
        <v>1</v>
      </c>
      <c r="BI238" s="83" t="s">
        <v>133</v>
      </c>
      <c r="BJ238" s="83">
        <v>1</v>
      </c>
      <c r="BL238" s="83" t="s">
        <v>133</v>
      </c>
      <c r="BM238" s="83">
        <v>1</v>
      </c>
      <c r="BO238" s="83" t="s">
        <v>133</v>
      </c>
      <c r="BP238" s="83">
        <v>1</v>
      </c>
      <c r="BR238" s="83" t="s">
        <v>133</v>
      </c>
      <c r="BS238" s="83">
        <v>1</v>
      </c>
      <c r="BU238" s="83" t="s">
        <v>133</v>
      </c>
      <c r="BV238" s="83">
        <v>1</v>
      </c>
      <c r="BX238" s="83" t="s">
        <v>133</v>
      </c>
      <c r="BY238" s="83">
        <v>1</v>
      </c>
      <c r="CA238" s="83" t="s">
        <v>133</v>
      </c>
      <c r="CB238" s="83">
        <v>1</v>
      </c>
      <c r="CD238" s="83" t="s">
        <v>133</v>
      </c>
      <c r="CE238" s="83">
        <v>1</v>
      </c>
      <c r="CG238" s="83" t="s">
        <v>133</v>
      </c>
      <c r="CH238" s="83">
        <v>1</v>
      </c>
      <c r="CJ238" s="83" t="s">
        <v>133</v>
      </c>
      <c r="CK238" s="83">
        <v>1</v>
      </c>
      <c r="CM238" s="83" t="s">
        <v>133</v>
      </c>
      <c r="CN238" s="83">
        <v>1</v>
      </c>
      <c r="CP238" s="83" t="s">
        <v>133</v>
      </c>
      <c r="CQ238" s="83">
        <v>1</v>
      </c>
      <c r="CS238" s="83" t="s">
        <v>133</v>
      </c>
      <c r="CT238" s="83">
        <v>1</v>
      </c>
      <c r="CV238" s="83" t="s">
        <v>133</v>
      </c>
      <c r="CW238" s="83">
        <v>1</v>
      </c>
      <c r="CY238" s="83" t="s">
        <v>133</v>
      </c>
      <c r="CZ238" s="83">
        <v>1</v>
      </c>
    </row>
    <row r="240" spans="1:104" x14ac:dyDescent="0.2">
      <c r="A240" s="83" t="s">
        <v>135</v>
      </c>
      <c r="B240" s="83">
        <v>1</v>
      </c>
      <c r="D240" s="83" t="s">
        <v>135</v>
      </c>
      <c r="E240" s="83">
        <v>1</v>
      </c>
      <c r="G240" s="83" t="s">
        <v>135</v>
      </c>
      <c r="H240" s="83">
        <v>1</v>
      </c>
      <c r="J240" s="83" t="s">
        <v>135</v>
      </c>
      <c r="K240" s="83">
        <v>1</v>
      </c>
      <c r="M240" s="83" t="s">
        <v>135</v>
      </c>
      <c r="N240" s="83">
        <v>1</v>
      </c>
      <c r="P240" s="83" t="s">
        <v>135</v>
      </c>
      <c r="Q240" s="83">
        <v>1</v>
      </c>
      <c r="S240" s="83" t="s">
        <v>135</v>
      </c>
      <c r="T240" s="83">
        <v>1</v>
      </c>
      <c r="V240" s="83" t="s">
        <v>135</v>
      </c>
      <c r="W240" s="83">
        <v>1</v>
      </c>
      <c r="Y240" s="83" t="s">
        <v>135</v>
      </c>
      <c r="Z240" s="83">
        <v>1</v>
      </c>
      <c r="AB240" s="83" t="s">
        <v>135</v>
      </c>
      <c r="AC240" s="83">
        <v>1</v>
      </c>
      <c r="AE240" s="83" t="s">
        <v>135</v>
      </c>
      <c r="AF240" s="83">
        <v>1</v>
      </c>
      <c r="AH240" s="83" t="s">
        <v>135</v>
      </c>
      <c r="AI240" s="83">
        <v>1</v>
      </c>
      <c r="AK240" s="83" t="s">
        <v>135</v>
      </c>
      <c r="AL240" s="83">
        <v>1</v>
      </c>
      <c r="AN240" s="83" t="s">
        <v>135</v>
      </c>
      <c r="AO240" s="83">
        <v>1</v>
      </c>
      <c r="AQ240" s="83" t="s">
        <v>135</v>
      </c>
      <c r="AR240" s="83">
        <v>1</v>
      </c>
      <c r="AT240" s="83" t="s">
        <v>135</v>
      </c>
      <c r="AU240" s="83">
        <v>1</v>
      </c>
      <c r="AW240" s="83" t="s">
        <v>135</v>
      </c>
      <c r="AX240" s="83">
        <v>1</v>
      </c>
      <c r="AZ240" s="83" t="s">
        <v>135</v>
      </c>
      <c r="BA240" s="83">
        <v>1</v>
      </c>
      <c r="BC240" s="83" t="s">
        <v>135</v>
      </c>
      <c r="BD240" s="83">
        <v>1</v>
      </c>
      <c r="BF240" s="83" t="s">
        <v>135</v>
      </c>
      <c r="BG240" s="83">
        <v>1</v>
      </c>
      <c r="BI240" s="83" t="s">
        <v>135</v>
      </c>
      <c r="BJ240" s="83">
        <v>1</v>
      </c>
      <c r="BL240" s="83" t="s">
        <v>135</v>
      </c>
      <c r="BM240" s="83">
        <v>1</v>
      </c>
      <c r="BO240" s="83" t="s">
        <v>135</v>
      </c>
      <c r="BP240" s="83">
        <v>1</v>
      </c>
      <c r="BR240" s="83" t="s">
        <v>135</v>
      </c>
      <c r="BS240" s="83">
        <v>1</v>
      </c>
      <c r="BU240" s="83" t="s">
        <v>135</v>
      </c>
      <c r="BV240" s="83">
        <v>1</v>
      </c>
      <c r="BX240" s="83" t="s">
        <v>135</v>
      </c>
      <c r="BY240" s="83">
        <v>1</v>
      </c>
      <c r="CA240" s="83" t="s">
        <v>135</v>
      </c>
      <c r="CB240" s="83">
        <v>1</v>
      </c>
      <c r="CD240" s="83" t="s">
        <v>135</v>
      </c>
      <c r="CE240" s="83">
        <v>1</v>
      </c>
      <c r="CG240" s="83" t="s">
        <v>135</v>
      </c>
      <c r="CH240" s="83">
        <v>1</v>
      </c>
      <c r="CJ240" s="83" t="s">
        <v>135</v>
      </c>
      <c r="CK240" s="83">
        <v>1</v>
      </c>
      <c r="CM240" s="83" t="s">
        <v>135</v>
      </c>
      <c r="CN240" s="83">
        <v>1</v>
      </c>
      <c r="CP240" s="83" t="s">
        <v>135</v>
      </c>
      <c r="CQ240" s="83">
        <v>1</v>
      </c>
      <c r="CS240" s="83" t="s">
        <v>135</v>
      </c>
      <c r="CT240" s="83">
        <v>1</v>
      </c>
      <c r="CV240" s="83" t="s">
        <v>135</v>
      </c>
      <c r="CW240" s="83">
        <v>1</v>
      </c>
      <c r="CY240" s="83" t="s">
        <v>135</v>
      </c>
      <c r="CZ240" s="83">
        <v>1</v>
      </c>
    </row>
    <row r="242" spans="1:104" x14ac:dyDescent="0.2">
      <c r="A242" s="83" t="s">
        <v>136</v>
      </c>
      <c r="B242" s="83">
        <v>1</v>
      </c>
      <c r="D242" s="83" t="s">
        <v>136</v>
      </c>
      <c r="E242" s="83">
        <v>1</v>
      </c>
      <c r="G242" s="83" t="s">
        <v>136</v>
      </c>
      <c r="H242" s="83">
        <v>1</v>
      </c>
      <c r="J242" s="83" t="s">
        <v>136</v>
      </c>
      <c r="K242" s="83">
        <v>1</v>
      </c>
      <c r="M242" s="83" t="s">
        <v>136</v>
      </c>
      <c r="N242" s="83">
        <v>1</v>
      </c>
      <c r="P242" s="83" t="s">
        <v>136</v>
      </c>
      <c r="Q242" s="83">
        <v>1</v>
      </c>
      <c r="S242" s="83" t="s">
        <v>136</v>
      </c>
      <c r="T242" s="83">
        <v>1</v>
      </c>
      <c r="V242" s="83" t="s">
        <v>136</v>
      </c>
      <c r="W242" s="83">
        <v>1</v>
      </c>
      <c r="Y242" s="83" t="s">
        <v>136</v>
      </c>
      <c r="Z242" s="83">
        <v>1</v>
      </c>
      <c r="AB242" s="83" t="s">
        <v>136</v>
      </c>
      <c r="AC242" s="83">
        <v>1</v>
      </c>
      <c r="AE242" s="83" t="s">
        <v>136</v>
      </c>
      <c r="AF242" s="83">
        <v>1</v>
      </c>
      <c r="AH242" s="83" t="s">
        <v>136</v>
      </c>
      <c r="AI242" s="83">
        <v>1</v>
      </c>
      <c r="AK242" s="83" t="s">
        <v>136</v>
      </c>
      <c r="AL242" s="83">
        <v>1</v>
      </c>
      <c r="AN242" s="83" t="s">
        <v>136</v>
      </c>
      <c r="AO242" s="83">
        <v>1</v>
      </c>
      <c r="AQ242" s="83" t="s">
        <v>136</v>
      </c>
      <c r="AR242" s="83">
        <v>1</v>
      </c>
      <c r="AT242" s="83" t="s">
        <v>136</v>
      </c>
      <c r="AU242" s="83">
        <v>1</v>
      </c>
      <c r="AW242" s="83" t="s">
        <v>136</v>
      </c>
      <c r="AX242" s="83">
        <v>1</v>
      </c>
      <c r="AZ242" s="83" t="s">
        <v>136</v>
      </c>
      <c r="BA242" s="83">
        <v>1</v>
      </c>
      <c r="BC242" s="83" t="s">
        <v>136</v>
      </c>
      <c r="BD242" s="83">
        <v>1</v>
      </c>
      <c r="BF242" s="83" t="s">
        <v>136</v>
      </c>
      <c r="BG242" s="83">
        <v>1</v>
      </c>
      <c r="BI242" s="83" t="s">
        <v>136</v>
      </c>
      <c r="BJ242" s="83">
        <v>1</v>
      </c>
      <c r="BL242" s="83" t="s">
        <v>136</v>
      </c>
      <c r="BM242" s="83">
        <v>1</v>
      </c>
      <c r="BO242" s="83" t="s">
        <v>136</v>
      </c>
      <c r="BP242" s="83">
        <v>1</v>
      </c>
      <c r="BR242" s="83" t="s">
        <v>136</v>
      </c>
      <c r="BS242" s="83">
        <v>1</v>
      </c>
      <c r="BU242" s="83" t="s">
        <v>136</v>
      </c>
      <c r="BV242" s="83">
        <v>1</v>
      </c>
      <c r="BX242" s="83" t="s">
        <v>136</v>
      </c>
      <c r="BY242" s="83">
        <v>1</v>
      </c>
      <c r="CA242" s="83" t="s">
        <v>136</v>
      </c>
      <c r="CB242" s="83">
        <v>1</v>
      </c>
      <c r="CD242" s="83" t="s">
        <v>136</v>
      </c>
      <c r="CE242" s="83">
        <v>1</v>
      </c>
      <c r="CG242" s="83" t="s">
        <v>136</v>
      </c>
      <c r="CH242" s="83">
        <v>1</v>
      </c>
      <c r="CJ242" s="83" t="s">
        <v>136</v>
      </c>
      <c r="CK242" s="83">
        <v>1</v>
      </c>
      <c r="CM242" s="83" t="s">
        <v>136</v>
      </c>
      <c r="CN242" s="83">
        <v>1</v>
      </c>
      <c r="CP242" s="83" t="s">
        <v>136</v>
      </c>
      <c r="CQ242" s="83">
        <v>1</v>
      </c>
      <c r="CS242" s="83" t="s">
        <v>136</v>
      </c>
      <c r="CT242" s="83">
        <v>1</v>
      </c>
      <c r="CV242" s="83" t="s">
        <v>136</v>
      </c>
      <c r="CW242" s="83">
        <v>1</v>
      </c>
      <c r="CY242" s="83" t="s">
        <v>136</v>
      </c>
      <c r="CZ242" s="83">
        <v>1</v>
      </c>
    </row>
    <row r="244" spans="1:104" x14ac:dyDescent="0.2">
      <c r="A244" s="83" t="s">
        <v>137</v>
      </c>
      <c r="B244" s="83">
        <v>1</v>
      </c>
      <c r="D244" s="83" t="s">
        <v>137</v>
      </c>
      <c r="E244" s="83">
        <v>1</v>
      </c>
      <c r="G244" s="83" t="s">
        <v>137</v>
      </c>
      <c r="H244" s="83">
        <v>1</v>
      </c>
      <c r="J244" s="83" t="s">
        <v>137</v>
      </c>
      <c r="K244" s="83">
        <v>1</v>
      </c>
      <c r="M244" s="83" t="s">
        <v>137</v>
      </c>
      <c r="N244" s="83">
        <v>1</v>
      </c>
      <c r="P244" s="83" t="s">
        <v>137</v>
      </c>
      <c r="Q244" s="83">
        <v>1</v>
      </c>
      <c r="S244" s="83" t="s">
        <v>137</v>
      </c>
      <c r="T244" s="83">
        <v>1</v>
      </c>
      <c r="V244" s="83" t="s">
        <v>137</v>
      </c>
      <c r="W244" s="83">
        <v>1</v>
      </c>
      <c r="Y244" s="83" t="s">
        <v>137</v>
      </c>
      <c r="Z244" s="83">
        <v>1</v>
      </c>
      <c r="AB244" s="83" t="s">
        <v>137</v>
      </c>
      <c r="AC244" s="83">
        <v>1</v>
      </c>
      <c r="AE244" s="83" t="s">
        <v>137</v>
      </c>
      <c r="AF244" s="83">
        <v>1</v>
      </c>
      <c r="AH244" s="83" t="s">
        <v>137</v>
      </c>
      <c r="AI244" s="83">
        <v>1</v>
      </c>
      <c r="AK244" s="83" t="s">
        <v>137</v>
      </c>
      <c r="AL244" s="83">
        <v>1</v>
      </c>
      <c r="AN244" s="83" t="s">
        <v>137</v>
      </c>
      <c r="AO244" s="83">
        <v>1</v>
      </c>
      <c r="AQ244" s="83" t="s">
        <v>137</v>
      </c>
      <c r="AR244" s="83">
        <v>1</v>
      </c>
      <c r="AT244" s="83" t="s">
        <v>137</v>
      </c>
      <c r="AU244" s="83">
        <v>1</v>
      </c>
      <c r="AW244" s="83" t="s">
        <v>137</v>
      </c>
      <c r="AX244" s="83">
        <v>1</v>
      </c>
      <c r="AZ244" s="83" t="s">
        <v>137</v>
      </c>
      <c r="BA244" s="83">
        <v>1</v>
      </c>
      <c r="BC244" s="83" t="s">
        <v>137</v>
      </c>
      <c r="BD244" s="83">
        <v>1</v>
      </c>
      <c r="BF244" s="83" t="s">
        <v>137</v>
      </c>
      <c r="BG244" s="83">
        <v>1</v>
      </c>
      <c r="BI244" s="83" t="s">
        <v>137</v>
      </c>
      <c r="BJ244" s="83">
        <v>1</v>
      </c>
      <c r="BL244" s="83" t="s">
        <v>137</v>
      </c>
      <c r="BM244" s="83">
        <v>1</v>
      </c>
      <c r="BO244" s="83" t="s">
        <v>137</v>
      </c>
      <c r="BP244" s="83">
        <v>1</v>
      </c>
      <c r="BR244" s="83" t="s">
        <v>137</v>
      </c>
      <c r="BS244" s="83">
        <v>1</v>
      </c>
      <c r="BU244" s="83" t="s">
        <v>137</v>
      </c>
      <c r="BV244" s="83">
        <v>1</v>
      </c>
      <c r="BX244" s="83" t="s">
        <v>137</v>
      </c>
      <c r="BY244" s="83">
        <v>1</v>
      </c>
      <c r="CA244" s="83" t="s">
        <v>137</v>
      </c>
      <c r="CB244" s="83">
        <v>1</v>
      </c>
      <c r="CD244" s="83" t="s">
        <v>137</v>
      </c>
      <c r="CE244" s="83">
        <v>1</v>
      </c>
      <c r="CG244" s="83" t="s">
        <v>137</v>
      </c>
      <c r="CH244" s="83">
        <v>1</v>
      </c>
      <c r="CJ244" s="83" t="s">
        <v>137</v>
      </c>
      <c r="CK244" s="83">
        <v>1</v>
      </c>
      <c r="CM244" s="83" t="s">
        <v>137</v>
      </c>
      <c r="CN244" s="83">
        <v>1</v>
      </c>
      <c r="CP244" s="83" t="s">
        <v>137</v>
      </c>
      <c r="CQ244" s="83">
        <v>1</v>
      </c>
      <c r="CS244" s="83" t="s">
        <v>137</v>
      </c>
      <c r="CT244" s="83">
        <v>1</v>
      </c>
      <c r="CV244" s="83" t="s">
        <v>137</v>
      </c>
      <c r="CW244" s="83">
        <v>1</v>
      </c>
      <c r="CY244" s="83" t="s">
        <v>137</v>
      </c>
      <c r="CZ244" s="83">
        <v>1</v>
      </c>
    </row>
    <row r="246" spans="1:104" x14ac:dyDescent="0.2">
      <c r="A246" s="83" t="s">
        <v>138</v>
      </c>
      <c r="B246" s="83">
        <v>1</v>
      </c>
      <c r="D246" s="83" t="s">
        <v>138</v>
      </c>
      <c r="E246" s="83">
        <v>1</v>
      </c>
      <c r="G246" s="83" t="s">
        <v>138</v>
      </c>
      <c r="H246" s="83">
        <v>1</v>
      </c>
      <c r="J246" s="83" t="s">
        <v>138</v>
      </c>
      <c r="K246" s="83">
        <v>1</v>
      </c>
      <c r="M246" s="83" t="s">
        <v>138</v>
      </c>
      <c r="N246" s="83">
        <v>1</v>
      </c>
      <c r="P246" s="83" t="s">
        <v>138</v>
      </c>
      <c r="Q246" s="83">
        <v>1</v>
      </c>
      <c r="S246" s="83" t="s">
        <v>138</v>
      </c>
      <c r="T246" s="83">
        <v>1</v>
      </c>
      <c r="V246" s="83" t="s">
        <v>138</v>
      </c>
      <c r="W246" s="83">
        <v>1</v>
      </c>
      <c r="Y246" s="83" t="s">
        <v>138</v>
      </c>
      <c r="Z246" s="83">
        <v>1</v>
      </c>
      <c r="AB246" s="83" t="s">
        <v>138</v>
      </c>
      <c r="AC246" s="83">
        <v>1</v>
      </c>
      <c r="AE246" s="83" t="s">
        <v>138</v>
      </c>
      <c r="AF246" s="83">
        <v>1</v>
      </c>
      <c r="AH246" s="83" t="s">
        <v>138</v>
      </c>
      <c r="AI246" s="83">
        <v>1</v>
      </c>
      <c r="AK246" s="83" t="s">
        <v>138</v>
      </c>
      <c r="AL246" s="83">
        <v>1</v>
      </c>
      <c r="AN246" s="83" t="s">
        <v>138</v>
      </c>
      <c r="AO246" s="83">
        <v>1</v>
      </c>
      <c r="AQ246" s="83" t="s">
        <v>138</v>
      </c>
      <c r="AR246" s="83">
        <v>1</v>
      </c>
      <c r="AT246" s="83" t="s">
        <v>138</v>
      </c>
      <c r="AU246" s="83">
        <v>1</v>
      </c>
      <c r="AW246" s="83" t="s">
        <v>138</v>
      </c>
      <c r="AX246" s="83">
        <v>1</v>
      </c>
      <c r="AZ246" s="83" t="s">
        <v>138</v>
      </c>
      <c r="BA246" s="83">
        <v>1</v>
      </c>
      <c r="BC246" s="83" t="s">
        <v>138</v>
      </c>
      <c r="BD246" s="83">
        <v>1</v>
      </c>
      <c r="BF246" s="83" t="s">
        <v>138</v>
      </c>
      <c r="BG246" s="83">
        <v>1</v>
      </c>
      <c r="BI246" s="83" t="s">
        <v>138</v>
      </c>
      <c r="BJ246" s="83">
        <v>1</v>
      </c>
      <c r="BL246" s="83" t="s">
        <v>138</v>
      </c>
      <c r="BM246" s="83">
        <v>1</v>
      </c>
      <c r="BO246" s="83" t="s">
        <v>138</v>
      </c>
      <c r="BP246" s="83">
        <v>1</v>
      </c>
      <c r="BR246" s="83" t="s">
        <v>138</v>
      </c>
      <c r="BS246" s="83">
        <v>1</v>
      </c>
      <c r="BU246" s="83" t="s">
        <v>138</v>
      </c>
      <c r="BV246" s="83">
        <v>1</v>
      </c>
      <c r="BX246" s="83" t="s">
        <v>138</v>
      </c>
      <c r="BY246" s="83">
        <v>1</v>
      </c>
      <c r="CA246" s="83" t="s">
        <v>138</v>
      </c>
      <c r="CB246" s="83">
        <v>1</v>
      </c>
      <c r="CD246" s="83" t="s">
        <v>138</v>
      </c>
      <c r="CE246" s="83">
        <v>1</v>
      </c>
      <c r="CG246" s="83" t="s">
        <v>138</v>
      </c>
      <c r="CH246" s="83">
        <v>1</v>
      </c>
      <c r="CJ246" s="83" t="s">
        <v>138</v>
      </c>
      <c r="CK246" s="83">
        <v>1</v>
      </c>
      <c r="CM246" s="83" t="s">
        <v>138</v>
      </c>
      <c r="CN246" s="83">
        <v>1</v>
      </c>
      <c r="CP246" s="83" t="s">
        <v>138</v>
      </c>
      <c r="CQ246" s="83">
        <v>1</v>
      </c>
      <c r="CS246" s="83" t="s">
        <v>138</v>
      </c>
      <c r="CT246" s="83">
        <v>1</v>
      </c>
      <c r="CV246" s="83" t="s">
        <v>138</v>
      </c>
      <c r="CW246" s="83">
        <v>1</v>
      </c>
      <c r="CY246" s="83" t="s">
        <v>138</v>
      </c>
      <c r="CZ246" s="83">
        <v>1</v>
      </c>
    </row>
    <row r="248" spans="1:104" x14ac:dyDescent="0.2">
      <c r="A248" s="83" t="s">
        <v>139</v>
      </c>
      <c r="B248" s="83">
        <v>1</v>
      </c>
      <c r="D248" s="83" t="s">
        <v>139</v>
      </c>
      <c r="E248" s="83">
        <v>1</v>
      </c>
      <c r="G248" s="83" t="s">
        <v>139</v>
      </c>
      <c r="H248" s="83">
        <v>1</v>
      </c>
      <c r="J248" s="83" t="s">
        <v>139</v>
      </c>
      <c r="K248" s="83">
        <v>1</v>
      </c>
      <c r="M248" s="83" t="s">
        <v>139</v>
      </c>
      <c r="N248" s="83">
        <v>1</v>
      </c>
      <c r="P248" s="83" t="s">
        <v>139</v>
      </c>
      <c r="Q248" s="83">
        <v>1</v>
      </c>
      <c r="S248" s="83" t="s">
        <v>139</v>
      </c>
      <c r="T248" s="83">
        <v>1</v>
      </c>
      <c r="V248" s="83" t="s">
        <v>139</v>
      </c>
      <c r="W248" s="83">
        <v>1</v>
      </c>
      <c r="Y248" s="83" t="s">
        <v>139</v>
      </c>
      <c r="Z248" s="83">
        <v>1</v>
      </c>
      <c r="AB248" s="83" t="s">
        <v>139</v>
      </c>
      <c r="AC248" s="83">
        <v>1</v>
      </c>
      <c r="AE248" s="83" t="s">
        <v>139</v>
      </c>
      <c r="AF248" s="83">
        <v>1</v>
      </c>
      <c r="AH248" s="83" t="s">
        <v>139</v>
      </c>
      <c r="AI248" s="83">
        <v>1</v>
      </c>
      <c r="AK248" s="83" t="s">
        <v>139</v>
      </c>
      <c r="AL248" s="83">
        <v>1</v>
      </c>
      <c r="AN248" s="83" t="s">
        <v>139</v>
      </c>
      <c r="AO248" s="83">
        <v>1</v>
      </c>
      <c r="AQ248" s="83" t="s">
        <v>139</v>
      </c>
      <c r="AR248" s="83">
        <v>1</v>
      </c>
      <c r="AT248" s="83" t="s">
        <v>139</v>
      </c>
      <c r="AU248" s="83">
        <v>1</v>
      </c>
      <c r="AW248" s="83" t="s">
        <v>139</v>
      </c>
      <c r="AX248" s="83">
        <v>1</v>
      </c>
      <c r="AZ248" s="83" t="s">
        <v>139</v>
      </c>
      <c r="BA248" s="83">
        <v>1</v>
      </c>
      <c r="BC248" s="83" t="s">
        <v>139</v>
      </c>
      <c r="BD248" s="83">
        <v>1</v>
      </c>
      <c r="BF248" s="83" t="s">
        <v>139</v>
      </c>
      <c r="BG248" s="83">
        <v>1</v>
      </c>
      <c r="BI248" s="83" t="s">
        <v>139</v>
      </c>
      <c r="BJ248" s="83">
        <v>1</v>
      </c>
      <c r="BL248" s="83" t="s">
        <v>139</v>
      </c>
      <c r="BM248" s="83">
        <v>1</v>
      </c>
      <c r="BO248" s="83" t="s">
        <v>139</v>
      </c>
      <c r="BP248" s="83">
        <v>1</v>
      </c>
      <c r="BR248" s="83" t="s">
        <v>139</v>
      </c>
      <c r="BS248" s="83">
        <v>1</v>
      </c>
      <c r="BU248" s="83" t="s">
        <v>139</v>
      </c>
      <c r="BV248" s="83">
        <v>1</v>
      </c>
      <c r="BX248" s="83" t="s">
        <v>139</v>
      </c>
      <c r="BY248" s="83">
        <v>1</v>
      </c>
      <c r="CA248" s="83" t="s">
        <v>139</v>
      </c>
      <c r="CB248" s="83">
        <v>1</v>
      </c>
      <c r="CD248" s="83" t="s">
        <v>139</v>
      </c>
      <c r="CE248" s="83">
        <v>1</v>
      </c>
      <c r="CG248" s="83" t="s">
        <v>139</v>
      </c>
      <c r="CH248" s="83">
        <v>1</v>
      </c>
      <c r="CJ248" s="83" t="s">
        <v>139</v>
      </c>
      <c r="CK248" s="83">
        <v>1</v>
      </c>
      <c r="CM248" s="83" t="s">
        <v>139</v>
      </c>
      <c r="CN248" s="83">
        <v>1</v>
      </c>
      <c r="CP248" s="83" t="s">
        <v>139</v>
      </c>
      <c r="CQ248" s="83">
        <v>1</v>
      </c>
      <c r="CS248" s="83" t="s">
        <v>139</v>
      </c>
      <c r="CT248" s="83">
        <v>1</v>
      </c>
      <c r="CV248" s="83" t="s">
        <v>139</v>
      </c>
      <c r="CW248" s="83">
        <v>1</v>
      </c>
      <c r="CY248" s="83" t="s">
        <v>139</v>
      </c>
      <c r="CZ248" s="83">
        <v>1</v>
      </c>
    </row>
    <row r="250" spans="1:104" x14ac:dyDescent="0.2">
      <c r="A250" s="83" t="s">
        <v>140</v>
      </c>
      <c r="B250" s="83">
        <v>1</v>
      </c>
      <c r="D250" s="83" t="s">
        <v>140</v>
      </c>
      <c r="E250" s="83">
        <v>1</v>
      </c>
      <c r="G250" s="83" t="s">
        <v>140</v>
      </c>
      <c r="H250" s="83">
        <v>1</v>
      </c>
      <c r="J250" s="83" t="s">
        <v>140</v>
      </c>
      <c r="K250" s="83">
        <v>1</v>
      </c>
      <c r="M250" s="83" t="s">
        <v>140</v>
      </c>
      <c r="N250" s="83">
        <v>1</v>
      </c>
      <c r="P250" s="83" t="s">
        <v>140</v>
      </c>
      <c r="Q250" s="83">
        <v>1</v>
      </c>
      <c r="S250" s="83" t="s">
        <v>140</v>
      </c>
      <c r="T250" s="83">
        <v>1</v>
      </c>
      <c r="V250" s="83" t="s">
        <v>140</v>
      </c>
      <c r="W250" s="83">
        <v>1</v>
      </c>
      <c r="Y250" s="83" t="s">
        <v>140</v>
      </c>
      <c r="Z250" s="83">
        <v>1</v>
      </c>
      <c r="AB250" s="83" t="s">
        <v>140</v>
      </c>
      <c r="AC250" s="83">
        <v>1</v>
      </c>
      <c r="AE250" s="83" t="s">
        <v>140</v>
      </c>
      <c r="AF250" s="83">
        <v>1</v>
      </c>
      <c r="AH250" s="83" t="s">
        <v>140</v>
      </c>
      <c r="AI250" s="83">
        <v>1</v>
      </c>
      <c r="AK250" s="83" t="s">
        <v>140</v>
      </c>
      <c r="AL250" s="83">
        <v>1</v>
      </c>
      <c r="AN250" s="83" t="s">
        <v>140</v>
      </c>
      <c r="AO250" s="83">
        <v>1</v>
      </c>
      <c r="AQ250" s="83" t="s">
        <v>140</v>
      </c>
      <c r="AR250" s="83">
        <v>1</v>
      </c>
      <c r="AT250" s="83" t="s">
        <v>140</v>
      </c>
      <c r="AU250" s="83">
        <v>1</v>
      </c>
      <c r="AW250" s="83" t="s">
        <v>140</v>
      </c>
      <c r="AX250" s="83">
        <v>1</v>
      </c>
      <c r="AZ250" s="83" t="s">
        <v>140</v>
      </c>
      <c r="BA250" s="83">
        <v>1</v>
      </c>
      <c r="BC250" s="83" t="s">
        <v>140</v>
      </c>
      <c r="BD250" s="83">
        <v>1</v>
      </c>
      <c r="BF250" s="83" t="s">
        <v>140</v>
      </c>
      <c r="BG250" s="83">
        <v>1</v>
      </c>
      <c r="BI250" s="83" t="s">
        <v>140</v>
      </c>
      <c r="BJ250" s="83">
        <v>1</v>
      </c>
      <c r="BL250" s="83" t="s">
        <v>140</v>
      </c>
      <c r="BM250" s="83">
        <v>1</v>
      </c>
      <c r="BO250" s="83" t="s">
        <v>140</v>
      </c>
      <c r="BP250" s="83">
        <v>1</v>
      </c>
      <c r="BR250" s="83" t="s">
        <v>140</v>
      </c>
      <c r="BS250" s="83">
        <v>1</v>
      </c>
      <c r="BU250" s="83" t="s">
        <v>140</v>
      </c>
      <c r="BV250" s="83">
        <v>1</v>
      </c>
      <c r="BX250" s="83" t="s">
        <v>140</v>
      </c>
      <c r="BY250" s="83">
        <v>1</v>
      </c>
      <c r="CA250" s="83" t="s">
        <v>140</v>
      </c>
      <c r="CB250" s="83">
        <v>1</v>
      </c>
      <c r="CD250" s="83" t="s">
        <v>140</v>
      </c>
      <c r="CE250" s="83">
        <v>1</v>
      </c>
      <c r="CG250" s="83" t="s">
        <v>140</v>
      </c>
      <c r="CH250" s="83">
        <v>1</v>
      </c>
      <c r="CJ250" s="83" t="s">
        <v>140</v>
      </c>
      <c r="CK250" s="83">
        <v>1</v>
      </c>
      <c r="CM250" s="83" t="s">
        <v>140</v>
      </c>
      <c r="CN250" s="83">
        <v>1</v>
      </c>
      <c r="CP250" s="83" t="s">
        <v>140</v>
      </c>
      <c r="CQ250" s="83">
        <v>1</v>
      </c>
      <c r="CS250" s="83" t="s">
        <v>140</v>
      </c>
      <c r="CT250" s="83">
        <v>1</v>
      </c>
      <c r="CV250" s="83" t="s">
        <v>140</v>
      </c>
      <c r="CW250" s="83">
        <v>1</v>
      </c>
      <c r="CY250" s="83" t="s">
        <v>140</v>
      </c>
      <c r="CZ250" s="83">
        <v>1</v>
      </c>
    </row>
    <row r="252" spans="1:104" x14ac:dyDescent="0.2">
      <c r="A252" s="83" t="s">
        <v>141</v>
      </c>
      <c r="B252" s="83">
        <v>1</v>
      </c>
      <c r="D252" s="83" t="s">
        <v>141</v>
      </c>
      <c r="E252" s="83">
        <v>1</v>
      </c>
      <c r="G252" s="83" t="s">
        <v>141</v>
      </c>
      <c r="H252" s="83">
        <v>1</v>
      </c>
      <c r="J252" s="83" t="s">
        <v>141</v>
      </c>
      <c r="K252" s="83">
        <v>1</v>
      </c>
      <c r="M252" s="83" t="s">
        <v>141</v>
      </c>
      <c r="N252" s="83">
        <v>1</v>
      </c>
      <c r="P252" s="83" t="s">
        <v>141</v>
      </c>
      <c r="Q252" s="83">
        <v>1</v>
      </c>
      <c r="S252" s="83" t="s">
        <v>141</v>
      </c>
      <c r="T252" s="83">
        <v>1</v>
      </c>
      <c r="V252" s="83" t="s">
        <v>141</v>
      </c>
      <c r="W252" s="83">
        <v>1</v>
      </c>
      <c r="Y252" s="83" t="s">
        <v>141</v>
      </c>
      <c r="Z252" s="83">
        <v>1</v>
      </c>
      <c r="AB252" s="83" t="s">
        <v>141</v>
      </c>
      <c r="AC252" s="83">
        <v>1</v>
      </c>
      <c r="AE252" s="83" t="s">
        <v>141</v>
      </c>
      <c r="AF252" s="83">
        <v>1</v>
      </c>
      <c r="AH252" s="83" t="s">
        <v>141</v>
      </c>
      <c r="AI252" s="83">
        <v>1</v>
      </c>
      <c r="AK252" s="83" t="s">
        <v>141</v>
      </c>
      <c r="AL252" s="83">
        <v>1</v>
      </c>
      <c r="AN252" s="83" t="s">
        <v>141</v>
      </c>
      <c r="AO252" s="83">
        <v>1</v>
      </c>
      <c r="AQ252" s="83" t="s">
        <v>141</v>
      </c>
      <c r="AR252" s="83">
        <v>1</v>
      </c>
      <c r="AT252" s="83" t="s">
        <v>141</v>
      </c>
      <c r="AU252" s="83">
        <v>1</v>
      </c>
      <c r="AW252" s="83" t="s">
        <v>141</v>
      </c>
      <c r="AX252" s="83">
        <v>1</v>
      </c>
      <c r="AZ252" s="83" t="s">
        <v>141</v>
      </c>
      <c r="BA252" s="83">
        <v>1</v>
      </c>
      <c r="BC252" s="83" t="s">
        <v>141</v>
      </c>
      <c r="BD252" s="83">
        <v>1</v>
      </c>
      <c r="BF252" s="83" t="s">
        <v>141</v>
      </c>
      <c r="BG252" s="83">
        <v>1</v>
      </c>
      <c r="BI252" s="83" t="s">
        <v>141</v>
      </c>
      <c r="BJ252" s="83">
        <v>1</v>
      </c>
      <c r="BL252" s="83" t="s">
        <v>141</v>
      </c>
      <c r="BM252" s="83">
        <v>1</v>
      </c>
      <c r="BO252" s="83" t="s">
        <v>141</v>
      </c>
      <c r="BP252" s="83">
        <v>1</v>
      </c>
      <c r="BR252" s="83" t="s">
        <v>141</v>
      </c>
      <c r="BS252" s="83">
        <v>1</v>
      </c>
      <c r="BU252" s="83" t="s">
        <v>141</v>
      </c>
      <c r="BV252" s="83">
        <v>1</v>
      </c>
      <c r="BX252" s="83" t="s">
        <v>141</v>
      </c>
      <c r="BY252" s="83">
        <v>1</v>
      </c>
      <c r="CA252" s="83" t="s">
        <v>141</v>
      </c>
      <c r="CB252" s="83">
        <v>1</v>
      </c>
      <c r="CD252" s="83" t="s">
        <v>141</v>
      </c>
      <c r="CE252" s="83">
        <v>1</v>
      </c>
      <c r="CG252" s="83" t="s">
        <v>141</v>
      </c>
      <c r="CH252" s="83">
        <v>1</v>
      </c>
      <c r="CJ252" s="83" t="s">
        <v>141</v>
      </c>
      <c r="CK252" s="83">
        <v>1</v>
      </c>
      <c r="CM252" s="83" t="s">
        <v>141</v>
      </c>
      <c r="CN252" s="83">
        <v>1</v>
      </c>
      <c r="CP252" s="83" t="s">
        <v>141</v>
      </c>
      <c r="CQ252" s="83">
        <v>1</v>
      </c>
      <c r="CS252" s="83" t="s">
        <v>141</v>
      </c>
      <c r="CT252" s="83">
        <v>1</v>
      </c>
      <c r="CV252" s="83" t="s">
        <v>141</v>
      </c>
      <c r="CW252" s="83">
        <v>1</v>
      </c>
      <c r="CY252" s="83" t="s">
        <v>141</v>
      </c>
      <c r="CZ252" s="83">
        <v>1</v>
      </c>
    </row>
    <row r="254" spans="1:104" x14ac:dyDescent="0.2">
      <c r="A254" s="83" t="s">
        <v>142</v>
      </c>
      <c r="B254" s="83">
        <v>1</v>
      </c>
      <c r="D254" s="83" t="s">
        <v>142</v>
      </c>
      <c r="E254" s="83">
        <v>1</v>
      </c>
      <c r="G254" s="83" t="s">
        <v>142</v>
      </c>
      <c r="H254" s="83">
        <v>1</v>
      </c>
      <c r="J254" s="83" t="s">
        <v>142</v>
      </c>
      <c r="K254" s="83">
        <v>1</v>
      </c>
      <c r="M254" s="83" t="s">
        <v>142</v>
      </c>
      <c r="N254" s="83">
        <v>1</v>
      </c>
      <c r="P254" s="83" t="s">
        <v>142</v>
      </c>
      <c r="Q254" s="83">
        <v>1</v>
      </c>
      <c r="S254" s="83" t="s">
        <v>142</v>
      </c>
      <c r="T254" s="83">
        <v>1</v>
      </c>
      <c r="V254" s="83" t="s">
        <v>142</v>
      </c>
      <c r="W254" s="83">
        <v>1</v>
      </c>
      <c r="Y254" s="83" t="s">
        <v>142</v>
      </c>
      <c r="Z254" s="83">
        <v>1</v>
      </c>
      <c r="AB254" s="83" t="s">
        <v>142</v>
      </c>
      <c r="AC254" s="83">
        <v>1</v>
      </c>
      <c r="AE254" s="83" t="s">
        <v>142</v>
      </c>
      <c r="AF254" s="83">
        <v>1</v>
      </c>
      <c r="AH254" s="83" t="s">
        <v>142</v>
      </c>
      <c r="AI254" s="83">
        <v>1</v>
      </c>
      <c r="AK254" s="83" t="s">
        <v>142</v>
      </c>
      <c r="AL254" s="83">
        <v>1</v>
      </c>
      <c r="AN254" s="83" t="s">
        <v>142</v>
      </c>
      <c r="AO254" s="83">
        <v>1</v>
      </c>
      <c r="AQ254" s="83" t="s">
        <v>142</v>
      </c>
      <c r="AR254" s="83">
        <v>1</v>
      </c>
      <c r="AT254" s="83" t="s">
        <v>142</v>
      </c>
      <c r="AU254" s="83">
        <v>1</v>
      </c>
      <c r="AW254" s="83" t="s">
        <v>142</v>
      </c>
      <c r="AX254" s="83">
        <v>1</v>
      </c>
      <c r="AZ254" s="83" t="s">
        <v>142</v>
      </c>
      <c r="BA254" s="83">
        <v>1</v>
      </c>
      <c r="BC254" s="83" t="s">
        <v>142</v>
      </c>
      <c r="BD254" s="83">
        <v>1</v>
      </c>
      <c r="BF254" s="83" t="s">
        <v>142</v>
      </c>
      <c r="BG254" s="83">
        <v>1</v>
      </c>
      <c r="BI254" s="83" t="s">
        <v>142</v>
      </c>
      <c r="BJ254" s="83">
        <v>1</v>
      </c>
      <c r="BL254" s="83" t="s">
        <v>142</v>
      </c>
      <c r="BM254" s="83">
        <v>1</v>
      </c>
      <c r="BO254" s="83" t="s">
        <v>142</v>
      </c>
      <c r="BP254" s="83">
        <v>1</v>
      </c>
      <c r="BR254" s="83" t="s">
        <v>142</v>
      </c>
      <c r="BS254" s="83">
        <v>1</v>
      </c>
      <c r="BU254" s="83" t="s">
        <v>142</v>
      </c>
      <c r="BV254" s="83">
        <v>1</v>
      </c>
      <c r="BX254" s="83" t="s">
        <v>142</v>
      </c>
      <c r="BY254" s="83">
        <v>1</v>
      </c>
      <c r="CA254" s="83" t="s">
        <v>142</v>
      </c>
      <c r="CB254" s="83">
        <v>1</v>
      </c>
      <c r="CD254" s="83" t="s">
        <v>142</v>
      </c>
      <c r="CE254" s="83">
        <v>1</v>
      </c>
      <c r="CG254" s="83" t="s">
        <v>142</v>
      </c>
      <c r="CH254" s="83">
        <v>1</v>
      </c>
      <c r="CJ254" s="83" t="s">
        <v>142</v>
      </c>
      <c r="CK254" s="83">
        <v>1</v>
      </c>
      <c r="CM254" s="83" t="s">
        <v>142</v>
      </c>
      <c r="CN254" s="83">
        <v>1</v>
      </c>
      <c r="CP254" s="83" t="s">
        <v>142</v>
      </c>
      <c r="CQ254" s="83">
        <v>1</v>
      </c>
      <c r="CS254" s="83" t="s">
        <v>142</v>
      </c>
      <c r="CT254" s="83">
        <v>1</v>
      </c>
      <c r="CV254" s="83" t="s">
        <v>142</v>
      </c>
      <c r="CW254" s="83">
        <v>1</v>
      </c>
      <c r="CY254" s="83" t="s">
        <v>142</v>
      </c>
      <c r="CZ254" s="83">
        <v>1</v>
      </c>
    </row>
    <row r="256" spans="1:104" x14ac:dyDescent="0.2">
      <c r="A256" s="83" t="s">
        <v>143</v>
      </c>
      <c r="B256" s="83">
        <v>1</v>
      </c>
      <c r="D256" s="83" t="s">
        <v>143</v>
      </c>
      <c r="E256" s="83">
        <v>1</v>
      </c>
      <c r="G256" s="83" t="s">
        <v>143</v>
      </c>
      <c r="H256" s="83">
        <v>1</v>
      </c>
      <c r="J256" s="83" t="s">
        <v>143</v>
      </c>
      <c r="K256" s="83">
        <v>1</v>
      </c>
      <c r="M256" s="83" t="s">
        <v>143</v>
      </c>
      <c r="N256" s="83">
        <v>1</v>
      </c>
      <c r="P256" s="83" t="s">
        <v>143</v>
      </c>
      <c r="Q256" s="83">
        <v>1</v>
      </c>
      <c r="S256" s="83" t="s">
        <v>143</v>
      </c>
      <c r="T256" s="83">
        <v>1</v>
      </c>
      <c r="V256" s="83" t="s">
        <v>143</v>
      </c>
      <c r="W256" s="83">
        <v>1</v>
      </c>
      <c r="Y256" s="83" t="s">
        <v>143</v>
      </c>
      <c r="Z256" s="83">
        <v>1</v>
      </c>
      <c r="AB256" s="83" t="s">
        <v>143</v>
      </c>
      <c r="AC256" s="83">
        <v>1</v>
      </c>
      <c r="AE256" s="83" t="s">
        <v>143</v>
      </c>
      <c r="AF256" s="83">
        <v>1</v>
      </c>
      <c r="AH256" s="83" t="s">
        <v>143</v>
      </c>
      <c r="AI256" s="83">
        <v>1</v>
      </c>
      <c r="AK256" s="83" t="s">
        <v>143</v>
      </c>
      <c r="AL256" s="83">
        <v>1</v>
      </c>
      <c r="AN256" s="83" t="s">
        <v>143</v>
      </c>
      <c r="AO256" s="83">
        <v>1</v>
      </c>
      <c r="AQ256" s="83" t="s">
        <v>143</v>
      </c>
      <c r="AR256" s="83">
        <v>1</v>
      </c>
      <c r="AT256" s="83" t="s">
        <v>143</v>
      </c>
      <c r="AU256" s="83">
        <v>1</v>
      </c>
      <c r="AW256" s="83" t="s">
        <v>143</v>
      </c>
      <c r="AX256" s="83">
        <v>1</v>
      </c>
      <c r="AZ256" s="83" t="s">
        <v>143</v>
      </c>
      <c r="BA256" s="83">
        <v>1</v>
      </c>
      <c r="BC256" s="83" t="s">
        <v>143</v>
      </c>
      <c r="BD256" s="83">
        <v>1</v>
      </c>
      <c r="BF256" s="83" t="s">
        <v>143</v>
      </c>
      <c r="BG256" s="83">
        <v>1</v>
      </c>
      <c r="BI256" s="83" t="s">
        <v>143</v>
      </c>
      <c r="BJ256" s="83">
        <v>1</v>
      </c>
      <c r="BL256" s="83" t="s">
        <v>143</v>
      </c>
      <c r="BM256" s="83">
        <v>1</v>
      </c>
      <c r="BO256" s="83" t="s">
        <v>143</v>
      </c>
      <c r="BP256" s="83">
        <v>1</v>
      </c>
      <c r="BR256" s="83" t="s">
        <v>143</v>
      </c>
      <c r="BS256" s="83">
        <v>1</v>
      </c>
      <c r="BU256" s="83" t="s">
        <v>143</v>
      </c>
      <c r="BV256" s="83">
        <v>1</v>
      </c>
      <c r="BX256" s="83" t="s">
        <v>143</v>
      </c>
      <c r="BY256" s="83">
        <v>1</v>
      </c>
      <c r="CA256" s="83" t="s">
        <v>143</v>
      </c>
      <c r="CB256" s="83">
        <v>1</v>
      </c>
      <c r="CD256" s="83" t="s">
        <v>143</v>
      </c>
      <c r="CE256" s="83">
        <v>1</v>
      </c>
      <c r="CG256" s="83" t="s">
        <v>143</v>
      </c>
      <c r="CH256" s="83">
        <v>1</v>
      </c>
      <c r="CJ256" s="83" t="s">
        <v>143</v>
      </c>
      <c r="CK256" s="83">
        <v>1</v>
      </c>
      <c r="CM256" s="83" t="s">
        <v>143</v>
      </c>
      <c r="CN256" s="83">
        <v>1</v>
      </c>
      <c r="CP256" s="83" t="s">
        <v>143</v>
      </c>
      <c r="CQ256" s="83">
        <v>1</v>
      </c>
      <c r="CS256" s="83" t="s">
        <v>143</v>
      </c>
      <c r="CT256" s="83">
        <v>1</v>
      </c>
      <c r="CV256" s="83" t="s">
        <v>143</v>
      </c>
      <c r="CW256" s="83">
        <v>1</v>
      </c>
      <c r="CY256" s="83" t="s">
        <v>143</v>
      </c>
      <c r="CZ256" s="83">
        <v>1</v>
      </c>
    </row>
    <row r="258" spans="1:104" x14ac:dyDescent="0.2">
      <c r="A258" s="83" t="s">
        <v>144</v>
      </c>
      <c r="B258" s="83">
        <v>1</v>
      </c>
      <c r="D258" s="83" t="s">
        <v>144</v>
      </c>
      <c r="E258" s="83">
        <v>1</v>
      </c>
      <c r="G258" s="83" t="s">
        <v>144</v>
      </c>
      <c r="H258" s="83">
        <v>1</v>
      </c>
      <c r="J258" s="83" t="s">
        <v>144</v>
      </c>
      <c r="K258" s="83">
        <v>1</v>
      </c>
      <c r="M258" s="83" t="s">
        <v>144</v>
      </c>
      <c r="N258" s="83">
        <v>1</v>
      </c>
      <c r="P258" s="83" t="s">
        <v>144</v>
      </c>
      <c r="Q258" s="83">
        <v>1</v>
      </c>
      <c r="S258" s="83" t="s">
        <v>144</v>
      </c>
      <c r="T258" s="83">
        <v>1</v>
      </c>
      <c r="V258" s="83" t="s">
        <v>144</v>
      </c>
      <c r="W258" s="83">
        <v>1</v>
      </c>
      <c r="Y258" s="83" t="s">
        <v>144</v>
      </c>
      <c r="Z258" s="83">
        <v>1</v>
      </c>
      <c r="AB258" s="83" t="s">
        <v>144</v>
      </c>
      <c r="AC258" s="83">
        <v>1</v>
      </c>
      <c r="AE258" s="83" t="s">
        <v>144</v>
      </c>
      <c r="AF258" s="83">
        <v>1</v>
      </c>
      <c r="AH258" s="83" t="s">
        <v>144</v>
      </c>
      <c r="AI258" s="83">
        <v>1</v>
      </c>
      <c r="AK258" s="83" t="s">
        <v>144</v>
      </c>
      <c r="AL258" s="83">
        <v>1</v>
      </c>
      <c r="AN258" s="83" t="s">
        <v>144</v>
      </c>
      <c r="AO258" s="83">
        <v>1</v>
      </c>
      <c r="AQ258" s="83" t="s">
        <v>144</v>
      </c>
      <c r="AR258" s="83">
        <v>1</v>
      </c>
      <c r="AT258" s="83" t="s">
        <v>144</v>
      </c>
      <c r="AU258" s="83">
        <v>1</v>
      </c>
      <c r="AW258" s="83" t="s">
        <v>144</v>
      </c>
      <c r="AX258" s="83">
        <v>1</v>
      </c>
      <c r="AZ258" s="83" t="s">
        <v>144</v>
      </c>
      <c r="BA258" s="83">
        <v>1</v>
      </c>
      <c r="BC258" s="83" t="s">
        <v>144</v>
      </c>
      <c r="BD258" s="83">
        <v>1</v>
      </c>
      <c r="BF258" s="83" t="s">
        <v>144</v>
      </c>
      <c r="BG258" s="83">
        <v>1</v>
      </c>
      <c r="BI258" s="83" t="s">
        <v>144</v>
      </c>
      <c r="BJ258" s="83">
        <v>1</v>
      </c>
      <c r="BL258" s="83" t="s">
        <v>144</v>
      </c>
      <c r="BM258" s="83">
        <v>1</v>
      </c>
      <c r="BO258" s="83" t="s">
        <v>144</v>
      </c>
      <c r="BP258" s="83">
        <v>1</v>
      </c>
      <c r="BR258" s="83" t="s">
        <v>144</v>
      </c>
      <c r="BS258" s="83">
        <v>1</v>
      </c>
      <c r="BU258" s="83" t="s">
        <v>144</v>
      </c>
      <c r="BV258" s="83">
        <v>1</v>
      </c>
      <c r="BX258" s="83" t="s">
        <v>144</v>
      </c>
      <c r="BY258" s="83">
        <v>1</v>
      </c>
      <c r="CA258" s="83" t="s">
        <v>144</v>
      </c>
      <c r="CB258" s="83">
        <v>1</v>
      </c>
      <c r="CD258" s="83" t="s">
        <v>144</v>
      </c>
      <c r="CE258" s="83">
        <v>1</v>
      </c>
      <c r="CG258" s="83" t="s">
        <v>144</v>
      </c>
      <c r="CH258" s="83">
        <v>1</v>
      </c>
      <c r="CJ258" s="83" t="s">
        <v>144</v>
      </c>
      <c r="CK258" s="83">
        <v>1</v>
      </c>
      <c r="CM258" s="83" t="s">
        <v>144</v>
      </c>
      <c r="CN258" s="83">
        <v>1</v>
      </c>
      <c r="CP258" s="83" t="s">
        <v>144</v>
      </c>
      <c r="CQ258" s="83">
        <v>1</v>
      </c>
      <c r="CS258" s="83" t="s">
        <v>144</v>
      </c>
      <c r="CT258" s="83">
        <v>1</v>
      </c>
      <c r="CV258" s="83" t="s">
        <v>144</v>
      </c>
      <c r="CW258" s="83">
        <v>1</v>
      </c>
      <c r="CY258" s="83" t="s">
        <v>144</v>
      </c>
      <c r="CZ258" s="83">
        <v>1</v>
      </c>
    </row>
    <row r="260" spans="1:104" x14ac:dyDescent="0.2">
      <c r="A260" s="83" t="s">
        <v>145</v>
      </c>
      <c r="B260" s="83">
        <v>1</v>
      </c>
      <c r="D260" s="83" t="s">
        <v>145</v>
      </c>
      <c r="E260" s="83">
        <v>1</v>
      </c>
      <c r="G260" s="83" t="s">
        <v>145</v>
      </c>
      <c r="H260" s="83">
        <v>1</v>
      </c>
      <c r="J260" s="83" t="s">
        <v>145</v>
      </c>
      <c r="K260" s="83">
        <v>1</v>
      </c>
      <c r="M260" s="83" t="s">
        <v>145</v>
      </c>
      <c r="N260" s="83">
        <v>1</v>
      </c>
      <c r="P260" s="83" t="s">
        <v>145</v>
      </c>
      <c r="Q260" s="83">
        <v>1</v>
      </c>
      <c r="S260" s="83" t="s">
        <v>145</v>
      </c>
      <c r="T260" s="83">
        <v>1</v>
      </c>
      <c r="V260" s="83" t="s">
        <v>145</v>
      </c>
      <c r="W260" s="83">
        <v>1</v>
      </c>
      <c r="Y260" s="83" t="s">
        <v>145</v>
      </c>
      <c r="Z260" s="83">
        <v>1</v>
      </c>
      <c r="AB260" s="83" t="s">
        <v>145</v>
      </c>
      <c r="AC260" s="83">
        <v>1</v>
      </c>
      <c r="AE260" s="83" t="s">
        <v>145</v>
      </c>
      <c r="AF260" s="83">
        <v>1</v>
      </c>
      <c r="AH260" s="83" t="s">
        <v>145</v>
      </c>
      <c r="AI260" s="83">
        <v>1</v>
      </c>
      <c r="AK260" s="83" t="s">
        <v>145</v>
      </c>
      <c r="AL260" s="83">
        <v>1</v>
      </c>
      <c r="AN260" s="83" t="s">
        <v>145</v>
      </c>
      <c r="AO260" s="83">
        <v>1</v>
      </c>
      <c r="AQ260" s="83" t="s">
        <v>145</v>
      </c>
      <c r="AR260" s="83">
        <v>1</v>
      </c>
      <c r="AT260" s="83" t="s">
        <v>145</v>
      </c>
      <c r="AU260" s="83">
        <v>1</v>
      </c>
      <c r="AW260" s="83" t="s">
        <v>145</v>
      </c>
      <c r="AX260" s="83">
        <v>1</v>
      </c>
      <c r="AZ260" s="83" t="s">
        <v>145</v>
      </c>
      <c r="BA260" s="83">
        <v>1</v>
      </c>
      <c r="BC260" s="83" t="s">
        <v>145</v>
      </c>
      <c r="BD260" s="83">
        <v>1</v>
      </c>
      <c r="BF260" s="83" t="s">
        <v>145</v>
      </c>
      <c r="BG260" s="83">
        <v>1</v>
      </c>
      <c r="BI260" s="83" t="s">
        <v>145</v>
      </c>
      <c r="BJ260" s="83">
        <v>1</v>
      </c>
      <c r="BL260" s="83" t="s">
        <v>145</v>
      </c>
      <c r="BM260" s="83">
        <v>1</v>
      </c>
      <c r="BO260" s="83" t="s">
        <v>145</v>
      </c>
      <c r="BP260" s="83">
        <v>1</v>
      </c>
      <c r="BR260" s="83" t="s">
        <v>145</v>
      </c>
      <c r="BS260" s="83">
        <v>1</v>
      </c>
      <c r="BU260" s="83" t="s">
        <v>145</v>
      </c>
      <c r="BV260" s="83">
        <v>1</v>
      </c>
      <c r="BX260" s="83" t="s">
        <v>145</v>
      </c>
      <c r="BY260" s="83">
        <v>1</v>
      </c>
      <c r="CA260" s="83" t="s">
        <v>145</v>
      </c>
      <c r="CB260" s="83">
        <v>1</v>
      </c>
      <c r="CD260" s="83" t="s">
        <v>145</v>
      </c>
      <c r="CE260" s="83">
        <v>1</v>
      </c>
      <c r="CG260" s="83" t="s">
        <v>145</v>
      </c>
      <c r="CH260" s="83">
        <v>1</v>
      </c>
      <c r="CJ260" s="83" t="s">
        <v>145</v>
      </c>
      <c r="CK260" s="83">
        <v>1</v>
      </c>
      <c r="CM260" s="83" t="s">
        <v>145</v>
      </c>
      <c r="CN260" s="83">
        <v>1</v>
      </c>
      <c r="CP260" s="83" t="s">
        <v>145</v>
      </c>
      <c r="CQ260" s="83">
        <v>1</v>
      </c>
      <c r="CS260" s="83" t="s">
        <v>145</v>
      </c>
      <c r="CT260" s="83">
        <v>1</v>
      </c>
      <c r="CV260" s="83" t="s">
        <v>145</v>
      </c>
      <c r="CW260" s="83">
        <v>1</v>
      </c>
      <c r="CY260" s="83" t="s">
        <v>145</v>
      </c>
      <c r="CZ260" s="83">
        <v>1</v>
      </c>
    </row>
    <row r="262" spans="1:104" x14ac:dyDescent="0.2">
      <c r="A262" s="83" t="s">
        <v>146</v>
      </c>
      <c r="B262" s="83">
        <v>1</v>
      </c>
      <c r="D262" s="83" t="s">
        <v>146</v>
      </c>
      <c r="E262" s="83">
        <v>1</v>
      </c>
      <c r="G262" s="83" t="s">
        <v>146</v>
      </c>
      <c r="H262" s="83">
        <v>1</v>
      </c>
      <c r="J262" s="83" t="s">
        <v>146</v>
      </c>
      <c r="K262" s="83">
        <v>1</v>
      </c>
      <c r="M262" s="83" t="s">
        <v>146</v>
      </c>
      <c r="N262" s="83">
        <v>1</v>
      </c>
      <c r="P262" s="83" t="s">
        <v>146</v>
      </c>
      <c r="Q262" s="83">
        <v>1</v>
      </c>
      <c r="S262" s="83" t="s">
        <v>146</v>
      </c>
      <c r="T262" s="83">
        <v>1</v>
      </c>
      <c r="V262" s="83" t="s">
        <v>146</v>
      </c>
      <c r="W262" s="83">
        <v>1</v>
      </c>
      <c r="Y262" s="83" t="s">
        <v>146</v>
      </c>
      <c r="Z262" s="83">
        <v>1</v>
      </c>
      <c r="AB262" s="83" t="s">
        <v>146</v>
      </c>
      <c r="AC262" s="83">
        <v>1</v>
      </c>
      <c r="AE262" s="83" t="s">
        <v>146</v>
      </c>
      <c r="AF262" s="83">
        <v>1</v>
      </c>
      <c r="AH262" s="83" t="s">
        <v>146</v>
      </c>
      <c r="AI262" s="83">
        <v>1</v>
      </c>
      <c r="AK262" s="83" t="s">
        <v>146</v>
      </c>
      <c r="AL262" s="83">
        <v>1</v>
      </c>
      <c r="AN262" s="83" t="s">
        <v>146</v>
      </c>
      <c r="AO262" s="83">
        <v>1</v>
      </c>
      <c r="AQ262" s="83" t="s">
        <v>146</v>
      </c>
      <c r="AR262" s="83">
        <v>1</v>
      </c>
      <c r="AT262" s="83" t="s">
        <v>146</v>
      </c>
      <c r="AU262" s="83">
        <v>1</v>
      </c>
      <c r="AW262" s="83" t="s">
        <v>146</v>
      </c>
      <c r="AX262" s="83">
        <v>1</v>
      </c>
      <c r="AZ262" s="83" t="s">
        <v>146</v>
      </c>
      <c r="BA262" s="83">
        <v>1</v>
      </c>
      <c r="BC262" s="83" t="s">
        <v>146</v>
      </c>
      <c r="BD262" s="83">
        <v>1</v>
      </c>
      <c r="BF262" s="83" t="s">
        <v>146</v>
      </c>
      <c r="BG262" s="83">
        <v>1</v>
      </c>
      <c r="BI262" s="83" t="s">
        <v>146</v>
      </c>
      <c r="BJ262" s="83">
        <v>1</v>
      </c>
      <c r="BL262" s="83" t="s">
        <v>146</v>
      </c>
      <c r="BM262" s="83">
        <v>1</v>
      </c>
      <c r="BO262" s="83" t="s">
        <v>146</v>
      </c>
      <c r="BP262" s="83">
        <v>1</v>
      </c>
      <c r="BR262" s="83" t="s">
        <v>146</v>
      </c>
      <c r="BS262" s="83">
        <v>1</v>
      </c>
      <c r="BU262" s="83" t="s">
        <v>146</v>
      </c>
      <c r="BV262" s="83">
        <v>1</v>
      </c>
      <c r="BX262" s="83" t="s">
        <v>146</v>
      </c>
      <c r="BY262" s="83">
        <v>1</v>
      </c>
      <c r="CA262" s="83" t="s">
        <v>146</v>
      </c>
      <c r="CB262" s="83">
        <v>1</v>
      </c>
      <c r="CD262" s="83" t="s">
        <v>146</v>
      </c>
      <c r="CE262" s="83">
        <v>1</v>
      </c>
      <c r="CG262" s="83" t="s">
        <v>146</v>
      </c>
      <c r="CH262" s="83">
        <v>1</v>
      </c>
      <c r="CJ262" s="83" t="s">
        <v>146</v>
      </c>
      <c r="CK262" s="83">
        <v>1</v>
      </c>
      <c r="CM262" s="83" t="s">
        <v>146</v>
      </c>
      <c r="CN262" s="83">
        <v>1</v>
      </c>
      <c r="CP262" s="83" t="s">
        <v>146</v>
      </c>
      <c r="CQ262" s="83">
        <v>1</v>
      </c>
      <c r="CS262" s="83" t="s">
        <v>146</v>
      </c>
      <c r="CT262" s="83">
        <v>1</v>
      </c>
      <c r="CV262" s="83" t="s">
        <v>146</v>
      </c>
      <c r="CW262" s="83">
        <v>1</v>
      </c>
      <c r="CY262" s="83" t="s">
        <v>146</v>
      </c>
      <c r="CZ262" s="83">
        <v>1</v>
      </c>
    </row>
    <row r="264" spans="1:104" x14ac:dyDescent="0.2">
      <c r="A264" s="83" t="s">
        <v>147</v>
      </c>
      <c r="B264" s="83">
        <v>1</v>
      </c>
      <c r="D264" s="83" t="s">
        <v>147</v>
      </c>
      <c r="E264" s="83">
        <v>1</v>
      </c>
      <c r="G264" s="83" t="s">
        <v>147</v>
      </c>
      <c r="H264" s="83">
        <v>1</v>
      </c>
      <c r="J264" s="83" t="s">
        <v>147</v>
      </c>
      <c r="K264" s="83">
        <v>1</v>
      </c>
      <c r="M264" s="83" t="s">
        <v>147</v>
      </c>
      <c r="N264" s="83">
        <v>1</v>
      </c>
      <c r="P264" s="83" t="s">
        <v>147</v>
      </c>
      <c r="Q264" s="83">
        <v>1</v>
      </c>
      <c r="S264" s="83" t="s">
        <v>147</v>
      </c>
      <c r="T264" s="83">
        <v>1</v>
      </c>
      <c r="V264" s="83" t="s">
        <v>147</v>
      </c>
      <c r="W264" s="83">
        <v>1</v>
      </c>
      <c r="Y264" s="83" t="s">
        <v>147</v>
      </c>
      <c r="Z264" s="83">
        <v>1</v>
      </c>
      <c r="AB264" s="83" t="s">
        <v>147</v>
      </c>
      <c r="AC264" s="83">
        <v>1</v>
      </c>
      <c r="AE264" s="83" t="s">
        <v>147</v>
      </c>
      <c r="AF264" s="83">
        <v>1</v>
      </c>
      <c r="AH264" s="83" t="s">
        <v>147</v>
      </c>
      <c r="AI264" s="83">
        <v>1</v>
      </c>
      <c r="AK264" s="83" t="s">
        <v>147</v>
      </c>
      <c r="AL264" s="83">
        <v>1</v>
      </c>
      <c r="AN264" s="83" t="s">
        <v>147</v>
      </c>
      <c r="AO264" s="83">
        <v>1</v>
      </c>
      <c r="AQ264" s="83" t="s">
        <v>147</v>
      </c>
      <c r="AR264" s="83">
        <v>1</v>
      </c>
      <c r="AT264" s="83" t="s">
        <v>147</v>
      </c>
      <c r="AU264" s="83">
        <v>1</v>
      </c>
      <c r="AW264" s="83" t="s">
        <v>147</v>
      </c>
      <c r="AX264" s="83">
        <v>1</v>
      </c>
      <c r="AZ264" s="83" t="s">
        <v>147</v>
      </c>
      <c r="BA264" s="83">
        <v>1</v>
      </c>
      <c r="BC264" s="83" t="s">
        <v>147</v>
      </c>
      <c r="BD264" s="83">
        <v>1</v>
      </c>
      <c r="BF264" s="83" t="s">
        <v>147</v>
      </c>
      <c r="BG264" s="83">
        <v>1</v>
      </c>
      <c r="BI264" s="83" t="s">
        <v>147</v>
      </c>
      <c r="BJ264" s="83">
        <v>1</v>
      </c>
      <c r="BL264" s="83" t="s">
        <v>147</v>
      </c>
      <c r="BM264" s="83">
        <v>1</v>
      </c>
      <c r="BO264" s="83" t="s">
        <v>147</v>
      </c>
      <c r="BP264" s="83">
        <v>1</v>
      </c>
      <c r="BR264" s="83" t="s">
        <v>147</v>
      </c>
      <c r="BS264" s="83">
        <v>1</v>
      </c>
      <c r="BU264" s="83" t="s">
        <v>147</v>
      </c>
      <c r="BV264" s="83">
        <v>1</v>
      </c>
      <c r="BX264" s="83" t="s">
        <v>147</v>
      </c>
      <c r="BY264" s="83">
        <v>1</v>
      </c>
      <c r="CA264" s="83" t="s">
        <v>147</v>
      </c>
      <c r="CB264" s="83">
        <v>1</v>
      </c>
      <c r="CD264" s="83" t="s">
        <v>147</v>
      </c>
      <c r="CE264" s="83">
        <v>1</v>
      </c>
      <c r="CG264" s="83" t="s">
        <v>147</v>
      </c>
      <c r="CH264" s="83">
        <v>1</v>
      </c>
      <c r="CJ264" s="83" t="s">
        <v>147</v>
      </c>
      <c r="CK264" s="83">
        <v>1</v>
      </c>
      <c r="CM264" s="83" t="s">
        <v>147</v>
      </c>
      <c r="CN264" s="83">
        <v>1</v>
      </c>
      <c r="CP264" s="83" t="s">
        <v>147</v>
      </c>
      <c r="CQ264" s="83">
        <v>1</v>
      </c>
      <c r="CS264" s="83" t="s">
        <v>147</v>
      </c>
      <c r="CT264" s="83">
        <v>1</v>
      </c>
      <c r="CV264" s="83" t="s">
        <v>147</v>
      </c>
      <c r="CW264" s="83">
        <v>1</v>
      </c>
      <c r="CY264" s="83" t="s">
        <v>147</v>
      </c>
      <c r="CZ264" s="83">
        <v>1</v>
      </c>
    </row>
    <row r="266" spans="1:104" x14ac:dyDescent="0.2">
      <c r="A266" s="83" t="s">
        <v>148</v>
      </c>
      <c r="B266" s="83">
        <v>1</v>
      </c>
      <c r="D266" s="83" t="s">
        <v>148</v>
      </c>
      <c r="E266" s="83">
        <v>1</v>
      </c>
      <c r="G266" s="83" t="s">
        <v>148</v>
      </c>
      <c r="H266" s="83">
        <v>1</v>
      </c>
      <c r="J266" s="83" t="s">
        <v>148</v>
      </c>
      <c r="K266" s="83">
        <v>1</v>
      </c>
      <c r="M266" s="83" t="s">
        <v>148</v>
      </c>
      <c r="N266" s="83">
        <v>1</v>
      </c>
      <c r="P266" s="83" t="s">
        <v>148</v>
      </c>
      <c r="Q266" s="83">
        <v>1</v>
      </c>
      <c r="S266" s="83" t="s">
        <v>148</v>
      </c>
      <c r="T266" s="83">
        <v>1</v>
      </c>
      <c r="V266" s="83" t="s">
        <v>148</v>
      </c>
      <c r="W266" s="83">
        <v>1</v>
      </c>
      <c r="Y266" s="83" t="s">
        <v>148</v>
      </c>
      <c r="Z266" s="83">
        <v>1</v>
      </c>
      <c r="AB266" s="83" t="s">
        <v>148</v>
      </c>
      <c r="AC266" s="83">
        <v>1</v>
      </c>
      <c r="AE266" s="83" t="s">
        <v>148</v>
      </c>
      <c r="AF266" s="83">
        <v>1</v>
      </c>
      <c r="AH266" s="83" t="s">
        <v>148</v>
      </c>
      <c r="AI266" s="83">
        <v>1</v>
      </c>
      <c r="AK266" s="83" t="s">
        <v>148</v>
      </c>
      <c r="AL266" s="83">
        <v>1</v>
      </c>
      <c r="AN266" s="83" t="s">
        <v>148</v>
      </c>
      <c r="AO266" s="83">
        <v>1</v>
      </c>
      <c r="AQ266" s="83" t="s">
        <v>148</v>
      </c>
      <c r="AR266" s="83">
        <v>1</v>
      </c>
      <c r="AT266" s="83" t="s">
        <v>148</v>
      </c>
      <c r="AU266" s="83">
        <v>1</v>
      </c>
      <c r="AW266" s="83" t="s">
        <v>148</v>
      </c>
      <c r="AX266" s="83">
        <v>1</v>
      </c>
      <c r="AZ266" s="83" t="s">
        <v>148</v>
      </c>
      <c r="BA266" s="83">
        <v>1</v>
      </c>
      <c r="BC266" s="83" t="s">
        <v>148</v>
      </c>
      <c r="BD266" s="83">
        <v>1</v>
      </c>
      <c r="BF266" s="83" t="s">
        <v>148</v>
      </c>
      <c r="BG266" s="83">
        <v>1</v>
      </c>
      <c r="BI266" s="83" t="s">
        <v>148</v>
      </c>
      <c r="BJ266" s="83">
        <v>1</v>
      </c>
      <c r="BL266" s="83" t="s">
        <v>148</v>
      </c>
      <c r="BM266" s="83">
        <v>1</v>
      </c>
      <c r="BO266" s="83" t="s">
        <v>148</v>
      </c>
      <c r="BP266" s="83">
        <v>1</v>
      </c>
      <c r="BR266" s="83" t="s">
        <v>148</v>
      </c>
      <c r="BS266" s="83">
        <v>1</v>
      </c>
      <c r="BU266" s="83" t="s">
        <v>148</v>
      </c>
      <c r="BV266" s="83">
        <v>1</v>
      </c>
      <c r="BX266" s="83" t="s">
        <v>148</v>
      </c>
      <c r="BY266" s="83">
        <v>1</v>
      </c>
      <c r="CA266" s="83" t="s">
        <v>148</v>
      </c>
      <c r="CB266" s="83">
        <v>1</v>
      </c>
      <c r="CD266" s="83" t="s">
        <v>148</v>
      </c>
      <c r="CE266" s="83">
        <v>1</v>
      </c>
      <c r="CG266" s="83" t="s">
        <v>148</v>
      </c>
      <c r="CH266" s="83">
        <v>1</v>
      </c>
      <c r="CJ266" s="83" t="s">
        <v>148</v>
      </c>
      <c r="CK266" s="83">
        <v>1</v>
      </c>
      <c r="CM266" s="83" t="s">
        <v>148</v>
      </c>
      <c r="CN266" s="83">
        <v>1</v>
      </c>
      <c r="CP266" s="83" t="s">
        <v>148</v>
      </c>
      <c r="CQ266" s="83">
        <v>1</v>
      </c>
      <c r="CS266" s="83" t="s">
        <v>148</v>
      </c>
      <c r="CT266" s="83">
        <v>1</v>
      </c>
      <c r="CV266" s="83" t="s">
        <v>148</v>
      </c>
      <c r="CW266" s="83">
        <v>1</v>
      </c>
      <c r="CY266" s="83" t="s">
        <v>148</v>
      </c>
      <c r="CZ266" s="83">
        <v>1</v>
      </c>
    </row>
    <row r="268" spans="1:104" x14ac:dyDescent="0.2">
      <c r="A268" s="83" t="s">
        <v>113</v>
      </c>
      <c r="D268" s="83" t="s">
        <v>113</v>
      </c>
      <c r="G268" s="83" t="s">
        <v>113</v>
      </c>
      <c r="J268" s="83" t="s">
        <v>113</v>
      </c>
      <c r="M268" s="83" t="s">
        <v>113</v>
      </c>
      <c r="P268" s="83" t="s">
        <v>113</v>
      </c>
      <c r="S268" s="83" t="s">
        <v>113</v>
      </c>
      <c r="V268" s="83" t="s">
        <v>113</v>
      </c>
      <c r="Y268" s="83" t="s">
        <v>113</v>
      </c>
      <c r="AB268" s="83" t="s">
        <v>113</v>
      </c>
      <c r="AE268" s="83" t="s">
        <v>113</v>
      </c>
      <c r="AH268" s="83" t="s">
        <v>113</v>
      </c>
      <c r="AK268" s="83" t="s">
        <v>113</v>
      </c>
      <c r="AN268" s="83" t="s">
        <v>113</v>
      </c>
      <c r="AQ268" s="83" t="s">
        <v>113</v>
      </c>
      <c r="AT268" s="83" t="s">
        <v>113</v>
      </c>
      <c r="AW268" s="83" t="s">
        <v>113</v>
      </c>
      <c r="AZ268" s="83" t="s">
        <v>113</v>
      </c>
      <c r="BC268" s="83" t="s">
        <v>113</v>
      </c>
      <c r="BF268" s="83" t="s">
        <v>113</v>
      </c>
      <c r="BI268" s="83" t="s">
        <v>113</v>
      </c>
      <c r="BL268" s="83" t="s">
        <v>113</v>
      </c>
      <c r="BO268" s="83" t="s">
        <v>113</v>
      </c>
      <c r="BR268" s="83" t="s">
        <v>113</v>
      </c>
      <c r="BU268" s="83" t="s">
        <v>113</v>
      </c>
      <c r="BX268" s="83" t="s">
        <v>113</v>
      </c>
      <c r="CA268" s="83" t="s">
        <v>113</v>
      </c>
      <c r="CD268" s="83" t="s">
        <v>113</v>
      </c>
      <c r="CG268" s="83" t="s">
        <v>113</v>
      </c>
      <c r="CJ268" s="83" t="s">
        <v>113</v>
      </c>
      <c r="CM268" s="83" t="s">
        <v>113</v>
      </c>
      <c r="CP268" s="83" t="s">
        <v>113</v>
      </c>
      <c r="CS268" s="83" t="s">
        <v>113</v>
      </c>
      <c r="CV268" s="83" t="s">
        <v>113</v>
      </c>
      <c r="CY268" s="83" t="s">
        <v>113</v>
      </c>
    </row>
    <row r="269" spans="1:104" x14ac:dyDescent="0.2">
      <c r="A269" s="83" t="s">
        <v>114</v>
      </c>
      <c r="B269" s="83" t="s">
        <v>132</v>
      </c>
      <c r="D269" s="83" t="s">
        <v>114</v>
      </c>
      <c r="E269" s="83" t="s">
        <v>132</v>
      </c>
      <c r="G269" s="83" t="s">
        <v>114</v>
      </c>
      <c r="H269" s="83" t="s">
        <v>132</v>
      </c>
      <c r="J269" s="83" t="s">
        <v>114</v>
      </c>
      <c r="K269" s="83" t="s">
        <v>132</v>
      </c>
      <c r="M269" s="83" t="s">
        <v>114</v>
      </c>
      <c r="N269" s="83" t="s">
        <v>132</v>
      </c>
      <c r="P269" s="83" t="s">
        <v>114</v>
      </c>
      <c r="Q269" s="83" t="s">
        <v>132</v>
      </c>
      <c r="S269" s="83" t="s">
        <v>114</v>
      </c>
      <c r="T269" s="83" t="s">
        <v>132</v>
      </c>
      <c r="V269" s="83" t="s">
        <v>114</v>
      </c>
      <c r="W269" s="83" t="s">
        <v>132</v>
      </c>
      <c r="Y269" s="83" t="s">
        <v>114</v>
      </c>
      <c r="Z269" s="83" t="s">
        <v>132</v>
      </c>
      <c r="AB269" s="83" t="s">
        <v>114</v>
      </c>
      <c r="AC269" s="83" t="s">
        <v>132</v>
      </c>
      <c r="AE269" s="83" t="s">
        <v>114</v>
      </c>
      <c r="AF269" s="83" t="s">
        <v>132</v>
      </c>
      <c r="AH269" s="83" t="s">
        <v>114</v>
      </c>
      <c r="AI269" s="83" t="s">
        <v>132</v>
      </c>
      <c r="AK269" s="83" t="s">
        <v>114</v>
      </c>
      <c r="AL269" s="83" t="s">
        <v>132</v>
      </c>
      <c r="AN269" s="83" t="s">
        <v>114</v>
      </c>
      <c r="AO269" s="83" t="s">
        <v>132</v>
      </c>
      <c r="AQ269" s="83" t="s">
        <v>114</v>
      </c>
      <c r="AR269" s="83" t="s">
        <v>132</v>
      </c>
      <c r="AT269" s="83" t="s">
        <v>114</v>
      </c>
      <c r="AU269" s="83" t="s">
        <v>132</v>
      </c>
      <c r="AW269" s="83" t="s">
        <v>114</v>
      </c>
      <c r="AX269" s="83" t="s">
        <v>132</v>
      </c>
      <c r="AZ269" s="83" t="s">
        <v>114</v>
      </c>
      <c r="BA269" s="83" t="s">
        <v>132</v>
      </c>
      <c r="BC269" s="83" t="s">
        <v>114</v>
      </c>
      <c r="BD269" s="83" t="s">
        <v>132</v>
      </c>
      <c r="BF269" s="83" t="s">
        <v>114</v>
      </c>
      <c r="BG269" s="83" t="s">
        <v>132</v>
      </c>
      <c r="BI269" s="83" t="s">
        <v>114</v>
      </c>
      <c r="BJ269" s="83" t="s">
        <v>132</v>
      </c>
      <c r="BL269" s="83" t="s">
        <v>114</v>
      </c>
      <c r="BM269" s="83" t="s">
        <v>132</v>
      </c>
      <c r="BO269" s="83" t="s">
        <v>114</v>
      </c>
      <c r="BP269" s="83" t="s">
        <v>132</v>
      </c>
      <c r="BR269" s="83" t="s">
        <v>114</v>
      </c>
      <c r="BS269" s="83" t="s">
        <v>132</v>
      </c>
      <c r="BU269" s="83" t="s">
        <v>114</v>
      </c>
      <c r="BV269" s="83" t="s">
        <v>132</v>
      </c>
      <c r="BX269" s="83" t="s">
        <v>114</v>
      </c>
      <c r="BY269" s="83" t="s">
        <v>132</v>
      </c>
      <c r="CA269" s="83" t="s">
        <v>114</v>
      </c>
      <c r="CB269" s="83" t="s">
        <v>132</v>
      </c>
      <c r="CD269" s="83" t="s">
        <v>114</v>
      </c>
      <c r="CE269" s="83" t="s">
        <v>132</v>
      </c>
      <c r="CG269" s="83" t="s">
        <v>114</v>
      </c>
      <c r="CH269" s="83" t="s">
        <v>132</v>
      </c>
      <c r="CJ269" s="83" t="s">
        <v>114</v>
      </c>
      <c r="CK269" s="83" t="s">
        <v>132</v>
      </c>
      <c r="CM269" s="83" t="s">
        <v>114</v>
      </c>
      <c r="CN269" s="83" t="s">
        <v>132</v>
      </c>
      <c r="CP269" s="83" t="s">
        <v>114</v>
      </c>
      <c r="CQ269" s="83" t="s">
        <v>132</v>
      </c>
      <c r="CS269" s="83" t="s">
        <v>114</v>
      </c>
      <c r="CT269" s="83" t="s">
        <v>132</v>
      </c>
      <c r="CV269" s="83" t="s">
        <v>114</v>
      </c>
      <c r="CW269" s="83" t="s">
        <v>132</v>
      </c>
      <c r="CY269" s="83" t="s">
        <v>114</v>
      </c>
      <c r="CZ269" s="83" t="s">
        <v>132</v>
      </c>
    </row>
    <row r="271" spans="1:104" x14ac:dyDescent="0.2">
      <c r="A271" s="83" t="s">
        <v>115</v>
      </c>
      <c r="B271" s="83" t="s">
        <v>151</v>
      </c>
      <c r="D271" s="83" t="s">
        <v>115</v>
      </c>
      <c r="E271" s="83" t="s">
        <v>151</v>
      </c>
      <c r="G271" s="83" t="s">
        <v>115</v>
      </c>
      <c r="H271" s="83" t="s">
        <v>151</v>
      </c>
      <c r="J271" s="83" t="s">
        <v>115</v>
      </c>
      <c r="K271" s="83" t="s">
        <v>151</v>
      </c>
      <c r="M271" s="83" t="s">
        <v>115</v>
      </c>
      <c r="N271" s="83" t="s">
        <v>151</v>
      </c>
      <c r="P271" s="83" t="s">
        <v>115</v>
      </c>
      <c r="Q271" s="83" t="s">
        <v>151</v>
      </c>
      <c r="S271" s="83" t="s">
        <v>115</v>
      </c>
      <c r="T271" s="83" t="s">
        <v>151</v>
      </c>
      <c r="V271" s="83" t="s">
        <v>115</v>
      </c>
      <c r="W271" s="83" t="s">
        <v>151</v>
      </c>
      <c r="Y271" s="83" t="s">
        <v>115</v>
      </c>
      <c r="Z271" s="83" t="s">
        <v>151</v>
      </c>
      <c r="AB271" s="83" t="s">
        <v>115</v>
      </c>
      <c r="AC271" s="83" t="s">
        <v>151</v>
      </c>
      <c r="AE271" s="83" t="s">
        <v>115</v>
      </c>
      <c r="AF271" s="83" t="s">
        <v>151</v>
      </c>
      <c r="AH271" s="83" t="s">
        <v>115</v>
      </c>
      <c r="AI271" s="83" t="s">
        <v>151</v>
      </c>
      <c r="AK271" s="83" t="s">
        <v>115</v>
      </c>
      <c r="AL271" s="83" t="s">
        <v>151</v>
      </c>
      <c r="AN271" s="83" t="s">
        <v>115</v>
      </c>
      <c r="AO271" s="83" t="s">
        <v>151</v>
      </c>
      <c r="AQ271" s="83" t="s">
        <v>115</v>
      </c>
      <c r="AR271" s="83" t="s">
        <v>151</v>
      </c>
      <c r="AT271" s="83" t="s">
        <v>115</v>
      </c>
      <c r="AU271" s="83" t="s">
        <v>151</v>
      </c>
      <c r="AW271" s="83" t="s">
        <v>115</v>
      </c>
      <c r="AX271" s="83" t="s">
        <v>151</v>
      </c>
      <c r="AZ271" s="83" t="s">
        <v>115</v>
      </c>
      <c r="BA271" s="83" t="s">
        <v>151</v>
      </c>
      <c r="BC271" s="83" t="s">
        <v>115</v>
      </c>
      <c r="BD271" s="83" t="s">
        <v>151</v>
      </c>
      <c r="BF271" s="83" t="s">
        <v>115</v>
      </c>
      <c r="BG271" s="83" t="s">
        <v>151</v>
      </c>
      <c r="BI271" s="83" t="s">
        <v>115</v>
      </c>
      <c r="BJ271" s="83" t="s">
        <v>151</v>
      </c>
      <c r="BL271" s="83" t="s">
        <v>115</v>
      </c>
      <c r="BM271" s="83" t="s">
        <v>151</v>
      </c>
      <c r="BO271" s="83" t="s">
        <v>115</v>
      </c>
      <c r="BP271" s="83" t="s">
        <v>151</v>
      </c>
      <c r="BR271" s="83" t="s">
        <v>115</v>
      </c>
      <c r="BS271" s="83" t="s">
        <v>151</v>
      </c>
      <c r="BU271" s="83" t="s">
        <v>115</v>
      </c>
      <c r="BV271" s="83" t="s">
        <v>151</v>
      </c>
      <c r="BX271" s="83" t="s">
        <v>115</v>
      </c>
      <c r="BY271" s="83" t="s">
        <v>151</v>
      </c>
      <c r="CA271" s="83" t="s">
        <v>115</v>
      </c>
      <c r="CB271" s="83" t="s">
        <v>151</v>
      </c>
      <c r="CD271" s="83" t="s">
        <v>115</v>
      </c>
      <c r="CE271" s="83" t="s">
        <v>151</v>
      </c>
      <c r="CG271" s="83" t="s">
        <v>115</v>
      </c>
      <c r="CH271" s="83" t="s">
        <v>151</v>
      </c>
      <c r="CJ271" s="83" t="s">
        <v>115</v>
      </c>
      <c r="CK271" s="83" t="s">
        <v>151</v>
      </c>
      <c r="CM271" s="83" t="s">
        <v>115</v>
      </c>
      <c r="CN271" s="83" t="s">
        <v>151</v>
      </c>
      <c r="CP271" s="83" t="s">
        <v>115</v>
      </c>
      <c r="CQ271" s="83" t="s">
        <v>151</v>
      </c>
      <c r="CS271" s="83" t="s">
        <v>115</v>
      </c>
      <c r="CT271" s="83" t="s">
        <v>151</v>
      </c>
      <c r="CV271" s="83" t="s">
        <v>115</v>
      </c>
      <c r="CW271" s="83" t="s">
        <v>151</v>
      </c>
      <c r="CY271" s="83" t="s">
        <v>115</v>
      </c>
      <c r="CZ271" s="83" t="s">
        <v>151</v>
      </c>
    </row>
    <row r="273" spans="1:104" x14ac:dyDescent="0.2">
      <c r="A273" s="83" t="s">
        <v>116</v>
      </c>
      <c r="B273" s="83" t="s">
        <v>151</v>
      </c>
      <c r="D273" s="83" t="s">
        <v>116</v>
      </c>
      <c r="E273" s="83" t="s">
        <v>151</v>
      </c>
      <c r="G273" s="83" t="s">
        <v>116</v>
      </c>
      <c r="H273" s="83" t="s">
        <v>151</v>
      </c>
      <c r="J273" s="83" t="s">
        <v>116</v>
      </c>
      <c r="K273" s="83" t="s">
        <v>151</v>
      </c>
      <c r="M273" s="83" t="s">
        <v>116</v>
      </c>
      <c r="N273" s="83" t="s">
        <v>151</v>
      </c>
      <c r="P273" s="83" t="s">
        <v>116</v>
      </c>
      <c r="Q273" s="83" t="s">
        <v>151</v>
      </c>
      <c r="S273" s="83" t="s">
        <v>116</v>
      </c>
      <c r="T273" s="83" t="s">
        <v>151</v>
      </c>
      <c r="V273" s="83" t="s">
        <v>116</v>
      </c>
      <c r="W273" s="83" t="s">
        <v>151</v>
      </c>
      <c r="Y273" s="83" t="s">
        <v>116</v>
      </c>
      <c r="Z273" s="83" t="s">
        <v>151</v>
      </c>
      <c r="AB273" s="83" t="s">
        <v>116</v>
      </c>
      <c r="AC273" s="83" t="s">
        <v>151</v>
      </c>
      <c r="AE273" s="83" t="s">
        <v>116</v>
      </c>
      <c r="AF273" s="83" t="s">
        <v>151</v>
      </c>
      <c r="AH273" s="83" t="s">
        <v>116</v>
      </c>
      <c r="AI273" s="83" t="s">
        <v>151</v>
      </c>
      <c r="AK273" s="83" t="s">
        <v>116</v>
      </c>
      <c r="AL273" s="83" t="s">
        <v>151</v>
      </c>
      <c r="AN273" s="83" t="s">
        <v>116</v>
      </c>
      <c r="AO273" s="83" t="s">
        <v>151</v>
      </c>
      <c r="AQ273" s="83" t="s">
        <v>116</v>
      </c>
      <c r="AR273" s="83" t="s">
        <v>151</v>
      </c>
      <c r="AT273" s="83" t="s">
        <v>116</v>
      </c>
      <c r="AU273" s="83" t="s">
        <v>151</v>
      </c>
      <c r="AW273" s="83" t="s">
        <v>116</v>
      </c>
      <c r="AX273" s="83" t="s">
        <v>151</v>
      </c>
      <c r="AZ273" s="83" t="s">
        <v>116</v>
      </c>
      <c r="BA273" s="83" t="s">
        <v>151</v>
      </c>
      <c r="BC273" s="83" t="s">
        <v>116</v>
      </c>
      <c r="BD273" s="83" t="s">
        <v>151</v>
      </c>
      <c r="BF273" s="83" t="s">
        <v>116</v>
      </c>
      <c r="BG273" s="83" t="s">
        <v>151</v>
      </c>
      <c r="BI273" s="83" t="s">
        <v>116</v>
      </c>
      <c r="BJ273" s="83" t="s">
        <v>151</v>
      </c>
      <c r="BL273" s="83" t="s">
        <v>116</v>
      </c>
      <c r="BM273" s="83" t="s">
        <v>151</v>
      </c>
      <c r="BO273" s="83" t="s">
        <v>116</v>
      </c>
      <c r="BP273" s="83" t="s">
        <v>151</v>
      </c>
      <c r="BR273" s="83" t="s">
        <v>116</v>
      </c>
      <c r="BS273" s="83" t="s">
        <v>151</v>
      </c>
      <c r="BU273" s="83" t="s">
        <v>116</v>
      </c>
      <c r="BV273" s="83" t="s">
        <v>151</v>
      </c>
      <c r="BX273" s="83" t="s">
        <v>116</v>
      </c>
      <c r="BY273" s="83" t="s">
        <v>151</v>
      </c>
      <c r="CA273" s="83" t="s">
        <v>116</v>
      </c>
      <c r="CB273" s="83" t="s">
        <v>151</v>
      </c>
      <c r="CD273" s="83" t="s">
        <v>116</v>
      </c>
      <c r="CE273" s="83" t="s">
        <v>151</v>
      </c>
      <c r="CG273" s="83" t="s">
        <v>116</v>
      </c>
      <c r="CH273" s="83" t="s">
        <v>151</v>
      </c>
      <c r="CJ273" s="83" t="s">
        <v>116</v>
      </c>
      <c r="CK273" s="83" t="s">
        <v>151</v>
      </c>
      <c r="CM273" s="83" t="s">
        <v>116</v>
      </c>
      <c r="CN273" s="83" t="s">
        <v>151</v>
      </c>
      <c r="CP273" s="83" t="s">
        <v>116</v>
      </c>
      <c r="CQ273" s="83" t="s">
        <v>151</v>
      </c>
      <c r="CS273" s="83" t="s">
        <v>116</v>
      </c>
      <c r="CT273" s="83" t="s">
        <v>151</v>
      </c>
      <c r="CV273" s="83" t="s">
        <v>116</v>
      </c>
      <c r="CW273" s="83" t="s">
        <v>151</v>
      </c>
      <c r="CY273" s="83" t="s">
        <v>116</v>
      </c>
      <c r="CZ273" s="83" t="s">
        <v>151</v>
      </c>
    </row>
    <row r="275" spans="1:104" x14ac:dyDescent="0.2">
      <c r="A275" s="83" t="s">
        <v>117</v>
      </c>
      <c r="B275" s="83" t="s">
        <v>132</v>
      </c>
      <c r="D275" s="83" t="s">
        <v>117</v>
      </c>
      <c r="E275" s="83" t="s">
        <v>132</v>
      </c>
      <c r="G275" s="83" t="s">
        <v>117</v>
      </c>
      <c r="H275" s="83" t="s">
        <v>132</v>
      </c>
      <c r="J275" s="83" t="s">
        <v>117</v>
      </c>
      <c r="K275" s="83" t="s">
        <v>132</v>
      </c>
      <c r="M275" s="83" t="s">
        <v>117</v>
      </c>
      <c r="N275" s="83" t="s">
        <v>132</v>
      </c>
      <c r="P275" s="83" t="s">
        <v>117</v>
      </c>
      <c r="Q275" s="83" t="s">
        <v>132</v>
      </c>
      <c r="S275" s="83" t="s">
        <v>117</v>
      </c>
      <c r="T275" s="83" t="s">
        <v>132</v>
      </c>
      <c r="V275" s="83" t="s">
        <v>117</v>
      </c>
      <c r="W275" s="83" t="s">
        <v>132</v>
      </c>
      <c r="Y275" s="83" t="s">
        <v>117</v>
      </c>
      <c r="Z275" s="83" t="s">
        <v>132</v>
      </c>
      <c r="AB275" s="83" t="s">
        <v>117</v>
      </c>
      <c r="AC275" s="83" t="s">
        <v>132</v>
      </c>
      <c r="AE275" s="83" t="s">
        <v>117</v>
      </c>
      <c r="AF275" s="83" t="s">
        <v>132</v>
      </c>
      <c r="AH275" s="83" t="s">
        <v>117</v>
      </c>
      <c r="AI275" s="83" t="s">
        <v>132</v>
      </c>
      <c r="AK275" s="83" t="s">
        <v>117</v>
      </c>
      <c r="AL275" s="83" t="s">
        <v>132</v>
      </c>
      <c r="AN275" s="83" t="s">
        <v>117</v>
      </c>
      <c r="AO275" s="83" t="s">
        <v>132</v>
      </c>
      <c r="AQ275" s="83" t="s">
        <v>117</v>
      </c>
      <c r="AR275" s="83" t="s">
        <v>132</v>
      </c>
      <c r="AT275" s="83" t="s">
        <v>117</v>
      </c>
      <c r="AU275" s="83" t="s">
        <v>132</v>
      </c>
      <c r="AW275" s="83" t="s">
        <v>117</v>
      </c>
      <c r="AX275" s="83" t="s">
        <v>132</v>
      </c>
      <c r="AZ275" s="83" t="s">
        <v>117</v>
      </c>
      <c r="BA275" s="83" t="s">
        <v>132</v>
      </c>
      <c r="BC275" s="83" t="s">
        <v>117</v>
      </c>
      <c r="BD275" s="83" t="s">
        <v>132</v>
      </c>
      <c r="BF275" s="83" t="s">
        <v>117</v>
      </c>
      <c r="BG275" s="83" t="s">
        <v>132</v>
      </c>
      <c r="BI275" s="83" t="s">
        <v>117</v>
      </c>
      <c r="BJ275" s="83" t="s">
        <v>132</v>
      </c>
      <c r="BL275" s="83" t="s">
        <v>117</v>
      </c>
      <c r="BM275" s="83" t="s">
        <v>132</v>
      </c>
      <c r="BO275" s="83" t="s">
        <v>117</v>
      </c>
      <c r="BP275" s="83" t="s">
        <v>132</v>
      </c>
      <c r="BR275" s="83" t="s">
        <v>117</v>
      </c>
      <c r="BS275" s="83" t="s">
        <v>132</v>
      </c>
      <c r="BU275" s="83" t="s">
        <v>117</v>
      </c>
      <c r="BV275" s="83" t="s">
        <v>132</v>
      </c>
      <c r="BX275" s="83" t="s">
        <v>117</v>
      </c>
      <c r="BY275" s="83" t="s">
        <v>132</v>
      </c>
      <c r="CA275" s="83" t="s">
        <v>117</v>
      </c>
      <c r="CB275" s="83" t="s">
        <v>132</v>
      </c>
      <c r="CD275" s="83" t="s">
        <v>117</v>
      </c>
      <c r="CE275" s="83" t="s">
        <v>132</v>
      </c>
      <c r="CG275" s="83" t="s">
        <v>117</v>
      </c>
      <c r="CH275" s="83" t="s">
        <v>132</v>
      </c>
      <c r="CJ275" s="83" t="s">
        <v>117</v>
      </c>
      <c r="CK275" s="83" t="s">
        <v>132</v>
      </c>
      <c r="CM275" s="83" t="s">
        <v>117</v>
      </c>
      <c r="CN275" s="83" t="s">
        <v>132</v>
      </c>
      <c r="CP275" s="83" t="s">
        <v>117</v>
      </c>
      <c r="CQ275" s="83" t="s">
        <v>132</v>
      </c>
      <c r="CS275" s="83" t="s">
        <v>117</v>
      </c>
      <c r="CT275" s="83" t="s">
        <v>132</v>
      </c>
      <c r="CV275" s="83" t="s">
        <v>117</v>
      </c>
      <c r="CW275" s="83" t="s">
        <v>132</v>
      </c>
      <c r="CY275" s="83" t="s">
        <v>117</v>
      </c>
      <c r="CZ275" s="83" t="s">
        <v>132</v>
      </c>
    </row>
    <row r="277" spans="1:104" x14ac:dyDescent="0.2">
      <c r="A277" s="83" t="s">
        <v>118</v>
      </c>
      <c r="B277" s="83" t="s">
        <v>151</v>
      </c>
      <c r="D277" s="83" t="s">
        <v>118</v>
      </c>
      <c r="E277" s="83" t="s">
        <v>151</v>
      </c>
      <c r="G277" s="83" t="s">
        <v>118</v>
      </c>
      <c r="H277" s="83" t="s">
        <v>151</v>
      </c>
      <c r="J277" s="83" t="s">
        <v>118</v>
      </c>
      <c r="K277" s="83" t="s">
        <v>151</v>
      </c>
      <c r="M277" s="83" t="s">
        <v>118</v>
      </c>
      <c r="N277" s="83" t="s">
        <v>151</v>
      </c>
      <c r="P277" s="83" t="s">
        <v>118</v>
      </c>
      <c r="Q277" s="83" t="s">
        <v>151</v>
      </c>
      <c r="S277" s="83" t="s">
        <v>118</v>
      </c>
      <c r="T277" s="83" t="s">
        <v>151</v>
      </c>
      <c r="V277" s="83" t="s">
        <v>118</v>
      </c>
      <c r="W277" s="83" t="s">
        <v>151</v>
      </c>
      <c r="Y277" s="83" t="s">
        <v>118</v>
      </c>
      <c r="Z277" s="83" t="s">
        <v>151</v>
      </c>
      <c r="AB277" s="83" t="s">
        <v>118</v>
      </c>
      <c r="AC277" s="83" t="s">
        <v>151</v>
      </c>
      <c r="AE277" s="83" t="s">
        <v>118</v>
      </c>
      <c r="AF277" s="83" t="s">
        <v>151</v>
      </c>
      <c r="AH277" s="83" t="s">
        <v>118</v>
      </c>
      <c r="AI277" s="83" t="s">
        <v>151</v>
      </c>
      <c r="AK277" s="83" t="s">
        <v>118</v>
      </c>
      <c r="AL277" s="83" t="s">
        <v>151</v>
      </c>
      <c r="AN277" s="83" t="s">
        <v>118</v>
      </c>
      <c r="AO277" s="83" t="s">
        <v>151</v>
      </c>
      <c r="AQ277" s="83" t="s">
        <v>118</v>
      </c>
      <c r="AR277" s="83" t="s">
        <v>151</v>
      </c>
      <c r="AT277" s="83" t="s">
        <v>118</v>
      </c>
      <c r="AU277" s="83" t="s">
        <v>151</v>
      </c>
      <c r="AW277" s="83" t="s">
        <v>118</v>
      </c>
      <c r="AX277" s="83" t="s">
        <v>151</v>
      </c>
      <c r="AZ277" s="83" t="s">
        <v>118</v>
      </c>
      <c r="BA277" s="83" t="s">
        <v>151</v>
      </c>
      <c r="BC277" s="83" t="s">
        <v>118</v>
      </c>
      <c r="BD277" s="83" t="s">
        <v>151</v>
      </c>
      <c r="BF277" s="83" t="s">
        <v>118</v>
      </c>
      <c r="BG277" s="83" t="s">
        <v>151</v>
      </c>
      <c r="BI277" s="83" t="s">
        <v>118</v>
      </c>
      <c r="BJ277" s="83" t="s">
        <v>151</v>
      </c>
      <c r="BL277" s="83" t="s">
        <v>118</v>
      </c>
      <c r="BM277" s="83" t="s">
        <v>151</v>
      </c>
      <c r="BO277" s="83" t="s">
        <v>118</v>
      </c>
      <c r="BP277" s="83" t="s">
        <v>151</v>
      </c>
      <c r="BR277" s="83" t="s">
        <v>118</v>
      </c>
      <c r="BS277" s="83" t="s">
        <v>151</v>
      </c>
      <c r="BU277" s="83" t="s">
        <v>118</v>
      </c>
      <c r="BV277" s="83" t="s">
        <v>151</v>
      </c>
      <c r="BX277" s="83" t="s">
        <v>118</v>
      </c>
      <c r="BY277" s="83" t="s">
        <v>151</v>
      </c>
      <c r="CA277" s="83" t="s">
        <v>118</v>
      </c>
      <c r="CB277" s="83" t="s">
        <v>151</v>
      </c>
      <c r="CD277" s="83" t="s">
        <v>118</v>
      </c>
      <c r="CE277" s="83" t="s">
        <v>151</v>
      </c>
      <c r="CG277" s="83" t="s">
        <v>118</v>
      </c>
      <c r="CH277" s="83" t="s">
        <v>151</v>
      </c>
      <c r="CJ277" s="83" t="s">
        <v>118</v>
      </c>
      <c r="CK277" s="83" t="s">
        <v>151</v>
      </c>
      <c r="CM277" s="83" t="s">
        <v>118</v>
      </c>
      <c r="CN277" s="83" t="s">
        <v>151</v>
      </c>
      <c r="CP277" s="83" t="s">
        <v>118</v>
      </c>
      <c r="CQ277" s="83" t="s">
        <v>151</v>
      </c>
      <c r="CS277" s="83" t="s">
        <v>118</v>
      </c>
      <c r="CT277" s="83" t="s">
        <v>151</v>
      </c>
      <c r="CV277" s="83" t="s">
        <v>118</v>
      </c>
      <c r="CW277" s="83" t="s">
        <v>151</v>
      </c>
      <c r="CY277" s="83" t="s">
        <v>118</v>
      </c>
      <c r="CZ277" s="83" t="s">
        <v>151</v>
      </c>
    </row>
    <row r="279" spans="1:104" x14ac:dyDescent="0.2">
      <c r="A279" s="83" t="s">
        <v>119</v>
      </c>
      <c r="B279" s="83" t="s">
        <v>132</v>
      </c>
      <c r="D279" s="83" t="s">
        <v>119</v>
      </c>
      <c r="E279" s="83" t="s">
        <v>132</v>
      </c>
      <c r="G279" s="83" t="s">
        <v>119</v>
      </c>
      <c r="H279" s="83" t="s">
        <v>132</v>
      </c>
      <c r="J279" s="83" t="s">
        <v>119</v>
      </c>
      <c r="K279" s="83" t="s">
        <v>132</v>
      </c>
      <c r="M279" s="83" t="s">
        <v>119</v>
      </c>
      <c r="N279" s="83" t="s">
        <v>132</v>
      </c>
      <c r="P279" s="83" t="s">
        <v>119</v>
      </c>
      <c r="Q279" s="83" t="s">
        <v>132</v>
      </c>
      <c r="S279" s="83" t="s">
        <v>119</v>
      </c>
      <c r="T279" s="83" t="s">
        <v>132</v>
      </c>
      <c r="V279" s="83" t="s">
        <v>119</v>
      </c>
      <c r="W279" s="83" t="s">
        <v>132</v>
      </c>
      <c r="Y279" s="83" t="s">
        <v>119</v>
      </c>
      <c r="Z279" s="83" t="s">
        <v>132</v>
      </c>
      <c r="AB279" s="83" t="s">
        <v>119</v>
      </c>
      <c r="AC279" s="83" t="s">
        <v>132</v>
      </c>
      <c r="AE279" s="83" t="s">
        <v>119</v>
      </c>
      <c r="AF279" s="83" t="s">
        <v>132</v>
      </c>
      <c r="AH279" s="83" t="s">
        <v>119</v>
      </c>
      <c r="AI279" s="83" t="s">
        <v>132</v>
      </c>
      <c r="AK279" s="83" t="s">
        <v>119</v>
      </c>
      <c r="AL279" s="83" t="s">
        <v>132</v>
      </c>
      <c r="AN279" s="83" t="s">
        <v>119</v>
      </c>
      <c r="AO279" s="83" t="s">
        <v>132</v>
      </c>
      <c r="AQ279" s="83" t="s">
        <v>119</v>
      </c>
      <c r="AR279" s="83" t="s">
        <v>132</v>
      </c>
      <c r="AT279" s="83" t="s">
        <v>119</v>
      </c>
      <c r="AU279" s="83" t="s">
        <v>132</v>
      </c>
      <c r="AW279" s="83" t="s">
        <v>119</v>
      </c>
      <c r="AX279" s="83" t="s">
        <v>132</v>
      </c>
      <c r="AZ279" s="83" t="s">
        <v>119</v>
      </c>
      <c r="BA279" s="83" t="s">
        <v>132</v>
      </c>
      <c r="BC279" s="83" t="s">
        <v>119</v>
      </c>
      <c r="BD279" s="83" t="s">
        <v>132</v>
      </c>
      <c r="BF279" s="83" t="s">
        <v>119</v>
      </c>
      <c r="BG279" s="83" t="s">
        <v>132</v>
      </c>
      <c r="BI279" s="83" t="s">
        <v>119</v>
      </c>
      <c r="BJ279" s="83" t="s">
        <v>132</v>
      </c>
      <c r="BL279" s="83" t="s">
        <v>119</v>
      </c>
      <c r="BM279" s="83" t="s">
        <v>132</v>
      </c>
      <c r="BO279" s="83" t="s">
        <v>119</v>
      </c>
      <c r="BP279" s="83" t="s">
        <v>132</v>
      </c>
      <c r="BR279" s="83" t="s">
        <v>119</v>
      </c>
      <c r="BS279" s="83" t="s">
        <v>132</v>
      </c>
      <c r="BU279" s="83" t="s">
        <v>119</v>
      </c>
      <c r="BV279" s="83" t="s">
        <v>132</v>
      </c>
      <c r="BX279" s="83" t="s">
        <v>119</v>
      </c>
      <c r="BY279" s="83" t="s">
        <v>132</v>
      </c>
      <c r="CA279" s="83" t="s">
        <v>119</v>
      </c>
      <c r="CB279" s="83" t="s">
        <v>132</v>
      </c>
      <c r="CD279" s="83" t="s">
        <v>119</v>
      </c>
      <c r="CE279" s="83" t="s">
        <v>132</v>
      </c>
      <c r="CG279" s="83" t="s">
        <v>119</v>
      </c>
      <c r="CH279" s="83" t="s">
        <v>132</v>
      </c>
      <c r="CJ279" s="83" t="s">
        <v>119</v>
      </c>
      <c r="CK279" s="83" t="s">
        <v>132</v>
      </c>
      <c r="CM279" s="83" t="s">
        <v>119</v>
      </c>
      <c r="CN279" s="83" t="s">
        <v>132</v>
      </c>
      <c r="CP279" s="83" t="s">
        <v>119</v>
      </c>
      <c r="CQ279" s="83" t="s">
        <v>132</v>
      </c>
      <c r="CS279" s="83" t="s">
        <v>119</v>
      </c>
      <c r="CT279" s="83" t="s">
        <v>132</v>
      </c>
      <c r="CV279" s="83" t="s">
        <v>119</v>
      </c>
      <c r="CW279" s="83" t="s">
        <v>132</v>
      </c>
      <c r="CY279" s="83" t="s">
        <v>119</v>
      </c>
      <c r="CZ279" s="83" t="s">
        <v>132</v>
      </c>
    </row>
    <row r="281" spans="1:104" x14ac:dyDescent="0.2">
      <c r="A281" s="83" t="s">
        <v>120</v>
      </c>
      <c r="B281" s="83" t="s">
        <v>151</v>
      </c>
      <c r="D281" s="83" t="s">
        <v>120</v>
      </c>
      <c r="E281" s="83" t="s">
        <v>151</v>
      </c>
      <c r="G281" s="83" t="s">
        <v>120</v>
      </c>
      <c r="H281" s="83" t="s">
        <v>151</v>
      </c>
      <c r="J281" s="83" t="s">
        <v>120</v>
      </c>
      <c r="K281" s="83" t="s">
        <v>151</v>
      </c>
      <c r="M281" s="83" t="s">
        <v>120</v>
      </c>
      <c r="N281" s="83" t="s">
        <v>151</v>
      </c>
      <c r="P281" s="83" t="s">
        <v>120</v>
      </c>
      <c r="Q281" s="83" t="s">
        <v>151</v>
      </c>
      <c r="S281" s="83" t="s">
        <v>120</v>
      </c>
      <c r="T281" s="83" t="s">
        <v>151</v>
      </c>
      <c r="V281" s="83" t="s">
        <v>120</v>
      </c>
      <c r="W281" s="83" t="s">
        <v>151</v>
      </c>
      <c r="Y281" s="83" t="s">
        <v>120</v>
      </c>
      <c r="Z281" s="83" t="s">
        <v>151</v>
      </c>
      <c r="AB281" s="83" t="s">
        <v>120</v>
      </c>
      <c r="AC281" s="83" t="s">
        <v>151</v>
      </c>
      <c r="AE281" s="83" t="s">
        <v>120</v>
      </c>
      <c r="AF281" s="83" t="s">
        <v>151</v>
      </c>
      <c r="AH281" s="83" t="s">
        <v>120</v>
      </c>
      <c r="AI281" s="83" t="s">
        <v>151</v>
      </c>
      <c r="AK281" s="83" t="s">
        <v>120</v>
      </c>
      <c r="AL281" s="83" t="s">
        <v>151</v>
      </c>
      <c r="AN281" s="83" t="s">
        <v>120</v>
      </c>
      <c r="AO281" s="83" t="s">
        <v>151</v>
      </c>
      <c r="AQ281" s="83" t="s">
        <v>120</v>
      </c>
      <c r="AR281" s="83" t="s">
        <v>151</v>
      </c>
      <c r="AT281" s="83" t="s">
        <v>120</v>
      </c>
      <c r="AU281" s="83" t="s">
        <v>151</v>
      </c>
      <c r="AW281" s="83" t="s">
        <v>120</v>
      </c>
      <c r="AX281" s="83" t="s">
        <v>151</v>
      </c>
      <c r="AZ281" s="83" t="s">
        <v>120</v>
      </c>
      <c r="BA281" s="83" t="s">
        <v>151</v>
      </c>
      <c r="BC281" s="83" t="s">
        <v>120</v>
      </c>
      <c r="BD281" s="83" t="s">
        <v>151</v>
      </c>
      <c r="BF281" s="83" t="s">
        <v>120</v>
      </c>
      <c r="BG281" s="83" t="s">
        <v>151</v>
      </c>
      <c r="BI281" s="83" t="s">
        <v>120</v>
      </c>
      <c r="BJ281" s="83" t="s">
        <v>151</v>
      </c>
      <c r="BL281" s="83" t="s">
        <v>120</v>
      </c>
      <c r="BM281" s="83" t="s">
        <v>151</v>
      </c>
      <c r="BO281" s="83" t="s">
        <v>120</v>
      </c>
      <c r="BP281" s="83" t="s">
        <v>151</v>
      </c>
      <c r="BR281" s="83" t="s">
        <v>120</v>
      </c>
      <c r="BS281" s="83" t="s">
        <v>151</v>
      </c>
      <c r="BU281" s="83" t="s">
        <v>120</v>
      </c>
      <c r="BV281" s="83" t="s">
        <v>151</v>
      </c>
      <c r="BX281" s="83" t="s">
        <v>120</v>
      </c>
      <c r="BY281" s="83" t="s">
        <v>151</v>
      </c>
      <c r="CA281" s="83" t="s">
        <v>120</v>
      </c>
      <c r="CB281" s="83" t="s">
        <v>151</v>
      </c>
      <c r="CD281" s="83" t="s">
        <v>120</v>
      </c>
      <c r="CE281" s="83" t="s">
        <v>151</v>
      </c>
      <c r="CG281" s="83" t="s">
        <v>120</v>
      </c>
      <c r="CH281" s="83" t="s">
        <v>151</v>
      </c>
      <c r="CJ281" s="83" t="s">
        <v>120</v>
      </c>
      <c r="CK281" s="83" t="s">
        <v>151</v>
      </c>
      <c r="CM281" s="83" t="s">
        <v>120</v>
      </c>
      <c r="CN281" s="83" t="s">
        <v>151</v>
      </c>
      <c r="CP281" s="83" t="s">
        <v>120</v>
      </c>
      <c r="CQ281" s="83" t="s">
        <v>151</v>
      </c>
      <c r="CS281" s="83" t="s">
        <v>120</v>
      </c>
      <c r="CT281" s="83" t="s">
        <v>151</v>
      </c>
      <c r="CV281" s="83" t="s">
        <v>120</v>
      </c>
      <c r="CW281" s="83" t="s">
        <v>151</v>
      </c>
      <c r="CY281" s="83" t="s">
        <v>120</v>
      </c>
      <c r="CZ281" s="83" t="s">
        <v>151</v>
      </c>
    </row>
    <row r="283" spans="1:104" x14ac:dyDescent="0.2">
      <c r="A283" s="83" t="s">
        <v>121</v>
      </c>
      <c r="B283" s="83">
        <v>1</v>
      </c>
      <c r="D283" s="83" t="s">
        <v>121</v>
      </c>
      <c r="E283" s="83">
        <v>1</v>
      </c>
      <c r="G283" s="83" t="s">
        <v>121</v>
      </c>
      <c r="H283" s="83">
        <v>1</v>
      </c>
      <c r="J283" s="83" t="s">
        <v>121</v>
      </c>
      <c r="K283" s="83">
        <v>1</v>
      </c>
      <c r="M283" s="83" t="s">
        <v>121</v>
      </c>
      <c r="N283" s="83">
        <v>1</v>
      </c>
      <c r="P283" s="83" t="s">
        <v>121</v>
      </c>
      <c r="Q283" s="83">
        <v>1</v>
      </c>
      <c r="S283" s="83" t="s">
        <v>121</v>
      </c>
      <c r="T283" s="83">
        <v>1</v>
      </c>
      <c r="V283" s="83" t="s">
        <v>121</v>
      </c>
      <c r="W283" s="83">
        <v>1</v>
      </c>
      <c r="Y283" s="83" t="s">
        <v>121</v>
      </c>
      <c r="Z283" s="83">
        <v>1</v>
      </c>
      <c r="AB283" s="83" t="s">
        <v>121</v>
      </c>
      <c r="AC283" s="83">
        <v>1</v>
      </c>
      <c r="AE283" s="83" t="s">
        <v>121</v>
      </c>
      <c r="AF283" s="83">
        <v>1</v>
      </c>
      <c r="AH283" s="83" t="s">
        <v>121</v>
      </c>
      <c r="AI283" s="83">
        <v>1</v>
      </c>
      <c r="AK283" s="83" t="s">
        <v>121</v>
      </c>
      <c r="AL283" s="83">
        <v>1</v>
      </c>
      <c r="AN283" s="83" t="s">
        <v>121</v>
      </c>
      <c r="AO283" s="83">
        <v>1</v>
      </c>
      <c r="AQ283" s="83" t="s">
        <v>121</v>
      </c>
      <c r="AR283" s="83">
        <v>1</v>
      </c>
      <c r="AT283" s="83" t="s">
        <v>121</v>
      </c>
      <c r="AU283" s="83">
        <v>1</v>
      </c>
      <c r="AW283" s="83" t="s">
        <v>121</v>
      </c>
      <c r="AX283" s="83">
        <v>1</v>
      </c>
      <c r="AZ283" s="83" t="s">
        <v>121</v>
      </c>
      <c r="BA283" s="83">
        <v>1</v>
      </c>
      <c r="BC283" s="83" t="s">
        <v>121</v>
      </c>
      <c r="BD283" s="83">
        <v>1</v>
      </c>
      <c r="BF283" s="83" t="s">
        <v>121</v>
      </c>
      <c r="BG283" s="83">
        <v>1</v>
      </c>
      <c r="BI283" s="83" t="s">
        <v>121</v>
      </c>
      <c r="BJ283" s="83">
        <v>1</v>
      </c>
      <c r="BL283" s="83" t="s">
        <v>121</v>
      </c>
      <c r="BM283" s="83">
        <v>1</v>
      </c>
      <c r="BO283" s="83" t="s">
        <v>121</v>
      </c>
      <c r="BP283" s="83">
        <v>1</v>
      </c>
      <c r="BR283" s="83" t="s">
        <v>121</v>
      </c>
      <c r="BS283" s="83">
        <v>1</v>
      </c>
      <c r="BU283" s="83" t="s">
        <v>121</v>
      </c>
      <c r="BV283" s="83">
        <v>1</v>
      </c>
      <c r="BX283" s="83" t="s">
        <v>121</v>
      </c>
      <c r="BY283" s="83">
        <v>1</v>
      </c>
      <c r="CA283" s="83" t="s">
        <v>121</v>
      </c>
      <c r="CB283" s="83">
        <v>1</v>
      </c>
      <c r="CD283" s="83" t="s">
        <v>121</v>
      </c>
      <c r="CE283" s="83">
        <v>1</v>
      </c>
      <c r="CG283" s="83" t="s">
        <v>121</v>
      </c>
      <c r="CH283" s="83">
        <v>1</v>
      </c>
      <c r="CJ283" s="83" t="s">
        <v>121</v>
      </c>
      <c r="CK283" s="83">
        <v>1</v>
      </c>
      <c r="CM283" s="83" t="s">
        <v>121</v>
      </c>
      <c r="CN283" s="83">
        <v>1</v>
      </c>
      <c r="CP283" s="83" t="s">
        <v>121</v>
      </c>
      <c r="CQ283" s="83">
        <v>1</v>
      </c>
      <c r="CS283" s="83" t="s">
        <v>121</v>
      </c>
      <c r="CT283" s="83">
        <v>1</v>
      </c>
      <c r="CV283" s="83" t="s">
        <v>121</v>
      </c>
      <c r="CW283" s="83">
        <v>1</v>
      </c>
      <c r="CY283" s="83" t="s">
        <v>121</v>
      </c>
      <c r="CZ283" s="83">
        <v>1</v>
      </c>
    </row>
    <row r="285" spans="1:104" x14ac:dyDescent="0.2">
      <c r="A285" s="83" t="s">
        <v>122</v>
      </c>
      <c r="B285" s="83">
        <v>1</v>
      </c>
      <c r="D285" s="83" t="s">
        <v>122</v>
      </c>
      <c r="E285" s="83">
        <v>1</v>
      </c>
      <c r="G285" s="83" t="s">
        <v>122</v>
      </c>
      <c r="H285" s="83">
        <v>1</v>
      </c>
      <c r="J285" s="83" t="s">
        <v>122</v>
      </c>
      <c r="K285" s="83">
        <v>1</v>
      </c>
      <c r="M285" s="83" t="s">
        <v>122</v>
      </c>
      <c r="N285" s="83">
        <v>1</v>
      </c>
      <c r="P285" s="83" t="s">
        <v>122</v>
      </c>
      <c r="Q285" s="83">
        <v>1</v>
      </c>
      <c r="S285" s="83" t="s">
        <v>122</v>
      </c>
      <c r="T285" s="83">
        <v>1</v>
      </c>
      <c r="V285" s="83" t="s">
        <v>122</v>
      </c>
      <c r="W285" s="83">
        <v>1</v>
      </c>
      <c r="Y285" s="83" t="s">
        <v>122</v>
      </c>
      <c r="Z285" s="83">
        <v>1</v>
      </c>
      <c r="AB285" s="83" t="s">
        <v>122</v>
      </c>
      <c r="AC285" s="83">
        <v>1</v>
      </c>
      <c r="AE285" s="83" t="s">
        <v>122</v>
      </c>
      <c r="AF285" s="83">
        <v>1</v>
      </c>
      <c r="AH285" s="83" t="s">
        <v>122</v>
      </c>
      <c r="AI285" s="83">
        <v>1</v>
      </c>
      <c r="AK285" s="83" t="s">
        <v>122</v>
      </c>
      <c r="AL285" s="83">
        <v>1</v>
      </c>
      <c r="AN285" s="83" t="s">
        <v>122</v>
      </c>
      <c r="AO285" s="83">
        <v>1</v>
      </c>
      <c r="AQ285" s="83" t="s">
        <v>122</v>
      </c>
      <c r="AR285" s="83">
        <v>1</v>
      </c>
      <c r="AT285" s="83" t="s">
        <v>122</v>
      </c>
      <c r="AU285" s="83">
        <v>1</v>
      </c>
      <c r="AW285" s="83" t="s">
        <v>122</v>
      </c>
      <c r="AX285" s="83">
        <v>1</v>
      </c>
      <c r="AZ285" s="83" t="s">
        <v>122</v>
      </c>
      <c r="BA285" s="83">
        <v>1</v>
      </c>
      <c r="BC285" s="83" t="s">
        <v>122</v>
      </c>
      <c r="BD285" s="83">
        <v>1</v>
      </c>
      <c r="BF285" s="83" t="s">
        <v>122</v>
      </c>
      <c r="BG285" s="83">
        <v>1</v>
      </c>
      <c r="BI285" s="83" t="s">
        <v>122</v>
      </c>
      <c r="BJ285" s="83">
        <v>1</v>
      </c>
      <c r="BL285" s="83" t="s">
        <v>122</v>
      </c>
      <c r="BM285" s="83">
        <v>1</v>
      </c>
      <c r="BO285" s="83" t="s">
        <v>122</v>
      </c>
      <c r="BP285" s="83">
        <v>1</v>
      </c>
      <c r="BR285" s="83" t="s">
        <v>122</v>
      </c>
      <c r="BS285" s="83">
        <v>1</v>
      </c>
      <c r="BU285" s="83" t="s">
        <v>122</v>
      </c>
      <c r="BV285" s="83">
        <v>1</v>
      </c>
      <c r="BX285" s="83" t="s">
        <v>122</v>
      </c>
      <c r="BY285" s="83">
        <v>1</v>
      </c>
      <c r="CA285" s="83" t="s">
        <v>122</v>
      </c>
      <c r="CB285" s="83">
        <v>1</v>
      </c>
      <c r="CD285" s="83" t="s">
        <v>122</v>
      </c>
      <c r="CE285" s="83">
        <v>1</v>
      </c>
      <c r="CG285" s="83" t="s">
        <v>122</v>
      </c>
      <c r="CH285" s="83">
        <v>1</v>
      </c>
      <c r="CJ285" s="83" t="s">
        <v>122</v>
      </c>
      <c r="CK285" s="83">
        <v>1</v>
      </c>
      <c r="CM285" s="83" t="s">
        <v>122</v>
      </c>
      <c r="CN285" s="83">
        <v>1</v>
      </c>
      <c r="CP285" s="83" t="s">
        <v>122</v>
      </c>
      <c r="CQ285" s="83">
        <v>1</v>
      </c>
      <c r="CS285" s="83" t="s">
        <v>122</v>
      </c>
      <c r="CT285" s="83">
        <v>1</v>
      </c>
      <c r="CV285" s="83" t="s">
        <v>122</v>
      </c>
      <c r="CW285" s="83">
        <v>1</v>
      </c>
      <c r="CY285" s="83" t="s">
        <v>122</v>
      </c>
      <c r="CZ285" s="83">
        <v>1</v>
      </c>
    </row>
    <row r="287" spans="1:104" x14ac:dyDescent="0.2">
      <c r="A287" s="83" t="s">
        <v>123</v>
      </c>
      <c r="B287" s="83">
        <v>1</v>
      </c>
      <c r="D287" s="83" t="s">
        <v>123</v>
      </c>
      <c r="E287" s="83">
        <v>1</v>
      </c>
      <c r="G287" s="83" t="s">
        <v>123</v>
      </c>
      <c r="H287" s="83">
        <v>1</v>
      </c>
      <c r="J287" s="83" t="s">
        <v>123</v>
      </c>
      <c r="K287" s="83">
        <v>1</v>
      </c>
      <c r="M287" s="83" t="s">
        <v>123</v>
      </c>
      <c r="N287" s="83">
        <v>1</v>
      </c>
      <c r="P287" s="83" t="s">
        <v>123</v>
      </c>
      <c r="Q287" s="83">
        <v>1</v>
      </c>
      <c r="S287" s="83" t="s">
        <v>123</v>
      </c>
      <c r="T287" s="83">
        <v>1</v>
      </c>
      <c r="V287" s="83" t="s">
        <v>123</v>
      </c>
      <c r="W287" s="83">
        <v>1</v>
      </c>
      <c r="Y287" s="83" t="s">
        <v>123</v>
      </c>
      <c r="Z287" s="83">
        <v>1</v>
      </c>
      <c r="AB287" s="83" t="s">
        <v>123</v>
      </c>
      <c r="AC287" s="83">
        <v>1</v>
      </c>
      <c r="AE287" s="83" t="s">
        <v>123</v>
      </c>
      <c r="AF287" s="83">
        <v>1</v>
      </c>
      <c r="AH287" s="83" t="s">
        <v>123</v>
      </c>
      <c r="AI287" s="83">
        <v>1</v>
      </c>
      <c r="AK287" s="83" t="s">
        <v>123</v>
      </c>
      <c r="AL287" s="83">
        <v>1</v>
      </c>
      <c r="AN287" s="83" t="s">
        <v>123</v>
      </c>
      <c r="AO287" s="83">
        <v>1</v>
      </c>
      <c r="AQ287" s="83" t="s">
        <v>123</v>
      </c>
      <c r="AR287" s="83">
        <v>1</v>
      </c>
      <c r="AT287" s="83" t="s">
        <v>123</v>
      </c>
      <c r="AU287" s="83">
        <v>1</v>
      </c>
      <c r="AW287" s="83" t="s">
        <v>123</v>
      </c>
      <c r="AX287" s="83">
        <v>1</v>
      </c>
      <c r="AZ287" s="83" t="s">
        <v>123</v>
      </c>
      <c r="BA287" s="83">
        <v>1</v>
      </c>
      <c r="BC287" s="83" t="s">
        <v>123</v>
      </c>
      <c r="BD287" s="83">
        <v>1</v>
      </c>
      <c r="BF287" s="83" t="s">
        <v>123</v>
      </c>
      <c r="BG287" s="83">
        <v>1</v>
      </c>
      <c r="BI287" s="83" t="s">
        <v>123</v>
      </c>
      <c r="BJ287" s="83">
        <v>1</v>
      </c>
      <c r="BL287" s="83" t="s">
        <v>123</v>
      </c>
      <c r="BM287" s="83">
        <v>1</v>
      </c>
      <c r="BO287" s="83" t="s">
        <v>123</v>
      </c>
      <c r="BP287" s="83">
        <v>1</v>
      </c>
      <c r="BR287" s="83" t="s">
        <v>123</v>
      </c>
      <c r="BS287" s="83">
        <v>1</v>
      </c>
      <c r="BU287" s="83" t="s">
        <v>123</v>
      </c>
      <c r="BV287" s="83">
        <v>1</v>
      </c>
      <c r="BX287" s="83" t="s">
        <v>123</v>
      </c>
      <c r="BY287" s="83">
        <v>1</v>
      </c>
      <c r="CA287" s="83" t="s">
        <v>123</v>
      </c>
      <c r="CB287" s="83">
        <v>1</v>
      </c>
      <c r="CD287" s="83" t="s">
        <v>123</v>
      </c>
      <c r="CE287" s="83">
        <v>1</v>
      </c>
      <c r="CG287" s="83" t="s">
        <v>123</v>
      </c>
      <c r="CH287" s="83">
        <v>1</v>
      </c>
      <c r="CJ287" s="83" t="s">
        <v>123</v>
      </c>
      <c r="CK287" s="83">
        <v>1</v>
      </c>
      <c r="CM287" s="83" t="s">
        <v>123</v>
      </c>
      <c r="CN287" s="83">
        <v>1</v>
      </c>
      <c r="CP287" s="83" t="s">
        <v>123</v>
      </c>
      <c r="CQ287" s="83">
        <v>1</v>
      </c>
      <c r="CS287" s="83" t="s">
        <v>123</v>
      </c>
      <c r="CT287" s="83">
        <v>1</v>
      </c>
      <c r="CV287" s="83" t="s">
        <v>123</v>
      </c>
      <c r="CW287" s="83">
        <v>1</v>
      </c>
      <c r="CY287" s="83" t="s">
        <v>123</v>
      </c>
      <c r="CZ287" s="83">
        <v>1</v>
      </c>
    </row>
    <row r="289" spans="1:104" x14ac:dyDescent="0.2">
      <c r="A289" s="83" t="s">
        <v>124</v>
      </c>
      <c r="B289" s="83" t="s">
        <v>151</v>
      </c>
      <c r="D289" s="83" t="s">
        <v>124</v>
      </c>
      <c r="E289" s="83" t="s">
        <v>151</v>
      </c>
      <c r="G289" s="83" t="s">
        <v>124</v>
      </c>
      <c r="H289" s="83" t="s">
        <v>151</v>
      </c>
      <c r="J289" s="83" t="s">
        <v>124</v>
      </c>
      <c r="K289" s="83" t="s">
        <v>151</v>
      </c>
      <c r="M289" s="83" t="s">
        <v>124</v>
      </c>
      <c r="N289" s="83" t="s">
        <v>151</v>
      </c>
      <c r="P289" s="83" t="s">
        <v>124</v>
      </c>
      <c r="Q289" s="83" t="s">
        <v>151</v>
      </c>
      <c r="S289" s="83" t="s">
        <v>124</v>
      </c>
      <c r="T289" s="83" t="s">
        <v>151</v>
      </c>
      <c r="V289" s="83" t="s">
        <v>124</v>
      </c>
      <c r="W289" s="83" t="s">
        <v>151</v>
      </c>
      <c r="Y289" s="83" t="s">
        <v>124</v>
      </c>
      <c r="Z289" s="83" t="s">
        <v>151</v>
      </c>
      <c r="AB289" s="83" t="s">
        <v>124</v>
      </c>
      <c r="AC289" s="83" t="s">
        <v>151</v>
      </c>
      <c r="AE289" s="83" t="s">
        <v>124</v>
      </c>
      <c r="AF289" s="83" t="s">
        <v>151</v>
      </c>
      <c r="AH289" s="83" t="s">
        <v>124</v>
      </c>
      <c r="AI289" s="83" t="s">
        <v>151</v>
      </c>
      <c r="AK289" s="83" t="s">
        <v>124</v>
      </c>
      <c r="AL289" s="83" t="s">
        <v>151</v>
      </c>
      <c r="AN289" s="83" t="s">
        <v>124</v>
      </c>
      <c r="AO289" s="83" t="s">
        <v>151</v>
      </c>
      <c r="AQ289" s="83" t="s">
        <v>124</v>
      </c>
      <c r="AR289" s="83" t="s">
        <v>151</v>
      </c>
      <c r="AT289" s="83" t="s">
        <v>124</v>
      </c>
      <c r="AU289" s="83" t="s">
        <v>151</v>
      </c>
      <c r="AW289" s="83" t="s">
        <v>124</v>
      </c>
      <c r="AX289" s="83" t="s">
        <v>151</v>
      </c>
      <c r="AZ289" s="83" t="s">
        <v>124</v>
      </c>
      <c r="BA289" s="83" t="s">
        <v>151</v>
      </c>
      <c r="BC289" s="83" t="s">
        <v>124</v>
      </c>
      <c r="BD289" s="83" t="s">
        <v>151</v>
      </c>
      <c r="BF289" s="83" t="s">
        <v>124</v>
      </c>
      <c r="BG289" s="83" t="s">
        <v>151</v>
      </c>
      <c r="BI289" s="83" t="s">
        <v>124</v>
      </c>
      <c r="BJ289" s="83" t="s">
        <v>151</v>
      </c>
      <c r="BL289" s="83" t="s">
        <v>124</v>
      </c>
      <c r="BM289" s="83" t="s">
        <v>151</v>
      </c>
      <c r="BO289" s="83" t="s">
        <v>124</v>
      </c>
      <c r="BP289" s="83" t="s">
        <v>151</v>
      </c>
      <c r="BR289" s="83" t="s">
        <v>124</v>
      </c>
      <c r="BS289" s="83" t="s">
        <v>151</v>
      </c>
      <c r="BU289" s="83" t="s">
        <v>124</v>
      </c>
      <c r="BV289" s="83" t="s">
        <v>151</v>
      </c>
      <c r="BX289" s="83" t="s">
        <v>124</v>
      </c>
      <c r="BY289" s="83" t="s">
        <v>151</v>
      </c>
      <c r="CA289" s="83" t="s">
        <v>124</v>
      </c>
      <c r="CB289" s="83" t="s">
        <v>151</v>
      </c>
      <c r="CD289" s="83" t="s">
        <v>124</v>
      </c>
      <c r="CE289" s="83" t="s">
        <v>151</v>
      </c>
      <c r="CG289" s="83" t="s">
        <v>124</v>
      </c>
      <c r="CH289" s="83" t="s">
        <v>151</v>
      </c>
      <c r="CJ289" s="83" t="s">
        <v>124</v>
      </c>
      <c r="CK289" s="83" t="s">
        <v>151</v>
      </c>
      <c r="CM289" s="83" t="s">
        <v>124</v>
      </c>
      <c r="CN289" s="83" t="s">
        <v>151</v>
      </c>
      <c r="CP289" s="83" t="s">
        <v>124</v>
      </c>
      <c r="CQ289" s="83" t="s">
        <v>151</v>
      </c>
      <c r="CS289" s="83" t="s">
        <v>124</v>
      </c>
      <c r="CT289" s="83" t="s">
        <v>151</v>
      </c>
      <c r="CV289" s="83" t="s">
        <v>124</v>
      </c>
      <c r="CW289" s="83" t="s">
        <v>151</v>
      </c>
      <c r="CY289" s="83" t="s">
        <v>124</v>
      </c>
      <c r="CZ289" s="83" t="s">
        <v>151</v>
      </c>
    </row>
    <row r="291" spans="1:104" x14ac:dyDescent="0.2">
      <c r="A291" s="83" t="s">
        <v>125</v>
      </c>
      <c r="B291" s="83" t="s">
        <v>151</v>
      </c>
      <c r="D291" s="83" t="s">
        <v>125</v>
      </c>
      <c r="E291" s="83" t="s">
        <v>151</v>
      </c>
      <c r="G291" s="83" t="s">
        <v>125</v>
      </c>
      <c r="H291" s="83" t="s">
        <v>151</v>
      </c>
      <c r="J291" s="83" t="s">
        <v>125</v>
      </c>
      <c r="K291" s="83" t="s">
        <v>151</v>
      </c>
      <c r="M291" s="83" t="s">
        <v>125</v>
      </c>
      <c r="N291" s="83" t="s">
        <v>151</v>
      </c>
      <c r="P291" s="83" t="s">
        <v>125</v>
      </c>
      <c r="Q291" s="83" t="s">
        <v>151</v>
      </c>
      <c r="S291" s="83" t="s">
        <v>125</v>
      </c>
      <c r="T291" s="83" t="s">
        <v>151</v>
      </c>
      <c r="V291" s="83" t="s">
        <v>125</v>
      </c>
      <c r="W291" s="83" t="s">
        <v>151</v>
      </c>
      <c r="Y291" s="83" t="s">
        <v>125</v>
      </c>
      <c r="Z291" s="83" t="s">
        <v>151</v>
      </c>
      <c r="AB291" s="83" t="s">
        <v>125</v>
      </c>
      <c r="AC291" s="83" t="s">
        <v>151</v>
      </c>
      <c r="AE291" s="83" t="s">
        <v>125</v>
      </c>
      <c r="AF291" s="83" t="s">
        <v>151</v>
      </c>
      <c r="AH291" s="83" t="s">
        <v>125</v>
      </c>
      <c r="AI291" s="83" t="s">
        <v>151</v>
      </c>
      <c r="AK291" s="83" t="s">
        <v>125</v>
      </c>
      <c r="AL291" s="83" t="s">
        <v>151</v>
      </c>
      <c r="AN291" s="83" t="s">
        <v>125</v>
      </c>
      <c r="AO291" s="83" t="s">
        <v>151</v>
      </c>
      <c r="AQ291" s="83" t="s">
        <v>125</v>
      </c>
      <c r="AR291" s="83" t="s">
        <v>151</v>
      </c>
      <c r="AT291" s="83" t="s">
        <v>125</v>
      </c>
      <c r="AU291" s="83" t="s">
        <v>151</v>
      </c>
      <c r="AW291" s="83" t="s">
        <v>125</v>
      </c>
      <c r="AX291" s="83" t="s">
        <v>151</v>
      </c>
      <c r="AZ291" s="83" t="s">
        <v>125</v>
      </c>
      <c r="BA291" s="83" t="s">
        <v>151</v>
      </c>
      <c r="BC291" s="83" t="s">
        <v>125</v>
      </c>
      <c r="BD291" s="83" t="s">
        <v>151</v>
      </c>
      <c r="BF291" s="83" t="s">
        <v>125</v>
      </c>
      <c r="BG291" s="83" t="s">
        <v>151</v>
      </c>
      <c r="BI291" s="83" t="s">
        <v>125</v>
      </c>
      <c r="BJ291" s="83" t="s">
        <v>151</v>
      </c>
      <c r="BL291" s="83" t="s">
        <v>125</v>
      </c>
      <c r="BM291" s="83" t="s">
        <v>151</v>
      </c>
      <c r="BO291" s="83" t="s">
        <v>125</v>
      </c>
      <c r="BP291" s="83" t="s">
        <v>151</v>
      </c>
      <c r="BR291" s="83" t="s">
        <v>125</v>
      </c>
      <c r="BS291" s="83" t="s">
        <v>151</v>
      </c>
      <c r="BU291" s="83" t="s">
        <v>125</v>
      </c>
      <c r="BV291" s="83" t="s">
        <v>151</v>
      </c>
      <c r="BX291" s="83" t="s">
        <v>125</v>
      </c>
      <c r="BY291" s="83" t="s">
        <v>151</v>
      </c>
      <c r="CA291" s="83" t="s">
        <v>125</v>
      </c>
      <c r="CB291" s="83" t="s">
        <v>151</v>
      </c>
      <c r="CD291" s="83" t="s">
        <v>125</v>
      </c>
      <c r="CE291" s="83" t="s">
        <v>151</v>
      </c>
      <c r="CG291" s="83" t="s">
        <v>125</v>
      </c>
      <c r="CH291" s="83" t="s">
        <v>151</v>
      </c>
      <c r="CJ291" s="83" t="s">
        <v>125</v>
      </c>
      <c r="CK291" s="83" t="s">
        <v>151</v>
      </c>
      <c r="CM291" s="83" t="s">
        <v>125</v>
      </c>
      <c r="CN291" s="83" t="s">
        <v>151</v>
      </c>
      <c r="CP291" s="83" t="s">
        <v>125</v>
      </c>
      <c r="CQ291" s="83" t="s">
        <v>151</v>
      </c>
      <c r="CS291" s="83" t="s">
        <v>125</v>
      </c>
      <c r="CT291" s="83" t="s">
        <v>151</v>
      </c>
      <c r="CV291" s="83" t="s">
        <v>125</v>
      </c>
      <c r="CW291" s="83" t="s">
        <v>151</v>
      </c>
      <c r="CY291" s="83" t="s">
        <v>125</v>
      </c>
      <c r="CZ291" s="83" t="s">
        <v>151</v>
      </c>
    </row>
    <row r="293" spans="1:104" x14ac:dyDescent="0.2">
      <c r="A293" s="83" t="s">
        <v>126</v>
      </c>
      <c r="B293" s="83">
        <v>1</v>
      </c>
      <c r="D293" s="83" t="s">
        <v>126</v>
      </c>
      <c r="E293" s="83">
        <v>1</v>
      </c>
      <c r="G293" s="83" t="s">
        <v>126</v>
      </c>
      <c r="H293" s="83">
        <v>1</v>
      </c>
      <c r="J293" s="83" t="s">
        <v>126</v>
      </c>
      <c r="K293" s="83">
        <v>1</v>
      </c>
      <c r="M293" s="83" t="s">
        <v>126</v>
      </c>
      <c r="N293" s="83">
        <v>1</v>
      </c>
      <c r="P293" s="83" t="s">
        <v>126</v>
      </c>
      <c r="Q293" s="83">
        <v>1</v>
      </c>
      <c r="S293" s="83" t="s">
        <v>126</v>
      </c>
      <c r="T293" s="83">
        <v>1</v>
      </c>
      <c r="V293" s="83" t="s">
        <v>126</v>
      </c>
      <c r="W293" s="83">
        <v>1</v>
      </c>
      <c r="Y293" s="83" t="s">
        <v>126</v>
      </c>
      <c r="Z293" s="83">
        <v>1</v>
      </c>
      <c r="AB293" s="83" t="s">
        <v>126</v>
      </c>
      <c r="AC293" s="83">
        <v>1</v>
      </c>
      <c r="AE293" s="83" t="s">
        <v>126</v>
      </c>
      <c r="AF293" s="83">
        <v>1</v>
      </c>
      <c r="AH293" s="83" t="s">
        <v>126</v>
      </c>
      <c r="AI293" s="83">
        <v>1</v>
      </c>
      <c r="AK293" s="83" t="s">
        <v>126</v>
      </c>
      <c r="AL293" s="83">
        <v>1</v>
      </c>
      <c r="AN293" s="83" t="s">
        <v>126</v>
      </c>
      <c r="AO293" s="83">
        <v>1</v>
      </c>
      <c r="AQ293" s="83" t="s">
        <v>126</v>
      </c>
      <c r="AR293" s="83">
        <v>1</v>
      </c>
      <c r="AT293" s="83" t="s">
        <v>126</v>
      </c>
      <c r="AU293" s="83">
        <v>1</v>
      </c>
      <c r="AW293" s="83" t="s">
        <v>126</v>
      </c>
      <c r="AX293" s="83">
        <v>1</v>
      </c>
      <c r="AZ293" s="83" t="s">
        <v>126</v>
      </c>
      <c r="BA293" s="83">
        <v>1</v>
      </c>
      <c r="BC293" s="83" t="s">
        <v>126</v>
      </c>
      <c r="BD293" s="83">
        <v>1</v>
      </c>
      <c r="BF293" s="83" t="s">
        <v>126</v>
      </c>
      <c r="BG293" s="83">
        <v>1</v>
      </c>
      <c r="BI293" s="83" t="s">
        <v>126</v>
      </c>
      <c r="BJ293" s="83">
        <v>1</v>
      </c>
      <c r="BL293" s="83" t="s">
        <v>126</v>
      </c>
      <c r="BM293" s="83">
        <v>1</v>
      </c>
      <c r="BO293" s="83" t="s">
        <v>126</v>
      </c>
      <c r="BP293" s="83">
        <v>1</v>
      </c>
      <c r="BR293" s="83" t="s">
        <v>126</v>
      </c>
      <c r="BS293" s="83">
        <v>1</v>
      </c>
      <c r="BU293" s="83" t="s">
        <v>126</v>
      </c>
      <c r="BV293" s="83">
        <v>1</v>
      </c>
      <c r="BX293" s="83" t="s">
        <v>126</v>
      </c>
      <c r="BY293" s="83">
        <v>1</v>
      </c>
      <c r="CA293" s="83" t="s">
        <v>126</v>
      </c>
      <c r="CB293" s="83">
        <v>1</v>
      </c>
      <c r="CD293" s="83" t="s">
        <v>126</v>
      </c>
      <c r="CE293" s="83">
        <v>1</v>
      </c>
      <c r="CG293" s="83" t="s">
        <v>126</v>
      </c>
      <c r="CH293" s="83">
        <v>1</v>
      </c>
      <c r="CJ293" s="83" t="s">
        <v>126</v>
      </c>
      <c r="CK293" s="83">
        <v>1</v>
      </c>
      <c r="CM293" s="83" t="s">
        <v>126</v>
      </c>
      <c r="CN293" s="83">
        <v>1</v>
      </c>
      <c r="CP293" s="83" t="s">
        <v>126</v>
      </c>
      <c r="CQ293" s="83">
        <v>1</v>
      </c>
      <c r="CS293" s="83" t="s">
        <v>126</v>
      </c>
      <c r="CT293" s="83">
        <v>1</v>
      </c>
      <c r="CV293" s="83" t="s">
        <v>126</v>
      </c>
      <c r="CW293" s="83">
        <v>1</v>
      </c>
      <c r="CY293" s="83" t="s">
        <v>126</v>
      </c>
      <c r="CZ293" s="83">
        <v>1</v>
      </c>
    </row>
    <row r="295" spans="1:104" x14ac:dyDescent="0.2">
      <c r="A295" s="83" t="s">
        <v>127</v>
      </c>
      <c r="B295" s="83">
        <v>1</v>
      </c>
      <c r="D295" s="83" t="s">
        <v>127</v>
      </c>
      <c r="E295" s="83">
        <v>1</v>
      </c>
      <c r="G295" s="83" t="s">
        <v>127</v>
      </c>
      <c r="H295" s="83">
        <v>1</v>
      </c>
      <c r="J295" s="83" t="s">
        <v>127</v>
      </c>
      <c r="K295" s="83">
        <v>1</v>
      </c>
      <c r="M295" s="83" t="s">
        <v>127</v>
      </c>
      <c r="N295" s="83">
        <v>1</v>
      </c>
      <c r="P295" s="83" t="s">
        <v>127</v>
      </c>
      <c r="Q295" s="83">
        <v>1</v>
      </c>
      <c r="S295" s="83" t="s">
        <v>127</v>
      </c>
      <c r="T295" s="83">
        <v>1</v>
      </c>
      <c r="V295" s="83" t="s">
        <v>127</v>
      </c>
      <c r="W295" s="83">
        <v>1</v>
      </c>
      <c r="Y295" s="83" t="s">
        <v>127</v>
      </c>
      <c r="Z295" s="83">
        <v>1</v>
      </c>
      <c r="AB295" s="83" t="s">
        <v>127</v>
      </c>
      <c r="AC295" s="83">
        <v>1</v>
      </c>
      <c r="AE295" s="83" t="s">
        <v>127</v>
      </c>
      <c r="AF295" s="83">
        <v>1</v>
      </c>
      <c r="AH295" s="83" t="s">
        <v>127</v>
      </c>
      <c r="AI295" s="83">
        <v>1</v>
      </c>
      <c r="AK295" s="83" t="s">
        <v>127</v>
      </c>
      <c r="AL295" s="83">
        <v>1</v>
      </c>
      <c r="AN295" s="83" t="s">
        <v>127</v>
      </c>
      <c r="AO295" s="83">
        <v>1</v>
      </c>
      <c r="AQ295" s="83" t="s">
        <v>127</v>
      </c>
      <c r="AR295" s="83">
        <v>1</v>
      </c>
      <c r="AT295" s="83" t="s">
        <v>127</v>
      </c>
      <c r="AU295" s="83">
        <v>1</v>
      </c>
      <c r="AW295" s="83" t="s">
        <v>127</v>
      </c>
      <c r="AX295" s="83">
        <v>1</v>
      </c>
      <c r="AZ295" s="83" t="s">
        <v>127</v>
      </c>
      <c r="BA295" s="83">
        <v>1</v>
      </c>
      <c r="BC295" s="83" t="s">
        <v>127</v>
      </c>
      <c r="BD295" s="83">
        <v>1</v>
      </c>
      <c r="BF295" s="83" t="s">
        <v>127</v>
      </c>
      <c r="BG295" s="83">
        <v>1</v>
      </c>
      <c r="BI295" s="83" t="s">
        <v>127</v>
      </c>
      <c r="BJ295" s="83">
        <v>1</v>
      </c>
      <c r="BL295" s="83" t="s">
        <v>127</v>
      </c>
      <c r="BM295" s="83">
        <v>1</v>
      </c>
      <c r="BO295" s="83" t="s">
        <v>127</v>
      </c>
      <c r="BP295" s="83">
        <v>1</v>
      </c>
      <c r="BR295" s="83" t="s">
        <v>127</v>
      </c>
      <c r="BS295" s="83">
        <v>1</v>
      </c>
      <c r="BU295" s="83" t="s">
        <v>127</v>
      </c>
      <c r="BV295" s="83">
        <v>1</v>
      </c>
      <c r="BX295" s="83" t="s">
        <v>127</v>
      </c>
      <c r="BY295" s="83">
        <v>1</v>
      </c>
      <c r="CA295" s="83" t="s">
        <v>127</v>
      </c>
      <c r="CB295" s="83">
        <v>1</v>
      </c>
      <c r="CD295" s="83" t="s">
        <v>127</v>
      </c>
      <c r="CE295" s="83">
        <v>1</v>
      </c>
      <c r="CG295" s="83" t="s">
        <v>127</v>
      </c>
      <c r="CH295" s="83">
        <v>1</v>
      </c>
      <c r="CJ295" s="83" t="s">
        <v>127</v>
      </c>
      <c r="CK295" s="83">
        <v>1</v>
      </c>
      <c r="CM295" s="83" t="s">
        <v>127</v>
      </c>
      <c r="CN295" s="83">
        <v>1</v>
      </c>
      <c r="CP295" s="83" t="s">
        <v>127</v>
      </c>
      <c r="CQ295" s="83">
        <v>1</v>
      </c>
      <c r="CS295" s="83" t="s">
        <v>127</v>
      </c>
      <c r="CT295" s="83">
        <v>1</v>
      </c>
      <c r="CV295" s="83" t="s">
        <v>127</v>
      </c>
      <c r="CW295" s="83">
        <v>1</v>
      </c>
      <c r="CY295" s="83" t="s">
        <v>127</v>
      </c>
      <c r="CZ295" s="83">
        <v>1</v>
      </c>
    </row>
    <row r="297" spans="1:104" x14ac:dyDescent="0.2">
      <c r="A297" s="83" t="s">
        <v>128</v>
      </c>
      <c r="B297" s="83" t="s">
        <v>151</v>
      </c>
      <c r="D297" s="83" t="s">
        <v>128</v>
      </c>
      <c r="E297" s="83" t="s">
        <v>151</v>
      </c>
      <c r="G297" s="83" t="s">
        <v>128</v>
      </c>
      <c r="H297" s="83" t="s">
        <v>151</v>
      </c>
      <c r="J297" s="83" t="s">
        <v>128</v>
      </c>
      <c r="K297" s="83" t="s">
        <v>151</v>
      </c>
      <c r="M297" s="83" t="s">
        <v>128</v>
      </c>
      <c r="N297" s="83" t="s">
        <v>151</v>
      </c>
      <c r="P297" s="83" t="s">
        <v>128</v>
      </c>
      <c r="Q297" s="83" t="s">
        <v>151</v>
      </c>
      <c r="S297" s="83" t="s">
        <v>128</v>
      </c>
      <c r="T297" s="83" t="s">
        <v>151</v>
      </c>
      <c r="V297" s="83" t="s">
        <v>128</v>
      </c>
      <c r="W297" s="83" t="s">
        <v>151</v>
      </c>
      <c r="Y297" s="83" t="s">
        <v>128</v>
      </c>
      <c r="Z297" s="83" t="s">
        <v>151</v>
      </c>
      <c r="AB297" s="83" t="s">
        <v>128</v>
      </c>
      <c r="AC297" s="83" t="s">
        <v>151</v>
      </c>
      <c r="AE297" s="83" t="s">
        <v>128</v>
      </c>
      <c r="AF297" s="83" t="s">
        <v>151</v>
      </c>
      <c r="AH297" s="83" t="s">
        <v>128</v>
      </c>
      <c r="AI297" s="83" t="s">
        <v>151</v>
      </c>
      <c r="AK297" s="83" t="s">
        <v>128</v>
      </c>
      <c r="AL297" s="83" t="s">
        <v>151</v>
      </c>
      <c r="AN297" s="83" t="s">
        <v>128</v>
      </c>
      <c r="AO297" s="83" t="s">
        <v>151</v>
      </c>
      <c r="AQ297" s="83" t="s">
        <v>128</v>
      </c>
      <c r="AR297" s="83" t="s">
        <v>151</v>
      </c>
      <c r="AT297" s="83" t="s">
        <v>128</v>
      </c>
      <c r="AU297" s="83" t="s">
        <v>151</v>
      </c>
      <c r="AW297" s="83" t="s">
        <v>128</v>
      </c>
      <c r="AX297" s="83" t="s">
        <v>151</v>
      </c>
      <c r="AZ297" s="83" t="s">
        <v>128</v>
      </c>
      <c r="BA297" s="83" t="s">
        <v>151</v>
      </c>
      <c r="BC297" s="83" t="s">
        <v>128</v>
      </c>
      <c r="BD297" s="83" t="s">
        <v>151</v>
      </c>
      <c r="BF297" s="83" t="s">
        <v>128</v>
      </c>
      <c r="BG297" s="83" t="s">
        <v>151</v>
      </c>
      <c r="BI297" s="83" t="s">
        <v>128</v>
      </c>
      <c r="BJ297" s="83" t="s">
        <v>151</v>
      </c>
      <c r="BL297" s="83" t="s">
        <v>128</v>
      </c>
      <c r="BM297" s="83" t="s">
        <v>151</v>
      </c>
      <c r="BO297" s="83" t="s">
        <v>128</v>
      </c>
      <c r="BP297" s="83" t="s">
        <v>151</v>
      </c>
      <c r="BR297" s="83" t="s">
        <v>128</v>
      </c>
      <c r="BS297" s="83" t="s">
        <v>151</v>
      </c>
      <c r="BU297" s="83" t="s">
        <v>128</v>
      </c>
      <c r="BV297" s="83" t="s">
        <v>151</v>
      </c>
      <c r="BX297" s="83" t="s">
        <v>128</v>
      </c>
      <c r="BY297" s="83" t="s">
        <v>151</v>
      </c>
      <c r="CA297" s="83" t="s">
        <v>128</v>
      </c>
      <c r="CB297" s="83" t="s">
        <v>151</v>
      </c>
      <c r="CD297" s="83" t="s">
        <v>128</v>
      </c>
      <c r="CE297" s="83" t="s">
        <v>151</v>
      </c>
      <c r="CG297" s="83" t="s">
        <v>128</v>
      </c>
      <c r="CH297" s="83" t="s">
        <v>151</v>
      </c>
      <c r="CJ297" s="83" t="s">
        <v>128</v>
      </c>
      <c r="CK297" s="83" t="s">
        <v>151</v>
      </c>
      <c r="CM297" s="83" t="s">
        <v>128</v>
      </c>
      <c r="CN297" s="83" t="s">
        <v>151</v>
      </c>
      <c r="CP297" s="83" t="s">
        <v>128</v>
      </c>
      <c r="CQ297" s="83" t="s">
        <v>151</v>
      </c>
      <c r="CS297" s="83" t="s">
        <v>128</v>
      </c>
      <c r="CT297" s="83" t="s">
        <v>151</v>
      </c>
      <c r="CV297" s="83" t="s">
        <v>128</v>
      </c>
      <c r="CW297" s="83" t="s">
        <v>151</v>
      </c>
      <c r="CY297" s="83" t="s">
        <v>128</v>
      </c>
      <c r="CZ297" s="83" t="s">
        <v>151</v>
      </c>
    </row>
    <row r="299" spans="1:104" x14ac:dyDescent="0.2">
      <c r="A299" s="83" t="s">
        <v>152</v>
      </c>
      <c r="B299" s="83" t="s">
        <v>151</v>
      </c>
      <c r="D299" s="83" t="s">
        <v>152</v>
      </c>
      <c r="E299" s="83" t="s">
        <v>151</v>
      </c>
      <c r="G299" s="83" t="s">
        <v>152</v>
      </c>
      <c r="H299" s="83" t="s">
        <v>151</v>
      </c>
      <c r="J299" s="83" t="s">
        <v>152</v>
      </c>
      <c r="K299" s="83" t="s">
        <v>151</v>
      </c>
      <c r="M299" s="83" t="s">
        <v>152</v>
      </c>
      <c r="N299" s="83" t="s">
        <v>151</v>
      </c>
      <c r="P299" s="83" t="s">
        <v>152</v>
      </c>
      <c r="Q299" s="83" t="s">
        <v>151</v>
      </c>
      <c r="S299" s="83" t="s">
        <v>152</v>
      </c>
      <c r="T299" s="83" t="s">
        <v>151</v>
      </c>
      <c r="V299" s="83" t="s">
        <v>152</v>
      </c>
      <c r="W299" s="83" t="s">
        <v>151</v>
      </c>
      <c r="Y299" s="83" t="s">
        <v>152</v>
      </c>
      <c r="Z299" s="83" t="s">
        <v>151</v>
      </c>
      <c r="AB299" s="83" t="s">
        <v>152</v>
      </c>
      <c r="AC299" s="83" t="s">
        <v>151</v>
      </c>
      <c r="AE299" s="83" t="s">
        <v>152</v>
      </c>
      <c r="AF299" s="83" t="s">
        <v>151</v>
      </c>
      <c r="AH299" s="83" t="s">
        <v>152</v>
      </c>
      <c r="AI299" s="83" t="s">
        <v>151</v>
      </c>
      <c r="AK299" s="83" t="s">
        <v>152</v>
      </c>
      <c r="AL299" s="83" t="s">
        <v>151</v>
      </c>
      <c r="AN299" s="83" t="s">
        <v>152</v>
      </c>
      <c r="AO299" s="83" t="s">
        <v>151</v>
      </c>
      <c r="AQ299" s="83" t="s">
        <v>152</v>
      </c>
      <c r="AR299" s="83" t="s">
        <v>151</v>
      </c>
      <c r="AT299" s="83" t="s">
        <v>152</v>
      </c>
      <c r="AU299" s="83" t="s">
        <v>151</v>
      </c>
      <c r="AW299" s="83" t="s">
        <v>152</v>
      </c>
      <c r="AX299" s="83" t="s">
        <v>151</v>
      </c>
      <c r="AZ299" s="83" t="s">
        <v>152</v>
      </c>
      <c r="BA299" s="83" t="s">
        <v>151</v>
      </c>
      <c r="BC299" s="83" t="s">
        <v>152</v>
      </c>
      <c r="BD299" s="83" t="s">
        <v>151</v>
      </c>
      <c r="BF299" s="83" t="s">
        <v>152</v>
      </c>
      <c r="BG299" s="83" t="s">
        <v>151</v>
      </c>
      <c r="BI299" s="83" t="s">
        <v>152</v>
      </c>
      <c r="BJ299" s="83" t="s">
        <v>151</v>
      </c>
      <c r="BL299" s="83" t="s">
        <v>152</v>
      </c>
      <c r="BM299" s="83" t="s">
        <v>151</v>
      </c>
      <c r="BO299" s="83" t="s">
        <v>152</v>
      </c>
      <c r="BP299" s="83" t="s">
        <v>151</v>
      </c>
      <c r="BR299" s="83" t="s">
        <v>152</v>
      </c>
      <c r="BS299" s="83" t="s">
        <v>151</v>
      </c>
      <c r="BU299" s="83" t="s">
        <v>152</v>
      </c>
      <c r="BV299" s="83" t="s">
        <v>151</v>
      </c>
      <c r="BX299" s="83" t="s">
        <v>152</v>
      </c>
      <c r="BY299" s="83" t="s">
        <v>151</v>
      </c>
      <c r="CA299" s="83" t="s">
        <v>152</v>
      </c>
      <c r="CB299" s="83" t="s">
        <v>151</v>
      </c>
      <c r="CD299" s="83" t="s">
        <v>152</v>
      </c>
      <c r="CE299" s="83" t="s">
        <v>151</v>
      </c>
      <c r="CG299" s="83" t="s">
        <v>152</v>
      </c>
      <c r="CH299" s="83" t="s">
        <v>151</v>
      </c>
      <c r="CJ299" s="83" t="s">
        <v>152</v>
      </c>
      <c r="CK299" s="83" t="s">
        <v>151</v>
      </c>
      <c r="CM299" s="83" t="s">
        <v>152</v>
      </c>
      <c r="CN299" s="83" t="s">
        <v>151</v>
      </c>
      <c r="CP299" s="83" t="s">
        <v>152</v>
      </c>
      <c r="CQ299" s="83" t="s">
        <v>151</v>
      </c>
      <c r="CS299" s="83" t="s">
        <v>152</v>
      </c>
      <c r="CT299" s="83" t="s">
        <v>151</v>
      </c>
      <c r="CV299" s="83" t="s">
        <v>152</v>
      </c>
      <c r="CW299" s="83" t="s">
        <v>151</v>
      </c>
      <c r="CY299" s="83" t="s">
        <v>152</v>
      </c>
      <c r="CZ299" s="83" t="s">
        <v>151</v>
      </c>
    </row>
    <row r="301" spans="1:104" x14ac:dyDescent="0.2">
      <c r="A301" s="83" t="s">
        <v>129</v>
      </c>
      <c r="D301" s="83" t="s">
        <v>129</v>
      </c>
      <c r="G301" s="83" t="s">
        <v>129</v>
      </c>
      <c r="J301" s="83" t="s">
        <v>129</v>
      </c>
      <c r="M301" s="83" t="s">
        <v>129</v>
      </c>
      <c r="P301" s="83" t="s">
        <v>129</v>
      </c>
      <c r="S301" s="83" t="s">
        <v>129</v>
      </c>
      <c r="V301" s="83" t="s">
        <v>129</v>
      </c>
      <c r="Y301" s="83" t="s">
        <v>129</v>
      </c>
      <c r="AB301" s="83" t="s">
        <v>129</v>
      </c>
      <c r="AE301" s="83" t="s">
        <v>129</v>
      </c>
      <c r="AH301" s="83" t="s">
        <v>129</v>
      </c>
      <c r="AK301" s="83" t="s">
        <v>129</v>
      </c>
      <c r="AN301" s="83" t="s">
        <v>129</v>
      </c>
      <c r="AQ301" s="83" t="s">
        <v>129</v>
      </c>
      <c r="AT301" s="83" t="s">
        <v>129</v>
      </c>
      <c r="AW301" s="83" t="s">
        <v>129</v>
      </c>
      <c r="AZ301" s="83" t="s">
        <v>129</v>
      </c>
      <c r="BC301" s="83" t="s">
        <v>129</v>
      </c>
      <c r="BF301" s="83" t="s">
        <v>129</v>
      </c>
      <c r="BI301" s="83" t="s">
        <v>129</v>
      </c>
      <c r="BL301" s="83" t="s">
        <v>129</v>
      </c>
      <c r="BO301" s="83" t="s">
        <v>129</v>
      </c>
      <c r="BR301" s="83" t="s">
        <v>129</v>
      </c>
      <c r="BU301" s="83" t="s">
        <v>129</v>
      </c>
      <c r="BX301" s="83" t="s">
        <v>129</v>
      </c>
      <c r="CA301" s="83" t="s">
        <v>129</v>
      </c>
      <c r="CD301" s="83" t="s">
        <v>129</v>
      </c>
      <c r="CG301" s="83" t="s">
        <v>129</v>
      </c>
      <c r="CJ301" s="83" t="s">
        <v>129</v>
      </c>
      <c r="CM301" s="83" t="s">
        <v>129</v>
      </c>
      <c r="CP301" s="83" t="s">
        <v>129</v>
      </c>
      <c r="CS301" s="83" t="s">
        <v>129</v>
      </c>
      <c r="CV301" s="83" t="s">
        <v>129</v>
      </c>
      <c r="CY301" s="83" t="s">
        <v>129</v>
      </c>
    </row>
    <row r="302" spans="1:104" x14ac:dyDescent="0.2">
      <c r="A302" s="83" t="s">
        <v>86</v>
      </c>
      <c r="B302" s="83">
        <v>1</v>
      </c>
      <c r="D302" s="83" t="s">
        <v>86</v>
      </c>
      <c r="E302" s="83">
        <v>1</v>
      </c>
      <c r="G302" s="83" t="s">
        <v>86</v>
      </c>
      <c r="H302" s="83">
        <v>1</v>
      </c>
      <c r="J302" s="83" t="s">
        <v>86</v>
      </c>
      <c r="K302" s="83">
        <v>1</v>
      </c>
      <c r="M302" s="83" t="s">
        <v>86</v>
      </c>
      <c r="N302" s="83">
        <v>1</v>
      </c>
      <c r="P302" s="83" t="s">
        <v>86</v>
      </c>
      <c r="Q302" s="83">
        <v>1</v>
      </c>
      <c r="S302" s="83" t="s">
        <v>86</v>
      </c>
      <c r="T302" s="83">
        <v>1</v>
      </c>
      <c r="V302" s="83" t="s">
        <v>86</v>
      </c>
      <c r="W302" s="83">
        <v>1</v>
      </c>
      <c r="Y302" s="83" t="s">
        <v>86</v>
      </c>
      <c r="Z302" s="83">
        <v>1</v>
      </c>
      <c r="AB302" s="83" t="s">
        <v>86</v>
      </c>
      <c r="AC302" s="83">
        <v>1</v>
      </c>
      <c r="AE302" s="83" t="s">
        <v>86</v>
      </c>
      <c r="AF302" s="83">
        <v>1</v>
      </c>
      <c r="AH302" s="83" t="s">
        <v>86</v>
      </c>
      <c r="AI302" s="83">
        <v>1</v>
      </c>
      <c r="AK302" s="83" t="s">
        <v>86</v>
      </c>
      <c r="AL302" s="83">
        <v>1</v>
      </c>
      <c r="AN302" s="83" t="s">
        <v>86</v>
      </c>
      <c r="AO302" s="83">
        <v>1</v>
      </c>
      <c r="AQ302" s="83" t="s">
        <v>86</v>
      </c>
      <c r="AR302" s="83">
        <v>1</v>
      </c>
      <c r="AT302" s="83" t="s">
        <v>86</v>
      </c>
      <c r="AU302" s="83">
        <v>1</v>
      </c>
      <c r="AW302" s="83" t="s">
        <v>86</v>
      </c>
      <c r="AX302" s="83">
        <v>1</v>
      </c>
      <c r="AZ302" s="83" t="s">
        <v>86</v>
      </c>
      <c r="BA302" s="83">
        <v>1</v>
      </c>
      <c r="BC302" s="83" t="s">
        <v>86</v>
      </c>
      <c r="BD302" s="83">
        <v>1</v>
      </c>
      <c r="BF302" s="83" t="s">
        <v>86</v>
      </c>
      <c r="BG302" s="83">
        <v>1</v>
      </c>
      <c r="BI302" s="83" t="s">
        <v>86</v>
      </c>
      <c r="BJ302" s="83">
        <v>1</v>
      </c>
      <c r="BL302" s="83" t="s">
        <v>86</v>
      </c>
      <c r="BM302" s="83">
        <v>1</v>
      </c>
      <c r="BO302" s="83" t="s">
        <v>86</v>
      </c>
      <c r="BP302" s="83">
        <v>1</v>
      </c>
      <c r="BR302" s="83" t="s">
        <v>86</v>
      </c>
      <c r="BS302" s="83">
        <v>1</v>
      </c>
      <c r="BU302" s="83" t="s">
        <v>86</v>
      </c>
      <c r="BV302" s="83">
        <v>1</v>
      </c>
      <c r="BX302" s="83" t="s">
        <v>86</v>
      </c>
      <c r="BY302" s="83">
        <v>1</v>
      </c>
      <c r="CA302" s="83" t="s">
        <v>86</v>
      </c>
      <c r="CB302" s="83">
        <v>1</v>
      </c>
      <c r="CD302" s="83" t="s">
        <v>86</v>
      </c>
      <c r="CE302" s="83">
        <v>1</v>
      </c>
      <c r="CG302" s="83" t="s">
        <v>86</v>
      </c>
      <c r="CH302" s="83">
        <v>1</v>
      </c>
      <c r="CJ302" s="83" t="s">
        <v>86</v>
      </c>
      <c r="CK302" s="83">
        <v>1</v>
      </c>
      <c r="CM302" s="83" t="s">
        <v>86</v>
      </c>
      <c r="CN302" s="83">
        <v>1</v>
      </c>
      <c r="CP302" s="83" t="s">
        <v>86</v>
      </c>
      <c r="CQ302" s="83">
        <v>1</v>
      </c>
      <c r="CS302" s="83" t="s">
        <v>86</v>
      </c>
      <c r="CT302" s="83">
        <v>1</v>
      </c>
      <c r="CV302" s="83" t="s">
        <v>86</v>
      </c>
      <c r="CW302" s="83">
        <v>1</v>
      </c>
      <c r="CY302" s="83" t="s">
        <v>86</v>
      </c>
      <c r="CZ302" s="83">
        <v>1</v>
      </c>
    </row>
    <row r="304" spans="1:104" x14ac:dyDescent="0.2">
      <c r="A304" s="83" t="s">
        <v>87</v>
      </c>
      <c r="B304" s="83">
        <v>1</v>
      </c>
      <c r="D304" s="83" t="s">
        <v>87</v>
      </c>
      <c r="E304" s="83">
        <v>1</v>
      </c>
      <c r="G304" s="83" t="s">
        <v>87</v>
      </c>
      <c r="H304" s="83">
        <v>1</v>
      </c>
      <c r="J304" s="83" t="s">
        <v>87</v>
      </c>
      <c r="K304" s="83">
        <v>1</v>
      </c>
      <c r="M304" s="83" t="s">
        <v>87</v>
      </c>
      <c r="N304" s="83">
        <v>1</v>
      </c>
      <c r="P304" s="83" t="s">
        <v>87</v>
      </c>
      <c r="Q304" s="83">
        <v>1</v>
      </c>
      <c r="S304" s="83" t="s">
        <v>87</v>
      </c>
      <c r="T304" s="83">
        <v>1</v>
      </c>
      <c r="V304" s="83" t="s">
        <v>87</v>
      </c>
      <c r="W304" s="83">
        <v>1</v>
      </c>
      <c r="Y304" s="83" t="s">
        <v>87</v>
      </c>
      <c r="Z304" s="83">
        <v>1</v>
      </c>
      <c r="AB304" s="83" t="s">
        <v>87</v>
      </c>
      <c r="AC304" s="83">
        <v>1</v>
      </c>
      <c r="AE304" s="83" t="s">
        <v>87</v>
      </c>
      <c r="AF304" s="83">
        <v>1</v>
      </c>
      <c r="AH304" s="83" t="s">
        <v>87</v>
      </c>
      <c r="AI304" s="83">
        <v>1</v>
      </c>
      <c r="AK304" s="83" t="s">
        <v>87</v>
      </c>
      <c r="AL304" s="83">
        <v>1</v>
      </c>
      <c r="AN304" s="83" t="s">
        <v>87</v>
      </c>
      <c r="AO304" s="83">
        <v>1</v>
      </c>
      <c r="AQ304" s="83" t="s">
        <v>87</v>
      </c>
      <c r="AR304" s="83">
        <v>1</v>
      </c>
      <c r="AT304" s="83" t="s">
        <v>87</v>
      </c>
      <c r="AU304" s="83">
        <v>1</v>
      </c>
      <c r="AW304" s="83" t="s">
        <v>87</v>
      </c>
      <c r="AX304" s="83">
        <v>1</v>
      </c>
      <c r="AZ304" s="83" t="s">
        <v>87</v>
      </c>
      <c r="BA304" s="83">
        <v>1</v>
      </c>
      <c r="BC304" s="83" t="s">
        <v>87</v>
      </c>
      <c r="BD304" s="83">
        <v>1</v>
      </c>
      <c r="BF304" s="83" t="s">
        <v>87</v>
      </c>
      <c r="BG304" s="83">
        <v>1</v>
      </c>
      <c r="BI304" s="83" t="s">
        <v>87</v>
      </c>
      <c r="BJ304" s="83">
        <v>1</v>
      </c>
      <c r="BL304" s="83" t="s">
        <v>87</v>
      </c>
      <c r="BM304" s="83">
        <v>1</v>
      </c>
      <c r="BO304" s="83" t="s">
        <v>87</v>
      </c>
      <c r="BP304" s="83">
        <v>1</v>
      </c>
      <c r="BR304" s="83" t="s">
        <v>87</v>
      </c>
      <c r="BS304" s="83">
        <v>1</v>
      </c>
      <c r="BU304" s="83" t="s">
        <v>87</v>
      </c>
      <c r="BV304" s="83">
        <v>1</v>
      </c>
      <c r="BX304" s="83" t="s">
        <v>87</v>
      </c>
      <c r="BY304" s="83">
        <v>1</v>
      </c>
      <c r="CA304" s="83" t="s">
        <v>87</v>
      </c>
      <c r="CB304" s="83">
        <v>1</v>
      </c>
      <c r="CD304" s="83" t="s">
        <v>87</v>
      </c>
      <c r="CE304" s="83">
        <v>1</v>
      </c>
      <c r="CG304" s="83" t="s">
        <v>87</v>
      </c>
      <c r="CH304" s="83">
        <v>1</v>
      </c>
      <c r="CJ304" s="83" t="s">
        <v>87</v>
      </c>
      <c r="CK304" s="83">
        <v>1</v>
      </c>
      <c r="CM304" s="83" t="s">
        <v>87</v>
      </c>
      <c r="CN304" s="83">
        <v>1</v>
      </c>
      <c r="CP304" s="83" t="s">
        <v>87</v>
      </c>
      <c r="CQ304" s="83">
        <v>1</v>
      </c>
      <c r="CS304" s="83" t="s">
        <v>87</v>
      </c>
      <c r="CT304" s="83">
        <v>1</v>
      </c>
      <c r="CV304" s="83" t="s">
        <v>87</v>
      </c>
      <c r="CW304" s="83">
        <v>1</v>
      </c>
      <c r="CY304" s="83" t="s">
        <v>87</v>
      </c>
      <c r="CZ304" s="83">
        <v>1</v>
      </c>
    </row>
    <row r="306" spans="1:104" x14ac:dyDescent="0.2">
      <c r="A306" s="83" t="s">
        <v>88</v>
      </c>
      <c r="B306" s="83">
        <v>1</v>
      </c>
      <c r="D306" s="83" t="s">
        <v>88</v>
      </c>
      <c r="E306" s="83">
        <v>1</v>
      </c>
      <c r="G306" s="83" t="s">
        <v>88</v>
      </c>
      <c r="H306" s="83">
        <v>1</v>
      </c>
      <c r="J306" s="83" t="s">
        <v>88</v>
      </c>
      <c r="K306" s="83">
        <v>1</v>
      </c>
      <c r="M306" s="83" t="s">
        <v>88</v>
      </c>
      <c r="N306" s="83">
        <v>1</v>
      </c>
      <c r="P306" s="83" t="s">
        <v>88</v>
      </c>
      <c r="Q306" s="83">
        <v>1</v>
      </c>
      <c r="S306" s="83" t="s">
        <v>88</v>
      </c>
      <c r="T306" s="83">
        <v>1</v>
      </c>
      <c r="V306" s="83" t="s">
        <v>88</v>
      </c>
      <c r="W306" s="83">
        <v>1</v>
      </c>
      <c r="Y306" s="83" t="s">
        <v>88</v>
      </c>
      <c r="Z306" s="83">
        <v>1</v>
      </c>
      <c r="AB306" s="83" t="s">
        <v>88</v>
      </c>
      <c r="AC306" s="83">
        <v>1</v>
      </c>
      <c r="AE306" s="83" t="s">
        <v>88</v>
      </c>
      <c r="AF306" s="83">
        <v>1</v>
      </c>
      <c r="AH306" s="83" t="s">
        <v>88</v>
      </c>
      <c r="AI306" s="83">
        <v>1</v>
      </c>
      <c r="AK306" s="83" t="s">
        <v>88</v>
      </c>
      <c r="AL306" s="83">
        <v>1</v>
      </c>
      <c r="AN306" s="83" t="s">
        <v>88</v>
      </c>
      <c r="AO306" s="83">
        <v>1</v>
      </c>
      <c r="AQ306" s="83" t="s">
        <v>88</v>
      </c>
      <c r="AR306" s="83">
        <v>1</v>
      </c>
      <c r="AT306" s="83" t="s">
        <v>88</v>
      </c>
      <c r="AU306" s="83">
        <v>1</v>
      </c>
      <c r="AW306" s="83" t="s">
        <v>88</v>
      </c>
      <c r="AX306" s="83">
        <v>1</v>
      </c>
      <c r="AZ306" s="83" t="s">
        <v>88</v>
      </c>
      <c r="BA306" s="83">
        <v>1</v>
      </c>
      <c r="BC306" s="83" t="s">
        <v>88</v>
      </c>
      <c r="BD306" s="83">
        <v>1</v>
      </c>
      <c r="BF306" s="83" t="s">
        <v>88</v>
      </c>
      <c r="BG306" s="83">
        <v>1</v>
      </c>
      <c r="BI306" s="83" t="s">
        <v>88</v>
      </c>
      <c r="BJ306" s="83">
        <v>1</v>
      </c>
      <c r="BL306" s="83" t="s">
        <v>88</v>
      </c>
      <c r="BM306" s="83">
        <v>1</v>
      </c>
      <c r="BO306" s="83" t="s">
        <v>88</v>
      </c>
      <c r="BP306" s="83">
        <v>1</v>
      </c>
      <c r="BR306" s="83" t="s">
        <v>88</v>
      </c>
      <c r="BS306" s="83">
        <v>1</v>
      </c>
      <c r="BU306" s="83" t="s">
        <v>88</v>
      </c>
      <c r="BV306" s="83">
        <v>1</v>
      </c>
      <c r="BX306" s="83" t="s">
        <v>88</v>
      </c>
      <c r="BY306" s="83">
        <v>1</v>
      </c>
      <c r="CA306" s="83" t="s">
        <v>88</v>
      </c>
      <c r="CB306" s="83">
        <v>1</v>
      </c>
      <c r="CD306" s="83" t="s">
        <v>88</v>
      </c>
      <c r="CE306" s="83">
        <v>1</v>
      </c>
      <c r="CG306" s="83" t="s">
        <v>88</v>
      </c>
      <c r="CH306" s="83">
        <v>1</v>
      </c>
      <c r="CJ306" s="83" t="s">
        <v>88</v>
      </c>
      <c r="CK306" s="83">
        <v>1</v>
      </c>
      <c r="CM306" s="83" t="s">
        <v>88</v>
      </c>
      <c r="CN306" s="83">
        <v>1</v>
      </c>
      <c r="CP306" s="83" t="s">
        <v>88</v>
      </c>
      <c r="CQ306" s="83">
        <v>1</v>
      </c>
      <c r="CS306" s="83" t="s">
        <v>88</v>
      </c>
      <c r="CT306" s="83">
        <v>1</v>
      </c>
      <c r="CV306" s="83" t="s">
        <v>88</v>
      </c>
      <c r="CW306" s="83">
        <v>1</v>
      </c>
      <c r="CY306" s="83" t="s">
        <v>88</v>
      </c>
      <c r="CZ306" s="83">
        <v>1</v>
      </c>
    </row>
    <row r="308" spans="1:104" x14ac:dyDescent="0.2">
      <c r="A308" s="83" t="s">
        <v>89</v>
      </c>
      <c r="B308" s="83">
        <v>1</v>
      </c>
      <c r="D308" s="83" t="s">
        <v>89</v>
      </c>
      <c r="E308" s="83">
        <v>1</v>
      </c>
      <c r="G308" s="83" t="s">
        <v>89</v>
      </c>
      <c r="H308" s="83">
        <v>1</v>
      </c>
      <c r="J308" s="83" t="s">
        <v>89</v>
      </c>
      <c r="K308" s="83">
        <v>1</v>
      </c>
      <c r="M308" s="83" t="s">
        <v>89</v>
      </c>
      <c r="N308" s="83">
        <v>1</v>
      </c>
      <c r="P308" s="83" t="s">
        <v>89</v>
      </c>
      <c r="Q308" s="83">
        <v>1</v>
      </c>
      <c r="S308" s="83" t="s">
        <v>89</v>
      </c>
      <c r="T308" s="83">
        <v>1</v>
      </c>
      <c r="V308" s="83" t="s">
        <v>89</v>
      </c>
      <c r="W308" s="83">
        <v>1</v>
      </c>
      <c r="Y308" s="83" t="s">
        <v>89</v>
      </c>
      <c r="Z308" s="83">
        <v>1</v>
      </c>
      <c r="AB308" s="83" t="s">
        <v>89</v>
      </c>
      <c r="AC308" s="83">
        <v>1</v>
      </c>
      <c r="AE308" s="83" t="s">
        <v>89</v>
      </c>
      <c r="AF308" s="83">
        <v>1</v>
      </c>
      <c r="AH308" s="83" t="s">
        <v>89</v>
      </c>
      <c r="AI308" s="83">
        <v>1</v>
      </c>
      <c r="AK308" s="83" t="s">
        <v>89</v>
      </c>
      <c r="AL308" s="83">
        <v>1</v>
      </c>
      <c r="AN308" s="83" t="s">
        <v>89</v>
      </c>
      <c r="AO308" s="83">
        <v>1</v>
      </c>
      <c r="AQ308" s="83" t="s">
        <v>89</v>
      </c>
      <c r="AR308" s="83">
        <v>1</v>
      </c>
      <c r="AT308" s="83" t="s">
        <v>89</v>
      </c>
      <c r="AU308" s="83">
        <v>1</v>
      </c>
      <c r="AW308" s="83" t="s">
        <v>89</v>
      </c>
      <c r="AX308" s="83">
        <v>1</v>
      </c>
      <c r="AZ308" s="83" t="s">
        <v>89</v>
      </c>
      <c r="BA308" s="83">
        <v>1</v>
      </c>
      <c r="BC308" s="83" t="s">
        <v>89</v>
      </c>
      <c r="BD308" s="83">
        <v>1</v>
      </c>
      <c r="BF308" s="83" t="s">
        <v>89</v>
      </c>
      <c r="BG308" s="83">
        <v>1</v>
      </c>
      <c r="BI308" s="83" t="s">
        <v>89</v>
      </c>
      <c r="BJ308" s="83">
        <v>1</v>
      </c>
      <c r="BL308" s="83" t="s">
        <v>89</v>
      </c>
      <c r="BM308" s="83">
        <v>1</v>
      </c>
      <c r="BO308" s="83" t="s">
        <v>89</v>
      </c>
      <c r="BP308" s="83">
        <v>1</v>
      </c>
      <c r="BR308" s="83" t="s">
        <v>89</v>
      </c>
      <c r="BS308" s="83">
        <v>1</v>
      </c>
      <c r="BU308" s="83" t="s">
        <v>89</v>
      </c>
      <c r="BV308" s="83">
        <v>1</v>
      </c>
      <c r="BX308" s="83" t="s">
        <v>89</v>
      </c>
      <c r="BY308" s="83">
        <v>1</v>
      </c>
      <c r="CA308" s="83" t="s">
        <v>89</v>
      </c>
      <c r="CB308" s="83">
        <v>1</v>
      </c>
      <c r="CD308" s="83" t="s">
        <v>89</v>
      </c>
      <c r="CE308" s="83">
        <v>1</v>
      </c>
      <c r="CG308" s="83" t="s">
        <v>89</v>
      </c>
      <c r="CH308" s="83">
        <v>1</v>
      </c>
      <c r="CJ308" s="83" t="s">
        <v>89</v>
      </c>
      <c r="CK308" s="83">
        <v>1</v>
      </c>
      <c r="CM308" s="83" t="s">
        <v>89</v>
      </c>
      <c r="CN308" s="83">
        <v>1</v>
      </c>
      <c r="CP308" s="83" t="s">
        <v>89</v>
      </c>
      <c r="CQ308" s="83">
        <v>1</v>
      </c>
      <c r="CS308" s="83" t="s">
        <v>89</v>
      </c>
      <c r="CT308" s="83">
        <v>1</v>
      </c>
      <c r="CV308" s="83" t="s">
        <v>89</v>
      </c>
      <c r="CW308" s="83">
        <v>1</v>
      </c>
      <c r="CY308" s="83" t="s">
        <v>89</v>
      </c>
      <c r="CZ308" s="83">
        <v>1</v>
      </c>
    </row>
    <row r="310" spans="1:104" x14ac:dyDescent="0.2">
      <c r="A310" s="83" t="s">
        <v>90</v>
      </c>
      <c r="B310" s="83">
        <v>1</v>
      </c>
      <c r="D310" s="83" t="s">
        <v>90</v>
      </c>
      <c r="E310" s="83">
        <v>1</v>
      </c>
      <c r="G310" s="83" t="s">
        <v>90</v>
      </c>
      <c r="H310" s="83">
        <v>1</v>
      </c>
      <c r="J310" s="83" t="s">
        <v>90</v>
      </c>
      <c r="K310" s="83">
        <v>1</v>
      </c>
      <c r="M310" s="83" t="s">
        <v>90</v>
      </c>
      <c r="N310" s="83">
        <v>1</v>
      </c>
      <c r="P310" s="83" t="s">
        <v>90</v>
      </c>
      <c r="Q310" s="83">
        <v>1</v>
      </c>
      <c r="S310" s="83" t="s">
        <v>90</v>
      </c>
      <c r="T310" s="83">
        <v>1</v>
      </c>
      <c r="V310" s="83" t="s">
        <v>90</v>
      </c>
      <c r="W310" s="83">
        <v>1</v>
      </c>
      <c r="Y310" s="83" t="s">
        <v>90</v>
      </c>
      <c r="Z310" s="83">
        <v>1</v>
      </c>
      <c r="AB310" s="83" t="s">
        <v>90</v>
      </c>
      <c r="AC310" s="83">
        <v>1</v>
      </c>
      <c r="AE310" s="83" t="s">
        <v>90</v>
      </c>
      <c r="AF310" s="83">
        <v>1</v>
      </c>
      <c r="AH310" s="83" t="s">
        <v>90</v>
      </c>
      <c r="AI310" s="83">
        <v>1</v>
      </c>
      <c r="AK310" s="83" t="s">
        <v>90</v>
      </c>
      <c r="AL310" s="83">
        <v>1</v>
      </c>
      <c r="AN310" s="83" t="s">
        <v>90</v>
      </c>
      <c r="AO310" s="83">
        <v>1</v>
      </c>
      <c r="AQ310" s="83" t="s">
        <v>90</v>
      </c>
      <c r="AR310" s="83">
        <v>1</v>
      </c>
      <c r="AT310" s="83" t="s">
        <v>90</v>
      </c>
      <c r="AU310" s="83">
        <v>1</v>
      </c>
      <c r="AW310" s="83" t="s">
        <v>90</v>
      </c>
      <c r="AX310" s="83">
        <v>1</v>
      </c>
      <c r="AZ310" s="83" t="s">
        <v>90</v>
      </c>
      <c r="BA310" s="83">
        <v>1</v>
      </c>
      <c r="BC310" s="83" t="s">
        <v>90</v>
      </c>
      <c r="BD310" s="83">
        <v>1</v>
      </c>
      <c r="BF310" s="83" t="s">
        <v>90</v>
      </c>
      <c r="BG310" s="83">
        <v>1</v>
      </c>
      <c r="BI310" s="83" t="s">
        <v>90</v>
      </c>
      <c r="BJ310" s="83">
        <v>1</v>
      </c>
      <c r="BL310" s="83" t="s">
        <v>90</v>
      </c>
      <c r="BM310" s="83">
        <v>1</v>
      </c>
      <c r="BO310" s="83" t="s">
        <v>90</v>
      </c>
      <c r="BP310" s="83">
        <v>1</v>
      </c>
      <c r="BR310" s="83" t="s">
        <v>90</v>
      </c>
      <c r="BS310" s="83">
        <v>1</v>
      </c>
      <c r="BU310" s="83" t="s">
        <v>90</v>
      </c>
      <c r="BV310" s="83">
        <v>1</v>
      </c>
      <c r="BX310" s="83" t="s">
        <v>90</v>
      </c>
      <c r="BY310" s="83">
        <v>1</v>
      </c>
      <c r="CA310" s="83" t="s">
        <v>90</v>
      </c>
      <c r="CB310" s="83">
        <v>1</v>
      </c>
      <c r="CD310" s="83" t="s">
        <v>90</v>
      </c>
      <c r="CE310" s="83">
        <v>1</v>
      </c>
      <c r="CG310" s="83" t="s">
        <v>90</v>
      </c>
      <c r="CH310" s="83">
        <v>1</v>
      </c>
      <c r="CJ310" s="83" t="s">
        <v>90</v>
      </c>
      <c r="CK310" s="83">
        <v>1</v>
      </c>
      <c r="CM310" s="83" t="s">
        <v>90</v>
      </c>
      <c r="CN310" s="83">
        <v>1</v>
      </c>
      <c r="CP310" s="83" t="s">
        <v>90</v>
      </c>
      <c r="CQ310" s="83">
        <v>1</v>
      </c>
      <c r="CS310" s="83" t="s">
        <v>90</v>
      </c>
      <c r="CT310" s="83">
        <v>1</v>
      </c>
      <c r="CV310" s="83" t="s">
        <v>90</v>
      </c>
      <c r="CW310" s="83">
        <v>1</v>
      </c>
      <c r="CY310" s="83" t="s">
        <v>90</v>
      </c>
      <c r="CZ310" s="83">
        <v>1</v>
      </c>
    </row>
    <row r="312" spans="1:104" x14ac:dyDescent="0.2">
      <c r="A312" s="83" t="s">
        <v>153</v>
      </c>
      <c r="B312" s="83">
        <v>1</v>
      </c>
      <c r="D312" s="83" t="s">
        <v>153</v>
      </c>
      <c r="E312" s="83">
        <v>1</v>
      </c>
      <c r="G312" s="83" t="s">
        <v>153</v>
      </c>
      <c r="H312" s="83">
        <v>1</v>
      </c>
      <c r="J312" s="83" t="s">
        <v>153</v>
      </c>
      <c r="K312" s="83">
        <v>1</v>
      </c>
      <c r="M312" s="83" t="s">
        <v>153</v>
      </c>
      <c r="N312" s="83">
        <v>1</v>
      </c>
      <c r="P312" s="83" t="s">
        <v>153</v>
      </c>
      <c r="Q312" s="83">
        <v>1</v>
      </c>
      <c r="S312" s="83" t="s">
        <v>153</v>
      </c>
      <c r="T312" s="83">
        <v>1</v>
      </c>
      <c r="V312" s="83" t="s">
        <v>153</v>
      </c>
      <c r="W312" s="83">
        <v>1</v>
      </c>
      <c r="Y312" s="83" t="s">
        <v>153</v>
      </c>
      <c r="Z312" s="83">
        <v>1</v>
      </c>
      <c r="AB312" s="83" t="s">
        <v>153</v>
      </c>
      <c r="AC312" s="83">
        <v>1</v>
      </c>
      <c r="AE312" s="83" t="s">
        <v>153</v>
      </c>
      <c r="AF312" s="83">
        <v>1</v>
      </c>
      <c r="AH312" s="83" t="s">
        <v>153</v>
      </c>
      <c r="AI312" s="83">
        <v>1</v>
      </c>
      <c r="AK312" s="83" t="s">
        <v>153</v>
      </c>
      <c r="AL312" s="83">
        <v>1</v>
      </c>
      <c r="AN312" s="83" t="s">
        <v>153</v>
      </c>
      <c r="AO312" s="83">
        <v>1</v>
      </c>
      <c r="AQ312" s="83" t="s">
        <v>153</v>
      </c>
      <c r="AR312" s="83">
        <v>1</v>
      </c>
      <c r="AT312" s="83" t="s">
        <v>153</v>
      </c>
      <c r="AU312" s="83">
        <v>1</v>
      </c>
      <c r="AW312" s="83" t="s">
        <v>153</v>
      </c>
      <c r="AX312" s="83">
        <v>1</v>
      </c>
      <c r="AZ312" s="83" t="s">
        <v>153</v>
      </c>
      <c r="BA312" s="83">
        <v>1</v>
      </c>
      <c r="BC312" s="83" t="s">
        <v>153</v>
      </c>
      <c r="BD312" s="83">
        <v>1</v>
      </c>
      <c r="BF312" s="83" t="s">
        <v>153</v>
      </c>
      <c r="BG312" s="83">
        <v>1</v>
      </c>
      <c r="BI312" s="83" t="s">
        <v>153</v>
      </c>
      <c r="BJ312" s="83">
        <v>1</v>
      </c>
      <c r="BL312" s="83" t="s">
        <v>153</v>
      </c>
      <c r="BM312" s="83">
        <v>1</v>
      </c>
      <c r="BO312" s="83" t="s">
        <v>153</v>
      </c>
      <c r="BP312" s="83">
        <v>1</v>
      </c>
      <c r="BR312" s="83" t="s">
        <v>153</v>
      </c>
      <c r="BS312" s="83">
        <v>1</v>
      </c>
      <c r="BU312" s="83" t="s">
        <v>153</v>
      </c>
      <c r="BV312" s="83">
        <v>1</v>
      </c>
      <c r="BX312" s="83" t="s">
        <v>153</v>
      </c>
      <c r="BY312" s="83">
        <v>1</v>
      </c>
      <c r="CA312" s="83" t="s">
        <v>153</v>
      </c>
      <c r="CB312" s="83">
        <v>1</v>
      </c>
      <c r="CD312" s="83" t="s">
        <v>153</v>
      </c>
      <c r="CE312" s="83">
        <v>1</v>
      </c>
      <c r="CG312" s="83" t="s">
        <v>153</v>
      </c>
      <c r="CH312" s="83">
        <v>1</v>
      </c>
      <c r="CJ312" s="83" t="s">
        <v>153</v>
      </c>
      <c r="CK312" s="83">
        <v>1</v>
      </c>
      <c r="CM312" s="83" t="s">
        <v>153</v>
      </c>
      <c r="CN312" s="83">
        <v>1</v>
      </c>
      <c r="CP312" s="83" t="s">
        <v>153</v>
      </c>
      <c r="CQ312" s="83">
        <v>1</v>
      </c>
      <c r="CS312" s="83" t="s">
        <v>153</v>
      </c>
      <c r="CT312" s="83">
        <v>1</v>
      </c>
      <c r="CV312" s="83" t="s">
        <v>153</v>
      </c>
      <c r="CW312" s="83">
        <v>1</v>
      </c>
      <c r="CY312" s="83" t="s">
        <v>153</v>
      </c>
      <c r="CZ312" s="83">
        <v>1</v>
      </c>
    </row>
    <row r="314" spans="1:104" x14ac:dyDescent="0.2">
      <c r="A314" s="83" t="s">
        <v>154</v>
      </c>
      <c r="B314" s="83">
        <v>1</v>
      </c>
      <c r="D314" s="83" t="s">
        <v>154</v>
      </c>
      <c r="E314" s="83">
        <v>1</v>
      </c>
      <c r="G314" s="83" t="s">
        <v>154</v>
      </c>
      <c r="H314" s="83">
        <v>1</v>
      </c>
      <c r="J314" s="83" t="s">
        <v>154</v>
      </c>
      <c r="K314" s="83">
        <v>1</v>
      </c>
      <c r="M314" s="83" t="s">
        <v>154</v>
      </c>
      <c r="N314" s="83">
        <v>1</v>
      </c>
      <c r="P314" s="83" t="s">
        <v>154</v>
      </c>
      <c r="Q314" s="83">
        <v>1</v>
      </c>
      <c r="S314" s="83" t="s">
        <v>154</v>
      </c>
      <c r="T314" s="83">
        <v>1</v>
      </c>
      <c r="V314" s="83" t="s">
        <v>154</v>
      </c>
      <c r="W314" s="83">
        <v>1</v>
      </c>
      <c r="Y314" s="83" t="s">
        <v>154</v>
      </c>
      <c r="Z314" s="83">
        <v>1</v>
      </c>
      <c r="AB314" s="83" t="s">
        <v>154</v>
      </c>
      <c r="AC314" s="83">
        <v>1</v>
      </c>
      <c r="AE314" s="83" t="s">
        <v>154</v>
      </c>
      <c r="AF314" s="83">
        <v>1</v>
      </c>
      <c r="AH314" s="83" t="s">
        <v>154</v>
      </c>
      <c r="AI314" s="83">
        <v>1</v>
      </c>
      <c r="AK314" s="83" t="s">
        <v>154</v>
      </c>
      <c r="AL314" s="83">
        <v>1</v>
      </c>
      <c r="AN314" s="83" t="s">
        <v>154</v>
      </c>
      <c r="AO314" s="83">
        <v>1</v>
      </c>
      <c r="AQ314" s="83" t="s">
        <v>154</v>
      </c>
      <c r="AR314" s="83">
        <v>1</v>
      </c>
      <c r="AT314" s="83" t="s">
        <v>154</v>
      </c>
      <c r="AU314" s="83">
        <v>1</v>
      </c>
      <c r="AW314" s="83" t="s">
        <v>154</v>
      </c>
      <c r="AX314" s="83">
        <v>1</v>
      </c>
      <c r="AZ314" s="83" t="s">
        <v>154</v>
      </c>
      <c r="BA314" s="83">
        <v>1</v>
      </c>
      <c r="BC314" s="83" t="s">
        <v>154</v>
      </c>
      <c r="BD314" s="83">
        <v>1</v>
      </c>
      <c r="BF314" s="83" t="s">
        <v>154</v>
      </c>
      <c r="BG314" s="83">
        <v>1</v>
      </c>
      <c r="BI314" s="83" t="s">
        <v>154</v>
      </c>
      <c r="BJ314" s="83">
        <v>1</v>
      </c>
      <c r="BL314" s="83" t="s">
        <v>154</v>
      </c>
      <c r="BM314" s="83">
        <v>1</v>
      </c>
      <c r="BO314" s="83" t="s">
        <v>154</v>
      </c>
      <c r="BP314" s="83">
        <v>1</v>
      </c>
      <c r="BR314" s="83" t="s">
        <v>154</v>
      </c>
      <c r="BS314" s="83">
        <v>1</v>
      </c>
      <c r="BU314" s="83" t="s">
        <v>154</v>
      </c>
      <c r="BV314" s="83">
        <v>1</v>
      </c>
      <c r="BX314" s="83" t="s">
        <v>154</v>
      </c>
      <c r="BY314" s="83">
        <v>1</v>
      </c>
      <c r="CA314" s="83" t="s">
        <v>154</v>
      </c>
      <c r="CB314" s="83">
        <v>1</v>
      </c>
      <c r="CD314" s="83" t="s">
        <v>154</v>
      </c>
      <c r="CE314" s="83">
        <v>1</v>
      </c>
      <c r="CG314" s="83" t="s">
        <v>154</v>
      </c>
      <c r="CH314" s="83">
        <v>1</v>
      </c>
      <c r="CJ314" s="83" t="s">
        <v>154</v>
      </c>
      <c r="CK314" s="83">
        <v>1</v>
      </c>
      <c r="CM314" s="83" t="s">
        <v>154</v>
      </c>
      <c r="CN314" s="83">
        <v>1</v>
      </c>
      <c r="CP314" s="83" t="s">
        <v>154</v>
      </c>
      <c r="CQ314" s="83">
        <v>1</v>
      </c>
      <c r="CS314" s="83" t="s">
        <v>154</v>
      </c>
      <c r="CT314" s="83">
        <v>1</v>
      </c>
      <c r="CV314" s="83" t="s">
        <v>154</v>
      </c>
      <c r="CW314" s="83">
        <v>1</v>
      </c>
      <c r="CY314" s="83" t="s">
        <v>154</v>
      </c>
      <c r="CZ314" s="83">
        <v>1</v>
      </c>
    </row>
    <row r="316" spans="1:104" x14ac:dyDescent="0.2">
      <c r="A316" s="83" t="s">
        <v>251</v>
      </c>
      <c r="B316" s="83">
        <v>1</v>
      </c>
      <c r="D316" s="83" t="s">
        <v>251</v>
      </c>
      <c r="E316" s="83">
        <v>1</v>
      </c>
      <c r="G316" s="83" t="s">
        <v>251</v>
      </c>
      <c r="H316" s="83">
        <v>1</v>
      </c>
      <c r="J316" s="83" t="s">
        <v>251</v>
      </c>
      <c r="K316" s="83">
        <v>1</v>
      </c>
      <c r="M316" s="83" t="s">
        <v>251</v>
      </c>
      <c r="N316" s="83">
        <v>1</v>
      </c>
      <c r="P316" s="83" t="s">
        <v>251</v>
      </c>
      <c r="Q316" s="83">
        <v>1</v>
      </c>
      <c r="S316" s="83" t="s">
        <v>251</v>
      </c>
      <c r="T316" s="83">
        <v>1</v>
      </c>
      <c r="V316" s="83" t="s">
        <v>251</v>
      </c>
      <c r="W316" s="83">
        <v>1</v>
      </c>
      <c r="Y316" s="83" t="s">
        <v>251</v>
      </c>
      <c r="Z316" s="83">
        <v>1</v>
      </c>
      <c r="AB316" s="83" t="s">
        <v>251</v>
      </c>
      <c r="AC316" s="83">
        <v>1</v>
      </c>
      <c r="AE316" s="83" t="s">
        <v>251</v>
      </c>
      <c r="AF316" s="83">
        <v>1</v>
      </c>
      <c r="AH316" s="83" t="s">
        <v>251</v>
      </c>
      <c r="AI316" s="83">
        <v>1</v>
      </c>
      <c r="AK316" s="83" t="s">
        <v>251</v>
      </c>
      <c r="AL316" s="83">
        <v>1</v>
      </c>
      <c r="AN316" s="83" t="s">
        <v>251</v>
      </c>
      <c r="AO316" s="83">
        <v>1</v>
      </c>
      <c r="AQ316" s="83" t="s">
        <v>251</v>
      </c>
      <c r="AR316" s="83">
        <v>1</v>
      </c>
      <c r="AT316" s="83" t="s">
        <v>251</v>
      </c>
      <c r="AU316" s="83">
        <v>1</v>
      </c>
      <c r="AW316" s="83" t="s">
        <v>251</v>
      </c>
      <c r="AX316" s="83">
        <v>1</v>
      </c>
      <c r="AZ316" s="83" t="s">
        <v>251</v>
      </c>
      <c r="BA316" s="83">
        <v>1</v>
      </c>
      <c r="BC316" s="83" t="s">
        <v>251</v>
      </c>
      <c r="BD316" s="83">
        <v>1</v>
      </c>
      <c r="BF316" s="83" t="s">
        <v>251</v>
      </c>
      <c r="BG316" s="83">
        <v>1</v>
      </c>
      <c r="BI316" s="83" t="s">
        <v>251</v>
      </c>
      <c r="BJ316" s="83">
        <v>1</v>
      </c>
      <c r="BL316" s="83" t="s">
        <v>251</v>
      </c>
      <c r="BM316" s="83">
        <v>1</v>
      </c>
      <c r="BO316" s="83" t="s">
        <v>251</v>
      </c>
      <c r="BP316" s="83">
        <v>1</v>
      </c>
      <c r="BR316" s="83" t="s">
        <v>251</v>
      </c>
      <c r="BS316" s="83">
        <v>1</v>
      </c>
      <c r="BU316" s="83" t="s">
        <v>251</v>
      </c>
      <c r="BV316" s="83">
        <v>1</v>
      </c>
      <c r="BX316" s="83" t="s">
        <v>251</v>
      </c>
      <c r="BY316" s="83">
        <v>1</v>
      </c>
      <c r="CA316" s="83" t="s">
        <v>251</v>
      </c>
      <c r="CB316" s="83">
        <v>1</v>
      </c>
      <c r="CD316" s="83" t="s">
        <v>251</v>
      </c>
      <c r="CE316" s="83">
        <v>1</v>
      </c>
      <c r="CG316" s="83" t="s">
        <v>251</v>
      </c>
      <c r="CH316" s="83">
        <v>1</v>
      </c>
      <c r="CJ316" s="83" t="s">
        <v>251</v>
      </c>
      <c r="CK316" s="83">
        <v>1</v>
      </c>
      <c r="CM316" s="83" t="s">
        <v>251</v>
      </c>
      <c r="CN316" s="83">
        <v>1</v>
      </c>
      <c r="CP316" s="83" t="s">
        <v>251</v>
      </c>
      <c r="CQ316" s="83">
        <v>1</v>
      </c>
      <c r="CS316" s="83" t="s">
        <v>251</v>
      </c>
      <c r="CT316" s="83">
        <v>1</v>
      </c>
      <c r="CV316" s="83" t="s">
        <v>251</v>
      </c>
      <c r="CW316" s="83">
        <v>1</v>
      </c>
      <c r="CY316" s="83" t="s">
        <v>251</v>
      </c>
      <c r="CZ316" s="83">
        <v>1</v>
      </c>
    </row>
    <row r="320" spans="1:104" x14ac:dyDescent="0.2">
      <c r="A320" s="83" t="s">
        <v>88</v>
      </c>
      <c r="B320" s="83">
        <v>1</v>
      </c>
      <c r="D320" s="83" t="s">
        <v>88</v>
      </c>
      <c r="E320" s="83">
        <v>1</v>
      </c>
      <c r="G320" s="83" t="s">
        <v>88</v>
      </c>
      <c r="H320" s="83">
        <v>1</v>
      </c>
      <c r="J320" s="83" t="s">
        <v>88</v>
      </c>
      <c r="K320" s="83">
        <v>1</v>
      </c>
      <c r="M320" s="83" t="s">
        <v>88</v>
      </c>
      <c r="N320" s="83">
        <v>1</v>
      </c>
      <c r="P320" s="83" t="s">
        <v>88</v>
      </c>
      <c r="Q320" s="83">
        <v>1</v>
      </c>
      <c r="S320" s="83" t="s">
        <v>88</v>
      </c>
      <c r="T320" s="83">
        <v>1</v>
      </c>
      <c r="V320" s="83" t="s">
        <v>88</v>
      </c>
      <c r="W320" s="83">
        <v>1</v>
      </c>
      <c r="Y320" s="83" t="s">
        <v>88</v>
      </c>
      <c r="Z320" s="83">
        <v>1</v>
      </c>
      <c r="AB320" s="83" t="s">
        <v>88</v>
      </c>
      <c r="AC320" s="83">
        <v>1</v>
      </c>
      <c r="AE320" s="83" t="s">
        <v>88</v>
      </c>
      <c r="AF320" s="83">
        <v>1</v>
      </c>
      <c r="AH320" s="83" t="s">
        <v>88</v>
      </c>
      <c r="AI320" s="83">
        <v>1</v>
      </c>
      <c r="AK320" s="83" t="s">
        <v>88</v>
      </c>
      <c r="AL320" s="83">
        <v>1</v>
      </c>
      <c r="AN320" s="83" t="s">
        <v>88</v>
      </c>
      <c r="AO320" s="83">
        <v>1</v>
      </c>
      <c r="AQ320" s="83" t="s">
        <v>88</v>
      </c>
      <c r="AR320" s="83">
        <v>1</v>
      </c>
      <c r="AT320" s="83" t="s">
        <v>88</v>
      </c>
      <c r="AU320" s="83">
        <v>1</v>
      </c>
      <c r="AW320" s="83" t="s">
        <v>88</v>
      </c>
      <c r="AX320" s="83">
        <v>1</v>
      </c>
      <c r="AZ320" s="83" t="s">
        <v>88</v>
      </c>
      <c r="BA320" s="83">
        <v>1</v>
      </c>
      <c r="BC320" s="83" t="s">
        <v>88</v>
      </c>
      <c r="BD320" s="83">
        <v>1</v>
      </c>
      <c r="BF320" s="83" t="s">
        <v>88</v>
      </c>
      <c r="BG320" s="83">
        <v>1</v>
      </c>
      <c r="BI320" s="83" t="s">
        <v>88</v>
      </c>
      <c r="BJ320" s="83">
        <v>1</v>
      </c>
      <c r="BL320" s="83" t="s">
        <v>88</v>
      </c>
      <c r="BM320" s="83">
        <v>1</v>
      </c>
      <c r="BO320" s="83" t="s">
        <v>88</v>
      </c>
      <c r="BP320" s="83">
        <v>1</v>
      </c>
      <c r="BR320" s="83" t="s">
        <v>88</v>
      </c>
      <c r="BS320" s="83">
        <v>1</v>
      </c>
      <c r="BU320" s="83" t="s">
        <v>88</v>
      </c>
      <c r="BV320" s="83">
        <v>1</v>
      </c>
      <c r="BX320" s="83" t="s">
        <v>88</v>
      </c>
      <c r="BY320" s="83">
        <v>1</v>
      </c>
      <c r="CA320" s="83" t="s">
        <v>88</v>
      </c>
      <c r="CB320" s="83">
        <v>1</v>
      </c>
      <c r="CD320" s="83" t="s">
        <v>88</v>
      </c>
      <c r="CE320" s="83">
        <v>1</v>
      </c>
      <c r="CG320" s="83" t="s">
        <v>88</v>
      </c>
      <c r="CH320" s="83">
        <v>1</v>
      </c>
      <c r="CJ320" s="83" t="s">
        <v>88</v>
      </c>
      <c r="CK320" s="83">
        <v>1</v>
      </c>
      <c r="CM320" s="83" t="s">
        <v>88</v>
      </c>
      <c r="CN320" s="83">
        <v>1</v>
      </c>
      <c r="CP320" s="83" t="s">
        <v>88</v>
      </c>
      <c r="CQ320" s="83">
        <v>1</v>
      </c>
      <c r="CS320" s="83" t="s">
        <v>88</v>
      </c>
      <c r="CT320" s="83">
        <v>1</v>
      </c>
      <c r="CV320" s="83" t="s">
        <v>88</v>
      </c>
      <c r="CW320" s="83">
        <v>1</v>
      </c>
      <c r="CY320" s="83" t="s">
        <v>88</v>
      </c>
      <c r="CZ320" s="83">
        <v>1</v>
      </c>
    </row>
    <row r="322" spans="1:104" x14ac:dyDescent="0.2">
      <c r="A322" s="83" t="s">
        <v>89</v>
      </c>
      <c r="B322" s="83">
        <v>1</v>
      </c>
      <c r="D322" s="83" t="s">
        <v>89</v>
      </c>
      <c r="E322" s="83">
        <v>1</v>
      </c>
      <c r="G322" s="83" t="s">
        <v>89</v>
      </c>
      <c r="H322" s="83">
        <v>1</v>
      </c>
      <c r="J322" s="83" t="s">
        <v>89</v>
      </c>
      <c r="K322" s="83">
        <v>1</v>
      </c>
      <c r="M322" s="83" t="s">
        <v>89</v>
      </c>
      <c r="N322" s="83">
        <v>1</v>
      </c>
      <c r="P322" s="83" t="s">
        <v>89</v>
      </c>
      <c r="Q322" s="83">
        <v>1</v>
      </c>
      <c r="S322" s="83" t="s">
        <v>89</v>
      </c>
      <c r="T322" s="83">
        <v>1</v>
      </c>
      <c r="V322" s="83" t="s">
        <v>89</v>
      </c>
      <c r="W322" s="83">
        <v>1</v>
      </c>
      <c r="Y322" s="83" t="s">
        <v>89</v>
      </c>
      <c r="Z322" s="83">
        <v>1</v>
      </c>
      <c r="AB322" s="83" t="s">
        <v>89</v>
      </c>
      <c r="AC322" s="83">
        <v>1</v>
      </c>
      <c r="AE322" s="83" t="s">
        <v>89</v>
      </c>
      <c r="AF322" s="83">
        <v>1</v>
      </c>
      <c r="AH322" s="83" t="s">
        <v>89</v>
      </c>
      <c r="AI322" s="83">
        <v>1</v>
      </c>
      <c r="AK322" s="83" t="s">
        <v>89</v>
      </c>
      <c r="AL322" s="83">
        <v>1</v>
      </c>
      <c r="AN322" s="83" t="s">
        <v>89</v>
      </c>
      <c r="AO322" s="83">
        <v>1</v>
      </c>
      <c r="AQ322" s="83" t="s">
        <v>89</v>
      </c>
      <c r="AR322" s="83">
        <v>1</v>
      </c>
      <c r="AT322" s="83" t="s">
        <v>89</v>
      </c>
      <c r="AU322" s="83">
        <v>1</v>
      </c>
      <c r="AW322" s="83" t="s">
        <v>89</v>
      </c>
      <c r="AX322" s="83">
        <v>1</v>
      </c>
      <c r="AZ322" s="83" t="s">
        <v>89</v>
      </c>
      <c r="BA322" s="83">
        <v>1</v>
      </c>
      <c r="BC322" s="83" t="s">
        <v>89</v>
      </c>
      <c r="BD322" s="83">
        <v>1</v>
      </c>
      <c r="BF322" s="83" t="s">
        <v>89</v>
      </c>
      <c r="BG322" s="83">
        <v>1</v>
      </c>
      <c r="BI322" s="83" t="s">
        <v>89</v>
      </c>
      <c r="BJ322" s="83">
        <v>1</v>
      </c>
      <c r="BL322" s="83" t="s">
        <v>89</v>
      </c>
      <c r="BM322" s="83">
        <v>1</v>
      </c>
      <c r="BO322" s="83" t="s">
        <v>89</v>
      </c>
      <c r="BP322" s="83">
        <v>1</v>
      </c>
      <c r="BR322" s="83" t="s">
        <v>89</v>
      </c>
      <c r="BS322" s="83">
        <v>1</v>
      </c>
      <c r="BU322" s="83" t="s">
        <v>89</v>
      </c>
      <c r="BV322" s="83">
        <v>1</v>
      </c>
      <c r="BX322" s="83" t="s">
        <v>89</v>
      </c>
      <c r="BY322" s="83">
        <v>1</v>
      </c>
      <c r="CA322" s="83" t="s">
        <v>89</v>
      </c>
      <c r="CB322" s="83">
        <v>1</v>
      </c>
      <c r="CD322" s="83" t="s">
        <v>89</v>
      </c>
      <c r="CE322" s="83">
        <v>1</v>
      </c>
      <c r="CG322" s="83" t="s">
        <v>89</v>
      </c>
      <c r="CH322" s="83">
        <v>1</v>
      </c>
      <c r="CJ322" s="83" t="s">
        <v>89</v>
      </c>
      <c r="CK322" s="83">
        <v>1</v>
      </c>
      <c r="CM322" s="83" t="s">
        <v>89</v>
      </c>
      <c r="CN322" s="83">
        <v>1</v>
      </c>
      <c r="CP322" s="83" t="s">
        <v>89</v>
      </c>
      <c r="CQ322" s="83">
        <v>1</v>
      </c>
      <c r="CS322" s="83" t="s">
        <v>89</v>
      </c>
      <c r="CT322" s="83">
        <v>1</v>
      </c>
      <c r="CV322" s="83" t="s">
        <v>89</v>
      </c>
      <c r="CW322" s="83">
        <v>1</v>
      </c>
      <c r="CY322" s="83" t="s">
        <v>89</v>
      </c>
      <c r="CZ322" s="83">
        <v>1</v>
      </c>
    </row>
    <row r="324" spans="1:104" x14ac:dyDescent="0.2">
      <c r="A324" s="83" t="s">
        <v>90</v>
      </c>
      <c r="B324" s="83">
        <v>1</v>
      </c>
      <c r="D324" s="83" t="s">
        <v>90</v>
      </c>
      <c r="E324" s="83">
        <v>1</v>
      </c>
      <c r="G324" s="83" t="s">
        <v>90</v>
      </c>
      <c r="H324" s="83">
        <v>1</v>
      </c>
      <c r="J324" s="83" t="s">
        <v>90</v>
      </c>
      <c r="K324" s="83">
        <v>1</v>
      </c>
      <c r="M324" s="83" t="s">
        <v>90</v>
      </c>
      <c r="N324" s="83">
        <v>1</v>
      </c>
      <c r="P324" s="83" t="s">
        <v>90</v>
      </c>
      <c r="Q324" s="83">
        <v>1</v>
      </c>
      <c r="S324" s="83" t="s">
        <v>90</v>
      </c>
      <c r="T324" s="83">
        <v>1</v>
      </c>
      <c r="V324" s="83" t="s">
        <v>90</v>
      </c>
      <c r="W324" s="83">
        <v>1</v>
      </c>
      <c r="Y324" s="83" t="s">
        <v>90</v>
      </c>
      <c r="Z324" s="83">
        <v>1</v>
      </c>
      <c r="AB324" s="83" t="s">
        <v>90</v>
      </c>
      <c r="AC324" s="83">
        <v>1</v>
      </c>
      <c r="AE324" s="83" t="s">
        <v>90</v>
      </c>
      <c r="AF324" s="83">
        <v>1</v>
      </c>
      <c r="AH324" s="83" t="s">
        <v>90</v>
      </c>
      <c r="AI324" s="83">
        <v>1</v>
      </c>
      <c r="AK324" s="83" t="s">
        <v>90</v>
      </c>
      <c r="AL324" s="83">
        <v>1</v>
      </c>
      <c r="AN324" s="83" t="s">
        <v>90</v>
      </c>
      <c r="AO324" s="83">
        <v>1</v>
      </c>
      <c r="AQ324" s="83" t="s">
        <v>90</v>
      </c>
      <c r="AR324" s="83">
        <v>1</v>
      </c>
      <c r="AT324" s="83" t="s">
        <v>90</v>
      </c>
      <c r="AU324" s="83">
        <v>1</v>
      </c>
      <c r="AW324" s="83" t="s">
        <v>90</v>
      </c>
      <c r="AX324" s="83">
        <v>1</v>
      </c>
      <c r="AZ324" s="83" t="s">
        <v>90</v>
      </c>
      <c r="BA324" s="83">
        <v>1</v>
      </c>
      <c r="BC324" s="83" t="s">
        <v>90</v>
      </c>
      <c r="BD324" s="83">
        <v>1</v>
      </c>
      <c r="BF324" s="83" t="s">
        <v>90</v>
      </c>
      <c r="BG324" s="83">
        <v>1</v>
      </c>
      <c r="BI324" s="83" t="s">
        <v>90</v>
      </c>
      <c r="BJ324" s="83">
        <v>1</v>
      </c>
      <c r="BL324" s="83" t="s">
        <v>90</v>
      </c>
      <c r="BM324" s="83">
        <v>1</v>
      </c>
      <c r="BO324" s="83" t="s">
        <v>90</v>
      </c>
      <c r="BP324" s="83">
        <v>1</v>
      </c>
      <c r="BR324" s="83" t="s">
        <v>90</v>
      </c>
      <c r="BS324" s="83">
        <v>1</v>
      </c>
      <c r="BU324" s="83" t="s">
        <v>90</v>
      </c>
      <c r="BV324" s="83">
        <v>1</v>
      </c>
      <c r="BX324" s="83" t="s">
        <v>90</v>
      </c>
      <c r="BY324" s="83">
        <v>1</v>
      </c>
      <c r="CA324" s="83" t="s">
        <v>90</v>
      </c>
      <c r="CB324" s="83">
        <v>1</v>
      </c>
      <c r="CD324" s="83" t="s">
        <v>90</v>
      </c>
      <c r="CE324" s="83">
        <v>1</v>
      </c>
      <c r="CG324" s="83" t="s">
        <v>90</v>
      </c>
      <c r="CH324" s="83">
        <v>1</v>
      </c>
      <c r="CJ324" s="83" t="s">
        <v>90</v>
      </c>
      <c r="CK324" s="83">
        <v>1</v>
      </c>
      <c r="CM324" s="83" t="s">
        <v>90</v>
      </c>
      <c r="CN324" s="83">
        <v>1</v>
      </c>
      <c r="CP324" s="83" t="s">
        <v>90</v>
      </c>
      <c r="CQ324" s="83">
        <v>1</v>
      </c>
      <c r="CS324" s="83" t="s">
        <v>90</v>
      </c>
      <c r="CT324" s="83">
        <v>1</v>
      </c>
      <c r="CV324" s="83" t="s">
        <v>90</v>
      </c>
      <c r="CW324" s="83">
        <v>1</v>
      </c>
      <c r="CY324" s="83" t="s">
        <v>90</v>
      </c>
      <c r="CZ324" s="83">
        <v>1</v>
      </c>
    </row>
    <row r="326" spans="1:104" x14ac:dyDescent="0.2">
      <c r="A326" s="83" t="s">
        <v>153</v>
      </c>
      <c r="B326" s="83">
        <v>1</v>
      </c>
      <c r="D326" s="83" t="s">
        <v>153</v>
      </c>
      <c r="E326" s="83">
        <v>1</v>
      </c>
      <c r="G326" s="83" t="s">
        <v>153</v>
      </c>
      <c r="H326" s="83">
        <v>1</v>
      </c>
      <c r="J326" s="83" t="s">
        <v>153</v>
      </c>
      <c r="K326" s="83">
        <v>1</v>
      </c>
      <c r="M326" s="83" t="s">
        <v>153</v>
      </c>
      <c r="N326" s="83">
        <v>1</v>
      </c>
      <c r="P326" s="83" t="s">
        <v>153</v>
      </c>
      <c r="Q326" s="83">
        <v>1</v>
      </c>
      <c r="S326" s="83" t="s">
        <v>153</v>
      </c>
      <c r="T326" s="83">
        <v>1</v>
      </c>
      <c r="V326" s="83" t="s">
        <v>153</v>
      </c>
      <c r="W326" s="83">
        <v>1</v>
      </c>
      <c r="Y326" s="83" t="s">
        <v>153</v>
      </c>
      <c r="Z326" s="83">
        <v>1</v>
      </c>
      <c r="AB326" s="83" t="s">
        <v>153</v>
      </c>
      <c r="AC326" s="83">
        <v>1</v>
      </c>
      <c r="AE326" s="83" t="s">
        <v>153</v>
      </c>
      <c r="AF326" s="83">
        <v>1</v>
      </c>
      <c r="AH326" s="83" t="s">
        <v>153</v>
      </c>
      <c r="AI326" s="83">
        <v>1</v>
      </c>
      <c r="AK326" s="83" t="s">
        <v>153</v>
      </c>
      <c r="AL326" s="83">
        <v>1</v>
      </c>
      <c r="AN326" s="83" t="s">
        <v>153</v>
      </c>
      <c r="AO326" s="83">
        <v>1</v>
      </c>
      <c r="AQ326" s="83" t="s">
        <v>153</v>
      </c>
      <c r="AR326" s="83">
        <v>1</v>
      </c>
      <c r="AT326" s="83" t="s">
        <v>153</v>
      </c>
      <c r="AU326" s="83">
        <v>1</v>
      </c>
      <c r="AW326" s="83" t="s">
        <v>153</v>
      </c>
      <c r="AX326" s="83">
        <v>1</v>
      </c>
      <c r="AZ326" s="83" t="s">
        <v>153</v>
      </c>
      <c r="BA326" s="83">
        <v>1</v>
      </c>
      <c r="BC326" s="83" t="s">
        <v>153</v>
      </c>
      <c r="BD326" s="83">
        <v>1</v>
      </c>
      <c r="BF326" s="83" t="s">
        <v>153</v>
      </c>
      <c r="BG326" s="83">
        <v>1</v>
      </c>
      <c r="BI326" s="83" t="s">
        <v>153</v>
      </c>
      <c r="BJ326" s="83">
        <v>1</v>
      </c>
      <c r="BL326" s="83" t="s">
        <v>153</v>
      </c>
      <c r="BM326" s="83">
        <v>1</v>
      </c>
      <c r="BO326" s="83" t="s">
        <v>153</v>
      </c>
      <c r="BP326" s="83">
        <v>1</v>
      </c>
      <c r="BR326" s="83" t="s">
        <v>153</v>
      </c>
      <c r="BS326" s="83">
        <v>1</v>
      </c>
      <c r="BU326" s="83" t="s">
        <v>153</v>
      </c>
      <c r="BV326" s="83">
        <v>1</v>
      </c>
      <c r="BX326" s="83" t="s">
        <v>153</v>
      </c>
      <c r="BY326" s="83">
        <v>1</v>
      </c>
      <c r="CA326" s="83" t="s">
        <v>153</v>
      </c>
      <c r="CB326" s="83">
        <v>1</v>
      </c>
      <c r="CD326" s="83" t="s">
        <v>153</v>
      </c>
      <c r="CE326" s="83">
        <v>1</v>
      </c>
      <c r="CG326" s="83" t="s">
        <v>153</v>
      </c>
      <c r="CH326" s="83">
        <v>1</v>
      </c>
      <c r="CJ326" s="83" t="s">
        <v>153</v>
      </c>
      <c r="CK326" s="83">
        <v>1</v>
      </c>
      <c r="CM326" s="83" t="s">
        <v>153</v>
      </c>
      <c r="CN326" s="83">
        <v>1</v>
      </c>
      <c r="CP326" s="83" t="s">
        <v>153</v>
      </c>
      <c r="CQ326" s="83">
        <v>1</v>
      </c>
      <c r="CS326" s="83" t="s">
        <v>153</v>
      </c>
      <c r="CT326" s="83">
        <v>1</v>
      </c>
      <c r="CV326" s="83" t="s">
        <v>153</v>
      </c>
      <c r="CW326" s="83">
        <v>1</v>
      </c>
      <c r="CY326" s="83" t="s">
        <v>153</v>
      </c>
      <c r="CZ326" s="83">
        <v>1</v>
      </c>
    </row>
    <row r="328" spans="1:104" x14ac:dyDescent="0.2">
      <c r="A328" s="83" t="s">
        <v>154</v>
      </c>
      <c r="B328" s="83">
        <v>1</v>
      </c>
      <c r="D328" s="83" t="s">
        <v>154</v>
      </c>
      <c r="E328" s="83">
        <v>1</v>
      </c>
      <c r="G328" s="83" t="s">
        <v>154</v>
      </c>
      <c r="H328" s="83">
        <v>1</v>
      </c>
      <c r="J328" s="83" t="s">
        <v>154</v>
      </c>
      <c r="K328" s="83">
        <v>1</v>
      </c>
      <c r="M328" s="83" t="s">
        <v>154</v>
      </c>
      <c r="N328" s="83">
        <v>1</v>
      </c>
      <c r="P328" s="83" t="s">
        <v>154</v>
      </c>
      <c r="Q328" s="83">
        <v>1</v>
      </c>
      <c r="S328" s="83" t="s">
        <v>154</v>
      </c>
      <c r="T328" s="83">
        <v>1</v>
      </c>
      <c r="V328" s="83" t="s">
        <v>154</v>
      </c>
      <c r="W328" s="83">
        <v>1</v>
      </c>
      <c r="Y328" s="83" t="s">
        <v>154</v>
      </c>
      <c r="Z328" s="83">
        <v>1</v>
      </c>
      <c r="AB328" s="83" t="s">
        <v>154</v>
      </c>
      <c r="AC328" s="83">
        <v>1</v>
      </c>
      <c r="AE328" s="83" t="s">
        <v>154</v>
      </c>
      <c r="AF328" s="83">
        <v>1</v>
      </c>
      <c r="AH328" s="83" t="s">
        <v>154</v>
      </c>
      <c r="AI328" s="83">
        <v>1</v>
      </c>
      <c r="AK328" s="83" t="s">
        <v>154</v>
      </c>
      <c r="AL328" s="83">
        <v>1</v>
      </c>
      <c r="AN328" s="83" t="s">
        <v>154</v>
      </c>
      <c r="AO328" s="83">
        <v>1</v>
      </c>
      <c r="AQ328" s="83" t="s">
        <v>154</v>
      </c>
      <c r="AR328" s="83">
        <v>1</v>
      </c>
      <c r="AT328" s="83" t="s">
        <v>154</v>
      </c>
      <c r="AU328" s="83">
        <v>1</v>
      </c>
      <c r="AW328" s="83" t="s">
        <v>154</v>
      </c>
      <c r="AX328" s="83">
        <v>1</v>
      </c>
      <c r="AZ328" s="83" t="s">
        <v>154</v>
      </c>
      <c r="BA328" s="83">
        <v>1</v>
      </c>
      <c r="BC328" s="83" t="s">
        <v>154</v>
      </c>
      <c r="BD328" s="83">
        <v>1</v>
      </c>
      <c r="BF328" s="83" t="s">
        <v>154</v>
      </c>
      <c r="BG328" s="83">
        <v>1</v>
      </c>
      <c r="BI328" s="83" t="s">
        <v>154</v>
      </c>
      <c r="BJ328" s="83">
        <v>1</v>
      </c>
      <c r="BL328" s="83" t="s">
        <v>154</v>
      </c>
      <c r="BM328" s="83">
        <v>1</v>
      </c>
      <c r="BO328" s="83" t="s">
        <v>154</v>
      </c>
      <c r="BP328" s="83">
        <v>1</v>
      </c>
      <c r="BR328" s="83" t="s">
        <v>154</v>
      </c>
      <c r="BS328" s="83">
        <v>1</v>
      </c>
      <c r="BU328" s="83" t="s">
        <v>154</v>
      </c>
      <c r="BV328" s="83">
        <v>1</v>
      </c>
      <c r="BX328" s="83" t="s">
        <v>154</v>
      </c>
      <c r="BY328" s="83">
        <v>1</v>
      </c>
      <c r="CA328" s="83" t="s">
        <v>154</v>
      </c>
      <c r="CB328" s="83">
        <v>1</v>
      </c>
      <c r="CD328" s="83" t="s">
        <v>154</v>
      </c>
      <c r="CE328" s="83">
        <v>1</v>
      </c>
      <c r="CG328" s="83" t="s">
        <v>154</v>
      </c>
      <c r="CH328" s="83">
        <v>1</v>
      </c>
      <c r="CJ328" s="83" t="s">
        <v>154</v>
      </c>
      <c r="CK328" s="83">
        <v>1</v>
      </c>
      <c r="CM328" s="83" t="s">
        <v>154</v>
      </c>
      <c r="CN328" s="83">
        <v>1</v>
      </c>
      <c r="CP328" s="83" t="s">
        <v>154</v>
      </c>
      <c r="CQ328" s="83">
        <v>1</v>
      </c>
      <c r="CS328" s="83" t="s">
        <v>154</v>
      </c>
      <c r="CT328" s="83">
        <v>1</v>
      </c>
      <c r="CV328" s="83" t="s">
        <v>154</v>
      </c>
      <c r="CW328" s="83">
        <v>1</v>
      </c>
      <c r="CY328" s="83" t="s">
        <v>154</v>
      </c>
      <c r="CZ328" s="8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x14ac:dyDescent="0.2"/>
  <cols>
    <col min="1" max="1" width="9.28515625" style="83" bestFit="1" customWidth="1"/>
    <col min="2" max="2" width="13.7109375" style="83" customWidth="1"/>
    <col min="3" max="3" width="11.5703125" style="83" customWidth="1"/>
    <col min="4" max="5" width="12.42578125" style="83" bestFit="1" customWidth="1"/>
    <col min="6" max="6" width="9.28515625" style="83" bestFit="1" customWidth="1"/>
    <col min="7" max="7" width="12.42578125" style="83" bestFit="1" customWidth="1"/>
    <col min="8" max="8" width="12.42578125" style="83" customWidth="1"/>
    <col min="9" max="9" width="9.28515625" style="83" bestFit="1" customWidth="1"/>
    <col min="10" max="16384" width="9.140625" style="83"/>
  </cols>
  <sheetData>
    <row r="1" spans="1:26" ht="38.25" x14ac:dyDescent="0.2">
      <c r="A1" s="171" t="s">
        <v>275</v>
      </c>
      <c r="B1" s="171" t="s">
        <v>55</v>
      </c>
      <c r="C1" s="171" t="s">
        <v>56</v>
      </c>
      <c r="D1" s="171" t="s">
        <v>180</v>
      </c>
      <c r="E1" s="171" t="s">
        <v>181</v>
      </c>
      <c r="F1" s="171" t="s">
        <v>301</v>
      </c>
      <c r="G1" s="171" t="s">
        <v>11</v>
      </c>
      <c r="H1" s="171" t="s">
        <v>278</v>
      </c>
      <c r="I1" s="171" t="s">
        <v>277</v>
      </c>
      <c r="J1" s="171" t="s">
        <v>308</v>
      </c>
      <c r="K1" s="172"/>
      <c r="L1" s="172"/>
      <c r="M1" s="172"/>
      <c r="N1" s="172"/>
      <c r="O1" s="172"/>
      <c r="P1" s="172"/>
      <c r="Q1" s="172"/>
      <c r="R1" s="172"/>
      <c r="S1" s="172"/>
      <c r="T1" s="172"/>
      <c r="U1" s="172"/>
      <c r="V1" s="172"/>
      <c r="W1" s="172"/>
      <c r="X1" s="172"/>
      <c r="Y1" s="172"/>
      <c r="Z1" s="172"/>
    </row>
    <row r="2" spans="1:26" x14ac:dyDescent="0.2">
      <c r="A2" s="173">
        <f>Calc!A9</f>
        <v>4.99E-5</v>
      </c>
      <c r="B2" s="173">
        <f>Calc!B9</f>
        <v>0.27443400000000001</v>
      </c>
      <c r="C2" s="173">
        <f>Calc!C9</f>
        <v>0.15359400000000001</v>
      </c>
      <c r="D2" s="173">
        <f>Calc!I9</f>
        <v>1726185435815239.2</v>
      </c>
      <c r="E2" s="173">
        <f>Calc!P9</f>
        <v>0</v>
      </c>
      <c r="F2" s="174">
        <f>Calc!S9</f>
        <v>0</v>
      </c>
      <c r="G2" s="173">
        <f>Calc!O9</f>
        <v>1726185435815239.2</v>
      </c>
      <c r="H2" s="175" t="str">
        <f>Calc!X9</f>
        <v/>
      </c>
      <c r="I2" s="175" t="str">
        <f>Calc!Y9</f>
        <v/>
      </c>
      <c r="J2" s="176">
        <f>Calc!AE9</f>
        <v>1516.9109419558524</v>
      </c>
      <c r="K2" s="172"/>
      <c r="L2" s="172"/>
      <c r="M2" s="172"/>
      <c r="N2" s="172"/>
      <c r="O2" s="172"/>
      <c r="P2" s="172"/>
      <c r="Q2" s="172"/>
      <c r="R2" s="172"/>
      <c r="S2" s="172"/>
      <c r="T2" s="172"/>
      <c r="U2" s="172"/>
      <c r="V2" s="172"/>
      <c r="W2" s="172"/>
      <c r="X2" s="172"/>
      <c r="Y2" s="172"/>
      <c r="Z2" s="172"/>
    </row>
    <row r="3" spans="1:26" x14ac:dyDescent="0.2">
      <c r="A3" s="173">
        <f>Calc!A10</f>
        <v>1.4990000000000001E-4</v>
      </c>
      <c r="B3" s="173">
        <f>Calc!B10</f>
        <v>2.34911</v>
      </c>
      <c r="C3" s="173">
        <f>Calc!C10</f>
        <v>0.51370700000000002</v>
      </c>
      <c r="D3" s="173">
        <f>Calc!I10</f>
        <v>1.893488083553198E+16</v>
      </c>
      <c r="E3" s="173">
        <f>Calc!P10</f>
        <v>0</v>
      </c>
      <c r="F3" s="174">
        <f>Calc!S10</f>
        <v>0</v>
      </c>
      <c r="G3" s="173">
        <f>Calc!O10</f>
        <v>1.893488083553198E+16</v>
      </c>
      <c r="H3" s="175" t="str">
        <f>Calc!X10</f>
        <v/>
      </c>
      <c r="I3" s="175" t="str">
        <f>Calc!Y10</f>
        <v/>
      </c>
      <c r="J3" s="176">
        <f>Calc!AE10</f>
        <v>1220.083254691066</v>
      </c>
    </row>
    <row r="4" spans="1:26" x14ac:dyDescent="0.2">
      <c r="A4" s="173">
        <f>Calc!A11</f>
        <v>2.499E-4</v>
      </c>
      <c r="B4" s="173">
        <f>Calc!B11</f>
        <v>3.5734300000000001</v>
      </c>
      <c r="C4" s="173">
        <f>Calc!C11</f>
        <v>0.58015399999999995</v>
      </c>
      <c r="D4" s="173">
        <f>Calc!I11</f>
        <v>3.2505886255367408E+16</v>
      </c>
      <c r="E4" s="173">
        <f>Calc!P11</f>
        <v>8.7885780674820676E-5</v>
      </c>
      <c r="F4" s="174">
        <f>Calc!S11</f>
        <v>9624.3947443095167</v>
      </c>
      <c r="G4" s="173">
        <f>Calc!O11</f>
        <v>3.2505886255367408E+16</v>
      </c>
      <c r="H4" s="175" t="str">
        <f>Calc!X11</f>
        <v/>
      </c>
      <c r="I4" s="175" t="str">
        <f>Calc!Y11</f>
        <v/>
      </c>
      <c r="J4" s="176">
        <f>Calc!AE11</f>
        <v>1100.1278705496993</v>
      </c>
    </row>
    <row r="5" spans="1:26" x14ac:dyDescent="0.2">
      <c r="A5" s="173">
        <f>Calc!A12</f>
        <v>3.4989999999999999E-4</v>
      </c>
      <c r="B5" s="173">
        <f>Calc!B12</f>
        <v>4.0961400000000001</v>
      </c>
      <c r="C5" s="173">
        <f>Calc!C12</f>
        <v>0.62093500000000001</v>
      </c>
      <c r="D5" s="173">
        <f>Calc!I12</f>
        <v>3.9136992271831848E+16</v>
      </c>
      <c r="E5" s="173">
        <f>Calc!P12</f>
        <v>8.6687005558315708E-5</v>
      </c>
      <c r="F5" s="174">
        <f>Calc!S12</f>
        <v>8993.1254208012033</v>
      </c>
      <c r="G5" s="173">
        <f>Calc!O12</f>
        <v>3.9136992271831848E+16</v>
      </c>
      <c r="H5" s="175" t="str">
        <f>Calc!X12</f>
        <v/>
      </c>
      <c r="I5" s="175" t="str">
        <f>Calc!Y12</f>
        <v/>
      </c>
      <c r="J5" s="176">
        <f>Calc!AE12</f>
        <v>1055.1152803496175</v>
      </c>
    </row>
    <row r="6" spans="1:26" x14ac:dyDescent="0.2">
      <c r="A6" s="173">
        <f>Calc!A13</f>
        <v>4.4989999999999999E-4</v>
      </c>
      <c r="B6" s="173">
        <f>Calc!B13</f>
        <v>4.1760900000000003</v>
      </c>
      <c r="C6" s="173">
        <f>Calc!C13</f>
        <v>0.61662099999999997</v>
      </c>
      <c r="D6" s="173">
        <f>Calc!I13</f>
        <v>4.019757950596416E+16</v>
      </c>
      <c r="E6" s="173">
        <f>Calc!P13</f>
        <v>8.2736830468972509E-5</v>
      </c>
      <c r="F6" s="174">
        <f>Calc!S13</f>
        <v>9404.2123338753809</v>
      </c>
      <c r="G6" s="173">
        <f>Calc!O13</f>
        <v>4.019757950596416E+16</v>
      </c>
      <c r="H6" s="177" t="str">
        <f>Calc!X13</f>
        <v/>
      </c>
      <c r="I6" s="178" t="str">
        <f>Calc!Y13</f>
        <v/>
      </c>
      <c r="J6" s="176">
        <f>Calc!AE13</f>
        <v>1048.5008311147581</v>
      </c>
    </row>
    <row r="7" spans="1:26" x14ac:dyDescent="0.2">
      <c r="A7" s="173">
        <f>Calc!A14</f>
        <v>5.4989999999999998E-4</v>
      </c>
      <c r="B7" s="173">
        <f>Calc!B14</f>
        <v>4.1062599999999998</v>
      </c>
      <c r="C7" s="173">
        <f>Calc!C14</f>
        <v>0.595225</v>
      </c>
      <c r="D7" s="173">
        <f>Calc!I14</f>
        <v>3.9270550860379744E+16</v>
      </c>
      <c r="E7" s="173">
        <f>Calc!P14</f>
        <v>8.0485250002295246E-5</v>
      </c>
      <c r="F7" s="174">
        <f>Calc!S14</f>
        <v>9864.6243782839229</v>
      </c>
      <c r="G7" s="173">
        <f>Calc!O14</f>
        <v>3.9270550860379744E+16</v>
      </c>
      <c r="H7" s="177">
        <f>Calc!X14</f>
        <v>0.79000143702411341</v>
      </c>
      <c r="I7" s="178">
        <f>Calc!Y14</f>
        <v>57.595379256086623</v>
      </c>
      <c r="J7" s="176">
        <f>Calc!AE14</f>
        <v>1054.2742509993652</v>
      </c>
    </row>
    <row r="8" spans="1:26" x14ac:dyDescent="0.2">
      <c r="A8" s="173">
        <f>Calc!A15</f>
        <v>6.4990000000000002E-4</v>
      </c>
      <c r="B8" s="173">
        <f>Calc!B15</f>
        <v>3.9860799999999998</v>
      </c>
      <c r="C8" s="173">
        <f>Calc!C15</f>
        <v>0.56264800000000004</v>
      </c>
      <c r="D8" s="173">
        <f>Calc!I15</f>
        <v>3.7697316715867712E+16</v>
      </c>
      <c r="E8" s="173">
        <f>Calc!P15</f>
        <v>8.0541279488749988E-5</v>
      </c>
      <c r="F8" s="174">
        <f>Calc!S15</f>
        <v>10056.987906167664</v>
      </c>
      <c r="G8" s="173">
        <f>Calc!O15</f>
        <v>3.7697316715867712E+16</v>
      </c>
      <c r="H8" s="177">
        <f>Calc!X15</f>
        <v>0.78798637592098109</v>
      </c>
      <c r="I8" s="178">
        <f>Calc!Y15</f>
        <v>55.249564647586915</v>
      </c>
      <c r="J8" s="176">
        <f>Calc!AE15</f>
        <v>1064.3337908866572</v>
      </c>
    </row>
    <row r="9" spans="1:26" x14ac:dyDescent="0.2">
      <c r="A9" s="173">
        <f>Calc!A16</f>
        <v>7.4989999999999996E-4</v>
      </c>
      <c r="B9" s="173">
        <f>Calc!B16</f>
        <v>3.85372</v>
      </c>
      <c r="C9" s="173">
        <f>Calc!C16</f>
        <v>0.52906500000000001</v>
      </c>
      <c r="D9" s="173">
        <f>Calc!I16</f>
        <v>3.5996872236696196E+16</v>
      </c>
      <c r="E9" s="173">
        <f>Calc!P16</f>
        <v>8.1317018098227867E-5</v>
      </c>
      <c r="F9" s="174">
        <f>Calc!S16</f>
        <v>10146.562634525049</v>
      </c>
      <c r="G9" s="173">
        <f>Calc!O16</f>
        <v>3.5996872236696196E+16</v>
      </c>
      <c r="H9" s="177">
        <f>Calc!X16</f>
        <v>0.78571547768574801</v>
      </c>
      <c r="I9" s="178">
        <f>Calc!Y16</f>
        <v>52.254087533998494</v>
      </c>
      <c r="J9" s="176">
        <f>Calc!AE16</f>
        <v>1075.598517411798</v>
      </c>
    </row>
    <row r="10" spans="1:26" x14ac:dyDescent="0.2">
      <c r="A10" s="173">
        <f>Calc!A17</f>
        <v>8.499E-4</v>
      </c>
      <c r="B10" s="173">
        <f>Calc!B17</f>
        <v>3.71645</v>
      </c>
      <c r="C10" s="173">
        <f>Calc!C17</f>
        <v>0.498081</v>
      </c>
      <c r="D10" s="173">
        <f>Calc!I17</f>
        <v>3.426866298130428E+16</v>
      </c>
      <c r="E10" s="173">
        <f>Calc!P17</f>
        <v>8.2008922966157486E-5</v>
      </c>
      <c r="F10" s="174">
        <f>Calc!S17</f>
        <v>10244.388567368926</v>
      </c>
      <c r="G10" s="173">
        <f>Calc!O17</f>
        <v>3.426866298130428E+16</v>
      </c>
      <c r="H10" s="177">
        <f>Calc!X17</f>
        <v>0.78329959782281078</v>
      </c>
      <c r="I10" s="178">
        <f>Calc!Y17</f>
        <v>49.325670628988831</v>
      </c>
      <c r="J10" s="176">
        <f>Calc!AE17</f>
        <v>1087.4941318987014</v>
      </c>
    </row>
    <row r="11" spans="1:26" x14ac:dyDescent="0.2">
      <c r="A11" s="173">
        <f>Calc!A18</f>
        <v>9.4990000000000005E-4</v>
      </c>
      <c r="B11" s="173">
        <f>Calc!B18</f>
        <v>3.5803699999999998</v>
      </c>
      <c r="C11" s="173">
        <f>Calc!C18</f>
        <v>0.46947800000000001</v>
      </c>
      <c r="D11" s="173">
        <f>Calc!I18</f>
        <v>3.2590539872723432E+16</v>
      </c>
      <c r="E11" s="173">
        <f>Calc!P18</f>
        <v>8.25914283386991E-5</v>
      </c>
      <c r="F11" s="174">
        <f>Calc!S18</f>
        <v>10344.636133993676</v>
      </c>
      <c r="G11" s="173">
        <f>Calc!O18</f>
        <v>3.2590539872723432E+16</v>
      </c>
      <c r="H11" s="177">
        <f>Calc!X18</f>
        <v>0.78083948374738898</v>
      </c>
      <c r="I11" s="178">
        <f>Calc!Y18</f>
        <v>46.579360783818586</v>
      </c>
      <c r="J11" s="176">
        <f>Calc!AE18</f>
        <v>1099.5090217682753</v>
      </c>
    </row>
    <row r="12" spans="1:26" x14ac:dyDescent="0.2">
      <c r="A12" s="173">
        <f>Calc!A19</f>
        <v>1.0499000000000001E-3</v>
      </c>
      <c r="B12" s="173">
        <f>Calc!B19</f>
        <v>3.44367</v>
      </c>
      <c r="C12" s="173">
        <f>Calc!C19</f>
        <v>0.44220999999999999</v>
      </c>
      <c r="D12" s="173">
        <f>Calc!I19</f>
        <v>3.093957724379714E+16</v>
      </c>
      <c r="E12" s="173">
        <f>Calc!P19</f>
        <v>8.3105481830277525E-5</v>
      </c>
      <c r="F12" s="174">
        <f>Calc!S19</f>
        <v>10443.853223340971</v>
      </c>
      <c r="G12" s="173">
        <f>Calc!O19</f>
        <v>3.093957724379714E+16</v>
      </c>
      <c r="H12" s="177">
        <f>Calc!X19</f>
        <v>0.77829818429224795</v>
      </c>
      <c r="I12" s="178">
        <f>Calc!Y19</f>
        <v>43.946232587503303</v>
      </c>
      <c r="J12" s="176">
        <f>Calc!AE19</f>
        <v>1111.8106725665218</v>
      </c>
    </row>
    <row r="13" spans="1:26" x14ac:dyDescent="0.2">
      <c r="A13" s="173">
        <f>Calc!A20</f>
        <v>1.1498999999999999E-3</v>
      </c>
      <c r="B13" s="173">
        <f>Calc!B20</f>
        <v>3.3067799999999998</v>
      </c>
      <c r="C13" s="173">
        <f>Calc!C20</f>
        <v>0.41664400000000001</v>
      </c>
      <c r="D13" s="173">
        <f>Calc!I20</f>
        <v>2.9320900716672528E+16</v>
      </c>
      <c r="E13" s="173">
        <f>Calc!P20</f>
        <v>8.346013964672618E-5</v>
      </c>
      <c r="F13" s="174">
        <f>Calc!S20</f>
        <v>10554.640371350524</v>
      </c>
      <c r="G13" s="173">
        <f>Calc!O20</f>
        <v>2.9320900716672528E+16</v>
      </c>
      <c r="H13" s="177">
        <f>Calc!X20</f>
        <v>0.77567788982990094</v>
      </c>
      <c r="I13" s="178">
        <f>Calc!Y20</f>
        <v>41.470106130403842</v>
      </c>
      <c r="J13" s="176">
        <f>Calc!AE20</f>
        <v>1124.3722889730593</v>
      </c>
    </row>
    <row r="14" spans="1:26" x14ac:dyDescent="0.2">
      <c r="A14" s="173">
        <f>Calc!A21</f>
        <v>1.2499E-3</v>
      </c>
      <c r="B14" s="173">
        <f>Calc!B21</f>
        <v>3.1703100000000002</v>
      </c>
      <c r="C14" s="173">
        <f>Calc!C21</f>
        <v>0.39245400000000003</v>
      </c>
      <c r="D14" s="173">
        <f>Calc!I21</f>
        <v>2.7741268711972164E+16</v>
      </c>
      <c r="E14" s="173">
        <f>Calc!P21</f>
        <v>8.3722141976080478E-5</v>
      </c>
      <c r="F14" s="174">
        <f>Calc!S21</f>
        <v>10666.772104812711</v>
      </c>
      <c r="G14" s="173">
        <f>Calc!O21</f>
        <v>2.7741268711972164E+16</v>
      </c>
      <c r="H14" s="177">
        <f>Calc!X21</f>
        <v>0.77298469466672792</v>
      </c>
      <c r="I14" s="178">
        <f>Calc!Y21</f>
        <v>39.113162708710142</v>
      </c>
      <c r="J14" s="176">
        <f>Calc!AE21</f>
        <v>1137.1479107526645</v>
      </c>
    </row>
    <row r="15" spans="1:26" x14ac:dyDescent="0.2">
      <c r="A15" s="173">
        <f>Calc!A22</f>
        <v>1.3499E-3</v>
      </c>
      <c r="B15" s="173">
        <f>Calc!B22</f>
        <v>3.0365600000000001</v>
      </c>
      <c r="C15" s="173">
        <f>Calc!C22</f>
        <v>0.36984099999999998</v>
      </c>
      <c r="D15" s="173">
        <f>Calc!I22</f>
        <v>2.6225791083486872E+16</v>
      </c>
      <c r="E15" s="173">
        <f>Calc!P22</f>
        <v>8.3906949354240585E-5</v>
      </c>
      <c r="F15" s="174">
        <f>Calc!S22</f>
        <v>10776.229063295112</v>
      </c>
      <c r="G15" s="173">
        <f>Calc!O22</f>
        <v>2.6225791083486872E+16</v>
      </c>
      <c r="H15" s="177">
        <f>Calc!X22</f>
        <v>0.77026053391730476</v>
      </c>
      <c r="I15" s="178">
        <f>Calc!Y22</f>
        <v>36.895008286105551</v>
      </c>
      <c r="J15" s="176">
        <f>Calc!AE22</f>
        <v>1149.9246820315725</v>
      </c>
    </row>
    <row r="16" spans="1:26" x14ac:dyDescent="0.2">
      <c r="A16" s="173">
        <f>Calc!A23</f>
        <v>1.4499000000000001E-3</v>
      </c>
      <c r="B16" s="173">
        <f>Calc!B23</f>
        <v>2.9053800000000001</v>
      </c>
      <c r="C16" s="173">
        <f>Calc!C23</f>
        <v>0.348717</v>
      </c>
      <c r="D16" s="173">
        <f>Calc!I23</f>
        <v>2.4770530547858192E+16</v>
      </c>
      <c r="E16" s="173">
        <f>Calc!P23</f>
        <v>8.3991637273413296E-5</v>
      </c>
      <c r="F16" s="174">
        <f>Calc!S23</f>
        <v>10887.405771631224</v>
      </c>
      <c r="G16" s="173">
        <f>Calc!O23</f>
        <v>2.4770530547858192E+16</v>
      </c>
      <c r="H16" s="177">
        <f>Calc!X23</f>
        <v>0.76750067780225684</v>
      </c>
      <c r="I16" s="178">
        <f>Calc!Y23</f>
        <v>34.81257979096565</v>
      </c>
      <c r="J16" s="176">
        <f>Calc!AE23</f>
        <v>1162.7133896326372</v>
      </c>
    </row>
    <row r="17" spans="1:10" x14ac:dyDescent="0.2">
      <c r="A17" s="173">
        <f>Calc!A24</f>
        <v>1.5499000000000001E-3</v>
      </c>
      <c r="B17" s="173">
        <f>Calc!B24</f>
        <v>2.7777400000000001</v>
      </c>
      <c r="C17" s="173">
        <f>Calc!C24</f>
        <v>0.32889400000000002</v>
      </c>
      <c r="D17" s="173">
        <f>Calc!I24</f>
        <v>2.3383814181130064E+16</v>
      </c>
      <c r="E17" s="173">
        <f>Calc!P24</f>
        <v>8.4020522442555308E-5</v>
      </c>
      <c r="F17" s="174">
        <f>Calc!S24</f>
        <v>10994.161514756128</v>
      </c>
      <c r="G17" s="173">
        <f>Calc!O24</f>
        <v>2.3383814181130064E+16</v>
      </c>
      <c r="H17" s="177">
        <f>Calc!X24</f>
        <v>0.76472463272044655</v>
      </c>
      <c r="I17" s="178">
        <f>Calc!Y24</f>
        <v>32.852386235877965</v>
      </c>
      <c r="J17" s="176">
        <f>Calc!AE24</f>
        <v>1175.4133690317317</v>
      </c>
    </row>
    <row r="18" spans="1:10" x14ac:dyDescent="0.2">
      <c r="A18" s="173">
        <f>Calc!A25</f>
        <v>1.6498999999999999E-3</v>
      </c>
      <c r="B18" s="173">
        <f>Calc!B25</f>
        <v>2.6532</v>
      </c>
      <c r="C18" s="173">
        <f>Calc!C25</f>
        <v>0.31028</v>
      </c>
      <c r="D18" s="173">
        <f>Calc!I25</f>
        <v>2.205834733702386E+16</v>
      </c>
      <c r="E18" s="173">
        <f>Calc!P25</f>
        <v>8.3969529340101735E-5</v>
      </c>
      <c r="F18" s="174">
        <f>Calc!S25</f>
        <v>11101.374535174866</v>
      </c>
      <c r="G18" s="173">
        <f>Calc!O25</f>
        <v>2.205834733702386E+16</v>
      </c>
      <c r="H18" s="177">
        <f>Calc!X25</f>
        <v>0.76192248394235773</v>
      </c>
      <c r="I18" s="178">
        <f>Calc!Y25</f>
        <v>31.009031237296131</v>
      </c>
      <c r="J18" s="176">
        <f>Calc!AE25</f>
        <v>1188.0605074683838</v>
      </c>
    </row>
    <row r="19" spans="1:10" x14ac:dyDescent="0.2">
      <c r="A19" s="173">
        <f>Calc!A26</f>
        <v>1.7499E-3</v>
      </c>
      <c r="B19" s="173">
        <f>Calc!B26</f>
        <v>2.5327799999999998</v>
      </c>
      <c r="C19" s="173">
        <f>Calc!C26</f>
        <v>0.29271799999999998</v>
      </c>
      <c r="D19" s="173">
        <f>Calc!I26</f>
        <v>2.0802395618712064E+16</v>
      </c>
      <c r="E19" s="173">
        <f>Calc!P26</f>
        <v>8.3899907007306464E-5</v>
      </c>
      <c r="F19" s="174">
        <f>Calc!S26</f>
        <v>11200.616501614368</v>
      </c>
      <c r="G19" s="173">
        <f>Calc!O26</f>
        <v>2.0802395618712064E+16</v>
      </c>
      <c r="H19" s="177">
        <f>Calc!X26</f>
        <v>0.75911760178903087</v>
      </c>
      <c r="I19" s="178">
        <f>Calc!Y26</f>
        <v>29.267715077872733</v>
      </c>
      <c r="J19" s="176">
        <f>Calc!AE26</f>
        <v>1200.5412119561852</v>
      </c>
    </row>
    <row r="20" spans="1:10" x14ac:dyDescent="0.2">
      <c r="A20" s="173">
        <f>Calc!A27</f>
        <v>1.8499E-3</v>
      </c>
      <c r="B20" s="173">
        <f>Calc!B27</f>
        <v>2.4149699999999998</v>
      </c>
      <c r="C20" s="173">
        <f>Calc!C27</f>
        <v>0.27616099999999999</v>
      </c>
      <c r="D20" s="173">
        <f>Calc!I27</f>
        <v>1.9597881459823508E+16</v>
      </c>
      <c r="E20" s="173">
        <f>Calc!P27</f>
        <v>8.3745414390215547E-5</v>
      </c>
      <c r="F20" s="174">
        <f>Calc!S27</f>
        <v>11303.384567184356</v>
      </c>
      <c r="G20" s="173">
        <f>Calc!O27</f>
        <v>1.9597881459823508E+16</v>
      </c>
      <c r="H20" s="177">
        <f>Calc!X27</f>
        <v>0.75627471995762918</v>
      </c>
      <c r="I20" s="178">
        <f>Calc!Y27</f>
        <v>27.623902789902033</v>
      </c>
      <c r="J20" s="176">
        <f>Calc!AE27</f>
        <v>1213.0032335063099</v>
      </c>
    </row>
    <row r="21" spans="1:10" x14ac:dyDescent="0.2">
      <c r="A21" s="173">
        <f>Calc!A28</f>
        <v>1.9499000000000001E-3</v>
      </c>
      <c r="B21" s="173">
        <f>Calc!B28</f>
        <v>2.3012800000000002</v>
      </c>
      <c r="C21" s="173">
        <f>Calc!C28</f>
        <v>0.26062400000000002</v>
      </c>
      <c r="D21" s="173">
        <f>Calc!I28</f>
        <v>1.845802107986882E+16</v>
      </c>
      <c r="E21" s="173">
        <f>Calc!P28</f>
        <v>8.3542079416284835E-5</v>
      </c>
      <c r="F21" s="174">
        <f>Calc!S28</f>
        <v>11404.456093356854</v>
      </c>
      <c r="G21" s="173">
        <f>Calc!O28</f>
        <v>1.845802107986882E+16</v>
      </c>
      <c r="H21" s="177">
        <f>Calc!X28</f>
        <v>0.7534303297213838</v>
      </c>
      <c r="I21" s="178">
        <f>Calc!Y28</f>
        <v>26.080553446635243</v>
      </c>
      <c r="J21" s="176">
        <f>Calc!AE28</f>
        <v>1225.2777229479514</v>
      </c>
    </row>
    <row r="22" spans="1:10" x14ac:dyDescent="0.2">
      <c r="A22" s="173">
        <f>Calc!A29</f>
        <v>2.0498999999999999E-3</v>
      </c>
      <c r="B22" s="173">
        <f>Calc!B29</f>
        <v>2.1909999999999998</v>
      </c>
      <c r="C22" s="173">
        <f>Calc!C29</f>
        <v>0.246085</v>
      </c>
      <c r="D22" s="173">
        <f>Calc!I29</f>
        <v>1.7373336699397444E+16</v>
      </c>
      <c r="E22" s="173">
        <f>Calc!P29</f>
        <v>8.3254757302729938E-5</v>
      </c>
      <c r="F22" s="174">
        <f>Calc!S29</f>
        <v>11510.283132883862</v>
      </c>
      <c r="G22" s="173">
        <f>Calc!O29</f>
        <v>1.7373336699397444E+16</v>
      </c>
      <c r="H22" s="177">
        <f>Calc!X29</f>
        <v>0.75056791862161221</v>
      </c>
      <c r="I22" s="178">
        <f>Calc!Y29</f>
        <v>24.632649302976368</v>
      </c>
      <c r="J22" s="176">
        <f>Calc!AE29</f>
        <v>1237.4292624025584</v>
      </c>
    </row>
    <row r="23" spans="1:10" x14ac:dyDescent="0.2">
      <c r="A23" s="173">
        <f>Calc!A30</f>
        <v>2.1499000000000002E-3</v>
      </c>
      <c r="B23" s="173">
        <f>Calc!B30</f>
        <v>2.0840800000000002</v>
      </c>
      <c r="C23" s="173">
        <f>Calc!C30</f>
        <v>0.23244000000000001</v>
      </c>
      <c r="D23" s="173">
        <f>Calc!I30</f>
        <v>1.6341297374433938E+16</v>
      </c>
      <c r="E23" s="173">
        <f>Calc!P30</f>
        <v>8.2891149869060904E-5</v>
      </c>
      <c r="F23" s="174">
        <f>Calc!S30</f>
        <v>11620.731010722675</v>
      </c>
      <c r="G23" s="173">
        <f>Calc!O30</f>
        <v>1.6341297374433938E+16</v>
      </c>
      <c r="H23" s="177">
        <f>Calc!X30</f>
        <v>0.74768658490406137</v>
      </c>
      <c r="I23" s="178">
        <f>Calc!Y30</f>
        <v>23.271014431053043</v>
      </c>
      <c r="J23" s="176">
        <f>Calc!AE30</f>
        <v>1249.4534151795187</v>
      </c>
    </row>
    <row r="24" spans="1:10" x14ac:dyDescent="0.2">
      <c r="A24" s="173">
        <f>Calc!A31</f>
        <v>2.2499E-3</v>
      </c>
      <c r="B24" s="173">
        <f>Calc!B31</f>
        <v>1.9809600000000001</v>
      </c>
      <c r="C24" s="173">
        <f>Calc!C31</f>
        <v>0.219643</v>
      </c>
      <c r="D24" s="173">
        <f>Calc!I31</f>
        <v>1.536409843234907E+16</v>
      </c>
      <c r="E24" s="173">
        <f>Calc!P31</f>
        <v>8.2476387064915494E-5</v>
      </c>
      <c r="F24" s="174">
        <f>Calc!S31</f>
        <v>11732.830251967465</v>
      </c>
      <c r="G24" s="173">
        <f>Calc!O31</f>
        <v>1.536409843234907E+16</v>
      </c>
      <c r="H24" s="177">
        <f>Calc!X31</f>
        <v>0.74479937658834339</v>
      </c>
      <c r="I24" s="178">
        <f>Calc!Y31</f>
        <v>21.989451635380341</v>
      </c>
      <c r="J24" s="176">
        <f>Calc!AE31</f>
        <v>1261.2890226408292</v>
      </c>
    </row>
    <row r="25" spans="1:10" x14ac:dyDescent="0.2">
      <c r="A25" s="173">
        <f>Calc!A32</f>
        <v>2.3498999999999998E-3</v>
      </c>
      <c r="B25" s="173">
        <f>Calc!B32</f>
        <v>1.8823399999999999</v>
      </c>
      <c r="C25" s="173">
        <f>Calc!C32</f>
        <v>0.20755199999999999</v>
      </c>
      <c r="D25" s="173">
        <f>Calc!I32</f>
        <v>1.4446127969723144E+16</v>
      </c>
      <c r="E25" s="173">
        <f>Calc!P32</f>
        <v>8.2071530597488724E-5</v>
      </c>
      <c r="F25" s="174">
        <f>Calc!S32</f>
        <v>11838.066702953161</v>
      </c>
      <c r="G25" s="173">
        <f>Calc!O32</f>
        <v>1.4446127969723144E+16</v>
      </c>
      <c r="H25" s="177">
        <f>Calc!X32</f>
        <v>0.74192925447982261</v>
      </c>
      <c r="I25" s="178">
        <f>Calc!Y32</f>
        <v>20.777623446677712</v>
      </c>
      <c r="J25" s="176">
        <f>Calc!AE32</f>
        <v>1272.8395994657531</v>
      </c>
    </row>
    <row r="26" spans="1:10" x14ac:dyDescent="0.2">
      <c r="A26" s="173">
        <f>Calc!A33</f>
        <v>2.4499000000000001E-3</v>
      </c>
      <c r="B26" s="173">
        <f>Calc!B33</f>
        <v>1.7879</v>
      </c>
      <c r="C26" s="173">
        <f>Calc!C33</f>
        <v>0.19620099999999999</v>
      </c>
      <c r="D26" s="173">
        <f>Calc!I33</f>
        <v>1.358218417552598E+16</v>
      </c>
      <c r="E26" s="173">
        <f>Calc!P33</f>
        <v>8.1639245203895988E-5</v>
      </c>
      <c r="F26" s="174">
        <f>Calc!S33</f>
        <v>11942.781139684885</v>
      </c>
      <c r="G26" s="173">
        <f>Calc!O33</f>
        <v>1.358218417552598E+16</v>
      </c>
      <c r="H26" s="177">
        <f>Calc!X33</f>
        <v>0.73907142415654592</v>
      </c>
      <c r="I26" s="178">
        <f>Calc!Y33</f>
        <v>19.638466893548937</v>
      </c>
      <c r="J26" s="176">
        <f>Calc!AE33</f>
        <v>1284.124562996112</v>
      </c>
    </row>
    <row r="27" spans="1:10" x14ac:dyDescent="0.2">
      <c r="A27" s="173">
        <f>Calc!A34</f>
        <v>2.5498999999999999E-3</v>
      </c>
      <c r="B27" s="173">
        <f>Calc!B34</f>
        <v>1.6964999999999999</v>
      </c>
      <c r="C27" s="173">
        <f>Calc!C34</f>
        <v>0.185587</v>
      </c>
      <c r="D27" s="173">
        <f>Calc!I34</f>
        <v>1.276006859184355E+16</v>
      </c>
      <c r="E27" s="173">
        <f>Calc!P34</f>
        <v>8.1094114711572048E-5</v>
      </c>
      <c r="F27" s="174">
        <f>Calc!S34</f>
        <v>12061.070970181298</v>
      </c>
      <c r="G27" s="173">
        <f>Calc!O34</f>
        <v>1.276006859184355E+16</v>
      </c>
      <c r="H27" s="177">
        <f>Calc!X34</f>
        <v>0.73619385836240236</v>
      </c>
      <c r="I27" s="178">
        <f>Calc!Y34</f>
        <v>18.573793736336015</v>
      </c>
      <c r="J27" s="176">
        <f>Calc!AE34</f>
        <v>1295.2667301146569</v>
      </c>
    </row>
    <row r="28" spans="1:10" x14ac:dyDescent="0.2">
      <c r="A28" s="173">
        <f>Calc!A35</f>
        <v>2.6499000000000002E-3</v>
      </c>
      <c r="B28" s="173">
        <f>Calc!B35</f>
        <v>1.60964</v>
      </c>
      <c r="C28" s="173">
        <f>Calc!C35</f>
        <v>0.17560300000000001</v>
      </c>
      <c r="D28" s="173">
        <f>Calc!I35</f>
        <v>1.1991513817641032E+16</v>
      </c>
      <c r="E28" s="173">
        <f>Calc!P35</f>
        <v>8.0555593419232458E-5</v>
      </c>
      <c r="F28" s="174">
        <f>Calc!S35</f>
        <v>12175.085238532663</v>
      </c>
      <c r="G28" s="173">
        <f>Calc!O35</f>
        <v>1.1991513817641032E+16</v>
      </c>
      <c r="H28" s="177">
        <f>Calc!X35</f>
        <v>0.73334745204991758</v>
      </c>
      <c r="I28" s="178">
        <f>Calc!Y35</f>
        <v>17.571759777870955</v>
      </c>
      <c r="J28" s="176">
        <f>Calc!AE35</f>
        <v>1306.0679554831129</v>
      </c>
    </row>
    <row r="29" spans="1:10" x14ac:dyDescent="0.2">
      <c r="A29" s="173">
        <f>Calc!A36</f>
        <v>2.7499E-3</v>
      </c>
      <c r="B29" s="173">
        <f>Calc!B36</f>
        <v>1.5260499999999999</v>
      </c>
      <c r="C29" s="173">
        <f>Calc!C36</f>
        <v>0.16622899999999999</v>
      </c>
      <c r="D29" s="173">
        <f>Calc!I36</f>
        <v>1.126355906827118E+16</v>
      </c>
      <c r="E29" s="173">
        <f>Calc!P36</f>
        <v>7.9958824656267585E-5</v>
      </c>
      <c r="F29" s="174">
        <f>Calc!S36</f>
        <v>12295.836474120799</v>
      </c>
      <c r="G29" s="173">
        <f>Calc!O36</f>
        <v>1.126355906827118E+16</v>
      </c>
      <c r="H29" s="177">
        <f>Calc!X36</f>
        <v>0.73049521911306503</v>
      </c>
      <c r="I29" s="178">
        <f>Calc!Y36</f>
        <v>16.62823623146447</v>
      </c>
      <c r="J29" s="176">
        <f>Calc!AE36</f>
        <v>1316.6695160337415</v>
      </c>
    </row>
    <row r="30" spans="1:10" x14ac:dyDescent="0.2">
      <c r="A30" s="173">
        <f>Calc!A37</f>
        <v>2.8498999999999998E-3</v>
      </c>
      <c r="B30" s="173">
        <f>Calc!B37</f>
        <v>1.4461599999999999</v>
      </c>
      <c r="C30" s="173">
        <f>Calc!C37</f>
        <v>0.15717100000000001</v>
      </c>
      <c r="D30" s="173">
        <f>Calc!I37</f>
        <v>1.0578486855509874E+16</v>
      </c>
      <c r="E30" s="173">
        <f>Calc!P37</f>
        <v>7.9442681105069388E-5</v>
      </c>
      <c r="F30" s="174">
        <f>Calc!S37</f>
        <v>12401.93070462375</v>
      </c>
      <c r="G30" s="173">
        <f>Calc!O37</f>
        <v>1.0578486855509874E+16</v>
      </c>
      <c r="H30" s="177">
        <f>Calc!X37</f>
        <v>0.72765539758509901</v>
      </c>
      <c r="I30" s="178">
        <f>Calc!Y37</f>
        <v>15.718337316328896</v>
      </c>
      <c r="J30" s="176">
        <f>Calc!AE37</f>
        <v>1327.0027561140953</v>
      </c>
    </row>
    <row r="31" spans="1:10" x14ac:dyDescent="0.2">
      <c r="A31" s="173">
        <f>Calc!A38</f>
        <v>2.9499000000000001E-3</v>
      </c>
      <c r="B31" s="173">
        <f>Calc!B38</f>
        <v>1.3703799999999999</v>
      </c>
      <c r="C31" s="173">
        <f>Calc!C38</f>
        <v>0.148697</v>
      </c>
      <c r="D31" s="173">
        <f>Calc!I38</f>
        <v>9938262623705524</v>
      </c>
      <c r="E31" s="173">
        <f>Calc!P38</f>
        <v>7.8914294096291954E-5</v>
      </c>
      <c r="F31" s="174">
        <f>Calc!S38</f>
        <v>12508.018836208166</v>
      </c>
      <c r="G31" s="173">
        <f>Calc!O38</f>
        <v>9938262623705524</v>
      </c>
      <c r="H31" s="177">
        <f>Calc!X38</f>
        <v>0.72484858279543563</v>
      </c>
      <c r="I31" s="178">
        <f>Calc!Y38</f>
        <v>14.865918224255887</v>
      </c>
      <c r="J31" s="176">
        <f>Calc!AE38</f>
        <v>1336.996788000268</v>
      </c>
    </row>
    <row r="32" spans="1:10" x14ac:dyDescent="0.2">
      <c r="A32" s="173">
        <f>Calc!A39</f>
        <v>3.0498999999999999E-3</v>
      </c>
      <c r="B32" s="173">
        <f>Calc!B39</f>
        <v>1.2978499999999999</v>
      </c>
      <c r="C32" s="173">
        <f>Calc!C39</f>
        <v>0.140852</v>
      </c>
      <c r="D32" s="173">
        <f>Calc!I39</f>
        <v>9334234998559652</v>
      </c>
      <c r="E32" s="173">
        <f>Calc!P39</f>
        <v>7.8274289001221612E-5</v>
      </c>
      <c r="F32" s="174">
        <f>Calc!S39</f>
        <v>12630.954755159981</v>
      </c>
      <c r="G32" s="173">
        <f>Calc!O39</f>
        <v>9334234998559652</v>
      </c>
      <c r="H32" s="177">
        <f>Calc!X39</f>
        <v>0.72204867117769844</v>
      </c>
      <c r="I32" s="178">
        <f>Calc!Y39</f>
        <v>14.076560315148118</v>
      </c>
      <c r="J32" s="176">
        <f>Calc!AE39</f>
        <v>1346.7483094612417</v>
      </c>
    </row>
    <row r="33" spans="1:10" x14ac:dyDescent="0.2">
      <c r="A33" s="173">
        <f>Calc!A40</f>
        <v>3.1499000000000002E-3</v>
      </c>
      <c r="B33" s="173">
        <f>Calc!B40</f>
        <v>1.2286300000000001</v>
      </c>
      <c r="C33" s="173">
        <f>Calc!C40</f>
        <v>0.13342899999999999</v>
      </c>
      <c r="D33" s="173">
        <f>Calc!I40</f>
        <v>8765731654324367</v>
      </c>
      <c r="E33" s="173">
        <f>Calc!P40</f>
        <v>7.7620194283596459E-5</v>
      </c>
      <c r="F33" s="174">
        <f>Calc!S40</f>
        <v>12755.694093529219</v>
      </c>
      <c r="G33" s="173">
        <f>Calc!O40</f>
        <v>8765731654324367</v>
      </c>
      <c r="H33" s="177">
        <f>Calc!X40</f>
        <v>0.71926258696917378</v>
      </c>
      <c r="I33" s="178">
        <f>Calc!Y40</f>
        <v>13.330621344077485</v>
      </c>
      <c r="J33" s="176">
        <f>Calc!AE40</f>
        <v>1356.2350372468766</v>
      </c>
    </row>
    <row r="34" spans="1:10" x14ac:dyDescent="0.2">
      <c r="A34" s="173">
        <f>Calc!A41</f>
        <v>3.2499E-3</v>
      </c>
      <c r="B34" s="173">
        <f>Calc!B41</f>
        <v>1.16262</v>
      </c>
      <c r="C34" s="173">
        <f>Calc!C41</f>
        <v>0.126475</v>
      </c>
      <c r="D34" s="173">
        <f>Calc!I41</f>
        <v>8230824553149456</v>
      </c>
      <c r="E34" s="173">
        <f>Calc!P41</f>
        <v>7.6922729006445603E-5</v>
      </c>
      <c r="F34" s="174">
        <f>Calc!S41</f>
        <v>12887.599653287585</v>
      </c>
      <c r="G34" s="173">
        <f>Calc!O41</f>
        <v>8230824553149456</v>
      </c>
      <c r="H34" s="177">
        <f>Calc!X41</f>
        <v>0.71649149285567548</v>
      </c>
      <c r="I34" s="178">
        <f>Calc!Y41</f>
        <v>12.6306472853302</v>
      </c>
      <c r="J34" s="176">
        <f>Calc!AE41</f>
        <v>1365.4560864442358</v>
      </c>
    </row>
    <row r="35" spans="1:10" x14ac:dyDescent="0.2">
      <c r="A35" s="173">
        <f>Calc!A42</f>
        <v>3.3498999999999998E-3</v>
      </c>
      <c r="B35" s="173">
        <f>Calc!B42</f>
        <v>1.0997600000000001</v>
      </c>
      <c r="C35" s="173">
        <f>Calc!C42</f>
        <v>0.119935</v>
      </c>
      <c r="D35" s="173">
        <f>Calc!I42</f>
        <v>7728002620557928</v>
      </c>
      <c r="E35" s="173">
        <f>Calc!P42</f>
        <v>7.6191839954149748E-5</v>
      </c>
      <c r="F35" s="174">
        <f>Calc!S42</f>
        <v>13025.626513927884</v>
      </c>
      <c r="G35" s="173">
        <f>Calc!O42</f>
        <v>7728002620557928</v>
      </c>
      <c r="H35" s="177">
        <f>Calc!X42</f>
        <v>0.71373837679115015</v>
      </c>
      <c r="I35" s="178">
        <f>Calc!Y42</f>
        <v>11.972800490955656</v>
      </c>
      <c r="J35" s="176">
        <f>Calc!AE42</f>
        <v>1374.4053401299068</v>
      </c>
    </row>
    <row r="36" spans="1:10" x14ac:dyDescent="0.2">
      <c r="A36" s="173">
        <f>Calc!A43</f>
        <v>3.4499000000000001E-3</v>
      </c>
      <c r="B36" s="173">
        <f>Calc!B43</f>
        <v>1.04016</v>
      </c>
      <c r="C36" s="173">
        <f>Calc!C43</f>
        <v>0.113728</v>
      </c>
      <c r="D36" s="173">
        <f>Calc!I43</f>
        <v>7257166613616901</v>
      </c>
      <c r="E36" s="173">
        <f>Calc!P43</f>
        <v>7.5480767533353622E-5</v>
      </c>
      <c r="F36" s="174">
        <f>Calc!S43</f>
        <v>13160.981605595074</v>
      </c>
      <c r="G36" s="173">
        <f>Calc!O43</f>
        <v>7257166613616901</v>
      </c>
      <c r="H36" s="177">
        <f>Calc!X43</f>
        <v>0.71101450250779985</v>
      </c>
      <c r="I36" s="178">
        <f>Calc!Y43</f>
        <v>11.349264896363199</v>
      </c>
      <c r="J36" s="176">
        <f>Calc!AE43</f>
        <v>1383.051881637007</v>
      </c>
    </row>
    <row r="37" spans="1:10" x14ac:dyDescent="0.2">
      <c r="A37" s="173">
        <f>Calc!A44</f>
        <v>3.5498999999999999E-3</v>
      </c>
      <c r="B37" s="173">
        <f>Calc!B44</f>
        <v>0.98297900000000005</v>
      </c>
      <c r="C37" s="173">
        <f>Calc!C44</f>
        <v>0.107916</v>
      </c>
      <c r="D37" s="173">
        <f>Calc!I44</f>
        <v>6810848389411657</v>
      </c>
      <c r="E37" s="173">
        <f>Calc!P44</f>
        <v>7.4685310839221801E-5</v>
      </c>
      <c r="F37" s="174">
        <f>Calc!S44</f>
        <v>13312.510289537495</v>
      </c>
      <c r="G37" s="173">
        <f>Calc!O44</f>
        <v>6810848389411657</v>
      </c>
      <c r="H37" s="177">
        <f>Calc!X44</f>
        <v>0.70828653160505584</v>
      </c>
      <c r="I37" s="178">
        <f>Calc!Y44</f>
        <v>10.764725666671904</v>
      </c>
      <c r="J37" s="176">
        <f>Calc!AE44</f>
        <v>1391.5049262562043</v>
      </c>
    </row>
    <row r="38" spans="1:10" x14ac:dyDescent="0.2">
      <c r="A38" s="173">
        <f>Calc!A45</f>
        <v>3.6499000000000002E-3</v>
      </c>
      <c r="B38" s="173">
        <f>Calc!B45</f>
        <v>0.92850699999999997</v>
      </c>
      <c r="C38" s="173">
        <f>Calc!C45</f>
        <v>0.10238899999999999</v>
      </c>
      <c r="D38" s="173">
        <f>Calc!I45</f>
        <v>6390604021371906</v>
      </c>
      <c r="E38" s="173">
        <f>Calc!P45</f>
        <v>7.3886894760531025E-5</v>
      </c>
      <c r="F38" s="174">
        <f>Calc!S45</f>
        <v>13466.405749405521</v>
      </c>
      <c r="G38" s="173">
        <f>Calc!O45</f>
        <v>6390604021371906</v>
      </c>
      <c r="H38" s="177">
        <f>Calc!X45</f>
        <v>0.70557245472300256</v>
      </c>
      <c r="I38" s="178">
        <f>Calc!Y45</f>
        <v>10.209663770968323</v>
      </c>
      <c r="J38" s="176">
        <f>Calc!AE45</f>
        <v>1399.7105829448753</v>
      </c>
    </row>
    <row r="39" spans="1:10" x14ac:dyDescent="0.2">
      <c r="A39" s="173">
        <f>Calc!A46</f>
        <v>3.7499E-3</v>
      </c>
      <c r="B39" s="173">
        <f>Calc!B46</f>
        <v>0.87720299999999995</v>
      </c>
      <c r="C39" s="173">
        <f>Calc!C46</f>
        <v>9.7207299999999996E-2</v>
      </c>
      <c r="D39" s="173">
        <f>Calc!I46</f>
        <v>5999203719003531</v>
      </c>
      <c r="E39" s="173">
        <f>Calc!P46</f>
        <v>7.3098443011803644E-5</v>
      </c>
      <c r="F39" s="174">
        <f>Calc!S46</f>
        <v>13620.437801792485</v>
      </c>
      <c r="G39" s="173">
        <f>Calc!O46</f>
        <v>5999203719003531</v>
      </c>
      <c r="H39" s="177">
        <f>Calc!X46</f>
        <v>0.70290246321981453</v>
      </c>
      <c r="I39" s="178">
        <f>Calc!Y46</f>
        <v>9.6877389957456757</v>
      </c>
      <c r="J39" s="176">
        <f>Calc!AE46</f>
        <v>1407.5850154483237</v>
      </c>
    </row>
    <row r="40" spans="1:10" x14ac:dyDescent="0.2">
      <c r="A40" s="173">
        <f>Calc!A47</f>
        <v>3.8498999999999999E-3</v>
      </c>
      <c r="B40" s="173">
        <f>Calc!B47</f>
        <v>0.82794999999999996</v>
      </c>
      <c r="C40" s="173">
        <f>Calc!C47</f>
        <v>9.2300099999999996E-2</v>
      </c>
      <c r="D40" s="173">
        <f>Calc!I47</f>
        <v>5627475873567011</v>
      </c>
      <c r="E40" s="173">
        <f>Calc!P47</f>
        <v>7.2254726534700962E-5</v>
      </c>
      <c r="F40" s="174">
        <f>Calc!S47</f>
        <v>13787.355368866056</v>
      </c>
      <c r="G40" s="173">
        <f>Calc!O47</f>
        <v>5627475873567011</v>
      </c>
      <c r="H40" s="177">
        <f>Calc!X47</f>
        <v>0.70022436331728932</v>
      </c>
      <c r="I40" s="178">
        <f>Calc!Y47</f>
        <v>9.1935729507529551</v>
      </c>
      <c r="J40" s="176">
        <f>Calc!AE47</f>
        <v>1415.2872807685289</v>
      </c>
    </row>
    <row r="41" spans="1:10" x14ac:dyDescent="0.2">
      <c r="A41" s="173">
        <f>Calc!A48</f>
        <v>3.9499000000000001E-3</v>
      </c>
      <c r="B41" s="173">
        <f>Calc!B48</f>
        <v>0.78171000000000002</v>
      </c>
      <c r="C41" s="173">
        <f>Calc!C48</f>
        <v>8.7615499999999999E-2</v>
      </c>
      <c r="D41" s="173">
        <f>Calc!I48</f>
        <v>5282084170711536</v>
      </c>
      <c r="E41" s="173">
        <f>Calc!P48</f>
        <v>7.1478041354868039E-5</v>
      </c>
      <c r="F41" s="174">
        <f>Calc!S48</f>
        <v>13943.995919227415</v>
      </c>
      <c r="G41" s="173">
        <f>Calc!O48</f>
        <v>5282084170711536</v>
      </c>
      <c r="H41" s="177">
        <f>Calc!X48</f>
        <v>0.69759679258118956</v>
      </c>
      <c r="I41" s="178">
        <f>Calc!Y48</f>
        <v>8.7230752811545393</v>
      </c>
      <c r="J41" s="176">
        <f>Calc!AE48</f>
        <v>1422.6546431393606</v>
      </c>
    </row>
    <row r="42" spans="1:10" x14ac:dyDescent="0.2">
      <c r="A42" s="173">
        <f>Calc!A49</f>
        <v>4.0499000000000004E-3</v>
      </c>
      <c r="B42" s="173">
        <f>Calc!B49</f>
        <v>0.73774499999999998</v>
      </c>
      <c r="C42" s="173">
        <f>Calc!C49</f>
        <v>8.3209199999999997E-2</v>
      </c>
      <c r="D42" s="173">
        <f>Calc!I49</f>
        <v>4956923456176472</v>
      </c>
      <c r="E42" s="173">
        <f>Calc!P49</f>
        <v>7.0668063210929907E-5</v>
      </c>
      <c r="F42" s="174">
        <f>Calc!S49</f>
        <v>14109.875735233263</v>
      </c>
      <c r="G42" s="173">
        <f>Calc!O49</f>
        <v>4956923456176472</v>
      </c>
      <c r="H42" s="177">
        <f>Calc!X49</f>
        <v>0.69498581563563</v>
      </c>
      <c r="I42" s="178">
        <f>Calc!Y49</f>
        <v>8.279916751771129</v>
      </c>
      <c r="J42" s="176">
        <f>Calc!AE49</f>
        <v>1429.7908911304398</v>
      </c>
    </row>
    <row r="43" spans="1:10" x14ac:dyDescent="0.2">
      <c r="A43" s="173">
        <f>Calc!A50</f>
        <v>4.1498999999999998E-3</v>
      </c>
      <c r="B43" s="173">
        <f>Calc!B50</f>
        <v>0.69580200000000003</v>
      </c>
      <c r="C43" s="173">
        <f>Calc!C50</f>
        <v>7.9064700000000002E-2</v>
      </c>
      <c r="D43" s="173">
        <f>Calc!I50</f>
        <v>4649667415229892</v>
      </c>
      <c r="E43" s="173">
        <f>Calc!P50</f>
        <v>6.979783229263059E-5</v>
      </c>
      <c r="F43" s="174">
        <f>Calc!S50</f>
        <v>14291.204290621214</v>
      </c>
      <c r="G43" s="173">
        <f>Calc!O50</f>
        <v>4649667415229892</v>
      </c>
      <c r="H43" s="177">
        <f>Calc!X50</f>
        <v>0.69238149140549843</v>
      </c>
      <c r="I43" s="178">
        <f>Calc!Y50</f>
        <v>7.8635182847246048</v>
      </c>
      <c r="J43" s="176">
        <f>Calc!AE50</f>
        <v>1436.7272029370545</v>
      </c>
    </row>
    <row r="44" spans="1:10" x14ac:dyDescent="0.2">
      <c r="A44" s="173">
        <f>Calc!A51</f>
        <v>4.2499E-3</v>
      </c>
      <c r="B44" s="173">
        <f>Calc!B51</f>
        <v>0.65624099999999996</v>
      </c>
      <c r="C44" s="173">
        <f>Calc!C51</f>
        <v>7.5118400000000002E-2</v>
      </c>
      <c r="D44" s="173">
        <f>Calc!I51</f>
        <v>4362509480299287</v>
      </c>
      <c r="E44" s="173">
        <f>Calc!P51</f>
        <v>6.8969355713021033E-5</v>
      </c>
      <c r="F44" s="174">
        <f>Calc!S51</f>
        <v>14467.600734569791</v>
      </c>
      <c r="G44" s="173">
        <f>Calc!O51</f>
        <v>4362509480299287</v>
      </c>
      <c r="H44" s="177">
        <f>Calc!X51</f>
        <v>0.68981252357195122</v>
      </c>
      <c r="I44" s="178">
        <f>Calc!Y51</f>
        <v>7.4665015782914015</v>
      </c>
      <c r="J44" s="176">
        <f>Calc!AE51</f>
        <v>1443.3931516387838</v>
      </c>
    </row>
    <row r="45" spans="1:10" x14ac:dyDescent="0.2">
      <c r="A45" s="173">
        <f>Calc!A52</f>
        <v>4.3499000000000003E-3</v>
      </c>
      <c r="B45" s="173">
        <f>Calc!B52</f>
        <v>0.618892</v>
      </c>
      <c r="C45" s="173">
        <f>Calc!C52</f>
        <v>7.1430900000000006E-2</v>
      </c>
      <c r="D45" s="173">
        <f>Calc!I52</f>
        <v>4093775836424965</v>
      </c>
      <c r="E45" s="173">
        <f>Calc!P52</f>
        <v>6.8106963659461596E-5</v>
      </c>
      <c r="F45" s="174">
        <f>Calc!S52</f>
        <v>14654.966462464554</v>
      </c>
      <c r="G45" s="173">
        <f>Calc!O52</f>
        <v>4093775836424965</v>
      </c>
      <c r="H45" s="177">
        <f>Calc!X52</f>
        <v>0.6872759538225327</v>
      </c>
      <c r="I45" s="178">
        <f>Calc!Y52</f>
        <v>7.0952791350861428</v>
      </c>
      <c r="J45" s="176">
        <f>Calc!AE52</f>
        <v>1449.8050573373951</v>
      </c>
    </row>
    <row r="46" spans="1:10" x14ac:dyDescent="0.2">
      <c r="A46" s="173">
        <f>Calc!A53</f>
        <v>4.4498999999999997E-3</v>
      </c>
      <c r="B46" s="173">
        <f>Calc!B53</f>
        <v>0.58370200000000005</v>
      </c>
      <c r="C46" s="173">
        <f>Calc!C53</f>
        <v>6.7912399999999998E-2</v>
      </c>
      <c r="D46" s="173">
        <f>Calc!I53</f>
        <v>3842689681810210.5</v>
      </c>
      <c r="E46" s="173">
        <f>Calc!P53</f>
        <v>6.7274778585291433E-5</v>
      </c>
      <c r="F46" s="174">
        <f>Calc!S53</f>
        <v>14839.89961380615</v>
      </c>
      <c r="G46" s="173">
        <f>Calc!O53</f>
        <v>3842689681810210.5</v>
      </c>
      <c r="H46" s="177">
        <f>Calc!X53</f>
        <v>0.68477631060633137</v>
      </c>
      <c r="I46" s="178">
        <f>Calc!Y53</f>
        <v>6.7424849171196515</v>
      </c>
      <c r="J46" s="176">
        <f>Calc!AE53</f>
        <v>1455.9601563710369</v>
      </c>
    </row>
    <row r="47" spans="1:10" x14ac:dyDescent="0.2">
      <c r="A47" s="173">
        <f>Calc!A54</f>
        <v>4.5499E-3</v>
      </c>
      <c r="B47" s="173">
        <f>Calc!B54</f>
        <v>0.55021100000000001</v>
      </c>
      <c r="C47" s="173">
        <f>Calc!C54</f>
        <v>6.4599900000000002E-2</v>
      </c>
      <c r="D47" s="173">
        <f>Calc!I54</f>
        <v>3605638661881885</v>
      </c>
      <c r="E47" s="173">
        <f>Calc!P54</f>
        <v>6.6393361307032767E-5</v>
      </c>
      <c r="F47" s="174">
        <f>Calc!S54</f>
        <v>15040.165795995066</v>
      </c>
      <c r="G47" s="173">
        <f>Calc!O54</f>
        <v>3605638661881885</v>
      </c>
      <c r="H47" s="177">
        <f>Calc!X54</f>
        <v>0.68228758869511352</v>
      </c>
      <c r="I47" s="178">
        <f>Calc!Y54</f>
        <v>6.4105381936987333</v>
      </c>
      <c r="J47" s="176">
        <f>Calc!AE54</f>
        <v>1461.9289845489923</v>
      </c>
    </row>
    <row r="48" spans="1:10" x14ac:dyDescent="0.2">
      <c r="A48" s="173">
        <f>Calc!A55</f>
        <v>4.6499000000000002E-3</v>
      </c>
      <c r="B48" s="173">
        <f>Calc!B55</f>
        <v>0.518204</v>
      </c>
      <c r="C48" s="173">
        <f>Calc!C55</f>
        <v>6.1468000000000002E-2</v>
      </c>
      <c r="D48" s="173">
        <f>Calc!I55</f>
        <v>3380842949417307.5</v>
      </c>
      <c r="E48" s="173">
        <f>Calc!P55</f>
        <v>6.546107783715884E-5</v>
      </c>
      <c r="F48" s="174">
        <f>Calc!S55</f>
        <v>15257.27923885838</v>
      </c>
      <c r="G48" s="173">
        <f>Calc!O55</f>
        <v>3380842949417307.5</v>
      </c>
      <c r="H48" s="177">
        <f>Calc!X55</f>
        <v>0.67979794554008532</v>
      </c>
      <c r="I48" s="178">
        <f>Calc!Y55</f>
        <v>6.0964749206556004</v>
      </c>
      <c r="J48" s="176">
        <f>Calc!AE55</f>
        <v>1467.7428121926614</v>
      </c>
    </row>
    <row r="49" spans="1:10" x14ac:dyDescent="0.2">
      <c r="A49" s="173">
        <f>Calc!A56</f>
        <v>4.7498999999999996E-3</v>
      </c>
      <c r="B49" s="173">
        <f>Calc!B56</f>
        <v>0.48821399999999998</v>
      </c>
      <c r="C49" s="173">
        <f>Calc!C56</f>
        <v>5.8457299999999997E-2</v>
      </c>
      <c r="D49" s="173">
        <f>Calc!I56</f>
        <v>3171774813260527</v>
      </c>
      <c r="E49" s="173">
        <f>Calc!P56</f>
        <v>6.4600521537234079E-5</v>
      </c>
      <c r="F49" s="174">
        <f>Calc!S56</f>
        <v>15463.051329749624</v>
      </c>
      <c r="G49" s="173">
        <f>Calc!O56</f>
        <v>3171774813260527</v>
      </c>
      <c r="H49" s="177">
        <f>Calc!X56</f>
        <v>0.67735546548252312</v>
      </c>
      <c r="I49" s="178">
        <f>Calc!Y56</f>
        <v>5.7956649183108508</v>
      </c>
      <c r="J49" s="176">
        <f>Calc!AE56</f>
        <v>1473.2956311263329</v>
      </c>
    </row>
    <row r="50" spans="1:10" x14ac:dyDescent="0.2">
      <c r="A50" s="173">
        <f>Calc!A57</f>
        <v>4.8498999999999999E-3</v>
      </c>
      <c r="B50" s="173">
        <f>Calc!B57</f>
        <v>0.45999600000000002</v>
      </c>
      <c r="C50" s="173">
        <f>Calc!C57</f>
        <v>5.5631100000000003E-2</v>
      </c>
      <c r="D50" s="173">
        <f>Calc!I57</f>
        <v>2976446974179152.5</v>
      </c>
      <c r="E50" s="173">
        <f>Calc!P57</f>
        <v>6.3740383109114483E-5</v>
      </c>
      <c r="F50" s="174">
        <f>Calc!S57</f>
        <v>15673.934858640505</v>
      </c>
      <c r="G50" s="173">
        <f>Calc!O57</f>
        <v>2976446974179152.5</v>
      </c>
      <c r="H50" s="177">
        <f>Calc!X57</f>
        <v>0.6749493842591221</v>
      </c>
      <c r="I50" s="178">
        <f>Calc!Y57</f>
        <v>5.512142379734505</v>
      </c>
      <c r="J50" s="176">
        <f>Calc!AE57</f>
        <v>1478.6215132647424</v>
      </c>
    </row>
    <row r="51" spans="1:10" x14ac:dyDescent="0.2">
      <c r="A51" s="173">
        <f>Calc!A58</f>
        <v>4.9499000000000001E-3</v>
      </c>
      <c r="B51" s="173">
        <f>Calc!B58</f>
        <v>0.43244700000000003</v>
      </c>
      <c r="C51" s="173">
        <f>Calc!C58</f>
        <v>5.2927000000000002E-2</v>
      </c>
      <c r="D51" s="173">
        <f>Calc!I58</f>
        <v>2787055424172911</v>
      </c>
      <c r="E51" s="173">
        <f>Calc!P58</f>
        <v>6.276875306385805E-5</v>
      </c>
      <c r="F51" s="174">
        <f>Calc!S58</f>
        <v>15918.599450313064</v>
      </c>
      <c r="G51" s="173">
        <f>Calc!O58</f>
        <v>2787055424172911</v>
      </c>
      <c r="H51" s="177">
        <f>Calc!X58</f>
        <v>0.67248780566214195</v>
      </c>
      <c r="I51" s="178">
        <f>Calc!Y58</f>
        <v>5.2413003874678656</v>
      </c>
      <c r="J51" s="176">
        <f>Calc!AE58</f>
        <v>1483.9241826697653</v>
      </c>
    </row>
    <row r="52" spans="1:10" x14ac:dyDescent="0.2">
      <c r="A52" s="173">
        <f>Calc!A59</f>
        <v>5.0499000000000004E-3</v>
      </c>
      <c r="B52" s="173">
        <f>Calc!B59</f>
        <v>0.40737899999999999</v>
      </c>
      <c r="C52" s="173">
        <f>Calc!C59</f>
        <v>5.0393800000000002E-2</v>
      </c>
      <c r="D52" s="173">
        <f>Calc!I59</f>
        <v>2615848023236610.5</v>
      </c>
      <c r="E52" s="173">
        <f>Calc!P59</f>
        <v>6.1904197193133549E-5</v>
      </c>
      <c r="F52" s="174">
        <f>Calc!S59</f>
        <v>16142.634697790107</v>
      </c>
      <c r="G52" s="173">
        <f>Calc!O59</f>
        <v>2615848023236610.5</v>
      </c>
      <c r="H52" s="177">
        <f>Calc!X59</f>
        <v>0.67014013444060072</v>
      </c>
      <c r="I52" s="178">
        <f>Calc!Y59</f>
        <v>4.9880334728833144</v>
      </c>
      <c r="J52" s="176">
        <f>Calc!AE59</f>
        <v>1488.84580395898</v>
      </c>
    </row>
    <row r="53" spans="1:10" x14ac:dyDescent="0.2">
      <c r="A53" s="173">
        <f>Calc!A60</f>
        <v>5.1498999999999998E-3</v>
      </c>
      <c r="B53" s="173">
        <f>Calc!B60</f>
        <v>0.38347199999999998</v>
      </c>
      <c r="C53" s="173">
        <f>Calc!C60</f>
        <v>4.7971899999999998E-2</v>
      </c>
      <c r="D53" s="173">
        <f>Calc!I60</f>
        <v>2453578093622838</v>
      </c>
      <c r="E53" s="173">
        <f>Calc!P60</f>
        <v>6.104327106435017E-5</v>
      </c>
      <c r="F53" s="174">
        <f>Calc!S60</f>
        <v>16371.828710217251</v>
      </c>
      <c r="G53" s="173">
        <f>Calc!O60</f>
        <v>2453578093622838</v>
      </c>
      <c r="H53" s="177">
        <f>Calc!X60</f>
        <v>0.66779437032918099</v>
      </c>
      <c r="I53" s="178">
        <f>Calc!Y60</f>
        <v>4.7445937701059613</v>
      </c>
      <c r="J53" s="176">
        <f>Calc!AE60</f>
        <v>1493.6330736614721</v>
      </c>
    </row>
    <row r="54" spans="1:10" x14ac:dyDescent="0.2">
      <c r="A54" s="173">
        <f>Calc!A61</f>
        <v>5.2499000000000001E-3</v>
      </c>
      <c r="B54" s="173">
        <f>Calc!B61</f>
        <v>0.36039599999999999</v>
      </c>
      <c r="C54" s="173">
        <f>Calc!C61</f>
        <v>4.5697500000000002E-2</v>
      </c>
      <c r="D54" s="173">
        <f>Calc!I61</f>
        <v>2297888962955503</v>
      </c>
      <c r="E54" s="173">
        <f>Calc!P61</f>
        <v>6.0041996748201896E-5</v>
      </c>
      <c r="F54" s="174">
        <f>Calc!S61</f>
        <v>16646.243775449158</v>
      </c>
      <c r="G54" s="173">
        <f>Calc!O61</f>
        <v>2297888962955503</v>
      </c>
      <c r="H54" s="177">
        <f>Calc!X61</f>
        <v>0.6654196328971973</v>
      </c>
      <c r="I54" s="178">
        <f>Calc!Y61</f>
        <v>4.517632083186264</v>
      </c>
      <c r="J54" s="176">
        <f>Calc!AE61</f>
        <v>1498.3487515619968</v>
      </c>
    </row>
    <row r="55" spans="1:10" x14ac:dyDescent="0.2">
      <c r="A55" s="173">
        <f>Calc!A62</f>
        <v>5.3499000000000003E-3</v>
      </c>
      <c r="B55" s="173">
        <f>Calc!B62</f>
        <v>0.33940999999999999</v>
      </c>
      <c r="C55" s="173">
        <f>Calc!C62</f>
        <v>4.3505099999999998E-2</v>
      </c>
      <c r="D55" s="173">
        <f>Calc!I62</f>
        <v>2157108834958282.5</v>
      </c>
      <c r="E55" s="173">
        <f>Calc!P62</f>
        <v>5.923763213144831E-5</v>
      </c>
      <c r="F55" s="174">
        <f>Calc!S62</f>
        <v>16873.436734287548</v>
      </c>
      <c r="G55" s="173">
        <f>Calc!O62</f>
        <v>2157108834958282.5</v>
      </c>
      <c r="H55" s="177">
        <f>Calc!X62</f>
        <v>0.66315460467386111</v>
      </c>
      <c r="I55" s="178">
        <f>Calc!Y62</f>
        <v>4.2984444009377389</v>
      </c>
      <c r="J55" s="176">
        <f>Calc!AE62</f>
        <v>1502.725919677209</v>
      </c>
    </row>
    <row r="56" spans="1:10" x14ac:dyDescent="0.2">
      <c r="A56" s="173">
        <f>Calc!A63</f>
        <v>5.4498999999999997E-3</v>
      </c>
      <c r="B56" s="173">
        <f>Calc!B63</f>
        <v>0.31902399999999997</v>
      </c>
      <c r="C56" s="173">
        <f>Calc!C63</f>
        <v>4.1424099999999998E-2</v>
      </c>
      <c r="D56" s="173">
        <f>Calc!I63</f>
        <v>2021096873283404.3</v>
      </c>
      <c r="E56" s="173">
        <f>Calc!P63</f>
        <v>5.8322287361391201E-5</v>
      </c>
      <c r="F56" s="174">
        <f>Calc!S63</f>
        <v>17139.323098780271</v>
      </c>
      <c r="G56" s="173">
        <f>Calc!O63</f>
        <v>2021096873283404.3</v>
      </c>
      <c r="H56" s="177">
        <f>Calc!X63</f>
        <v>0.66084674233459162</v>
      </c>
      <c r="I56" s="178">
        <f>Calc!Y63</f>
        <v>4.0906236819012856</v>
      </c>
      <c r="J56" s="176">
        <f>Calc!AE63</f>
        <v>1507.0666327613471</v>
      </c>
    </row>
    <row r="57" spans="1:10" x14ac:dyDescent="0.2">
      <c r="A57" s="173">
        <f>Calc!A64</f>
        <v>5.5499E-3</v>
      </c>
      <c r="B57" s="173">
        <f>Calc!B64</f>
        <v>0.30002499999999999</v>
      </c>
      <c r="C57" s="173">
        <f>Calc!C64</f>
        <v>3.9476799999999999E-2</v>
      </c>
      <c r="D57" s="173">
        <f>Calc!I64</f>
        <v>1895003766600397.7</v>
      </c>
      <c r="E57" s="173">
        <f>Calc!P64</f>
        <v>5.739727170170308E-5</v>
      </c>
      <c r="F57" s="174">
        <f>Calc!S64</f>
        <v>17416.469773558001</v>
      </c>
      <c r="G57" s="173">
        <f>Calc!O64</f>
        <v>1895003766600397.7</v>
      </c>
      <c r="H57" s="177">
        <f>Calc!X64</f>
        <v>0.65858903336514385</v>
      </c>
      <c r="I57" s="178">
        <f>Calc!Y64</f>
        <v>3.897227646179001</v>
      </c>
      <c r="J57" s="176">
        <f>Calc!AE64</f>
        <v>1511.198445955074</v>
      </c>
    </row>
    <row r="58" spans="1:10" x14ac:dyDescent="0.2">
      <c r="A58" s="173">
        <f>Calc!A65</f>
        <v>5.6499000000000002E-3</v>
      </c>
      <c r="B58" s="173">
        <f>Calc!B65</f>
        <v>0.28180300000000003</v>
      </c>
      <c r="C58" s="173">
        <f>Calc!C65</f>
        <v>3.7581299999999998E-2</v>
      </c>
      <c r="D58" s="173">
        <f>Calc!I65</f>
        <v>1774675776898921.7</v>
      </c>
      <c r="E58" s="173">
        <f>Calc!P65</f>
        <v>5.6498605087056883E-5</v>
      </c>
      <c r="F58" s="174">
        <f>Calc!S65</f>
        <v>17694.323896586484</v>
      </c>
      <c r="G58" s="173">
        <f>Calc!O65</f>
        <v>1774675776898921.7</v>
      </c>
      <c r="H58" s="177">
        <f>Calc!X65</f>
        <v>0.65631498333155125</v>
      </c>
      <c r="I58" s="178">
        <f>Calc!Y65</f>
        <v>3.7078165831154255</v>
      </c>
      <c r="J58" s="176">
        <f>Calc!AE65</f>
        <v>1515.2475344309291</v>
      </c>
    </row>
    <row r="59" spans="1:10" x14ac:dyDescent="0.2">
      <c r="A59" s="173">
        <f>Calc!A66</f>
        <v>5.7498999999999996E-3</v>
      </c>
      <c r="B59" s="173">
        <f>Calc!B66</f>
        <v>0.26457599999999998</v>
      </c>
      <c r="C59" s="173">
        <f>Calc!C66</f>
        <v>3.5836199999999999E-2</v>
      </c>
      <c r="D59" s="173">
        <f>Calc!I66</f>
        <v>1661471221348017</v>
      </c>
      <c r="E59" s="173">
        <f>Calc!P66</f>
        <v>5.5504631326295315E-5</v>
      </c>
      <c r="F59" s="174">
        <f>Calc!S66</f>
        <v>18011.93218036028</v>
      </c>
      <c r="G59" s="173">
        <f>Calc!O66</f>
        <v>1661471221348017</v>
      </c>
      <c r="H59" s="177">
        <f>Calc!X66</f>
        <v>0.65405519663544764</v>
      </c>
      <c r="I59" s="178">
        <f>Calc!Y66</f>
        <v>3.5334629942701121</v>
      </c>
      <c r="J59" s="176">
        <f>Calc!AE66</f>
        <v>1519.161163766915</v>
      </c>
    </row>
    <row r="60" spans="1:10" x14ac:dyDescent="0.2">
      <c r="A60" s="173">
        <f>Calc!A67</f>
        <v>5.8498999999999999E-3</v>
      </c>
      <c r="B60" s="173">
        <f>Calc!B67</f>
        <v>0.24881900000000001</v>
      </c>
      <c r="C60" s="173">
        <f>Calc!C67</f>
        <v>3.4086199999999997E-2</v>
      </c>
      <c r="D60" s="173">
        <f>Calc!I67</f>
        <v>1558401966109740.7</v>
      </c>
      <c r="E60" s="173">
        <f>Calc!P67</f>
        <v>5.4765814185751081E-5</v>
      </c>
      <c r="F60" s="174">
        <f>Calc!S67</f>
        <v>18255.534520611338</v>
      </c>
      <c r="G60" s="173">
        <f>Calc!O67</f>
        <v>1558401966109740.7</v>
      </c>
      <c r="H60" s="177">
        <f>Calc!X67</f>
        <v>0.65188311526922404</v>
      </c>
      <c r="I60" s="178">
        <f>Calc!Y67</f>
        <v>3.3589758804991892</v>
      </c>
      <c r="J60" s="176">
        <f>Calc!AE67</f>
        <v>1522.8212817910489</v>
      </c>
    </row>
    <row r="61" spans="1:10" x14ac:dyDescent="0.2">
      <c r="A61" s="173">
        <f>Calc!A68</f>
        <v>5.9499000000000002E-3</v>
      </c>
      <c r="B61" s="173">
        <f>Calc!B68</f>
        <v>0.233682</v>
      </c>
      <c r="C61" s="173">
        <f>Calc!C68</f>
        <v>3.2461200000000003E-2</v>
      </c>
      <c r="D61" s="173">
        <f>Calc!I68</f>
        <v>1459820569486549.7</v>
      </c>
      <c r="E61" s="173">
        <f>Calc!P68</f>
        <v>5.3893043256609998E-5</v>
      </c>
      <c r="F61" s="174">
        <f>Calc!S68</f>
        <v>18551.732993570015</v>
      </c>
      <c r="G61" s="173">
        <f>Calc!O68</f>
        <v>1459820569486549.7</v>
      </c>
      <c r="H61" s="177">
        <f>Calc!X68</f>
        <v>0.64969013844436141</v>
      </c>
      <c r="I61" s="178">
        <f>Calc!Y68</f>
        <v>3.1974496691188299</v>
      </c>
      <c r="J61" s="176">
        <f>Calc!AE68</f>
        <v>1526.4173383147422</v>
      </c>
    </row>
    <row r="62" spans="1:10" x14ac:dyDescent="0.2">
      <c r="A62" s="173">
        <f>Calc!A69</f>
        <v>6.0499000000000004E-3</v>
      </c>
      <c r="B62" s="173">
        <f>Calc!B69</f>
        <v>0.219356</v>
      </c>
      <c r="C62" s="173">
        <f>Calc!C69</f>
        <v>3.0944599999999999E-2</v>
      </c>
      <c r="D62" s="173">
        <f>Calc!I69</f>
        <v>1366915468226114.2</v>
      </c>
      <c r="E62" s="173">
        <f>Calc!P69</f>
        <v>5.2968567665173811E-5</v>
      </c>
      <c r="F62" s="174">
        <f>Calc!S69</f>
        <v>18876.019394864019</v>
      </c>
      <c r="G62" s="173">
        <f>Calc!O69</f>
        <v>1366915468226114.2</v>
      </c>
      <c r="H62" s="177">
        <f>Calc!X69</f>
        <v>0.64750664569253336</v>
      </c>
      <c r="I62" s="178">
        <f>Calc!Y69</f>
        <v>3.0462137584338298</v>
      </c>
      <c r="J62" s="176">
        <f>Calc!AE69</f>
        <v>1529.9005082131102</v>
      </c>
    </row>
    <row r="63" spans="1:10" x14ac:dyDescent="0.2">
      <c r="A63" s="173">
        <f>Calc!A70</f>
        <v>6.1498999999999998E-3</v>
      </c>
      <c r="B63" s="173">
        <f>Calc!B70</f>
        <v>0.205709</v>
      </c>
      <c r="C63" s="173">
        <f>Calc!C70</f>
        <v>2.94524E-2</v>
      </c>
      <c r="D63" s="173">
        <f>Calc!I70</f>
        <v>1278774814020171.7</v>
      </c>
      <c r="E63" s="173">
        <f>Calc!P70</f>
        <v>5.2092011751490293E-5</v>
      </c>
      <c r="F63" s="174">
        <f>Calc!S70</f>
        <v>19194.086780971076</v>
      </c>
      <c r="G63" s="173">
        <f>Calc!O70</f>
        <v>1278774814020171.7</v>
      </c>
      <c r="H63" s="177">
        <f>Calc!X70</f>
        <v>0.64531648637931205</v>
      </c>
      <c r="I63" s="178">
        <f>Calc!Y70</f>
        <v>2.8977431688482596</v>
      </c>
      <c r="J63" s="176">
        <f>Calc!AE70</f>
        <v>1533.2985296593181</v>
      </c>
    </row>
    <row r="64" spans="1:10" x14ac:dyDescent="0.2">
      <c r="A64" s="173">
        <f>Calc!A71</f>
        <v>6.2499000000000001E-3</v>
      </c>
      <c r="B64" s="173">
        <f>Calc!B71</f>
        <v>0.19356999999999999</v>
      </c>
      <c r="C64" s="173">
        <f>Calc!C71</f>
        <v>2.8016900000000001E-2</v>
      </c>
      <c r="D64" s="173">
        <f>Calc!I71</f>
        <v>1200673448140187.5</v>
      </c>
      <c r="E64" s="173">
        <f>Calc!P71</f>
        <v>5.144303693106712E-5</v>
      </c>
      <c r="F64" s="174">
        <f>Calc!S71</f>
        <v>19436.583688537816</v>
      </c>
      <c r="G64" s="173">
        <f>Calc!O71</f>
        <v>1200673448140187.5</v>
      </c>
      <c r="H64" s="177">
        <f>Calc!X71</f>
        <v>0.64326656261757531</v>
      </c>
      <c r="I64" s="178">
        <f>Calc!Y71</f>
        <v>2.7550865968888818</v>
      </c>
      <c r="J64" s="176">
        <f>Calc!AE71</f>
        <v>1536.3936561002522</v>
      </c>
    </row>
    <row r="65" spans="1:10" x14ac:dyDescent="0.2">
      <c r="A65" s="173">
        <f>Calc!A72</f>
        <v>6.3499000000000003E-3</v>
      </c>
      <c r="B65" s="173">
        <f>Calc!B72</f>
        <v>0.181451</v>
      </c>
      <c r="C65" s="173">
        <f>Calc!C72</f>
        <v>2.6706299999999999E-2</v>
      </c>
      <c r="D65" s="173">
        <f>Calc!I72</f>
        <v>1122985868673903.4</v>
      </c>
      <c r="E65" s="173">
        <f>Calc!P72</f>
        <v>5.0524296306516493E-5</v>
      </c>
      <c r="F65" s="174">
        <f>Calc!S72</f>
        <v>19790.364328641172</v>
      </c>
      <c r="G65" s="173">
        <f>Calc!O72</f>
        <v>1122985868673903.4</v>
      </c>
      <c r="H65" s="177">
        <f>Calc!X72</f>
        <v>0.64111216490355161</v>
      </c>
      <c r="I65" s="178">
        <f>Calc!Y72</f>
        <v>2.6236806014049621</v>
      </c>
      <c r="J65" s="176">
        <f>Calc!AE72</f>
        <v>1539.5592695539151</v>
      </c>
    </row>
    <row r="66" spans="1:10" x14ac:dyDescent="0.2">
      <c r="A66" s="173">
        <f>Calc!A73</f>
        <v>6.4498999999999997E-3</v>
      </c>
      <c r="B66" s="173">
        <f>Calc!B73</f>
        <v>0.170235</v>
      </c>
      <c r="C66" s="173">
        <f>Calc!C73</f>
        <v>2.54436E-2</v>
      </c>
      <c r="D66" s="173">
        <f>Calc!I73</f>
        <v>1051344103546150.6</v>
      </c>
      <c r="E66" s="173">
        <f>Calc!P73</f>
        <v>4.9672359813018784E-5</v>
      </c>
      <c r="F66" s="174">
        <f>Calc!S73</f>
        <v>20130.085685552174</v>
      </c>
      <c r="G66" s="173">
        <f>Calc!O73</f>
        <v>1051344103546150.6</v>
      </c>
      <c r="H66" s="177">
        <f>Calc!X73</f>
        <v>0.63900994574463044</v>
      </c>
      <c r="I66" s="178">
        <f>Calc!Y73</f>
        <v>2.4984291426007221</v>
      </c>
      <c r="J66" s="176">
        <f>Calc!AE73</f>
        <v>1542.5636295090749</v>
      </c>
    </row>
    <row r="67" spans="1:10" x14ac:dyDescent="0.2">
      <c r="A67" s="173">
        <f>Calc!A74</f>
        <v>6.5499E-3</v>
      </c>
      <c r="B67" s="173">
        <f>Calc!B74</f>
        <v>0.16045499999999999</v>
      </c>
      <c r="C67" s="173">
        <f>Calc!C74</f>
        <v>2.42688E-2</v>
      </c>
      <c r="D67" s="173">
        <f>Calc!I74</f>
        <v>989079342770230.37</v>
      </c>
      <c r="E67" s="173">
        <f>Calc!P74</f>
        <v>4.9023505720636952E-5</v>
      </c>
      <c r="F67" s="174">
        <f>Calc!S74</f>
        <v>20396.754046885901</v>
      </c>
      <c r="G67" s="173">
        <f>Calc!O74</f>
        <v>989079342770230.37</v>
      </c>
      <c r="H67" s="177">
        <f>Calc!X74</f>
        <v>0.63708100868382811</v>
      </c>
      <c r="I67" s="178">
        <f>Calc!Y74</f>
        <v>2.3815719862676037</v>
      </c>
      <c r="J67" s="176">
        <f>Calc!AE74</f>
        <v>1545.2482245653121</v>
      </c>
    </row>
    <row r="68" spans="1:10" x14ac:dyDescent="0.2">
      <c r="A68" s="173">
        <f>Calc!A75</f>
        <v>6.6499000000000003E-3</v>
      </c>
      <c r="B68" s="173">
        <f>Calc!B75</f>
        <v>0.15045</v>
      </c>
      <c r="C68" s="173">
        <f>Calc!C75</f>
        <v>2.3118400000000001E-2</v>
      </c>
      <c r="D68" s="173">
        <f>Calc!I75</f>
        <v>925582193009749.75</v>
      </c>
      <c r="E68" s="173">
        <f>Calc!P75</f>
        <v>4.8171894967260264E-5</v>
      </c>
      <c r="F68" s="174">
        <f>Calc!S75</f>
        <v>20757.570242490656</v>
      </c>
      <c r="G68" s="173">
        <f>Calc!O75</f>
        <v>925582193009749.75</v>
      </c>
      <c r="H68" s="177">
        <f>Calc!X75</f>
        <v>0.63500345410314762</v>
      </c>
      <c r="I68" s="178">
        <f>Calc!Y75</f>
        <v>2.2680791513644567</v>
      </c>
      <c r="J68" s="176">
        <f>Calc!AE75</f>
        <v>1548.0639140169569</v>
      </c>
    </row>
    <row r="69" spans="1:10" x14ac:dyDescent="0.2">
      <c r="A69" s="173">
        <f>Calc!A76</f>
        <v>6.7498999999999997E-3</v>
      </c>
      <c r="B69" s="173">
        <f>Calc!B76</f>
        <v>0.14102600000000001</v>
      </c>
      <c r="C69" s="173">
        <f>Calc!C76</f>
        <v>2.2033500000000001E-2</v>
      </c>
      <c r="D69" s="173">
        <f>Calc!I76</f>
        <v>865960234856363.5</v>
      </c>
      <c r="E69" s="173">
        <f>Calc!P76</f>
        <v>4.72929056217486E-5</v>
      </c>
      <c r="F69" s="174">
        <f>Calc!S76</f>
        <v>21143.575681122551</v>
      </c>
      <c r="G69" s="173">
        <f>Calc!O76</f>
        <v>865960234856363.5</v>
      </c>
      <c r="H69" s="177">
        <f>Calc!X76</f>
        <v>0.63293769453435711</v>
      </c>
      <c r="I69" s="178">
        <f>Calc!Y76</f>
        <v>2.1614186705757401</v>
      </c>
      <c r="J69" s="176">
        <f>Calc!AE76</f>
        <v>1550.7872213839123</v>
      </c>
    </row>
    <row r="70" spans="1:10" x14ac:dyDescent="0.2">
      <c r="A70" s="173">
        <f>Calc!A77</f>
        <v>6.8498999999999999E-3</v>
      </c>
      <c r="B70" s="173">
        <f>Calc!B77</f>
        <v>0.13226599999999999</v>
      </c>
      <c r="C70" s="173">
        <f>Calc!C77</f>
        <v>2.09915E-2</v>
      </c>
      <c r="D70" s="173">
        <f>Calc!I77</f>
        <v>810705190046089.5</v>
      </c>
      <c r="E70" s="173">
        <f>Calc!P77</f>
        <v>4.6503149022396228E-5</v>
      </c>
      <c r="F70" s="174">
        <f>Calc!S77</f>
        <v>21502.82905578956</v>
      </c>
      <c r="G70" s="173">
        <f>Calc!O77</f>
        <v>810705190046089.5</v>
      </c>
      <c r="H70" s="177">
        <f>Calc!X77</f>
        <v>0.6309101925570656</v>
      </c>
      <c r="I70" s="178">
        <f>Calc!Y77</f>
        <v>2.0578681098503768</v>
      </c>
      <c r="J70" s="176">
        <f>Calc!AE77</f>
        <v>1553.3874824450374</v>
      </c>
    </row>
    <row r="71" spans="1:10" x14ac:dyDescent="0.2">
      <c r="A71" s="173">
        <f>Calc!A78</f>
        <v>6.9499000000000002E-3</v>
      </c>
      <c r="B71" s="173">
        <f>Calc!B78</f>
        <v>0.12411700000000001</v>
      </c>
      <c r="C71" s="173">
        <f>Calc!C78</f>
        <v>1.9988499999999999E-2</v>
      </c>
      <c r="D71" s="173">
        <f>Calc!I78</f>
        <v>759450135423263.12</v>
      </c>
      <c r="E71" s="173">
        <f>Calc!P78</f>
        <v>4.5778217198410917E-5</v>
      </c>
      <c r="F71" s="174">
        <f>Calc!S78</f>
        <v>21843.493080332755</v>
      </c>
      <c r="G71" s="173">
        <f>Calc!O78</f>
        <v>759450135423263.12</v>
      </c>
      <c r="H71" s="177">
        <f>Calc!X78</f>
        <v>0.62891896976978323</v>
      </c>
      <c r="I71" s="178">
        <f>Calc!Y78</f>
        <v>1.9582914825888904</v>
      </c>
      <c r="J71" s="176">
        <f>Calc!AE78</f>
        <v>1555.8725911765482</v>
      </c>
    </row>
    <row r="72" spans="1:10" x14ac:dyDescent="0.2">
      <c r="A72" s="173">
        <f>Calc!A79</f>
        <v>7.0498999999999996E-3</v>
      </c>
      <c r="B72" s="173">
        <f>Calc!B79</f>
        <v>0.116392</v>
      </c>
      <c r="C72" s="173">
        <f>Calc!C79</f>
        <v>1.90501E-2</v>
      </c>
      <c r="D72" s="173">
        <f>Calc!I79</f>
        <v>710994100376093.87</v>
      </c>
      <c r="E72" s="173">
        <f>Calc!P79</f>
        <v>4.5001321651597716E-5</v>
      </c>
      <c r="F72" s="174">
        <f>Calc!S79</f>
        <v>22220.730423000987</v>
      </c>
      <c r="G72" s="173">
        <f>Calc!O79</f>
        <v>710994100376093.87</v>
      </c>
      <c r="H72" s="177">
        <f>Calc!X79</f>
        <v>0.62692535801825888</v>
      </c>
      <c r="I72" s="178">
        <f>Calc!Y79</f>
        <v>1.8649950125431347</v>
      </c>
      <c r="J72" s="176">
        <f>Calc!AE79</f>
        <v>1558.2939115232277</v>
      </c>
    </row>
    <row r="73" spans="1:10" x14ac:dyDescent="0.2">
      <c r="A73" s="173">
        <f>Calc!A80</f>
        <v>7.1498999999999998E-3</v>
      </c>
      <c r="B73" s="173">
        <f>Calc!B80</f>
        <v>0.10921</v>
      </c>
      <c r="C73" s="173">
        <f>Calc!C80</f>
        <v>1.8173100000000001E-2</v>
      </c>
      <c r="D73" s="173">
        <f>Calc!I80</f>
        <v>666061540667845.75</v>
      </c>
      <c r="E73" s="173">
        <f>Calc!P80</f>
        <v>4.4207892360494653E-5</v>
      </c>
      <c r="F73" s="174">
        <f>Calc!S80</f>
        <v>22619.658847970397</v>
      </c>
      <c r="G73" s="173">
        <f>Calc!O80</f>
        <v>666061540667845.75</v>
      </c>
      <c r="H73" s="177">
        <f>Calc!X80</f>
        <v>0.62496704688909066</v>
      </c>
      <c r="I73" s="178">
        <f>Calc!Y80</f>
        <v>1.7784902716944462</v>
      </c>
      <c r="J73" s="176">
        <f>Calc!AE80</f>
        <v>1560.6086135889345</v>
      </c>
    </row>
    <row r="74" spans="1:10" x14ac:dyDescent="0.2">
      <c r="A74" s="173">
        <f>Calc!A81</f>
        <v>7.2499000000000001E-3</v>
      </c>
      <c r="B74" s="173">
        <f>Calc!B81</f>
        <v>0.10265199999999999</v>
      </c>
      <c r="C74" s="173">
        <f>Calc!C81</f>
        <v>1.73128E-2</v>
      </c>
      <c r="D74" s="173">
        <f>Calc!I81</f>
        <v>625133532296012.5</v>
      </c>
      <c r="E74" s="173">
        <f>Calc!P81</f>
        <v>4.3577179020834967E-5</v>
      </c>
      <c r="F74" s="174">
        <f>Calc!S81</f>
        <v>22947.142364797004</v>
      </c>
      <c r="G74" s="173">
        <f>Calc!O81</f>
        <v>625133532296012.5</v>
      </c>
      <c r="H74" s="177">
        <f>Calc!X81</f>
        <v>0.623079010562959</v>
      </c>
      <c r="I74" s="178">
        <f>Calc!Y81</f>
        <v>1.6933651943723667</v>
      </c>
      <c r="J74" s="176">
        <f>Calc!AE81</f>
        <v>1562.7816309042159</v>
      </c>
    </row>
    <row r="75" spans="1:10" x14ac:dyDescent="0.2">
      <c r="A75" s="173">
        <f>Calc!A82</f>
        <v>7.3499000000000004E-3</v>
      </c>
      <c r="B75" s="173">
        <f>Calc!B82</f>
        <v>9.5972399999999999E-2</v>
      </c>
      <c r="C75" s="173">
        <f>Calc!C82</f>
        <v>1.6481699999999998E-2</v>
      </c>
      <c r="D75" s="173">
        <f>Calc!I82</f>
        <v>583547262545970.37</v>
      </c>
      <c r="E75" s="173">
        <f>Calc!P82</f>
        <v>4.2743075532520336E-5</v>
      </c>
      <c r="F75" s="174">
        <f>Calc!S82</f>
        <v>23395.037112524464</v>
      </c>
      <c r="G75" s="173">
        <f>Calc!O82</f>
        <v>583547262545970.37</v>
      </c>
      <c r="H75" s="177">
        <f>Calc!X82</f>
        <v>0.6210447938857141</v>
      </c>
      <c r="I75" s="178">
        <f>Calc!Y82</f>
        <v>1.611562727606499</v>
      </c>
      <c r="J75" s="176">
        <f>Calc!AE82</f>
        <v>1565.0598010427736</v>
      </c>
    </row>
    <row r="76" spans="1:10" x14ac:dyDescent="0.2">
      <c r="A76" s="173">
        <f>Calc!A83</f>
        <v>7.4498999999999998E-3</v>
      </c>
      <c r="B76" s="173">
        <f>Calc!B83</f>
        <v>9.0205800000000003E-2</v>
      </c>
      <c r="C76" s="173">
        <f>Calc!C83</f>
        <v>1.5720999999999999E-2</v>
      </c>
      <c r="D76" s="173">
        <f>Calc!I83</f>
        <v>547728483550801.94</v>
      </c>
      <c r="E76" s="173">
        <f>Calc!P83</f>
        <v>4.2073401999190306E-5</v>
      </c>
      <c r="F76" s="174">
        <f>Calc!S83</f>
        <v>23767.487283573053</v>
      </c>
      <c r="G76" s="173">
        <f>Calc!O83</f>
        <v>547728483550801.94</v>
      </c>
      <c r="H76" s="177">
        <f>Calc!X83</f>
        <v>0.61918634834130359</v>
      </c>
      <c r="I76" s="178">
        <f>Calc!Y83</f>
        <v>1.5367196432600785</v>
      </c>
      <c r="J76" s="176">
        <f>Calc!AE83</f>
        <v>1567.0850787685636</v>
      </c>
    </row>
    <row r="77" spans="1:10" x14ac:dyDescent="0.2">
      <c r="A77" s="173">
        <f>Calc!A84</f>
        <v>7.5499E-3</v>
      </c>
      <c r="B77" s="173">
        <f>Calc!B84</f>
        <v>8.4478300000000006E-2</v>
      </c>
      <c r="C77" s="173">
        <f>Calc!C84</f>
        <v>1.49739E-2</v>
      </c>
      <c r="D77" s="173">
        <f>Calc!I84</f>
        <v>512230523122268.25</v>
      </c>
      <c r="E77" s="173">
        <f>Calc!P84</f>
        <v>4.1330513600471891E-5</v>
      </c>
      <c r="F77" s="174">
        <f>Calc!S84</f>
        <v>24194.763416703678</v>
      </c>
      <c r="G77" s="173">
        <f>Calc!O84</f>
        <v>512230523122268.25</v>
      </c>
      <c r="H77" s="177">
        <f>Calc!X84</f>
        <v>0.61723389880152024</v>
      </c>
      <c r="I77" s="178">
        <f>Calc!Y84</f>
        <v>1.4629571244599986</v>
      </c>
      <c r="J77" s="176">
        <f>Calc!AE84</f>
        <v>1569.156361145449</v>
      </c>
    </row>
    <row r="78" spans="1:10" x14ac:dyDescent="0.2">
      <c r="A78" s="173">
        <f>Calc!A85</f>
        <v>7.6499000000000003E-3</v>
      </c>
      <c r="B78" s="173">
        <f>Calc!B85</f>
        <v>7.9121899999999995E-2</v>
      </c>
      <c r="C78" s="173">
        <f>Calc!C85</f>
        <v>1.426E-2</v>
      </c>
      <c r="D78" s="173">
        <f>Calc!I85</f>
        <v>479104338677882.62</v>
      </c>
      <c r="E78" s="173">
        <f>Calc!P85</f>
        <v>4.0615362200720557E-5</v>
      </c>
      <c r="F78" s="174">
        <f>Calc!S85</f>
        <v>24620.844671074781</v>
      </c>
      <c r="G78" s="173">
        <f>Calc!O85</f>
        <v>479104338677882.62</v>
      </c>
      <c r="H78" s="177">
        <f>Calc!X85</f>
        <v>0.61529881494889704</v>
      </c>
      <c r="I78" s="178">
        <f>Calc!Y85</f>
        <v>1.3924407345860612</v>
      </c>
      <c r="J78" s="176">
        <f>Calc!AE85</f>
        <v>1571.1533454156415</v>
      </c>
    </row>
    <row r="79" spans="1:10" x14ac:dyDescent="0.2">
      <c r="A79" s="173">
        <f>Calc!A86</f>
        <v>7.7498999999999997E-3</v>
      </c>
      <c r="B79" s="173">
        <f>Calc!B86</f>
        <v>7.4068099999999998E-2</v>
      </c>
      <c r="C79" s="173">
        <f>Calc!C86</f>
        <v>1.3564700000000001E-2</v>
      </c>
      <c r="D79" s="173">
        <f>Calc!I86</f>
        <v>447914552547078.44</v>
      </c>
      <c r="E79" s="173">
        <f>Calc!P86</f>
        <v>3.9929448021491519E-5</v>
      </c>
      <c r="F79" s="174">
        <f>Calc!S86</f>
        <v>25043.839857141804</v>
      </c>
      <c r="G79" s="173">
        <f>Calc!O86</f>
        <v>447914552547078.44</v>
      </c>
      <c r="H79" s="177">
        <f>Calc!X86</f>
        <v>0.61336294416435289</v>
      </c>
      <c r="I79" s="178">
        <f>Calc!Y86</f>
        <v>1.3241549628285469</v>
      </c>
      <c r="J79" s="176">
        <f>Calc!AE86</f>
        <v>1573.096669142298</v>
      </c>
    </row>
    <row r="80" spans="1:10" x14ac:dyDescent="0.2">
      <c r="A80" s="173">
        <f>Calc!A87</f>
        <v>7.8498999999999999E-3</v>
      </c>
      <c r="B80" s="173">
        <f>Calc!B87</f>
        <v>6.9746900000000001E-2</v>
      </c>
      <c r="C80" s="173">
        <f>Calc!C87</f>
        <v>1.2937799999999999E-2</v>
      </c>
      <c r="D80" s="173">
        <f>Calc!I87</f>
        <v>421297191306169.56</v>
      </c>
      <c r="E80" s="173">
        <f>Calc!P87</f>
        <v>3.940446433879178E-5</v>
      </c>
      <c r="F80" s="174">
        <f>Calc!S87</f>
        <v>25377.540510243431</v>
      </c>
      <c r="G80" s="173">
        <f>Calc!O87</f>
        <v>421297191306169.56</v>
      </c>
      <c r="H80" s="177">
        <f>Calc!X87</f>
        <v>0.61161150154125921</v>
      </c>
      <c r="I80" s="178">
        <f>Calc!Y87</f>
        <v>1.2620602319488474</v>
      </c>
      <c r="J80" s="176">
        <f>Calc!AE87</f>
        <v>1574.8088889858657</v>
      </c>
    </row>
    <row r="81" spans="1:10" x14ac:dyDescent="0.2">
      <c r="A81" s="173">
        <f>Calc!A88</f>
        <v>7.9498999999999993E-3</v>
      </c>
      <c r="B81" s="173">
        <f>Calc!B88</f>
        <v>6.4971500000000001E-2</v>
      </c>
      <c r="C81" s="173">
        <f>Calc!C88</f>
        <v>1.23255E-2</v>
      </c>
      <c r="D81" s="173">
        <f>Calc!I88</f>
        <v>391938200551899.94</v>
      </c>
      <c r="E81" s="173">
        <f>Calc!P88</f>
        <v>3.8500903082027508E-5</v>
      </c>
      <c r="F81" s="174">
        <f>Calc!S88</f>
        <v>25973.161722186182</v>
      </c>
      <c r="G81" s="173">
        <f>Calc!O88</f>
        <v>391938200551899.94</v>
      </c>
      <c r="H81" s="177">
        <f>Calc!X88</f>
        <v>0.60955850653354982</v>
      </c>
      <c r="I81" s="178">
        <f>Calc!Y88</f>
        <v>1.2016655876260987</v>
      </c>
      <c r="J81" s="176">
        <f>Calc!AE88</f>
        <v>1576.7615150390097</v>
      </c>
    </row>
    <row r="82" spans="1:10" x14ac:dyDescent="0.2">
      <c r="A82" s="173">
        <f>Calc!A89</f>
        <v>8.0499000000000005E-3</v>
      </c>
      <c r="B82" s="173">
        <f>Calc!B89</f>
        <v>6.1167800000000001E-2</v>
      </c>
      <c r="C82" s="173">
        <f>Calc!C89</f>
        <v>1.1728799999999999E-2</v>
      </c>
      <c r="D82" s="173">
        <f>Calc!I89</f>
        <v>368596311538827.44</v>
      </c>
      <c r="E82" s="173">
        <f>Calc!P89</f>
        <v>3.805190916299999E-5</v>
      </c>
      <c r="F82" s="174">
        <f>Calc!S89</f>
        <v>26279.664806198081</v>
      </c>
      <c r="G82" s="173">
        <f>Calc!O89</f>
        <v>368596311538827.44</v>
      </c>
      <c r="H82" s="177">
        <f>Calc!X89</f>
        <v>0.60782313752408668</v>
      </c>
      <c r="I82" s="178">
        <f>Calc!Y89</f>
        <v>1.1434349961232726</v>
      </c>
      <c r="J82" s="176">
        <f>Calc!AE89</f>
        <v>1578.3672241062375</v>
      </c>
    </row>
    <row r="83" spans="1:10" x14ac:dyDescent="0.2">
      <c r="A83" s="173">
        <f>Calc!A90</f>
        <v>8.1498999999999999E-3</v>
      </c>
      <c r="B83" s="173">
        <f>Calc!B90</f>
        <v>5.7339599999999998E-2</v>
      </c>
      <c r="C83" s="173">
        <f>Calc!C90</f>
        <v>1.11614E-2</v>
      </c>
      <c r="D83" s="173">
        <f>Calc!I90</f>
        <v>345143620044534.19</v>
      </c>
      <c r="E83" s="173">
        <f>Calc!P90</f>
        <v>3.7455708508607963E-5</v>
      </c>
      <c r="F83" s="174">
        <f>Calc!S90</f>
        <v>26698.00233660718</v>
      </c>
      <c r="G83" s="173">
        <f>Calc!O90</f>
        <v>345143620044534.19</v>
      </c>
      <c r="H83" s="177">
        <f>Calc!X90</f>
        <v>0.60597455851802351</v>
      </c>
      <c r="I83" s="178">
        <f>Calc!Y90</f>
        <v>1.0877241721069351</v>
      </c>
      <c r="J83" s="176">
        <f>Calc!AE90</f>
        <v>1580.0334961913168</v>
      </c>
    </row>
    <row r="84" spans="1:10" x14ac:dyDescent="0.2">
      <c r="A84" s="173">
        <f>Calc!A91</f>
        <v>8.2498999999999992E-3</v>
      </c>
      <c r="B84" s="173">
        <f>Calc!B91</f>
        <v>5.35652E-2</v>
      </c>
      <c r="C84" s="173">
        <f>Calc!C91</f>
        <v>1.06409E-2</v>
      </c>
      <c r="D84" s="173">
        <f>Calc!I91</f>
        <v>322060308056149.44</v>
      </c>
      <c r="E84" s="173">
        <f>Calc!P91</f>
        <v>3.6646979120590935E-5</v>
      </c>
      <c r="F84" s="174">
        <f>Calc!S91</f>
        <v>27287.206588994937</v>
      </c>
      <c r="G84" s="173">
        <f>Calc!O91</f>
        <v>322060308056149.44</v>
      </c>
      <c r="H84" s="177">
        <f>Calc!X91</f>
        <v>0.6040381082678884</v>
      </c>
      <c r="I84" s="178">
        <f>Calc!Y91</f>
        <v>1.0373754589580488</v>
      </c>
      <c r="J84" s="176">
        <f>Calc!AE91</f>
        <v>1581.7311368069122</v>
      </c>
    </row>
    <row r="85" spans="1:10" x14ac:dyDescent="0.2">
      <c r="A85" s="173">
        <f>Calc!A92</f>
        <v>8.3499000000000004E-3</v>
      </c>
      <c r="B85" s="173">
        <f>Calc!B92</f>
        <v>4.9981200000000003E-2</v>
      </c>
      <c r="C85" s="173">
        <f>Calc!C92</f>
        <v>1.0110600000000001E-2</v>
      </c>
      <c r="D85" s="173">
        <f>Calc!I92</f>
        <v>300178953382761.19</v>
      </c>
      <c r="E85" s="173">
        <f>Calc!P92</f>
        <v>3.5971055238887092E-5</v>
      </c>
      <c r="F85" s="174">
        <f>Calc!S92</f>
        <v>27799.980091492598</v>
      </c>
      <c r="G85" s="173">
        <f>Calc!O92</f>
        <v>300178953382761.19</v>
      </c>
      <c r="H85" s="177">
        <f>Calc!X92</f>
        <v>0.60207974773640849</v>
      </c>
      <c r="I85" s="178">
        <f>Calc!Y92</f>
        <v>0.98506300072860309</v>
      </c>
      <c r="J85" s="176">
        <f>Calc!AE92</f>
        <v>1583.399327645961</v>
      </c>
    </row>
    <row r="86" spans="1:10" x14ac:dyDescent="0.2">
      <c r="A86" s="173">
        <f>Calc!A93</f>
        <v>8.4498999999999998E-3</v>
      </c>
      <c r="B86" s="173">
        <f>Calc!B93</f>
        <v>4.66414E-2</v>
      </c>
      <c r="C86" s="173">
        <f>Calc!C93</f>
        <v>9.63112E-3</v>
      </c>
      <c r="D86" s="173">
        <f>Calc!I93</f>
        <v>279822303017929.69</v>
      </c>
      <c r="E86" s="173">
        <f>Calc!P93</f>
        <v>3.523730143192137E-5</v>
      </c>
      <c r="F86" s="174">
        <f>Calc!S93</f>
        <v>28378.887691713266</v>
      </c>
      <c r="G86" s="173">
        <f>Calc!O93</f>
        <v>279822303017929.69</v>
      </c>
      <c r="H86" s="177">
        <f>Calc!X93</f>
        <v>0.60013458958908394</v>
      </c>
      <c r="I86" s="178">
        <f>Calc!Y93</f>
        <v>0.93738204702302208</v>
      </c>
      <c r="J86" s="176">
        <f>Calc!AE93</f>
        <v>1585.0089577516499</v>
      </c>
    </row>
    <row r="87" spans="1:10" x14ac:dyDescent="0.2">
      <c r="A87" s="173">
        <f>Calc!A94</f>
        <v>8.5498999999999992E-3</v>
      </c>
      <c r="B87" s="173">
        <f>Calc!B94</f>
        <v>4.3902099999999999E-2</v>
      </c>
      <c r="C87" s="173">
        <f>Calc!C94</f>
        <v>9.1672500000000001E-3</v>
      </c>
      <c r="D87" s="173">
        <f>Calc!I94</f>
        <v>263150791129994.62</v>
      </c>
      <c r="E87" s="173">
        <f>Calc!P94</f>
        <v>3.4838464458459114E-5</v>
      </c>
      <c r="F87" s="174">
        <f>Calc!S94</f>
        <v>28703.790789423718</v>
      </c>
      <c r="G87" s="173">
        <f>Calc!O94</f>
        <v>263150791129994.62</v>
      </c>
      <c r="H87" s="177">
        <f>Calc!X94</f>
        <v>0.59844037675587169</v>
      </c>
      <c r="I87" s="178">
        <f>Calc!Y94</f>
        <v>0.8916257897557176</v>
      </c>
      <c r="J87" s="176">
        <f>Calc!AE94</f>
        <v>1586.3733711747959</v>
      </c>
    </row>
    <row r="88" spans="1:10" x14ac:dyDescent="0.2">
      <c r="A88" s="173">
        <f>Calc!A95</f>
        <v>8.6499000000000003E-3</v>
      </c>
      <c r="B88" s="173">
        <f>Calc!B95</f>
        <v>4.1153099999999998E-2</v>
      </c>
      <c r="C88" s="173">
        <f>Calc!C95</f>
        <v>8.7082700000000006E-3</v>
      </c>
      <c r="D88" s="173">
        <f>Calc!I95</f>
        <v>246443488890189.59</v>
      </c>
      <c r="E88" s="173">
        <f>Calc!P95</f>
        <v>3.4366041777960902E-5</v>
      </c>
      <c r="F88" s="174">
        <f>Calc!S95</f>
        <v>29098.391421037883</v>
      </c>
      <c r="G88" s="173">
        <f>Calc!O95</f>
        <v>246443488890189.59</v>
      </c>
      <c r="H88" s="177">
        <f>Calc!X95</f>
        <v>0.59663833643131381</v>
      </c>
      <c r="I88" s="178">
        <f>Calc!Y95</f>
        <v>0.84649574847609144</v>
      </c>
      <c r="J88" s="176">
        <f>Calc!AE95</f>
        <v>1587.7870922813411</v>
      </c>
    </row>
    <row r="89" spans="1:10" x14ac:dyDescent="0.2">
      <c r="A89" s="173">
        <f>Calc!A96</f>
        <v>8.7498999999999997E-3</v>
      </c>
      <c r="B89" s="173">
        <f>Calc!B96</f>
        <v>3.84187E-2</v>
      </c>
      <c r="C89" s="173">
        <f>Calc!C96</f>
        <v>8.2639299999999992E-3</v>
      </c>
      <c r="D89" s="173">
        <f>Calc!I96</f>
        <v>229848644493801.19</v>
      </c>
      <c r="E89" s="173">
        <f>Calc!P96</f>
        <v>3.3755177022192943E-5</v>
      </c>
      <c r="F89" s="174">
        <f>Calc!S96</f>
        <v>29624.997643039827</v>
      </c>
      <c r="G89" s="173">
        <f>Calc!O96</f>
        <v>229848644493801.19</v>
      </c>
      <c r="H89" s="177">
        <f>Calc!X96</f>
        <v>0.59473078350527631</v>
      </c>
      <c r="I89" s="178">
        <f>Calc!Y96</f>
        <v>0.80378242040008074</v>
      </c>
      <c r="J89" s="176">
        <f>Calc!AE96</f>
        <v>1589.2423709772554</v>
      </c>
    </row>
    <row r="90" spans="1:10" x14ac:dyDescent="0.2">
      <c r="A90" s="173">
        <f>Calc!A97</f>
        <v>8.8499000000000008E-3</v>
      </c>
      <c r="B90" s="173">
        <f>Calc!B97</f>
        <v>3.6114E-2</v>
      </c>
      <c r="C90" s="173">
        <f>Calc!C97</f>
        <v>7.8645199999999998E-3</v>
      </c>
      <c r="D90" s="173">
        <f>Calc!I97</f>
        <v>215880499904520.72</v>
      </c>
      <c r="E90" s="173">
        <f>Calc!P97</f>
        <v>3.335566586120904E-5</v>
      </c>
      <c r="F90" s="174">
        <f>Calc!S97</f>
        <v>29979.836818636828</v>
      </c>
      <c r="G90" s="173">
        <f>Calc!O97</f>
        <v>215880499904520.72</v>
      </c>
      <c r="H90" s="177">
        <f>Calc!X97</f>
        <v>0.59302151639338396</v>
      </c>
      <c r="I90" s="178">
        <f>Calc!Y97</f>
        <v>0.76397781414485311</v>
      </c>
      <c r="J90" s="176">
        <f>Calc!AE97</f>
        <v>1590.5111738386688</v>
      </c>
    </row>
    <row r="91" spans="1:10" x14ac:dyDescent="0.2">
      <c r="A91" s="173">
        <f>Calc!A98</f>
        <v>8.9499000000000002E-3</v>
      </c>
      <c r="B91" s="173">
        <f>Calc!B98</f>
        <v>3.3477300000000002E-2</v>
      </c>
      <c r="C91" s="173">
        <f>Calc!C98</f>
        <v>7.47585E-3</v>
      </c>
      <c r="D91" s="173">
        <f>Calc!I98</f>
        <v>199922015405089.12</v>
      </c>
      <c r="E91" s="173">
        <f>Calc!P98</f>
        <v>3.2492037086472368E-5</v>
      </c>
      <c r="F91" s="174">
        <f>Calc!S98</f>
        <v>30776.705121613955</v>
      </c>
      <c r="G91" s="173">
        <f>Calc!O98</f>
        <v>199922015405089.12</v>
      </c>
      <c r="H91" s="177">
        <f>Calc!X98</f>
        <v>0.59093546253024365</v>
      </c>
      <c r="I91" s="178">
        <f>Calc!Y98</f>
        <v>0.72630766498464405</v>
      </c>
      <c r="J91" s="176">
        <f>Calc!AE98</f>
        <v>1592.0156579879076</v>
      </c>
    </row>
    <row r="92" spans="1:10" x14ac:dyDescent="0.2">
      <c r="A92" s="173">
        <f>Calc!A99</f>
        <v>9.0498999999999996E-3</v>
      </c>
      <c r="B92" s="173">
        <f>Calc!B99</f>
        <v>3.1958800000000002E-2</v>
      </c>
      <c r="C92" s="173">
        <f>Calc!C99</f>
        <v>7.1086600000000002E-3</v>
      </c>
      <c r="D92" s="173">
        <f>Calc!I99</f>
        <v>190742228732375.16</v>
      </c>
      <c r="E92" s="173">
        <f>Calc!P99</f>
        <v>3.265901518759726E-5</v>
      </c>
      <c r="F92" s="174">
        <f>Calc!S99</f>
        <v>30619.356456739431</v>
      </c>
      <c r="G92" s="173">
        <f>Calc!O99</f>
        <v>190742228732375.16</v>
      </c>
      <c r="H92" s="177">
        <f>Calc!X99</f>
        <v>0.58966262082965948</v>
      </c>
      <c r="I92" s="178">
        <f>Calc!Y99</f>
        <v>0.68941497815607744</v>
      </c>
      <c r="J92" s="176">
        <f>Calc!AE99</f>
        <v>1592.9103869765834</v>
      </c>
    </row>
    <row r="93" spans="1:10" x14ac:dyDescent="0.2">
      <c r="A93" s="173">
        <f>Calc!A100</f>
        <v>9.1499000000000007E-3</v>
      </c>
      <c r="B93" s="173">
        <f>Calc!B100</f>
        <v>2.9331800000000002E-2</v>
      </c>
      <c r="C93" s="173">
        <f>Calc!C100</f>
        <v>6.7571000000000003E-3</v>
      </c>
      <c r="D93" s="173">
        <f>Calc!I100</f>
        <v>174880538270880.53</v>
      </c>
      <c r="E93" s="173">
        <f>Calc!P100</f>
        <v>3.1509427423595228E-5</v>
      </c>
      <c r="F93" s="174">
        <f>Calc!S100</f>
        <v>31736.482763786767</v>
      </c>
      <c r="G93" s="173">
        <f>Calc!O100</f>
        <v>174880538270880.53</v>
      </c>
      <c r="H93" s="177">
        <f>Calc!X100</f>
        <v>0.58731899946221355</v>
      </c>
      <c r="I93" s="178">
        <f>Calc!Y100</f>
        <v>0.65514573240358787</v>
      </c>
      <c r="J93" s="176">
        <f>Calc!AE100</f>
        <v>1594.5128168588744</v>
      </c>
    </row>
    <row r="94" spans="1:10" x14ac:dyDescent="0.2">
      <c r="A94" s="173">
        <f>Calc!A101</f>
        <v>9.2499000000000001E-3</v>
      </c>
      <c r="B94" s="173">
        <f>Calc!B101</f>
        <v>2.8413799999999999E-2</v>
      </c>
      <c r="C94" s="173">
        <f>Calc!C101</f>
        <v>6.4094399999999998E-3</v>
      </c>
      <c r="D94" s="173">
        <f>Calc!I101</f>
        <v>169343614768823.66</v>
      </c>
      <c r="E94" s="173">
        <f>Calc!P101</f>
        <v>3.2144934172618136E-5</v>
      </c>
      <c r="F94" s="174">
        <f>Calc!S101</f>
        <v>31109.053277088282</v>
      </c>
      <c r="G94" s="173">
        <f>Calc!O101</f>
        <v>169343614768823.66</v>
      </c>
      <c r="H94" s="177">
        <f>Calc!X101</f>
        <v>0.58645282913599683</v>
      </c>
      <c r="I94" s="178">
        <f>Calc!Y101</f>
        <v>0.62186087216233432</v>
      </c>
      <c r="J94" s="176">
        <f>Calc!AE101</f>
        <v>1595.0905788360067</v>
      </c>
    </row>
    <row r="95" spans="1:10" x14ac:dyDescent="0.2">
      <c r="A95" s="173">
        <f>Calc!A102</f>
        <v>9.3498999999999995E-3</v>
      </c>
      <c r="B95" s="173">
        <f>Calc!B102</f>
        <v>2.6070099999999999E-2</v>
      </c>
      <c r="C95" s="173">
        <f>Calc!C102</f>
        <v>6.06764E-3</v>
      </c>
      <c r="D95" s="173">
        <f>Calc!I102</f>
        <v>155221893486867.34</v>
      </c>
      <c r="E95" s="173">
        <f>Calc!P102</f>
        <v>3.114456264676092E-5</v>
      </c>
      <c r="F95" s="174">
        <f>Calc!S102</f>
        <v>32108.293370216757</v>
      </c>
      <c r="G95" s="173">
        <f>Calc!O102</f>
        <v>155221893486867.34</v>
      </c>
      <c r="H95" s="177">
        <f>Calc!X102</f>
        <v>0.58411451425514871</v>
      </c>
      <c r="I95" s="178">
        <f>Calc!Y102</f>
        <v>0.58831197271697977</v>
      </c>
      <c r="J95" s="176">
        <f>Calc!AE102</f>
        <v>1596.6122305172657</v>
      </c>
    </row>
    <row r="96" spans="1:10" x14ac:dyDescent="0.2">
      <c r="A96" s="173">
        <f>Calc!A103</f>
        <v>9.4499000000000007E-3</v>
      </c>
      <c r="B96" s="173">
        <f>Calc!B103</f>
        <v>2.4576000000000001E-2</v>
      </c>
      <c r="C96" s="173">
        <f>Calc!C103</f>
        <v>5.77467E-3</v>
      </c>
      <c r="D96" s="173">
        <f>Calc!I103</f>
        <v>146230382972537.91</v>
      </c>
      <c r="E96" s="173">
        <f>Calc!P103</f>
        <v>3.0787478328750295E-5</v>
      </c>
      <c r="F96" s="174">
        <f>Calc!S103</f>
        <v>32480.701942516927</v>
      </c>
      <c r="G96" s="173">
        <f>Calc!O103</f>
        <v>146230382972537.91</v>
      </c>
      <c r="H96" s="177">
        <f>Calc!X103</f>
        <v>0.58251677410671687</v>
      </c>
      <c r="I96" s="178">
        <f>Calc!Y103</f>
        <v>0.56066112577323479</v>
      </c>
      <c r="J96" s="176">
        <f>Calc!AE103</f>
        <v>1597.6206677829816</v>
      </c>
    </row>
    <row r="97" spans="1:10" x14ac:dyDescent="0.2">
      <c r="A97" s="173">
        <f>Calc!A104</f>
        <v>9.5499000000000001E-3</v>
      </c>
      <c r="B97" s="173">
        <f>Calc!B104</f>
        <v>2.2979300000000001E-2</v>
      </c>
      <c r="C97" s="173">
        <f>Calc!C104</f>
        <v>5.4787799999999999E-3</v>
      </c>
      <c r="D97" s="173">
        <f>Calc!I104</f>
        <v>136631237503737.08</v>
      </c>
      <c r="E97" s="173">
        <f>Calc!P104</f>
        <v>3.0369934518851165E-5</v>
      </c>
      <c r="F97" s="174">
        <f>Calc!S104</f>
        <v>32927.270825830514</v>
      </c>
      <c r="G97" s="173">
        <f>Calc!O104</f>
        <v>136631237503737.08</v>
      </c>
      <c r="H97" s="177">
        <f>Calc!X104</f>
        <v>0.58070316591383231</v>
      </c>
      <c r="I97" s="178">
        <f>Calc!Y104</f>
        <v>0.53105939064967589</v>
      </c>
      <c r="J97" s="176">
        <f>Calc!AE104</f>
        <v>1598.735349028884</v>
      </c>
    </row>
    <row r="98" spans="1:10" x14ac:dyDescent="0.2">
      <c r="A98" s="173">
        <f>Calc!A105</f>
        <v>9.6498999999999995E-3</v>
      </c>
      <c r="B98" s="173">
        <f>Calc!B105</f>
        <v>2.1548600000000001E-2</v>
      </c>
      <c r="C98" s="173">
        <f>Calc!C105</f>
        <v>5.2160799999999997E-3</v>
      </c>
      <c r="D98" s="173">
        <f>Calc!I105</f>
        <v>128038932779270.53</v>
      </c>
      <c r="E98" s="173">
        <f>Calc!P105</f>
        <v>2.9882594116431334E-5</v>
      </c>
      <c r="F98" s="174">
        <f>Calc!S105</f>
        <v>33464.269630647555</v>
      </c>
      <c r="G98" s="173">
        <f>Calc!O105</f>
        <v>128038932779270.53</v>
      </c>
      <c r="H98" s="177">
        <f>Calc!X105</f>
        <v>0.57897236527333062</v>
      </c>
      <c r="I98" s="178">
        <f>Calc!Y105</f>
        <v>0.505778886599488</v>
      </c>
      <c r="J98" s="176">
        <f>Calc!AE105</f>
        <v>1599.7700605654568</v>
      </c>
    </row>
    <row r="99" spans="1:10" x14ac:dyDescent="0.2">
      <c r="A99" s="173">
        <f>Calc!A106</f>
        <v>9.7499000000000006E-3</v>
      </c>
      <c r="B99" s="173">
        <f>Calc!B106</f>
        <v>2.0210700000000002E-2</v>
      </c>
      <c r="C99" s="173">
        <f>Calc!C106</f>
        <v>4.9279900000000001E-3</v>
      </c>
      <c r="D99" s="173">
        <f>Calc!I106</f>
        <v>120011777063942.03</v>
      </c>
      <c r="E99" s="173">
        <f>Calc!P106</f>
        <v>2.9605100556091088E-5</v>
      </c>
      <c r="F99" s="174">
        <f>Calc!S106</f>
        <v>33777.93938872531</v>
      </c>
      <c r="G99" s="173">
        <f>Calc!O106</f>
        <v>120011777063942.03</v>
      </c>
      <c r="H99" s="177">
        <f>Calc!X106</f>
        <v>0.57725083025120516</v>
      </c>
      <c r="I99" s="178">
        <f>Calc!Y106</f>
        <v>0.47851358566271834</v>
      </c>
      <c r="J99" s="176">
        <f>Calc!AE106</f>
        <v>1600.7717263055879</v>
      </c>
    </row>
    <row r="100" spans="1:10" x14ac:dyDescent="0.2">
      <c r="A100" s="173">
        <f>Calc!A107</f>
        <v>9.8499E-3</v>
      </c>
      <c r="B100" s="173">
        <f>Calc!B107</f>
        <v>1.8804499999999998E-2</v>
      </c>
      <c r="C100" s="173">
        <f>Calc!C107</f>
        <v>4.6799500000000004E-3</v>
      </c>
      <c r="D100" s="173">
        <f>Calc!I107</f>
        <v>111583246629406.37</v>
      </c>
      <c r="E100" s="173">
        <f>Calc!P107</f>
        <v>2.9003777401183148E-5</v>
      </c>
      <c r="F100" s="174">
        <f>Calc!S107</f>
        <v>34478.246978223426</v>
      </c>
      <c r="G100" s="173">
        <f>Calc!O107</f>
        <v>111583246629406.37</v>
      </c>
      <c r="H100" s="177">
        <f>Calc!X107</f>
        <v>0.57531880727382079</v>
      </c>
      <c r="I100" s="178">
        <f>Calc!Y107</f>
        <v>0.45413123821919804</v>
      </c>
      <c r="J100" s="176">
        <f>Calc!AE107</f>
        <v>1601.8639835983297</v>
      </c>
    </row>
    <row r="101" spans="1:10" x14ac:dyDescent="0.2">
      <c r="A101" s="173">
        <f>Calc!A108</f>
        <v>9.9498999999999994E-3</v>
      </c>
      <c r="B101" s="173">
        <f>Calc!B108</f>
        <v>1.71101E-2</v>
      </c>
      <c r="C101" s="173">
        <f>Calc!C108</f>
        <v>4.4270200000000003E-3</v>
      </c>
      <c r="D101" s="173">
        <f>Calc!I108</f>
        <v>101439175300212.94</v>
      </c>
      <c r="E101" s="173">
        <f>Calc!P108</f>
        <v>2.791572243596111E-5</v>
      </c>
      <c r="F101" s="174">
        <f>Calc!S108</f>
        <v>35822.090059060029</v>
      </c>
      <c r="G101" s="173">
        <f>Calc!O108</f>
        <v>101439175300212.94</v>
      </c>
      <c r="H101" s="177">
        <f>Calc!X108</f>
        <v>0.57279627720148618</v>
      </c>
      <c r="I101" s="178">
        <f>Calc!Y108</f>
        <v>0.42893727131957016</v>
      </c>
      <c r="J101" s="176">
        <f>Calc!AE108</f>
        <v>1603.2407458727159</v>
      </c>
    </row>
    <row r="102" spans="1:10" x14ac:dyDescent="0.2">
      <c r="A102" s="173">
        <f>Calc!A109</f>
        <v>1.00499E-2</v>
      </c>
      <c r="B102" s="173">
        <f>Calc!B109</f>
        <v>1.64265E-2</v>
      </c>
      <c r="C102" s="173">
        <f>Calc!C109</f>
        <v>4.1916699999999998E-3</v>
      </c>
      <c r="D102" s="173">
        <f>Calc!I109</f>
        <v>97350386454125.906</v>
      </c>
      <c r="E102" s="173">
        <f>Calc!P109</f>
        <v>2.8356443272224147E-5</v>
      </c>
      <c r="F102" s="174">
        <f>Calc!S109</f>
        <v>35265.337909160931</v>
      </c>
      <c r="G102" s="173">
        <f>Calc!O109</f>
        <v>97350386454125.906</v>
      </c>
      <c r="H102" s="177">
        <f>Calc!X109</f>
        <v>0.57170944425157855</v>
      </c>
      <c r="I102" s="178">
        <f>Calc!Y109</f>
        <v>0.40524985644032413</v>
      </c>
      <c r="J102" s="176">
        <f>Calc!AE109</f>
        <v>1603.8171367842535</v>
      </c>
    </row>
    <row r="103" spans="1:10" x14ac:dyDescent="0.2">
      <c r="A103" s="173">
        <f>Calc!A110</f>
        <v>1.01499E-2</v>
      </c>
      <c r="B103" s="173">
        <f>Calc!B110</f>
        <v>1.5542800000000001E-2</v>
      </c>
      <c r="C103" s="173">
        <f>Calc!C110</f>
        <v>3.9436200000000001E-3</v>
      </c>
      <c r="D103" s="173">
        <f>Calc!I110</f>
        <v>92068090527304.703</v>
      </c>
      <c r="E103" s="173">
        <f>Calc!P110</f>
        <v>2.8549627095401554E-5</v>
      </c>
      <c r="F103" s="174">
        <f>Calc!S110</f>
        <v>35026.713131323988</v>
      </c>
      <c r="G103" s="173">
        <f>Calc!O110</f>
        <v>92068090527304.703</v>
      </c>
      <c r="H103" s="177">
        <f>Calc!X110</f>
        <v>0.57023759236645599</v>
      </c>
      <c r="I103" s="178">
        <f>Calc!Y110</f>
        <v>0.38066736203193813</v>
      </c>
      <c r="J103" s="176">
        <f>Calc!AE110</f>
        <v>1604.5819784391138</v>
      </c>
    </row>
    <row r="104" spans="1:10" x14ac:dyDescent="0.2">
      <c r="A104" s="173">
        <f>Calc!A111</f>
        <v>1.0249899999999999E-2</v>
      </c>
      <c r="B104" s="173">
        <f>Calc!B111</f>
        <v>1.4663799999999999E-2</v>
      </c>
      <c r="C104" s="173">
        <f>Calc!C111</f>
        <v>3.7649099999999998E-3</v>
      </c>
      <c r="D104" s="173">
        <f>Calc!I111</f>
        <v>86817723900723.391</v>
      </c>
      <c r="E104" s="173">
        <f>Calc!P111</f>
        <v>2.8092835361310969E-5</v>
      </c>
      <c r="F104" s="174">
        <f>Calc!S111</f>
        <v>35596.252056534344</v>
      </c>
      <c r="G104" s="173">
        <f>Calc!O111</f>
        <v>86817723900723.391</v>
      </c>
      <c r="H104" s="177">
        <f>Calc!X111</f>
        <v>0.56869066163698057</v>
      </c>
      <c r="I104" s="178">
        <f>Calc!Y111</f>
        <v>0.36479574850997648</v>
      </c>
      <c r="J104" s="176">
        <f>Calc!AE111</f>
        <v>1605.3666876490347</v>
      </c>
    </row>
    <row r="105" spans="1:10" x14ac:dyDescent="0.2">
      <c r="A105" s="173">
        <f>Calc!A112</f>
        <v>1.03499E-2</v>
      </c>
      <c r="B105" s="173">
        <f>Calc!B112</f>
        <v>1.37801E-2</v>
      </c>
      <c r="C105" s="173">
        <f>Calc!C112</f>
        <v>3.5451800000000002E-3</v>
      </c>
      <c r="D105" s="173">
        <f>Calc!I112</f>
        <v>81543252505206.406</v>
      </c>
      <c r="E105" s="173">
        <f>Calc!P112</f>
        <v>2.7970530431852167E-5</v>
      </c>
      <c r="F105" s="174">
        <f>Calc!S112</f>
        <v>35751.903014572315</v>
      </c>
      <c r="G105" s="173">
        <f>Calc!O112</f>
        <v>81543252505206.406</v>
      </c>
      <c r="H105" s="177">
        <f>Calc!X112</f>
        <v>0.56704177445483328</v>
      </c>
      <c r="I105" s="178">
        <f>Calc!Y112</f>
        <v>0.34413137852968662</v>
      </c>
      <c r="J105" s="176">
        <f>Calc!AE112</f>
        <v>1606.1819794182402</v>
      </c>
    </row>
    <row r="106" spans="1:10" x14ac:dyDescent="0.2">
      <c r="A106" s="173">
        <f>Calc!A113</f>
        <v>1.04499E-2</v>
      </c>
      <c r="B106" s="173">
        <f>Calc!B113</f>
        <v>1.2305399999999999E-2</v>
      </c>
      <c r="C106" s="173">
        <f>Calc!C113</f>
        <v>3.3469400000000001E-3</v>
      </c>
      <c r="D106" s="173">
        <f>Calc!I113</f>
        <v>72750533376528.969</v>
      </c>
      <c r="E106" s="173">
        <f>Calc!P113</f>
        <v>2.6462251246038563E-5</v>
      </c>
      <c r="F106" s="174">
        <f>Calc!S113</f>
        <v>37789.670962258562</v>
      </c>
      <c r="G106" s="173">
        <f>Calc!O113</f>
        <v>72750533376528.969</v>
      </c>
      <c r="H106" s="177">
        <f>Calc!X113</f>
        <v>0.56404595328991725</v>
      </c>
      <c r="I106" s="178">
        <f>Calc!Y113</f>
        <v>0.32452364082472746</v>
      </c>
      <c r="J106" s="176">
        <f>Calc!AE113</f>
        <v>1607.609058768551</v>
      </c>
    </row>
    <row r="107" spans="1:10" x14ac:dyDescent="0.2">
      <c r="A107" s="173">
        <f>Calc!A114</f>
        <v>1.0549899999999999E-2</v>
      </c>
      <c r="B107" s="173">
        <f>Calc!B114</f>
        <v>1.15633E-2</v>
      </c>
      <c r="C107" s="173">
        <f>Calc!C114</f>
        <v>3.1750599999999999E-3</v>
      </c>
      <c r="D107" s="173">
        <f>Calc!I114</f>
        <v>68330384461342.867</v>
      </c>
      <c r="E107" s="173">
        <f>Calc!P114</f>
        <v>2.624775443863545E-5</v>
      </c>
      <c r="F107" s="174">
        <f>Calc!S114</f>
        <v>38098.48948799869</v>
      </c>
      <c r="G107" s="173">
        <f>Calc!O114</f>
        <v>68330384461342.867</v>
      </c>
      <c r="H107" s="177">
        <f>Calc!X114</f>
        <v>0.5624030936838269</v>
      </c>
      <c r="I107" s="178">
        <f>Calc!Y114</f>
        <v>0.30729723771666029</v>
      </c>
      <c r="J107" s="176">
        <f>Calc!AE114</f>
        <v>1608.3628370616379</v>
      </c>
    </row>
    <row r="108" spans="1:10" x14ac:dyDescent="0.2">
      <c r="A108" s="173">
        <f>Calc!A115</f>
        <v>1.06499E-2</v>
      </c>
      <c r="B108" s="173">
        <f>Calc!B115</f>
        <v>1.1158E-2</v>
      </c>
      <c r="C108" s="173">
        <f>Calc!C115</f>
        <v>2.98073E-3</v>
      </c>
      <c r="D108" s="173">
        <f>Calc!I115</f>
        <v>65917635903148.453</v>
      </c>
      <c r="E108" s="173">
        <f>Calc!P115</f>
        <v>2.7008636484212648E-5</v>
      </c>
      <c r="F108" s="174">
        <f>Calc!S115</f>
        <v>37025.186583310009</v>
      </c>
      <c r="G108" s="173">
        <f>Calc!O115</f>
        <v>65917635903148.453</v>
      </c>
      <c r="H108" s="177">
        <f>Calc!X115</f>
        <v>0.5614617823452569</v>
      </c>
      <c r="I108" s="178">
        <f>Calc!Y115</f>
        <v>0.28809512544353083</v>
      </c>
      <c r="J108" s="176">
        <f>Calc!AE115</f>
        <v>1608.7857782604724</v>
      </c>
    </row>
    <row r="109" spans="1:10" x14ac:dyDescent="0.2">
      <c r="A109" s="173">
        <f>Calc!A116</f>
        <v>1.07499E-2</v>
      </c>
      <c r="B109" s="173">
        <f>Calc!B116</f>
        <v>1.03719E-2</v>
      </c>
      <c r="C109" s="173">
        <f>Calc!C116</f>
        <v>2.8362000000000001E-3</v>
      </c>
      <c r="D109" s="173">
        <f>Calc!I116</f>
        <v>61240740357200.008</v>
      </c>
      <c r="E109" s="173">
        <f>Calc!P116</f>
        <v>2.6361150690447856E-5</v>
      </c>
      <c r="F109" s="174">
        <f>Calc!S116</f>
        <v>37934.604889818125</v>
      </c>
      <c r="G109" s="173">
        <f>Calc!O116</f>
        <v>61240740357200.008</v>
      </c>
      <c r="H109" s="177">
        <f>Calc!X116</f>
        <v>0.55953664162588346</v>
      </c>
      <c r="I109" s="178">
        <f>Calc!Y116</f>
        <v>0.27422876962111514</v>
      </c>
      <c r="J109" s="176">
        <f>Calc!AE116</f>
        <v>1609.630893452435</v>
      </c>
    </row>
    <row r="110" spans="1:10" x14ac:dyDescent="0.2">
      <c r="A110" s="173">
        <f>Calc!A117</f>
        <v>1.0849900000000001E-2</v>
      </c>
      <c r="B110" s="173">
        <f>Calc!B117</f>
        <v>9.4392399999999998E-3</v>
      </c>
      <c r="C110" s="173">
        <f>Calc!C117</f>
        <v>2.68483E-3</v>
      </c>
      <c r="D110" s="173">
        <f>Calc!I117</f>
        <v>55696763141405.68</v>
      </c>
      <c r="E110" s="173">
        <f>Calc!P117</f>
        <v>2.5360849183023939E-5</v>
      </c>
      <c r="F110" s="174">
        <f>Calc!S117</f>
        <v>39430.851159069389</v>
      </c>
      <c r="G110" s="173">
        <f>Calc!O117</f>
        <v>55696763141405.68</v>
      </c>
      <c r="H110" s="177">
        <f>Calc!X117</f>
        <v>0.5570579127111559</v>
      </c>
      <c r="I110" s="178">
        <f>Calc!Y117</f>
        <v>0.25924065594601092</v>
      </c>
      <c r="J110" s="176">
        <f>Calc!AE117</f>
        <v>1610.6807260412834</v>
      </c>
    </row>
    <row r="111" spans="1:10" x14ac:dyDescent="0.2">
      <c r="A111" s="173">
        <f>Calc!A118</f>
        <v>1.09499E-2</v>
      </c>
      <c r="B111" s="173">
        <f>Calc!B118</f>
        <v>9.0535000000000008E-3</v>
      </c>
      <c r="C111" s="173">
        <f>Calc!C118</f>
        <v>2.5481100000000001E-3</v>
      </c>
      <c r="D111" s="173">
        <f>Calc!I118</f>
        <v>53405426216695.492</v>
      </c>
      <c r="E111" s="173">
        <f>Calc!P118</f>
        <v>2.5611146541610809E-5</v>
      </c>
      <c r="F111" s="174">
        <f>Calc!S118</f>
        <v>39045.494395106027</v>
      </c>
      <c r="G111" s="173">
        <f>Calc!O118</f>
        <v>53405426216695.492</v>
      </c>
      <c r="H111" s="177">
        <f>Calc!X118</f>
        <v>0.55596172426447954</v>
      </c>
      <c r="I111" s="178">
        <f>Calc!Y118</f>
        <v>0.24614629934089965</v>
      </c>
      <c r="J111" s="176">
        <f>Calc!AE118</f>
        <v>1611.131616865182</v>
      </c>
    </row>
    <row r="112" spans="1:10" x14ac:dyDescent="0.2">
      <c r="A112" s="173">
        <f>Calc!A119</f>
        <v>1.10499E-2</v>
      </c>
      <c r="B112" s="173">
        <f>Calc!B119</f>
        <v>8.8777200000000004E-3</v>
      </c>
      <c r="C112" s="173">
        <f>Calc!C119</f>
        <v>2.3967400000000001E-3</v>
      </c>
      <c r="D112" s="173">
        <f>Calc!I119</f>
        <v>52361593934624.164</v>
      </c>
      <c r="E112" s="173">
        <f>Calc!P119</f>
        <v>2.662577966943845E-5</v>
      </c>
      <c r="F112" s="174">
        <f>Calc!S119</f>
        <v>37557.581082456316</v>
      </c>
      <c r="G112" s="173">
        <f>Calc!O119</f>
        <v>52361593934624.164</v>
      </c>
      <c r="H112" s="177">
        <f>Calc!X119</f>
        <v>0.5554469001834984</v>
      </c>
      <c r="I112" s="178">
        <f>Calc!Y119</f>
        <v>0.23213865883792889</v>
      </c>
      <c r="J112" s="176">
        <f>Calc!AE119</f>
        <v>1611.3406009472731</v>
      </c>
    </row>
    <row r="113" spans="1:10" x14ac:dyDescent="0.2">
      <c r="A113" s="173">
        <f>Calc!A120</f>
        <v>1.1149900000000001E-2</v>
      </c>
      <c r="B113" s="173">
        <f>Calc!B120</f>
        <v>7.7839700000000003E-3</v>
      </c>
      <c r="C113" s="173">
        <f>Calc!C120</f>
        <v>2.2395200000000001E-3</v>
      </c>
      <c r="D113" s="173">
        <f>Calc!I120</f>
        <v>45871238490847.719</v>
      </c>
      <c r="E113" s="173">
        <f>Calc!P120</f>
        <v>2.4960567849316368E-5</v>
      </c>
      <c r="F113" s="174">
        <f>Calc!S120</f>
        <v>40063.187618628042</v>
      </c>
      <c r="G113" s="173">
        <f>Calc!O120</f>
        <v>45871238490847.719</v>
      </c>
      <c r="H113" s="177">
        <f>Calc!X120</f>
        <v>0.55199909699270966</v>
      </c>
      <c r="I113" s="178">
        <f>Calc!Y120</f>
        <v>0.21693166578485382</v>
      </c>
      <c r="J113" s="176">
        <f>Calc!AE120</f>
        <v>1612.6955671613825</v>
      </c>
    </row>
    <row r="114" spans="1:10" x14ac:dyDescent="0.2">
      <c r="A114" s="173">
        <f>Calc!A121</f>
        <v>1.12499E-2</v>
      </c>
      <c r="B114" s="173">
        <f>Calc!B121</f>
        <v>6.9343599999999997E-3</v>
      </c>
      <c r="C114" s="173">
        <f>Calc!C121</f>
        <v>2.11159E-3</v>
      </c>
      <c r="D114" s="173">
        <f>Calc!I121</f>
        <v>40835400696294.141</v>
      </c>
      <c r="E114" s="173">
        <f>Calc!P121</f>
        <v>2.361878279391079E-5</v>
      </c>
      <c r="F114" s="174">
        <f>Calc!S121</f>
        <v>42339.1816312679</v>
      </c>
      <c r="G114" s="173">
        <f>Calc!O121</f>
        <v>40835400696294.141</v>
      </c>
      <c r="H114" s="177">
        <f>Calc!X121</f>
        <v>0.54897423964810077</v>
      </c>
      <c r="I114" s="178">
        <f>Calc!Y121</f>
        <v>0.20408742946304223</v>
      </c>
      <c r="J114" s="176">
        <f>Calc!AE121</f>
        <v>1613.8225632424089</v>
      </c>
    </row>
    <row r="115" spans="1:10" x14ac:dyDescent="0.2">
      <c r="A115" s="173">
        <f>Calc!A122</f>
        <v>1.13499E-2</v>
      </c>
      <c r="B115" s="173">
        <f>Calc!B122</f>
        <v>7.0759600000000001E-3</v>
      </c>
      <c r="C115" s="173">
        <f>Calc!C122</f>
        <v>1.9924500000000002E-3</v>
      </c>
      <c r="D115" s="173">
        <f>Calc!I122</f>
        <v>41674331537726.102</v>
      </c>
      <c r="E115" s="173">
        <f>Calc!P122</f>
        <v>2.5657299800381062E-5</v>
      </c>
      <c r="F115" s="174">
        <f>Calc!S122</f>
        <v>38975.259821184627</v>
      </c>
      <c r="G115" s="173">
        <f>Calc!O122</f>
        <v>41674331537726.102</v>
      </c>
      <c r="H115" s="177">
        <f>Calc!X122</f>
        <v>0.54950290539271263</v>
      </c>
      <c r="I115" s="178">
        <f>Calc!Y122</f>
        <v>0.19173201655752348</v>
      </c>
      <c r="J115" s="176">
        <f>Calc!AE122</f>
        <v>1613.6296339607334</v>
      </c>
    </row>
    <row r="116" spans="1:10" x14ac:dyDescent="0.2">
      <c r="A116" s="173">
        <f>Calc!A123</f>
        <v>1.1449900000000001E-2</v>
      </c>
      <c r="B116" s="173">
        <f>Calc!B123</f>
        <v>6.7732199999999999E-3</v>
      </c>
      <c r="C116" s="173">
        <f>Calc!C123</f>
        <v>1.87721E-3</v>
      </c>
      <c r="D116" s="173">
        <f>Calc!I123</f>
        <v>39880884453594.289</v>
      </c>
      <c r="E116" s="173">
        <f>Calc!P123</f>
        <v>2.5973047518680329E-5</v>
      </c>
      <c r="F116" s="174">
        <f>Calc!S123</f>
        <v>38501.447729867286</v>
      </c>
      <c r="G116" s="173">
        <f>Calc!O123</f>
        <v>39880884453594.289</v>
      </c>
      <c r="H116" s="177">
        <f>Calc!X123</f>
        <v>0.548359519363116</v>
      </c>
      <c r="I116" s="178">
        <f>Calc!Y123</f>
        <v>0.18125033488169603</v>
      </c>
      <c r="J116" s="176">
        <f>Calc!AE123</f>
        <v>1614.0447841882135</v>
      </c>
    </row>
    <row r="117" spans="1:10" x14ac:dyDescent="0.2">
      <c r="A117" s="173">
        <f>Calc!A124</f>
        <v>1.15499E-2</v>
      </c>
      <c r="B117" s="173">
        <f>Calc!B124</f>
        <v>6.1433399999999997E-3</v>
      </c>
      <c r="C117" s="173">
        <f>Calc!C124</f>
        <v>1.7785800000000001E-3</v>
      </c>
      <c r="D117" s="173">
        <f>Calc!I124</f>
        <v>36151684595876.445</v>
      </c>
      <c r="E117" s="173">
        <f>Calc!P124</f>
        <v>2.4755467233764421E-5</v>
      </c>
      <c r="F117" s="174">
        <f>Calc!S124</f>
        <v>40395.115020427264</v>
      </c>
      <c r="G117" s="173">
        <f>Calc!O124</f>
        <v>36151684595876.445</v>
      </c>
      <c r="H117" s="177">
        <f>Calc!X124</f>
        <v>0.54580970560473552</v>
      </c>
      <c r="I117" s="178">
        <f>Calc!Y124</f>
        <v>0.17238296971775677</v>
      </c>
      <c r="J117" s="176">
        <f>Calc!AE124</f>
        <v>1614.9427315821879</v>
      </c>
    </row>
    <row r="118" spans="1:10" x14ac:dyDescent="0.2">
      <c r="A118" s="173">
        <f>Calc!A125</f>
        <v>1.1649899999999999E-2</v>
      </c>
      <c r="B118" s="173">
        <f>Calc!B125</f>
        <v>5.3425599999999997E-3</v>
      </c>
      <c r="C118" s="173">
        <f>Calc!C125</f>
        <v>1.6379599999999999E-3</v>
      </c>
      <c r="D118" s="173">
        <f>Calc!I125</f>
        <v>31415259158203.598</v>
      </c>
      <c r="E118" s="173">
        <f>Calc!P125</f>
        <v>2.3352476411595266E-5</v>
      </c>
      <c r="F118" s="174">
        <f>Calc!S125</f>
        <v>42822.009285724489</v>
      </c>
      <c r="G118" s="173">
        <f>Calc!O125</f>
        <v>31415259158203.598</v>
      </c>
      <c r="H118" s="177">
        <f>Calc!X125</f>
        <v>0.54216679500306764</v>
      </c>
      <c r="I118" s="178">
        <f>Calc!Y125</f>
        <v>0.15879786207944743</v>
      </c>
      <c r="J118" s="176">
        <f>Calc!AE125</f>
        <v>1616.16130992231</v>
      </c>
    </row>
    <row r="119" spans="1:10" x14ac:dyDescent="0.2">
      <c r="A119" s="173">
        <f>Calc!A126</f>
        <v>1.1749900000000001E-2</v>
      </c>
      <c r="B119" s="173">
        <f>Calc!B126</f>
        <v>5.37186E-3</v>
      </c>
      <c r="C119" s="173">
        <f>Calc!C126</f>
        <v>1.5598299999999999E-3</v>
      </c>
      <c r="D119" s="173">
        <f>Calc!I126</f>
        <v>31588467435731.73</v>
      </c>
      <c r="E119" s="173">
        <f>Calc!P126</f>
        <v>2.4707206494496065E-5</v>
      </c>
      <c r="F119" s="174">
        <f>Calc!S126</f>
        <v>40474.019565819857</v>
      </c>
      <c r="G119" s="173">
        <f>Calc!O126</f>
        <v>31588467435731.73</v>
      </c>
      <c r="H119" s="177">
        <f>Calc!X126</f>
        <v>0.54230933858615127</v>
      </c>
      <c r="I119" s="178">
        <f>Calc!Y126</f>
        <v>0.15091828365870197</v>
      </c>
      <c r="J119" s="176">
        <f>Calc!AE126</f>
        <v>1616.1150073358617</v>
      </c>
    </row>
    <row r="120" spans="1:10" x14ac:dyDescent="0.2">
      <c r="A120" s="173">
        <f>Calc!A127</f>
        <v>1.18499E-2</v>
      </c>
      <c r="B120" s="173">
        <f>Calc!B127</f>
        <v>4.89822E-3</v>
      </c>
      <c r="C120" s="173">
        <f>Calc!C127</f>
        <v>1.44948E-3</v>
      </c>
      <c r="D120" s="173">
        <f>Calc!I127</f>
        <v>28789437483475.242</v>
      </c>
      <c r="E120" s="173">
        <f>Calc!P127</f>
        <v>2.4345885832039796E-5</v>
      </c>
      <c r="F120" s="174">
        <f>Calc!S127</f>
        <v>41074.700399170892</v>
      </c>
      <c r="G120" s="173">
        <f>Calc!O127</f>
        <v>28789437483475.242</v>
      </c>
      <c r="H120" s="177">
        <f>Calc!X127</f>
        <v>0.5399048655282318</v>
      </c>
      <c r="I120" s="178">
        <f>Calc!Y127</f>
        <v>0.13958686216375638</v>
      </c>
      <c r="J120" s="176">
        <f>Calc!AE127</f>
        <v>1616.8814694807925</v>
      </c>
    </row>
    <row r="121" spans="1:10" x14ac:dyDescent="0.2">
      <c r="A121" s="173">
        <f>Calc!A128</f>
        <v>1.1949899999999999E-2</v>
      </c>
      <c r="B121" s="173">
        <f>Calc!B128</f>
        <v>4.4294699999999996E-3</v>
      </c>
      <c r="C121" s="173">
        <f>Calc!C128</f>
        <v>1.3567099999999999E-3</v>
      </c>
      <c r="D121" s="173">
        <f>Calc!I128</f>
        <v>26021287880620.437</v>
      </c>
      <c r="E121" s="173">
        <f>Calc!P128</f>
        <v>2.3484706051963288E-5</v>
      </c>
      <c r="F121" s="174">
        <f>Calc!S128</f>
        <v>42580.902285537923</v>
      </c>
      <c r="G121" s="173">
        <f>Calc!O128</f>
        <v>26021287880620.437</v>
      </c>
      <c r="H121" s="177">
        <f>Calc!X128</f>
        <v>0.53728712041583393</v>
      </c>
      <c r="I121" s="178">
        <f>Calc!Y128</f>
        <v>0.13079182665905034</v>
      </c>
      <c r="J121" s="176">
        <f>Calc!AE128</f>
        <v>1617.6815299395305</v>
      </c>
    </row>
    <row r="122" spans="1:10" x14ac:dyDescent="0.2">
      <c r="A122" s="173">
        <f>Calc!A129</f>
        <v>1.2049900000000001E-2</v>
      </c>
      <c r="B122" s="173">
        <f>Calc!B129</f>
        <v>4.4831799999999998E-3</v>
      </c>
      <c r="C122" s="173">
        <f>Calc!C129</f>
        <v>1.26881E-3</v>
      </c>
      <c r="D122" s="173">
        <f>Calc!I129</f>
        <v>26338362800261.676</v>
      </c>
      <c r="E122" s="173">
        <f>Calc!P129</f>
        <v>2.5505333021583794E-5</v>
      </c>
      <c r="F122" s="174">
        <f>Calc!S129</f>
        <v>39207.485343668923</v>
      </c>
      <c r="G122" s="173">
        <f>Calc!O129</f>
        <v>26338362800261.676</v>
      </c>
      <c r="H122" s="177">
        <f>Calc!X129</f>
        <v>0.53760063289881366</v>
      </c>
      <c r="I122" s="178">
        <f>Calc!Y129</f>
        <v>0.12189747891143866</v>
      </c>
      <c r="J122" s="176">
        <f>Calc!AE129</f>
        <v>1617.5875551407262</v>
      </c>
    </row>
    <row r="123" spans="1:10" x14ac:dyDescent="0.2">
      <c r="A123" s="173">
        <f>Calc!A130</f>
        <v>1.21499E-2</v>
      </c>
      <c r="B123" s="173">
        <f>Calc!B130</f>
        <v>4.2341599999999998E-3</v>
      </c>
      <c r="C123" s="173">
        <f>Calc!C130</f>
        <v>1.1643199999999999E-3</v>
      </c>
      <c r="D123" s="173">
        <f>Calc!I130</f>
        <v>24868514243065.34</v>
      </c>
      <c r="E123" s="173">
        <f>Calc!P130</f>
        <v>2.6288624061976838E-5</v>
      </c>
      <c r="F123" s="174">
        <f>Calc!S130</f>
        <v>38039.266363052731</v>
      </c>
      <c r="G123" s="173">
        <f>Calc!O130</f>
        <v>24868514243065.34</v>
      </c>
      <c r="H123" s="177">
        <f>Calc!X130</f>
        <v>0.53611443884544396</v>
      </c>
      <c r="I123" s="178">
        <f>Calc!Y130</f>
        <v>0.11166547815882592</v>
      </c>
      <c r="J123" s="176">
        <f>Calc!AE130</f>
        <v>1618.0286772794341</v>
      </c>
    </row>
    <row r="124" spans="1:10" x14ac:dyDescent="0.2">
      <c r="A124" s="173">
        <f>Calc!A131</f>
        <v>1.2249899999999999E-2</v>
      </c>
      <c r="B124" s="173">
        <f>Calc!B131</f>
        <v>4.0388500000000001E-3</v>
      </c>
      <c r="C124" s="173">
        <f>Calc!C131</f>
        <v>1.08913E-3</v>
      </c>
      <c r="D124" s="173">
        <f>Calc!I131</f>
        <v>23716110371072.23</v>
      </c>
      <c r="E124" s="173">
        <f>Calc!P131</f>
        <v>2.6717239875483004E-5</v>
      </c>
      <c r="F124" s="174">
        <f>Calc!S131</f>
        <v>37429.015112166184</v>
      </c>
      <c r="G124" s="173">
        <f>Calc!O131</f>
        <v>23716110371072.23</v>
      </c>
      <c r="H124" s="177">
        <f>Calc!X131</f>
        <v>0.534886896599155</v>
      </c>
      <c r="I124" s="178">
        <f>Calc!Y131</f>
        <v>0.10478251533099911</v>
      </c>
      <c r="J124" s="176">
        <f>Calc!AE131</f>
        <v>1618.3847941395015</v>
      </c>
    </row>
    <row r="125" spans="1:10" x14ac:dyDescent="0.2">
      <c r="A125" s="173">
        <f>Calc!A132</f>
        <v>1.23499E-2</v>
      </c>
      <c r="B125" s="173">
        <f>Calc!B132</f>
        <v>3.9118900000000003E-3</v>
      </c>
      <c r="C125" s="173">
        <f>Calc!C132</f>
        <v>1.01881E-3</v>
      </c>
      <c r="D125" s="173">
        <f>Calc!I132</f>
        <v>22967200436590.008</v>
      </c>
      <c r="E125" s="173">
        <f>Calc!P132</f>
        <v>0</v>
      </c>
      <c r="F125" s="174">
        <f>Calc!S132</f>
        <v>0</v>
      </c>
      <c r="G125" s="173">
        <f>Calc!O132</f>
        <v>22967200436590.008</v>
      </c>
      <c r="H125" s="177">
        <f>Calc!X132</f>
        <v>0.53405697650327488</v>
      </c>
      <c r="I125" s="178" t="str">
        <f>Calc!Y132</f>
        <v/>
      </c>
      <c r="J125" s="176">
        <f>Calc!AE132</f>
        <v>1618.6214152397636</v>
      </c>
    </row>
    <row r="126" spans="1:10" x14ac:dyDescent="0.2">
      <c r="A126" s="173">
        <f>Calc!A133</f>
        <v>1.24499E-2</v>
      </c>
      <c r="B126" s="173">
        <f>Calc!B133</f>
        <v>3.7165800000000001E-3</v>
      </c>
      <c r="C126" s="173">
        <f>Calc!C133</f>
        <v>9.5338499999999995E-4</v>
      </c>
      <c r="D126" s="173">
        <f>Calc!I133</f>
        <v>21815427621230.598</v>
      </c>
      <c r="E126" s="173">
        <f>Calc!P133</f>
        <v>0</v>
      </c>
      <c r="F126" s="174">
        <f>Calc!S133</f>
        <v>0</v>
      </c>
      <c r="G126" s="173">
        <f>Calc!O133</f>
        <v>21815427621230.598</v>
      </c>
      <c r="H126" s="177">
        <f>Calc!X133</f>
        <v>0.53272662832702478</v>
      </c>
      <c r="I126" s="178" t="str">
        <f>Calc!Y133</f>
        <v/>
      </c>
      <c r="J126" s="176">
        <f>Calc!AE133</f>
        <v>1618.9938636482534</v>
      </c>
    </row>
    <row r="127" spans="1:10" x14ac:dyDescent="0.2">
      <c r="A127" s="175"/>
      <c r="B127" s="175"/>
      <c r="C127" s="175"/>
      <c r="D127" s="175"/>
      <c r="E127" s="175"/>
      <c r="F127" s="175"/>
      <c r="G127" s="175"/>
      <c r="H127" s="175"/>
      <c r="I127" s="175"/>
      <c r="J127" s="175"/>
    </row>
    <row r="128" spans="1:10" x14ac:dyDescent="0.2">
      <c r="A128" s="175"/>
      <c r="B128" s="175"/>
      <c r="C128" s="175"/>
      <c r="D128" s="175"/>
      <c r="E128" s="175"/>
      <c r="F128" s="175"/>
      <c r="G128" s="175"/>
      <c r="H128" s="175"/>
      <c r="I128" s="175"/>
      <c r="J128" s="175"/>
    </row>
    <row r="129" spans="1:10" x14ac:dyDescent="0.2">
      <c r="A129" s="175"/>
      <c r="B129" s="175"/>
      <c r="C129" s="175"/>
      <c r="D129" s="175"/>
      <c r="E129" s="175"/>
      <c r="F129" s="175"/>
      <c r="G129" s="175"/>
      <c r="H129" s="175"/>
      <c r="I129" s="175"/>
      <c r="J129" s="175"/>
    </row>
    <row r="130" spans="1:10" x14ac:dyDescent="0.2">
      <c r="A130" s="175"/>
      <c r="B130" s="175"/>
      <c r="C130" s="175"/>
      <c r="D130" s="175"/>
      <c r="E130" s="175"/>
      <c r="F130" s="175"/>
      <c r="G130" s="175"/>
      <c r="H130" s="175"/>
      <c r="I130" s="175"/>
      <c r="J130" s="175"/>
    </row>
    <row r="131" spans="1:10" x14ac:dyDescent="0.2">
      <c r="A131" s="175"/>
      <c r="B131" s="175"/>
      <c r="C131" s="175"/>
      <c r="D131" s="175"/>
      <c r="E131" s="175"/>
      <c r="F131" s="175"/>
      <c r="G131" s="175"/>
      <c r="H131" s="175"/>
      <c r="I131" s="175"/>
      <c r="J131" s="175"/>
    </row>
    <row r="132" spans="1:10" x14ac:dyDescent="0.2">
      <c r="A132" s="175"/>
      <c r="B132" s="175"/>
      <c r="C132" s="175"/>
      <c r="D132" s="175"/>
      <c r="E132" s="175"/>
      <c r="F132" s="175"/>
      <c r="G132" s="175"/>
      <c r="H132" s="175"/>
      <c r="I132" s="175"/>
      <c r="J132" s="175"/>
    </row>
    <row r="133" spans="1:10" x14ac:dyDescent="0.2">
      <c r="A133" s="175"/>
      <c r="B133" s="175"/>
      <c r="C133" s="175"/>
      <c r="D133" s="175"/>
      <c r="E133" s="175"/>
      <c r="F133" s="175"/>
      <c r="G133" s="175"/>
      <c r="H133" s="175"/>
      <c r="I133" s="175"/>
      <c r="J133" s="175"/>
    </row>
    <row r="134" spans="1:10" x14ac:dyDescent="0.2">
      <c r="A134" s="175"/>
      <c r="B134" s="175"/>
      <c r="C134" s="175"/>
      <c r="D134" s="175"/>
      <c r="E134" s="175"/>
      <c r="F134" s="175"/>
      <c r="G134" s="175"/>
      <c r="H134" s="175"/>
      <c r="I134" s="175"/>
      <c r="J134" s="175"/>
    </row>
    <row r="135" spans="1:10" x14ac:dyDescent="0.2">
      <c r="A135" s="175"/>
      <c r="B135" s="175"/>
      <c r="C135" s="175"/>
      <c r="D135" s="175"/>
      <c r="E135" s="175"/>
      <c r="F135" s="175"/>
      <c r="G135" s="175"/>
      <c r="H135" s="175"/>
      <c r="I135" s="175"/>
      <c r="J135" s="175"/>
    </row>
    <row r="136" spans="1:10" x14ac:dyDescent="0.2">
      <c r="A136" s="175"/>
      <c r="B136" s="175"/>
      <c r="C136" s="175"/>
      <c r="D136" s="175"/>
      <c r="E136" s="175"/>
      <c r="F136" s="175"/>
      <c r="G136" s="175"/>
      <c r="H136" s="175"/>
      <c r="I136" s="175"/>
      <c r="J136" s="175"/>
    </row>
    <row r="137" spans="1:10" x14ac:dyDescent="0.2">
      <c r="A137" s="175"/>
      <c r="B137" s="175"/>
      <c r="C137" s="175"/>
      <c r="D137" s="175"/>
      <c r="E137" s="175"/>
      <c r="F137" s="175"/>
      <c r="G137" s="175"/>
      <c r="H137" s="175"/>
      <c r="I137" s="175"/>
      <c r="J137" s="175"/>
    </row>
    <row r="138" spans="1:10" x14ac:dyDescent="0.2">
      <c r="A138" s="175"/>
      <c r="B138" s="175"/>
      <c r="C138" s="175"/>
      <c r="D138" s="175"/>
      <c r="E138" s="175"/>
      <c r="F138" s="175"/>
      <c r="G138" s="175"/>
      <c r="H138" s="175"/>
      <c r="I138" s="175"/>
      <c r="J138" s="175"/>
    </row>
    <row r="139" spans="1:10" x14ac:dyDescent="0.2">
      <c r="A139" s="175"/>
      <c r="B139" s="175"/>
      <c r="C139" s="175"/>
      <c r="D139" s="175"/>
      <c r="E139" s="175"/>
      <c r="F139" s="175"/>
      <c r="G139" s="175"/>
      <c r="H139" s="175"/>
      <c r="I139" s="175"/>
      <c r="J139" s="175"/>
    </row>
    <row r="140" spans="1:10" x14ac:dyDescent="0.2">
      <c r="A140" s="175"/>
      <c r="B140" s="175"/>
      <c r="C140" s="175"/>
      <c r="D140" s="175"/>
      <c r="E140" s="175"/>
      <c r="F140" s="175"/>
      <c r="G140" s="175"/>
      <c r="H140" s="175"/>
      <c r="I140" s="175"/>
      <c r="J140" s="175"/>
    </row>
    <row r="141" spans="1:10" x14ac:dyDescent="0.2">
      <c r="A141" s="175"/>
      <c r="B141" s="175"/>
      <c r="C141" s="175"/>
      <c r="D141" s="175"/>
      <c r="E141" s="175"/>
      <c r="F141" s="175"/>
      <c r="G141" s="175"/>
      <c r="H141" s="175"/>
      <c r="I141" s="175"/>
      <c r="J141" s="175"/>
    </row>
    <row r="142" spans="1:10" x14ac:dyDescent="0.2">
      <c r="A142" s="175"/>
      <c r="B142" s="175"/>
      <c r="C142" s="175"/>
      <c r="D142" s="175"/>
      <c r="E142" s="175"/>
      <c r="F142" s="175"/>
      <c r="G142" s="175"/>
      <c r="H142" s="175"/>
      <c r="I142" s="175"/>
      <c r="J142" s="175"/>
    </row>
    <row r="143" spans="1:10" x14ac:dyDescent="0.2">
      <c r="A143" s="175"/>
      <c r="B143" s="175"/>
      <c r="C143" s="175"/>
      <c r="D143" s="175"/>
      <c r="E143" s="175"/>
      <c r="F143" s="175"/>
      <c r="G143" s="175"/>
      <c r="H143" s="175"/>
      <c r="I143" s="175"/>
      <c r="J143" s="175"/>
    </row>
    <row r="144" spans="1:10" x14ac:dyDescent="0.2">
      <c r="A144" s="175"/>
      <c r="B144" s="175"/>
      <c r="C144" s="175"/>
      <c r="D144" s="175"/>
      <c r="E144" s="175"/>
      <c r="F144" s="175"/>
      <c r="G144" s="175"/>
      <c r="H144" s="175"/>
      <c r="I144" s="175"/>
      <c r="J144" s="175"/>
    </row>
    <row r="145" spans="1:10" x14ac:dyDescent="0.2">
      <c r="A145" s="175"/>
      <c r="B145" s="175"/>
      <c r="C145" s="175"/>
      <c r="D145" s="175"/>
      <c r="E145" s="175"/>
      <c r="F145" s="175"/>
      <c r="G145" s="175"/>
      <c r="H145" s="175"/>
      <c r="I145" s="175"/>
      <c r="J145" s="175"/>
    </row>
    <row r="146" spans="1:10" x14ac:dyDescent="0.2">
      <c r="A146" s="175"/>
      <c r="B146" s="175"/>
      <c r="C146" s="175"/>
      <c r="D146" s="175"/>
      <c r="E146" s="175"/>
      <c r="F146" s="175"/>
      <c r="G146" s="175"/>
      <c r="H146" s="175"/>
      <c r="I146" s="175"/>
      <c r="J146" s="175"/>
    </row>
    <row r="147" spans="1:10" x14ac:dyDescent="0.2">
      <c r="A147" s="175"/>
      <c r="B147" s="175"/>
      <c r="C147" s="175"/>
      <c r="D147" s="175"/>
      <c r="E147" s="175"/>
      <c r="F147" s="175"/>
      <c r="G147" s="175"/>
      <c r="H147" s="175"/>
      <c r="I147" s="175"/>
      <c r="J147" s="175"/>
    </row>
    <row r="148" spans="1:10" x14ac:dyDescent="0.2">
      <c r="A148" s="175"/>
      <c r="B148" s="175"/>
      <c r="C148" s="175"/>
      <c r="D148" s="175"/>
      <c r="E148" s="175"/>
      <c r="F148" s="175"/>
      <c r="G148" s="175"/>
      <c r="H148" s="175"/>
      <c r="I148" s="175"/>
      <c r="J148" s="175"/>
    </row>
    <row r="149" spans="1:10" x14ac:dyDescent="0.2">
      <c r="A149" s="175"/>
      <c r="B149" s="175"/>
      <c r="C149" s="175"/>
      <c r="D149" s="175"/>
      <c r="E149" s="175"/>
      <c r="F149" s="175"/>
      <c r="G149" s="175"/>
      <c r="H149" s="175"/>
      <c r="I149" s="175"/>
      <c r="J149" s="175"/>
    </row>
    <row r="150" spans="1:10" x14ac:dyDescent="0.2">
      <c r="A150" s="175"/>
      <c r="B150" s="175"/>
      <c r="C150" s="175"/>
      <c r="D150" s="175"/>
      <c r="E150" s="175"/>
      <c r="F150" s="175"/>
      <c r="G150" s="175"/>
      <c r="H150" s="175"/>
      <c r="I150" s="175"/>
      <c r="J150" s="175"/>
    </row>
    <row r="151" spans="1:10" x14ac:dyDescent="0.2">
      <c r="A151" s="175"/>
      <c r="B151" s="175"/>
      <c r="C151" s="175"/>
      <c r="D151" s="175"/>
      <c r="E151" s="175"/>
      <c r="F151" s="175"/>
      <c r="G151" s="175"/>
      <c r="H151" s="175"/>
      <c r="I151" s="175"/>
      <c r="J151" s="175"/>
    </row>
    <row r="152" spans="1:10" x14ac:dyDescent="0.2">
      <c r="A152" s="175"/>
      <c r="B152" s="175"/>
      <c r="C152" s="175"/>
      <c r="D152" s="175"/>
      <c r="E152" s="175"/>
      <c r="F152" s="175"/>
      <c r="G152" s="175"/>
      <c r="H152" s="175"/>
      <c r="I152" s="175"/>
      <c r="J152" s="175"/>
    </row>
    <row r="153" spans="1:10" x14ac:dyDescent="0.2">
      <c r="A153" s="175"/>
      <c r="B153" s="175"/>
      <c r="C153" s="175"/>
      <c r="D153" s="175"/>
      <c r="E153" s="175"/>
      <c r="F153" s="175"/>
      <c r="G153" s="175"/>
      <c r="H153" s="175"/>
      <c r="I153" s="175"/>
      <c r="J153" s="175"/>
    </row>
    <row r="154" spans="1:10" x14ac:dyDescent="0.2">
      <c r="A154" s="175"/>
      <c r="B154" s="175"/>
      <c r="C154" s="175"/>
      <c r="D154" s="175"/>
      <c r="E154" s="175"/>
      <c r="F154" s="175"/>
      <c r="G154" s="175"/>
      <c r="H154" s="175"/>
      <c r="I154" s="175"/>
      <c r="J154" s="175"/>
    </row>
    <row r="155" spans="1:10" x14ac:dyDescent="0.2">
      <c r="A155" s="175"/>
      <c r="B155" s="175"/>
      <c r="C155" s="175"/>
      <c r="D155" s="175"/>
      <c r="E155" s="175"/>
      <c r="F155" s="175"/>
      <c r="G155" s="175"/>
      <c r="H155" s="175"/>
      <c r="I155" s="175"/>
      <c r="J155" s="175"/>
    </row>
    <row r="156" spans="1:10" x14ac:dyDescent="0.2">
      <c r="A156" s="175"/>
      <c r="B156" s="175"/>
      <c r="C156" s="175"/>
      <c r="D156" s="175"/>
      <c r="E156" s="175"/>
      <c r="F156" s="175"/>
      <c r="G156" s="175"/>
      <c r="H156" s="175"/>
      <c r="I156" s="175"/>
      <c r="J156" s="175"/>
    </row>
    <row r="157" spans="1:10" x14ac:dyDescent="0.2">
      <c r="A157" s="175"/>
      <c r="B157" s="175"/>
      <c r="C157" s="175"/>
      <c r="D157" s="175"/>
      <c r="E157" s="175"/>
      <c r="F157" s="175"/>
      <c r="G157" s="175"/>
      <c r="H157" s="175"/>
      <c r="I157" s="175"/>
      <c r="J157" s="175"/>
    </row>
    <row r="158" spans="1:10" x14ac:dyDescent="0.2">
      <c r="A158" s="175"/>
      <c r="B158" s="175"/>
      <c r="C158" s="175"/>
      <c r="D158" s="175"/>
      <c r="E158" s="175"/>
      <c r="F158" s="175"/>
      <c r="G158" s="175"/>
      <c r="H158" s="175"/>
      <c r="I158" s="175"/>
      <c r="J158" s="175"/>
    </row>
    <row r="159" spans="1:10" x14ac:dyDescent="0.2">
      <c r="A159" s="175"/>
      <c r="B159" s="175"/>
      <c r="C159" s="175"/>
      <c r="D159" s="175"/>
      <c r="E159" s="175"/>
      <c r="F159" s="175"/>
      <c r="G159" s="175"/>
      <c r="H159" s="175"/>
      <c r="I159" s="175"/>
      <c r="J159" s="175"/>
    </row>
    <row r="160" spans="1:10" x14ac:dyDescent="0.2">
      <c r="A160" s="175"/>
      <c r="B160" s="175"/>
      <c r="C160" s="175"/>
      <c r="D160" s="175"/>
      <c r="E160" s="175"/>
      <c r="F160" s="175"/>
      <c r="G160" s="175"/>
      <c r="H160" s="175"/>
      <c r="I160" s="175"/>
      <c r="J160" s="175"/>
    </row>
    <row r="161" spans="1:10" x14ac:dyDescent="0.2">
      <c r="A161" s="175"/>
      <c r="B161" s="175"/>
      <c r="C161" s="175"/>
      <c r="D161" s="175"/>
      <c r="E161" s="175"/>
      <c r="F161" s="175"/>
      <c r="G161" s="175"/>
      <c r="H161" s="175"/>
      <c r="I161" s="175"/>
      <c r="J161" s="175"/>
    </row>
    <row r="162" spans="1:10" x14ac:dyDescent="0.2">
      <c r="A162" s="175"/>
      <c r="B162" s="175"/>
      <c r="C162" s="175"/>
      <c r="D162" s="175"/>
      <c r="E162" s="175"/>
      <c r="F162" s="175"/>
      <c r="G162" s="175"/>
      <c r="H162" s="175"/>
      <c r="I162" s="175"/>
      <c r="J162" s="175"/>
    </row>
    <row r="163" spans="1:10" x14ac:dyDescent="0.2">
      <c r="A163" s="175"/>
      <c r="B163" s="175"/>
      <c r="C163" s="175"/>
      <c r="D163" s="175"/>
      <c r="E163" s="175"/>
      <c r="F163" s="175"/>
      <c r="G163" s="175"/>
      <c r="H163" s="175"/>
      <c r="I163" s="175"/>
      <c r="J163" s="175"/>
    </row>
    <row r="164" spans="1:10" x14ac:dyDescent="0.2">
      <c r="A164" s="175"/>
      <c r="B164" s="175"/>
      <c r="C164" s="175"/>
      <c r="D164" s="175"/>
      <c r="E164" s="175"/>
      <c r="F164" s="175"/>
      <c r="G164" s="175"/>
      <c r="H164" s="175"/>
      <c r="I164" s="175"/>
      <c r="J164" s="175"/>
    </row>
    <row r="165" spans="1:10" x14ac:dyDescent="0.2">
      <c r="A165" s="175"/>
      <c r="B165" s="175"/>
      <c r="C165" s="175"/>
      <c r="D165" s="175"/>
      <c r="E165" s="175"/>
      <c r="F165" s="175"/>
      <c r="G165" s="175"/>
      <c r="H165" s="175"/>
      <c r="I165" s="175"/>
      <c r="J165" s="175"/>
    </row>
    <row r="166" spans="1:10" x14ac:dyDescent="0.2">
      <c r="A166" s="175"/>
      <c r="B166" s="175"/>
      <c r="C166" s="175"/>
      <c r="D166" s="175"/>
      <c r="E166" s="175"/>
      <c r="F166" s="175"/>
      <c r="G166" s="175"/>
      <c r="H166" s="175"/>
      <c r="I166" s="175"/>
      <c r="J166" s="175"/>
    </row>
    <row r="167" spans="1:10" x14ac:dyDescent="0.2">
      <c r="A167" s="175"/>
      <c r="B167" s="175"/>
      <c r="C167" s="175"/>
      <c r="D167" s="175"/>
      <c r="E167" s="175"/>
      <c r="F167" s="175"/>
      <c r="G167" s="175"/>
      <c r="H167" s="175"/>
      <c r="I167" s="175"/>
      <c r="J167" s="175"/>
    </row>
    <row r="168" spans="1:10" x14ac:dyDescent="0.2">
      <c r="A168" s="175"/>
      <c r="B168" s="175"/>
      <c r="C168" s="175"/>
      <c r="D168" s="175"/>
      <c r="E168" s="175"/>
      <c r="F168" s="175"/>
      <c r="G168" s="175"/>
      <c r="H168" s="175"/>
      <c r="I168" s="175"/>
      <c r="J168" s="175"/>
    </row>
    <row r="169" spans="1:10" x14ac:dyDescent="0.2">
      <c r="A169" s="175"/>
      <c r="B169" s="175"/>
      <c r="C169" s="175"/>
      <c r="D169" s="175"/>
      <c r="E169" s="175"/>
      <c r="F169" s="175"/>
      <c r="G169" s="175"/>
      <c r="H169" s="175"/>
      <c r="I169" s="175"/>
      <c r="J169" s="175"/>
    </row>
    <row r="170" spans="1:10" x14ac:dyDescent="0.2">
      <c r="A170" s="175"/>
      <c r="B170" s="175"/>
      <c r="C170" s="175"/>
      <c r="D170" s="175"/>
      <c r="E170" s="175"/>
      <c r="F170" s="175"/>
      <c r="G170" s="175"/>
      <c r="H170" s="175"/>
      <c r="I170" s="175"/>
      <c r="J170" s="175"/>
    </row>
    <row r="171" spans="1:10" x14ac:dyDescent="0.2">
      <c r="A171" s="175"/>
      <c r="B171" s="175"/>
      <c r="C171" s="175"/>
      <c r="D171" s="175"/>
      <c r="E171" s="175"/>
      <c r="F171" s="175"/>
      <c r="G171" s="175"/>
      <c r="H171" s="175"/>
      <c r="I171" s="175"/>
      <c r="J171" s="175"/>
    </row>
    <row r="172" spans="1:10" x14ac:dyDescent="0.2">
      <c r="A172" s="175"/>
      <c r="B172" s="175"/>
      <c r="C172" s="175"/>
      <c r="D172" s="175"/>
      <c r="E172" s="175"/>
      <c r="F172" s="175"/>
      <c r="G172" s="175"/>
      <c r="H172" s="175"/>
      <c r="I172" s="175"/>
      <c r="J172" s="175"/>
    </row>
    <row r="173" spans="1:10" x14ac:dyDescent="0.2">
      <c r="A173" s="175"/>
      <c r="B173" s="175"/>
      <c r="C173" s="175"/>
      <c r="D173" s="175"/>
      <c r="E173" s="175"/>
      <c r="F173" s="175"/>
      <c r="G173" s="175"/>
      <c r="H173" s="175"/>
      <c r="I173" s="175"/>
      <c r="J173" s="175"/>
    </row>
    <row r="174" spans="1:10" x14ac:dyDescent="0.2">
      <c r="A174" s="175"/>
      <c r="B174" s="175"/>
      <c r="C174" s="175"/>
      <c r="D174" s="175"/>
      <c r="E174" s="175"/>
      <c r="F174" s="175"/>
      <c r="G174" s="175"/>
      <c r="H174" s="175"/>
      <c r="I174" s="175"/>
      <c r="J174" s="175"/>
    </row>
    <row r="175" spans="1:10" x14ac:dyDescent="0.2">
      <c r="A175" s="175"/>
      <c r="B175" s="175"/>
      <c r="C175" s="175"/>
      <c r="D175" s="175"/>
      <c r="E175" s="175"/>
      <c r="F175" s="175"/>
      <c r="G175" s="175"/>
      <c r="H175" s="175"/>
      <c r="I175" s="175"/>
      <c r="J175" s="175"/>
    </row>
    <row r="176" spans="1:10" x14ac:dyDescent="0.2">
      <c r="A176" s="175"/>
      <c r="B176" s="175"/>
      <c r="C176" s="175"/>
      <c r="D176" s="175"/>
      <c r="E176" s="175"/>
      <c r="F176" s="175"/>
      <c r="G176" s="175"/>
      <c r="H176" s="175"/>
      <c r="I176" s="175"/>
      <c r="J176" s="175"/>
    </row>
    <row r="177" spans="1:10" x14ac:dyDescent="0.2">
      <c r="A177" s="175"/>
      <c r="B177" s="175"/>
      <c r="C177" s="175"/>
      <c r="D177" s="175"/>
      <c r="E177" s="175"/>
      <c r="F177" s="175"/>
      <c r="G177" s="175"/>
      <c r="H177" s="175"/>
      <c r="I177" s="175"/>
      <c r="J177" s="175"/>
    </row>
    <row r="178" spans="1:10" x14ac:dyDescent="0.2">
      <c r="A178" s="175"/>
      <c r="B178" s="175"/>
      <c r="C178" s="175"/>
      <c r="D178" s="175"/>
      <c r="E178" s="175"/>
      <c r="F178" s="175"/>
      <c r="G178" s="175"/>
      <c r="H178" s="175"/>
      <c r="I178" s="175"/>
      <c r="J178" s="175"/>
    </row>
    <row r="179" spans="1:10" x14ac:dyDescent="0.2">
      <c r="A179" s="175"/>
      <c r="B179" s="175"/>
      <c r="C179" s="175"/>
      <c r="D179" s="175"/>
      <c r="E179" s="175"/>
      <c r="F179" s="175"/>
      <c r="G179" s="175"/>
      <c r="H179" s="175"/>
      <c r="I179" s="175"/>
      <c r="J179" s="175"/>
    </row>
    <row r="180" spans="1:10" x14ac:dyDescent="0.2">
      <c r="A180" s="175"/>
      <c r="B180" s="175"/>
      <c r="C180" s="175"/>
      <c r="D180" s="175"/>
      <c r="E180" s="175"/>
      <c r="F180" s="175"/>
      <c r="G180" s="175"/>
      <c r="H180" s="175"/>
      <c r="I180" s="175"/>
      <c r="J180" s="175"/>
    </row>
    <row r="181" spans="1:10" x14ac:dyDescent="0.2">
      <c r="A181" s="175"/>
      <c r="B181" s="175"/>
      <c r="C181" s="175"/>
      <c r="D181" s="175"/>
      <c r="E181" s="175"/>
      <c r="F181" s="175"/>
      <c r="G181" s="175"/>
      <c r="H181" s="175"/>
      <c r="I181" s="175"/>
      <c r="J181" s="175"/>
    </row>
    <row r="182" spans="1:10" x14ac:dyDescent="0.2">
      <c r="A182" s="175"/>
      <c r="B182" s="175"/>
      <c r="C182" s="175"/>
      <c r="D182" s="175"/>
      <c r="E182" s="175"/>
      <c r="F182" s="175"/>
      <c r="G182" s="175"/>
      <c r="H182" s="175"/>
      <c r="I182" s="175"/>
      <c r="J182" s="175"/>
    </row>
    <row r="183" spans="1:10" x14ac:dyDescent="0.2">
      <c r="A183" s="175"/>
      <c r="B183" s="175"/>
      <c r="C183" s="175"/>
      <c r="D183" s="175"/>
      <c r="E183" s="175"/>
      <c r="F183" s="175"/>
      <c r="G183" s="175"/>
      <c r="H183" s="175"/>
      <c r="I183" s="175"/>
      <c r="J183" s="175"/>
    </row>
    <row r="184" spans="1:10" x14ac:dyDescent="0.2">
      <c r="A184" s="175"/>
      <c r="B184" s="175"/>
      <c r="C184" s="175"/>
      <c r="D184" s="175"/>
      <c r="E184" s="175"/>
      <c r="F184" s="175"/>
      <c r="G184" s="175"/>
      <c r="H184" s="175"/>
      <c r="I184" s="175"/>
      <c r="J184" s="175"/>
    </row>
    <row r="185" spans="1:10" x14ac:dyDescent="0.2">
      <c r="A185" s="175"/>
      <c r="B185" s="175"/>
      <c r="C185" s="175"/>
      <c r="D185" s="175"/>
      <c r="E185" s="175"/>
      <c r="F185" s="175"/>
      <c r="G185" s="175"/>
      <c r="H185" s="175"/>
      <c r="I185" s="175"/>
      <c r="J185" s="175"/>
    </row>
    <row r="186" spans="1:10" x14ac:dyDescent="0.2">
      <c r="A186" s="175"/>
      <c r="B186" s="175"/>
      <c r="C186" s="175"/>
      <c r="D186" s="175"/>
      <c r="E186" s="175"/>
      <c r="F186" s="175"/>
      <c r="G186" s="175"/>
      <c r="H186" s="175"/>
      <c r="I186" s="175"/>
      <c r="J186" s="175"/>
    </row>
    <row r="187" spans="1:10" x14ac:dyDescent="0.2">
      <c r="A187" s="175"/>
      <c r="B187" s="175"/>
      <c r="C187" s="175"/>
      <c r="D187" s="175"/>
      <c r="E187" s="175"/>
      <c r="F187" s="175"/>
      <c r="G187" s="175"/>
      <c r="H187" s="175"/>
      <c r="I187" s="175"/>
      <c r="J187" s="175"/>
    </row>
    <row r="188" spans="1:10" x14ac:dyDescent="0.2">
      <c r="A188" s="175"/>
      <c r="B188" s="175"/>
      <c r="C188" s="175"/>
      <c r="D188" s="175"/>
      <c r="E188" s="175"/>
      <c r="F188" s="175"/>
      <c r="G188" s="175"/>
      <c r="H188" s="175"/>
      <c r="I188" s="175"/>
      <c r="J188" s="175"/>
    </row>
    <row r="189" spans="1:10" x14ac:dyDescent="0.2">
      <c r="A189" s="175"/>
      <c r="B189" s="175"/>
      <c r="C189" s="175"/>
      <c r="D189" s="175"/>
      <c r="E189" s="175"/>
      <c r="F189" s="175"/>
      <c r="G189" s="175"/>
      <c r="H189" s="175"/>
      <c r="I189" s="175"/>
      <c r="J189" s="175"/>
    </row>
    <row r="190" spans="1:10" x14ac:dyDescent="0.2">
      <c r="A190" s="175"/>
      <c r="B190" s="175"/>
      <c r="C190" s="175"/>
      <c r="D190" s="175"/>
      <c r="E190" s="175"/>
      <c r="F190" s="175"/>
      <c r="G190" s="175"/>
      <c r="H190" s="175"/>
      <c r="I190" s="175"/>
      <c r="J190" s="175"/>
    </row>
    <row r="191" spans="1:10" x14ac:dyDescent="0.2">
      <c r="A191" s="175"/>
      <c r="B191" s="175"/>
      <c r="C191" s="175"/>
      <c r="D191" s="175"/>
      <c r="E191" s="175"/>
      <c r="F191" s="175"/>
      <c r="G191" s="175"/>
      <c r="H191" s="175"/>
      <c r="I191" s="175"/>
      <c r="J191" s="175"/>
    </row>
    <row r="192" spans="1:10" x14ac:dyDescent="0.2">
      <c r="A192" s="175"/>
      <c r="B192" s="175"/>
      <c r="C192" s="175"/>
      <c r="D192" s="175"/>
      <c r="E192" s="175"/>
      <c r="F192" s="175"/>
      <c r="G192" s="175"/>
      <c r="H192" s="175"/>
      <c r="I192" s="175"/>
      <c r="J192" s="175"/>
    </row>
    <row r="193" spans="1:10" x14ac:dyDescent="0.2">
      <c r="A193" s="175"/>
      <c r="B193" s="175"/>
      <c r="C193" s="175"/>
      <c r="D193" s="175"/>
      <c r="E193" s="175"/>
      <c r="F193" s="175"/>
      <c r="G193" s="175"/>
      <c r="H193" s="175"/>
      <c r="I193" s="175"/>
      <c r="J193" s="175"/>
    </row>
    <row r="194" spans="1:10" x14ac:dyDescent="0.2">
      <c r="A194" s="175"/>
      <c r="B194" s="175"/>
      <c r="C194" s="175"/>
      <c r="D194" s="175"/>
      <c r="E194" s="175"/>
      <c r="F194" s="175"/>
      <c r="G194" s="175"/>
      <c r="H194" s="175"/>
      <c r="I194" s="175"/>
      <c r="J194" s="175"/>
    </row>
    <row r="195" spans="1:10" x14ac:dyDescent="0.2">
      <c r="A195" s="175"/>
      <c r="B195" s="175"/>
      <c r="C195" s="175"/>
      <c r="D195" s="175"/>
      <c r="E195" s="175"/>
      <c r="F195" s="175"/>
      <c r="G195" s="175"/>
      <c r="H195" s="175"/>
      <c r="I195" s="175"/>
      <c r="J195" s="175"/>
    </row>
    <row r="196" spans="1:10" x14ac:dyDescent="0.2">
      <c r="A196" s="175"/>
      <c r="B196" s="175"/>
      <c r="C196" s="175"/>
      <c r="D196" s="175"/>
      <c r="E196" s="175"/>
      <c r="F196" s="175"/>
      <c r="G196" s="175"/>
      <c r="H196" s="175"/>
      <c r="I196" s="175"/>
      <c r="J196" s="175"/>
    </row>
    <row r="197" spans="1:10" x14ac:dyDescent="0.2">
      <c r="A197" s="175"/>
      <c r="B197" s="175"/>
      <c r="C197" s="175"/>
      <c r="D197" s="175"/>
      <c r="E197" s="175"/>
      <c r="F197" s="175"/>
      <c r="G197" s="175"/>
      <c r="H197" s="175"/>
      <c r="I197" s="175"/>
      <c r="J197" s="175"/>
    </row>
    <row r="198" spans="1:10" x14ac:dyDescent="0.2">
      <c r="A198" s="175"/>
      <c r="B198" s="175"/>
      <c r="C198" s="175"/>
      <c r="D198" s="175"/>
      <c r="E198" s="175"/>
      <c r="F198" s="175"/>
      <c r="G198" s="175"/>
      <c r="H198" s="175"/>
      <c r="I198" s="175"/>
      <c r="J198" s="175"/>
    </row>
    <row r="199" spans="1:10" x14ac:dyDescent="0.2">
      <c r="A199" s="175"/>
      <c r="B199" s="175"/>
      <c r="C199" s="175"/>
      <c r="D199" s="175"/>
      <c r="E199" s="175"/>
      <c r="F199" s="175"/>
      <c r="G199" s="175"/>
      <c r="H199" s="175"/>
      <c r="I199" s="175"/>
      <c r="J199" s="175"/>
    </row>
    <row r="200" spans="1:10" x14ac:dyDescent="0.2">
      <c r="A200" s="175"/>
      <c r="B200" s="175"/>
      <c r="C200" s="175"/>
      <c r="D200" s="175"/>
      <c r="E200" s="175"/>
      <c r="F200" s="175"/>
      <c r="G200" s="175"/>
      <c r="H200" s="175"/>
      <c r="I200" s="175"/>
      <c r="J200" s="175"/>
    </row>
    <row r="201" spans="1:10" x14ac:dyDescent="0.2">
      <c r="A201" s="175"/>
      <c r="B201" s="175"/>
      <c r="C201" s="175"/>
      <c r="D201" s="175"/>
      <c r="E201" s="175"/>
      <c r="F201" s="175"/>
      <c r="G201" s="175"/>
      <c r="H201" s="175"/>
      <c r="I201" s="175"/>
      <c r="J201" s="175"/>
    </row>
    <row r="202" spans="1:10" x14ac:dyDescent="0.2">
      <c r="A202" s="175"/>
      <c r="B202" s="175"/>
      <c r="C202" s="175"/>
      <c r="D202" s="175"/>
      <c r="E202" s="175"/>
      <c r="F202" s="175"/>
      <c r="G202" s="175"/>
      <c r="H202" s="175"/>
      <c r="I202" s="175"/>
      <c r="J202" s="175"/>
    </row>
    <row r="203" spans="1:10" x14ac:dyDescent="0.2">
      <c r="A203" s="175"/>
      <c r="B203" s="175"/>
      <c r="C203" s="175"/>
      <c r="D203" s="175"/>
      <c r="E203" s="175"/>
      <c r="F203" s="175"/>
      <c r="G203" s="175"/>
      <c r="H203" s="175"/>
      <c r="I203" s="175"/>
      <c r="J203" s="175"/>
    </row>
    <row r="204" spans="1:10" x14ac:dyDescent="0.2">
      <c r="A204" s="175"/>
      <c r="B204" s="175"/>
      <c r="C204" s="175"/>
      <c r="D204" s="175"/>
      <c r="E204" s="175"/>
      <c r="F204" s="175"/>
      <c r="G204" s="175"/>
      <c r="H204" s="175"/>
      <c r="I204" s="175"/>
      <c r="J204" s="175"/>
    </row>
    <row r="205" spans="1:10" x14ac:dyDescent="0.2">
      <c r="A205" s="175"/>
      <c r="B205" s="175"/>
      <c r="C205" s="175"/>
      <c r="D205" s="175"/>
      <c r="E205" s="175"/>
      <c r="F205" s="175"/>
      <c r="G205" s="175"/>
      <c r="H205" s="175"/>
      <c r="I205" s="175"/>
      <c r="J205" s="175"/>
    </row>
    <row r="206" spans="1:10" x14ac:dyDescent="0.2">
      <c r="A206" s="175"/>
      <c r="B206" s="175"/>
      <c r="C206" s="175"/>
      <c r="D206" s="175"/>
      <c r="E206" s="175"/>
      <c r="F206" s="175"/>
      <c r="G206" s="175"/>
      <c r="H206" s="175"/>
      <c r="I206" s="175"/>
      <c r="J206" s="175"/>
    </row>
    <row r="207" spans="1:10" x14ac:dyDescent="0.2">
      <c r="A207" s="175"/>
      <c r="B207" s="175"/>
      <c r="C207" s="175"/>
      <c r="D207" s="175"/>
      <c r="E207" s="175"/>
      <c r="F207" s="175"/>
      <c r="G207" s="175"/>
      <c r="H207" s="175"/>
      <c r="I207" s="175"/>
      <c r="J207" s="175"/>
    </row>
    <row r="208" spans="1:10" x14ac:dyDescent="0.2">
      <c r="A208" s="175"/>
      <c r="B208" s="175"/>
      <c r="C208" s="175"/>
      <c r="D208" s="175"/>
      <c r="E208" s="175"/>
      <c r="F208" s="175"/>
      <c r="G208" s="175"/>
      <c r="H208" s="175"/>
      <c r="I208" s="175"/>
      <c r="J208" s="175"/>
    </row>
    <row r="209" spans="1:10" x14ac:dyDescent="0.2">
      <c r="A209" s="175"/>
      <c r="B209" s="175"/>
      <c r="C209" s="175"/>
      <c r="D209" s="175"/>
      <c r="E209" s="175"/>
      <c r="F209" s="175"/>
      <c r="G209" s="175"/>
      <c r="H209" s="175"/>
      <c r="I209" s="175"/>
      <c r="J209" s="175"/>
    </row>
    <row r="210" spans="1:10" x14ac:dyDescent="0.2">
      <c r="A210" s="175"/>
      <c r="B210" s="175"/>
      <c r="C210" s="175"/>
      <c r="D210" s="175"/>
      <c r="E210" s="175"/>
      <c r="F210" s="175"/>
      <c r="G210" s="175"/>
      <c r="H210" s="175"/>
      <c r="I210" s="175"/>
      <c r="J210" s="175"/>
    </row>
    <row r="211" spans="1:10" x14ac:dyDescent="0.2">
      <c r="A211" s="175"/>
      <c r="B211" s="175"/>
      <c r="C211" s="175"/>
      <c r="D211" s="175"/>
      <c r="E211" s="175"/>
      <c r="F211" s="175"/>
      <c r="G211" s="175"/>
      <c r="H211" s="175"/>
      <c r="I211" s="175"/>
      <c r="J211" s="175"/>
    </row>
    <row r="212" spans="1:10" x14ac:dyDescent="0.2">
      <c r="A212" s="175"/>
      <c r="B212" s="175"/>
      <c r="C212" s="175"/>
      <c r="D212" s="175"/>
      <c r="E212" s="175"/>
      <c r="F212" s="175"/>
      <c r="G212" s="175"/>
      <c r="H212" s="175"/>
      <c r="I212" s="175"/>
      <c r="J212" s="175"/>
    </row>
    <row r="213" spans="1:10" x14ac:dyDescent="0.2">
      <c r="A213" s="175"/>
      <c r="B213" s="175"/>
      <c r="C213" s="175"/>
      <c r="D213" s="175"/>
      <c r="E213" s="175"/>
      <c r="F213" s="175"/>
      <c r="G213" s="175"/>
      <c r="H213" s="175"/>
      <c r="I213" s="175"/>
      <c r="J213" s="175"/>
    </row>
    <row r="214" spans="1:10" x14ac:dyDescent="0.2">
      <c r="A214" s="175"/>
      <c r="B214" s="175"/>
      <c r="C214" s="175"/>
      <c r="D214" s="175"/>
      <c r="E214" s="175"/>
      <c r="F214" s="175"/>
      <c r="G214" s="175"/>
      <c r="H214" s="175"/>
      <c r="I214" s="175"/>
      <c r="J214" s="175"/>
    </row>
    <row r="215" spans="1:10" x14ac:dyDescent="0.2">
      <c r="A215" s="175"/>
      <c r="B215" s="175"/>
      <c r="C215" s="175"/>
      <c r="D215" s="175"/>
      <c r="E215" s="175"/>
      <c r="F215" s="175"/>
      <c r="G215" s="175"/>
      <c r="H215" s="175"/>
      <c r="I215" s="175"/>
      <c r="J215" s="175"/>
    </row>
    <row r="216" spans="1:10" x14ac:dyDescent="0.2">
      <c r="A216" s="175"/>
      <c r="B216" s="175"/>
      <c r="C216" s="175"/>
      <c r="D216" s="175"/>
      <c r="E216" s="175"/>
      <c r="F216" s="175"/>
      <c r="G216" s="175"/>
      <c r="H216" s="175"/>
      <c r="I216" s="175"/>
      <c r="J216" s="175"/>
    </row>
    <row r="217" spans="1:10" x14ac:dyDescent="0.2">
      <c r="A217" s="175"/>
      <c r="B217" s="175"/>
      <c r="C217" s="175"/>
      <c r="D217" s="175"/>
      <c r="E217" s="175"/>
      <c r="F217" s="175"/>
      <c r="G217" s="175"/>
      <c r="H217" s="175"/>
      <c r="I217" s="175"/>
      <c r="J217" s="175"/>
    </row>
    <row r="218" spans="1:10" x14ac:dyDescent="0.2">
      <c r="A218" s="175"/>
      <c r="B218" s="175"/>
      <c r="C218" s="175"/>
      <c r="D218" s="175"/>
      <c r="E218" s="175"/>
      <c r="F218" s="175"/>
      <c r="G218" s="175"/>
      <c r="H218" s="175"/>
      <c r="I218" s="175"/>
      <c r="J218" s="175"/>
    </row>
    <row r="219" spans="1:10" x14ac:dyDescent="0.2">
      <c r="A219" s="175"/>
      <c r="B219" s="175"/>
      <c r="C219" s="175"/>
      <c r="D219" s="175"/>
      <c r="E219" s="175"/>
      <c r="F219" s="175"/>
      <c r="G219" s="175"/>
      <c r="H219" s="175"/>
      <c r="I219" s="175"/>
      <c r="J219" s="175"/>
    </row>
    <row r="220" spans="1:10" x14ac:dyDescent="0.2">
      <c r="A220" s="175"/>
      <c r="B220" s="175"/>
      <c r="C220" s="175"/>
      <c r="D220" s="175"/>
      <c r="E220" s="175"/>
      <c r="F220" s="175"/>
      <c r="G220" s="175"/>
      <c r="H220" s="175"/>
      <c r="I220" s="175"/>
      <c r="J220" s="175"/>
    </row>
    <row r="221" spans="1:10" x14ac:dyDescent="0.2">
      <c r="A221" s="175"/>
      <c r="B221" s="175"/>
      <c r="C221" s="175"/>
      <c r="D221" s="175"/>
      <c r="E221" s="175"/>
      <c r="F221" s="175"/>
      <c r="G221" s="175"/>
      <c r="H221" s="175"/>
      <c r="I221" s="175"/>
      <c r="J221" s="175"/>
    </row>
    <row r="222" spans="1:10" x14ac:dyDescent="0.2">
      <c r="A222" s="175"/>
      <c r="B222" s="175"/>
      <c r="C222" s="175"/>
      <c r="D222" s="175"/>
      <c r="E222" s="175"/>
      <c r="F222" s="175"/>
      <c r="G222" s="175"/>
      <c r="H222" s="175"/>
      <c r="I222" s="175"/>
      <c r="J222" s="175"/>
    </row>
    <row r="223" spans="1:10" x14ac:dyDescent="0.2">
      <c r="A223" s="175"/>
      <c r="B223" s="175"/>
      <c r="C223" s="175"/>
      <c r="D223" s="175"/>
      <c r="E223" s="175"/>
      <c r="F223" s="175"/>
      <c r="G223" s="175"/>
      <c r="H223" s="175"/>
      <c r="I223" s="175"/>
      <c r="J223" s="175"/>
    </row>
    <row r="224" spans="1:10" x14ac:dyDescent="0.2">
      <c r="A224" s="175"/>
      <c r="B224" s="175"/>
      <c r="C224" s="175"/>
      <c r="D224" s="175"/>
      <c r="E224" s="175"/>
      <c r="F224" s="175"/>
      <c r="G224" s="175"/>
      <c r="H224" s="175"/>
      <c r="I224" s="175"/>
      <c r="J224" s="175"/>
    </row>
    <row r="225" spans="1:10" x14ac:dyDescent="0.2">
      <c r="A225" s="175"/>
      <c r="B225" s="175"/>
      <c r="C225" s="175"/>
      <c r="D225" s="175"/>
      <c r="E225" s="175"/>
      <c r="F225" s="175"/>
      <c r="G225" s="175"/>
      <c r="H225" s="175"/>
      <c r="I225" s="175"/>
      <c r="J225" s="175"/>
    </row>
    <row r="226" spans="1:10" x14ac:dyDescent="0.2">
      <c r="A226" s="175"/>
      <c r="B226" s="175"/>
      <c r="C226" s="175"/>
      <c r="D226" s="175"/>
      <c r="E226" s="175"/>
      <c r="F226" s="175"/>
      <c r="G226" s="175"/>
      <c r="H226" s="175"/>
      <c r="I226" s="175"/>
      <c r="J226"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7"/>
  <sheetViews>
    <sheetView workbookViewId="0">
      <selection activeCell="H5" sqref="H5"/>
    </sheetView>
  </sheetViews>
  <sheetFormatPr defaultRowHeight="12.75" x14ac:dyDescent="0.2"/>
  <cols>
    <col min="1" max="1" width="9.140625" style="4"/>
    <col min="2" max="2" width="22.42578125" style="4" customWidth="1"/>
    <col min="3" max="3" width="12.28515625" style="4" customWidth="1"/>
    <col min="4" max="4" width="17.7109375" style="4" customWidth="1"/>
    <col min="5" max="5" width="13.140625" style="4" customWidth="1"/>
    <col min="6" max="6" width="11.85546875" style="4" customWidth="1"/>
    <col min="7" max="7" width="19.7109375" style="4" customWidth="1"/>
    <col min="8" max="8" width="13.28515625" style="4" customWidth="1"/>
    <col min="9" max="9" width="12.7109375" style="4" customWidth="1"/>
    <col min="10" max="11" width="9.140625" style="4"/>
    <col min="12" max="12" width="12.42578125" style="4" bestFit="1" customWidth="1"/>
    <col min="13" max="16384" width="9.140625" style="4"/>
  </cols>
  <sheetData>
    <row r="1" spans="1:13" ht="14.25" customHeight="1" x14ac:dyDescent="0.2"/>
    <row r="2" spans="1:13" x14ac:dyDescent="0.2">
      <c r="B2" s="12" t="s">
        <v>225</v>
      </c>
      <c r="C2" s="13" t="s">
        <v>226</v>
      </c>
      <c r="D2" s="13" t="s">
        <v>202</v>
      </c>
      <c r="E2" s="12" t="s">
        <v>227</v>
      </c>
    </row>
    <row r="3" spans="1:13" ht="15.75" customHeight="1" x14ac:dyDescent="0.2">
      <c r="B3" s="4" t="s">
        <v>51</v>
      </c>
      <c r="C3" s="15">
        <v>5</v>
      </c>
      <c r="D3" s="7">
        <f>VLOOKUP(C3,$D$30:$E$37,2,FALSE)</f>
        <v>2</v>
      </c>
      <c r="E3" s="4" t="str">
        <f>" /pcgain="&amp;D3</f>
        <v xml:space="preserve"> /pcgain=2</v>
      </c>
      <c r="F3" s="5"/>
      <c r="G3" s="4" t="s">
        <v>50</v>
      </c>
      <c r="H3" s="8" t="s">
        <v>285</v>
      </c>
    </row>
    <row r="4" spans="1:13" x14ac:dyDescent="0.2">
      <c r="B4" s="4" t="s">
        <v>52</v>
      </c>
      <c r="C4" s="15">
        <v>1</v>
      </c>
      <c r="D4" s="7">
        <f>VLOOKUP(C4,$D$30:$E$37,2,FALSE)</f>
        <v>10</v>
      </c>
      <c r="E4" s="4" t="str">
        <f>" /refgain="&amp;D4</f>
        <v xml:space="preserve"> /refgain=10</v>
      </c>
      <c r="F4" s="5"/>
      <c r="G4" s="9" t="s">
        <v>231</v>
      </c>
      <c r="H4" s="9" t="str">
        <f>PathName&amp;PCGainFlag&amp;RefGainFlag&amp;BaseGainFlag&amp;xferFlag&amp;flashWaitFlag&amp;numFlashesFlag&amp;TimeScaleFlags&amp;cutoffflag</f>
        <v>C:\lifetime\lifetime.exe /subbase=2 /basetime_us=20000 /pcgain=2 /refgain=10 /basegain=1 /xfer=125 /flashwait_s=6 /numflashes=1 /pulselength=12500 /cutoff=12500</v>
      </c>
      <c r="L4" s="8"/>
    </row>
    <row r="5" spans="1:13" x14ac:dyDescent="0.2">
      <c r="B5" s="4" t="s">
        <v>53</v>
      </c>
      <c r="C5" s="15">
        <v>10</v>
      </c>
      <c r="D5" s="7">
        <f>VLOOKUP(C5,$D$30:$E$37,2,FALSE)</f>
        <v>1</v>
      </c>
      <c r="E5" s="4" t="str">
        <f>" /basegain="&amp;D5</f>
        <v xml:space="preserve"> /basegain=1</v>
      </c>
      <c r="G5" s="18" t="s">
        <v>230</v>
      </c>
      <c r="H5" s="18" t="str">
        <f>"C:\lifetime\lifetime.exe /baseonly=true /autoexit=true"&amp;E12</f>
        <v>C:\lifetime\lifetime.exe /baseonly=true /autoexit=true /basegain=10</v>
      </c>
    </row>
    <row r="6" spans="1:13" x14ac:dyDescent="0.2">
      <c r="B6" s="8" t="s">
        <v>259</v>
      </c>
      <c r="C6" s="16">
        <f>PulseLength</f>
        <v>12500</v>
      </c>
      <c r="D6" s="7"/>
      <c r="E6" s="4" t="str">
        <f>" /pulselength="&amp;PulseLength</f>
        <v xml:space="preserve"> /pulselength=12500</v>
      </c>
      <c r="G6" s="37" t="s">
        <v>309</v>
      </c>
      <c r="H6" s="38" t="s">
        <v>310</v>
      </c>
    </row>
    <row r="7" spans="1:13" x14ac:dyDescent="0.2">
      <c r="B7" s="8" t="s">
        <v>245</v>
      </c>
      <c r="C7" s="16">
        <f>TSampleTime</f>
        <v>100000</v>
      </c>
      <c r="D7" s="7"/>
      <c r="E7" s="4" t="str">
        <f>" /ltransient="&amp;C7</f>
        <v xml:space="preserve"> /ltransient=100000</v>
      </c>
      <c r="G7" s="8" t="s">
        <v>260</v>
      </c>
      <c r="H7" s="4" t="str">
        <f>IF(OR(AnalysisMode = "Transient",AnalysisMode = "Generalized (1/64)"),ltransientFlag&amp;ntransientFlag,PulseLengthFlag)</f>
        <v xml:space="preserve"> /pulselength=12500</v>
      </c>
    </row>
    <row r="8" spans="1:13" x14ac:dyDescent="0.2">
      <c r="B8" s="8" t="s">
        <v>250</v>
      </c>
      <c r="C8" s="16">
        <f>TNumTaus</f>
        <v>3</v>
      </c>
      <c r="D8" s="7"/>
      <c r="E8" s="4" t="str">
        <f>" /ntransient="&amp;C8</f>
        <v xml:space="preserve"> /ntransient=3</v>
      </c>
    </row>
    <row r="9" spans="1:13" x14ac:dyDescent="0.2">
      <c r="A9" s="7"/>
      <c r="B9" s="5" t="s">
        <v>54</v>
      </c>
      <c r="C9" s="15">
        <v>125</v>
      </c>
      <c r="D9" s="7"/>
      <c r="E9" s="8" t="str">
        <f>" /xfer="&amp;C9</f>
        <v xml:space="preserve"> /xfer=125</v>
      </c>
      <c r="J9" s="5"/>
      <c r="L9" s="5"/>
      <c r="M9" s="5"/>
    </row>
    <row r="10" spans="1:13" x14ac:dyDescent="0.2">
      <c r="A10" s="7"/>
      <c r="B10" s="6" t="s">
        <v>82</v>
      </c>
      <c r="C10" s="15">
        <f>IF(OR(AnalysisMode="Transient",AnalysisMode="Generalized (1/64)"),TransFlashDelay,QSSFlashDelay)</f>
        <v>6</v>
      </c>
      <c r="D10" s="7"/>
      <c r="E10" s="4" t="str">
        <f>" /flashwait_s="&amp;C10</f>
        <v xml:space="preserve"> /flashwait_s=6</v>
      </c>
      <c r="J10" s="5"/>
    </row>
    <row r="11" spans="1:13" x14ac:dyDescent="0.2">
      <c r="A11" s="7"/>
      <c r="B11" s="36" t="s">
        <v>240</v>
      </c>
      <c r="C11" s="15">
        <v>1</v>
      </c>
      <c r="D11" s="7"/>
      <c r="E11" s="4" t="str">
        <f>" /numflashes="&amp;C11</f>
        <v xml:space="preserve"> /numflashes=1</v>
      </c>
      <c r="J11" s="5"/>
    </row>
    <row r="12" spans="1:13" x14ac:dyDescent="0.2">
      <c r="A12" s="7"/>
      <c r="B12" s="8" t="s">
        <v>228</v>
      </c>
      <c r="C12" s="14">
        <f>AirVoltageRange</f>
        <v>1</v>
      </c>
      <c r="D12" s="7">
        <f>VLOOKUP(C12,$D$30:$E$37,2,FALSE)</f>
        <v>10</v>
      </c>
      <c r="E12" s="4" t="str">
        <f>" /basegain="&amp;D12</f>
        <v xml:space="preserve"> /basegain=10</v>
      </c>
      <c r="J12" s="5"/>
      <c r="L12" s="5"/>
    </row>
    <row r="13" spans="1:13" x14ac:dyDescent="0.2">
      <c r="A13" s="7"/>
      <c r="B13" s="8" t="s">
        <v>334</v>
      </c>
      <c r="C13" s="7">
        <f>IF(OR(AnalysisMode = "Transient",AnalysisMode = "Generalized (1/64)"),200,PulseLength)</f>
        <v>12500</v>
      </c>
      <c r="E13" s="4" t="str">
        <f>" /cutoff="&amp;C13</f>
        <v xml:space="preserve"> /cutoff=12500</v>
      </c>
    </row>
    <row r="14" spans="1:13" x14ac:dyDescent="0.2">
      <c r="A14" s="7"/>
      <c r="D14" s="9"/>
      <c r="E14" s="9"/>
      <c r="F14" s="9"/>
      <c r="G14" s="9"/>
      <c r="H14" s="9"/>
      <c r="I14" s="9"/>
      <c r="J14" s="9"/>
      <c r="K14" s="9"/>
    </row>
    <row r="15" spans="1:13" x14ac:dyDescent="0.2">
      <c r="A15" s="7"/>
      <c r="B15" s="12" t="s">
        <v>232</v>
      </c>
      <c r="C15" s="31" t="s">
        <v>233</v>
      </c>
      <c r="D15" s="32"/>
      <c r="E15" s="33" t="s">
        <v>234</v>
      </c>
      <c r="F15" s="20"/>
    </row>
    <row r="16" spans="1:13" x14ac:dyDescent="0.2">
      <c r="A16" s="7"/>
      <c r="B16" s="16" t="s">
        <v>19</v>
      </c>
      <c r="C16" s="34" t="s">
        <v>235</v>
      </c>
      <c r="D16" s="35" t="s">
        <v>236</v>
      </c>
      <c r="E16" s="34" t="s">
        <v>235</v>
      </c>
      <c r="F16" s="35" t="s">
        <v>236</v>
      </c>
      <c r="G16" s="17" t="s">
        <v>239</v>
      </c>
    </row>
    <row r="17" spans="1:7" x14ac:dyDescent="0.2">
      <c r="A17" s="7"/>
      <c r="B17" s="7">
        <v>0</v>
      </c>
      <c r="C17" s="21">
        <f>C3</f>
        <v>5</v>
      </c>
      <c r="D17" s="22">
        <f>C17*G17</f>
        <v>2</v>
      </c>
      <c r="E17" s="21">
        <f>C4</f>
        <v>1</v>
      </c>
      <c r="F17" s="22">
        <f>E17*G17</f>
        <v>0.4</v>
      </c>
      <c r="G17" s="29">
        <v>0.4</v>
      </c>
    </row>
    <row r="18" spans="1:7" x14ac:dyDescent="0.2">
      <c r="A18" s="7"/>
      <c r="B18" s="19">
        <f>Calc!A133</f>
        <v>1.24499E-2</v>
      </c>
      <c r="C18" s="21">
        <f>C3</f>
        <v>5</v>
      </c>
      <c r="D18" s="22">
        <f>C18*G17</f>
        <v>2</v>
      </c>
      <c r="E18" s="21">
        <f>C4</f>
        <v>1</v>
      </c>
      <c r="F18" s="22">
        <f>E18*G17</f>
        <v>0.4</v>
      </c>
    </row>
    <row r="19" spans="1:7" x14ac:dyDescent="0.2">
      <c r="A19" s="7"/>
      <c r="C19" s="23"/>
      <c r="D19" s="24"/>
      <c r="E19" s="23"/>
      <c r="F19" s="24"/>
    </row>
    <row r="20" spans="1:7" x14ac:dyDescent="0.2">
      <c r="A20" s="7"/>
      <c r="B20" s="17" t="s">
        <v>237</v>
      </c>
      <c r="C20" s="23"/>
      <c r="D20" s="24"/>
      <c r="E20" s="23"/>
      <c r="F20" s="24"/>
    </row>
    <row r="21" spans="1:7" x14ac:dyDescent="0.2">
      <c r="A21" s="7"/>
      <c r="B21" s="8" t="s">
        <v>238</v>
      </c>
      <c r="C21" s="25">
        <f>Calc!B150</f>
        <v>4.1864999999999997</v>
      </c>
      <c r="D21" s="24"/>
      <c r="E21" s="28">
        <f>Calc!B152</f>
        <v>0.62587800000000005</v>
      </c>
      <c r="F21" s="24"/>
    </row>
    <row r="22" spans="1:7" x14ac:dyDescent="0.2">
      <c r="A22" s="7"/>
      <c r="B22" s="8" t="s">
        <v>252</v>
      </c>
      <c r="C22" s="23" t="b">
        <f>AND(C21&gt;0.95*Command!C17,D3&lt;&gt;-1)</f>
        <v>0</v>
      </c>
      <c r="D22" s="24"/>
      <c r="E22" s="23" t="b">
        <f>IF(AnalysisMode = "Transient", FALSE, AND(E21&gt;0.95*E17,D4&lt;&gt;10))</f>
        <v>0</v>
      </c>
      <c r="F22" s="24"/>
    </row>
    <row r="23" spans="1:7" x14ac:dyDescent="0.2">
      <c r="A23" s="7"/>
      <c r="B23" s="8" t="s">
        <v>253</v>
      </c>
      <c r="C23" s="23" t="b">
        <f>AND(C21&lt;Command!D17,D3&lt;&gt;50)</f>
        <v>0</v>
      </c>
      <c r="D23" s="24"/>
      <c r="E23" s="23" t="b">
        <f>IF(AnalysisMode = "Transient", IF(D4&lt;&gt;50,TRUE,FALSE),AND(E21&lt;F17,D4&lt;&gt;50))</f>
        <v>0</v>
      </c>
      <c r="F23" s="24"/>
    </row>
    <row r="24" spans="1:7" x14ac:dyDescent="0.2">
      <c r="A24" s="7"/>
      <c r="B24" s="30"/>
      <c r="C24" s="23"/>
      <c r="D24" s="24"/>
      <c r="E24" s="23"/>
      <c r="F24" s="24"/>
      <c r="G24" s="5"/>
    </row>
    <row r="25" spans="1:7" x14ac:dyDescent="0.2">
      <c r="A25" s="7"/>
      <c r="B25" s="8"/>
      <c r="C25" s="26"/>
      <c r="D25" s="27"/>
      <c r="E25" s="26"/>
      <c r="F25" s="27"/>
      <c r="G25" s="5"/>
    </row>
    <row r="26" spans="1:7" x14ac:dyDescent="0.2">
      <c r="A26" s="7"/>
    </row>
    <row r="28" spans="1:7" x14ac:dyDescent="0.2">
      <c r="B28" s="1" t="s">
        <v>222</v>
      </c>
    </row>
    <row r="29" spans="1:7" x14ac:dyDescent="0.2">
      <c r="B29" s="3" t="b">
        <v>1</v>
      </c>
      <c r="D29" s="11" t="s">
        <v>203</v>
      </c>
      <c r="E29" s="11" t="s">
        <v>202</v>
      </c>
    </row>
    <row r="30" spans="1:7" x14ac:dyDescent="0.2">
      <c r="B30" s="3" t="b">
        <v>0</v>
      </c>
      <c r="D30" s="10">
        <v>0.2</v>
      </c>
      <c r="E30" s="10">
        <v>50</v>
      </c>
    </row>
    <row r="31" spans="1:7" x14ac:dyDescent="0.2">
      <c r="B31" s="1"/>
      <c r="D31" s="10">
        <v>0.5</v>
      </c>
      <c r="E31" s="10">
        <v>20</v>
      </c>
    </row>
    <row r="32" spans="1:7" x14ac:dyDescent="0.2">
      <c r="B32" s="2" t="s">
        <v>287</v>
      </c>
      <c r="D32" s="10">
        <v>1</v>
      </c>
      <c r="E32" s="10">
        <v>10</v>
      </c>
    </row>
    <row r="33" spans="2:5" x14ac:dyDescent="0.2">
      <c r="B33" s="2" t="s">
        <v>286</v>
      </c>
      <c r="D33" s="10">
        <v>2</v>
      </c>
      <c r="E33" s="10">
        <v>5</v>
      </c>
    </row>
    <row r="34" spans="2:5" x14ac:dyDescent="0.2">
      <c r="B34" s="2" t="s">
        <v>223</v>
      </c>
      <c r="D34" s="10">
        <v>5</v>
      </c>
      <c r="E34" s="10">
        <v>2</v>
      </c>
    </row>
    <row r="35" spans="2:5" x14ac:dyDescent="0.2">
      <c r="B35" s="2" t="s">
        <v>65</v>
      </c>
      <c r="D35" s="10">
        <v>10</v>
      </c>
      <c r="E35" s="10">
        <v>1</v>
      </c>
    </row>
    <row r="36" spans="2:5" x14ac:dyDescent="0.2">
      <c r="B36" s="1"/>
      <c r="D36" s="10">
        <v>20</v>
      </c>
      <c r="E36" s="10">
        <v>-1</v>
      </c>
    </row>
    <row r="37" spans="2:5" x14ac:dyDescent="0.2">
      <c r="B37" s="2" t="s">
        <v>26</v>
      </c>
      <c r="D37" s="10">
        <v>40</v>
      </c>
      <c r="E37" s="10">
        <v>-2</v>
      </c>
    </row>
    <row r="38" spans="2:5" x14ac:dyDescent="0.2">
      <c r="B38" s="2" t="s">
        <v>224</v>
      </c>
    </row>
    <row r="40" spans="2:5" x14ac:dyDescent="0.2">
      <c r="B40" s="11" t="s">
        <v>289</v>
      </c>
    </row>
    <row r="41" spans="2:5" x14ac:dyDescent="0.2">
      <c r="B41" s="11" t="s">
        <v>290</v>
      </c>
    </row>
    <row r="43" spans="2:5" x14ac:dyDescent="0.2">
      <c r="B43" s="11" t="s">
        <v>291</v>
      </c>
    </row>
    <row r="44" spans="2:5" x14ac:dyDescent="0.2">
      <c r="B44" s="11" t="s">
        <v>292</v>
      </c>
    </row>
    <row r="46" spans="2:5" x14ac:dyDescent="0.2">
      <c r="B46" s="11" t="s">
        <v>318</v>
      </c>
    </row>
    <row r="47" spans="2:5" x14ac:dyDescent="0.2">
      <c r="B47" s="11" t="s">
        <v>319</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G127"/>
  <sheetViews>
    <sheetView tabSelected="1" workbookViewId="0">
      <selection sqref="A1:XFD1048576"/>
    </sheetView>
  </sheetViews>
  <sheetFormatPr defaultRowHeight="12.75" x14ac:dyDescent="0.2"/>
  <cols>
    <col min="1" max="16384" width="9.140625" style="83"/>
  </cols>
  <sheetData>
    <row r="1" spans="2:33" x14ac:dyDescent="0.2">
      <c r="B1" s="83">
        <v>190</v>
      </c>
      <c r="C1" s="179"/>
      <c r="D1" s="83">
        <v>180</v>
      </c>
      <c r="E1" s="180"/>
      <c r="F1" s="83">
        <v>170</v>
      </c>
      <c r="G1" s="181"/>
      <c r="H1" s="83">
        <v>155</v>
      </c>
      <c r="I1" s="182"/>
      <c r="J1" s="83">
        <v>145</v>
      </c>
      <c r="K1" s="183"/>
      <c r="L1" s="83">
        <v>135</v>
      </c>
      <c r="M1" s="184"/>
      <c r="N1" s="83">
        <v>125</v>
      </c>
      <c r="O1" s="185"/>
      <c r="P1" s="83">
        <v>110</v>
      </c>
      <c r="Q1" s="186"/>
      <c r="R1" s="83">
        <v>100</v>
      </c>
      <c r="S1" s="187"/>
      <c r="T1" s="83">
        <v>91</v>
      </c>
      <c r="U1" s="188"/>
      <c r="V1" s="83">
        <v>80</v>
      </c>
      <c r="W1" s="189"/>
      <c r="X1" s="83">
        <v>65</v>
      </c>
      <c r="Y1" s="190"/>
      <c r="Z1" s="83">
        <v>55</v>
      </c>
      <c r="AA1" s="191"/>
      <c r="AB1" s="83">
        <v>45</v>
      </c>
      <c r="AC1" s="192"/>
      <c r="AD1" s="83">
        <v>36</v>
      </c>
      <c r="AE1" s="193"/>
      <c r="AG1" s="194"/>
    </row>
    <row r="2" spans="2:33" x14ac:dyDescent="0.2">
      <c r="B2" s="83" t="s">
        <v>11</v>
      </c>
      <c r="C2" s="83" t="s">
        <v>181</v>
      </c>
      <c r="D2" s="83" t="s">
        <v>11</v>
      </c>
      <c r="E2" s="83" t="s">
        <v>181</v>
      </c>
      <c r="F2" s="83" t="s">
        <v>11</v>
      </c>
      <c r="G2" s="83" t="s">
        <v>181</v>
      </c>
      <c r="H2" s="83" t="s">
        <v>11</v>
      </c>
      <c r="I2" s="83" t="s">
        <v>181</v>
      </c>
      <c r="J2" s="83" t="s">
        <v>11</v>
      </c>
      <c r="K2" s="83" t="s">
        <v>181</v>
      </c>
      <c r="L2" s="83" t="s">
        <v>11</v>
      </c>
      <c r="M2" s="83" t="s">
        <v>181</v>
      </c>
      <c r="N2" s="83" t="s">
        <v>11</v>
      </c>
      <c r="O2" s="83" t="s">
        <v>181</v>
      </c>
      <c r="P2" s="83" t="s">
        <v>11</v>
      </c>
      <c r="Q2" s="83" t="s">
        <v>181</v>
      </c>
      <c r="R2" s="83" t="s">
        <v>11</v>
      </c>
      <c r="S2" s="83" t="s">
        <v>181</v>
      </c>
      <c r="T2" s="83" t="s">
        <v>11</v>
      </c>
      <c r="U2" s="83" t="s">
        <v>181</v>
      </c>
      <c r="V2" s="83" t="s">
        <v>11</v>
      </c>
      <c r="W2" s="83" t="s">
        <v>181</v>
      </c>
      <c r="X2" s="83" t="s">
        <v>11</v>
      </c>
      <c r="Y2" s="83" t="s">
        <v>181</v>
      </c>
      <c r="Z2" s="83" t="s">
        <v>11</v>
      </c>
      <c r="AA2" s="83" t="s">
        <v>181</v>
      </c>
      <c r="AB2" s="83" t="s">
        <v>11</v>
      </c>
      <c r="AC2" s="83" t="s">
        <v>181</v>
      </c>
      <c r="AD2" s="83" t="s">
        <v>11</v>
      </c>
      <c r="AE2" s="83" t="s">
        <v>181</v>
      </c>
    </row>
    <row r="3" spans="2:33" x14ac:dyDescent="0.2">
      <c r="B3" s="83">
        <v>9584393114647332</v>
      </c>
      <c r="C3" s="83">
        <v>0</v>
      </c>
      <c r="D3" s="83">
        <v>2443636702083847</v>
      </c>
      <c r="E3" s="83">
        <v>0</v>
      </c>
      <c r="F3" s="83">
        <v>9376163840951218</v>
      </c>
      <c r="G3" s="83">
        <v>0</v>
      </c>
      <c r="H3" s="83">
        <v>8727043076249482</v>
      </c>
      <c r="I3" s="83">
        <v>0</v>
      </c>
      <c r="J3" s="83">
        <v>2074519034925287.7</v>
      </c>
      <c r="K3" s="83">
        <v>0</v>
      </c>
      <c r="L3" s="83">
        <v>8410358112621588</v>
      </c>
      <c r="M3" s="83">
        <v>0</v>
      </c>
      <c r="N3" s="83">
        <v>8423663385468997</v>
      </c>
      <c r="O3" s="83">
        <v>0</v>
      </c>
      <c r="P3" s="83">
        <v>2107252819206924.7</v>
      </c>
      <c r="Q3" s="83">
        <v>0</v>
      </c>
      <c r="R3" s="83">
        <v>1433506366200056.5</v>
      </c>
      <c r="S3" s="83">
        <v>0</v>
      </c>
      <c r="T3" s="83">
        <v>1913543134428039.7</v>
      </c>
      <c r="U3" s="83">
        <v>0</v>
      </c>
      <c r="V3" s="83">
        <v>1693783105920689.5</v>
      </c>
      <c r="W3" s="83">
        <v>0</v>
      </c>
      <c r="X3" s="83">
        <v>7565841804155300</v>
      </c>
      <c r="Y3" s="83">
        <v>0</v>
      </c>
      <c r="Z3" s="83">
        <v>1971905908464600</v>
      </c>
      <c r="AA3" s="83">
        <v>0</v>
      </c>
      <c r="AB3" s="83">
        <v>7244041741688577</v>
      </c>
      <c r="AC3" s="83">
        <v>0</v>
      </c>
      <c r="AD3" s="83">
        <v>1585813847840932</v>
      </c>
      <c r="AE3" s="83">
        <v>0</v>
      </c>
    </row>
    <row r="4" spans="2:33" x14ac:dyDescent="0.2">
      <c r="B4" s="83">
        <v>3.4870847733536636E+16</v>
      </c>
      <c r="C4" s="83">
        <v>0</v>
      </c>
      <c r="D4" s="83">
        <v>2.52481255900811E+16</v>
      </c>
      <c r="E4" s="83">
        <v>0</v>
      </c>
      <c r="F4" s="83">
        <v>3.3956584085366968E+16</v>
      </c>
      <c r="G4" s="83">
        <v>0</v>
      </c>
      <c r="H4" s="83">
        <v>3.1560234946914016E+16</v>
      </c>
      <c r="I4" s="83">
        <v>0</v>
      </c>
      <c r="J4" s="83">
        <v>2.2025190703221104E+16</v>
      </c>
      <c r="K4" s="83">
        <v>0</v>
      </c>
      <c r="L4" s="83">
        <v>3.0583770066033812E+16</v>
      </c>
      <c r="M4" s="83">
        <v>0</v>
      </c>
      <c r="N4" s="83">
        <v>3.0006164730492536E+16</v>
      </c>
      <c r="O4" s="83">
        <v>0</v>
      </c>
      <c r="P4" s="83">
        <v>2.1899652293589792E+16</v>
      </c>
      <c r="Q4" s="83">
        <v>0</v>
      </c>
      <c r="R4" s="83">
        <v>1.8586604013240676E+16</v>
      </c>
      <c r="S4" s="83">
        <v>0</v>
      </c>
      <c r="T4" s="83">
        <v>2.01375467721446E+16</v>
      </c>
      <c r="U4" s="83">
        <v>0</v>
      </c>
      <c r="V4" s="83">
        <v>1.9410960719977016E+16</v>
      </c>
      <c r="W4" s="83">
        <v>0</v>
      </c>
      <c r="X4" s="83">
        <v>2.738501715302124E+16</v>
      </c>
      <c r="Y4" s="83">
        <v>0</v>
      </c>
      <c r="Z4" s="83">
        <v>1.9742263050865956E+16</v>
      </c>
      <c r="AA4" s="83">
        <v>0</v>
      </c>
      <c r="AB4" s="83">
        <v>2.6375386762743972E+16</v>
      </c>
      <c r="AC4" s="83">
        <v>0</v>
      </c>
      <c r="AD4" s="83">
        <v>1.7946620397315686E+16</v>
      </c>
      <c r="AE4" s="83">
        <v>0</v>
      </c>
    </row>
    <row r="5" spans="2:33" x14ac:dyDescent="0.2">
      <c r="B5" s="83">
        <v>4.8046880889529632E+16</v>
      </c>
      <c r="C5" s="83">
        <v>1.2683041717555623E-4</v>
      </c>
      <c r="D5" s="83">
        <v>4.4345532077643224E+16</v>
      </c>
      <c r="E5" s="83">
        <v>1.2971898595688536E-4</v>
      </c>
      <c r="F5" s="83">
        <v>4.7201404729821832E+16</v>
      </c>
      <c r="G5" s="83">
        <v>1.2560764658197876E-4</v>
      </c>
      <c r="H5" s="83">
        <v>4.5309012439026544E+16</v>
      </c>
      <c r="I5" s="83">
        <v>1.1981891677242959E-4</v>
      </c>
      <c r="J5" s="83">
        <v>3.9518259161658496E+16</v>
      </c>
      <c r="K5" s="83">
        <v>1.169928035749718E-4</v>
      </c>
      <c r="L5" s="83">
        <v>4.2680004517504328E+16</v>
      </c>
      <c r="M5" s="83">
        <v>1.1263862664296883E-4</v>
      </c>
      <c r="N5" s="83">
        <v>4.2892543549150504E+16</v>
      </c>
      <c r="O5" s="83">
        <v>1.0957409296471509E-4</v>
      </c>
      <c r="P5" s="83">
        <v>3.7718023803835352E+16</v>
      </c>
      <c r="Q5" s="83">
        <v>1.0606320466299551E-4</v>
      </c>
      <c r="R5" s="83">
        <v>3.4180622617626284E+16</v>
      </c>
      <c r="S5" s="83">
        <v>1.0184272577572131E-4</v>
      </c>
      <c r="T5" s="83">
        <v>3.4741954943832144E+16</v>
      </c>
      <c r="U5" s="83">
        <v>9.9492827014988449E-5</v>
      </c>
      <c r="V5" s="83">
        <v>3.427947187525662E+16</v>
      </c>
      <c r="W5" s="83">
        <v>9.6383930337673858E-5</v>
      </c>
      <c r="X5" s="83">
        <v>3.8078414765823184E+16</v>
      </c>
      <c r="Y5" s="83">
        <v>9.3732640268540162E-5</v>
      </c>
      <c r="Z5" s="83">
        <v>3.365984226694176E+16</v>
      </c>
      <c r="AA5" s="83">
        <v>9.0409835916860641E-5</v>
      </c>
      <c r="AB5" s="83">
        <v>3.6473735296994688E+16</v>
      </c>
      <c r="AC5" s="83">
        <v>8.8229950918120747E-5</v>
      </c>
      <c r="AD5" s="83">
        <v>3.1057351531436408E+16</v>
      </c>
      <c r="AE5" s="83">
        <v>8.3131348036927498E-5</v>
      </c>
    </row>
    <row r="6" spans="2:33" x14ac:dyDescent="0.2">
      <c r="B6" s="83">
        <v>5.315727805765704E+16</v>
      </c>
      <c r="C6" s="83">
        <v>1.1496003922906513E-4</v>
      </c>
      <c r="D6" s="83">
        <v>5.2980705958190504E+16</v>
      </c>
      <c r="E6" s="83">
        <v>1.2073725456800858E-4</v>
      </c>
      <c r="F6" s="83">
        <v>5.2681470969418936E+16</v>
      </c>
      <c r="G6" s="83">
        <v>1.1452420637949973E-4</v>
      </c>
      <c r="H6" s="83">
        <v>5.0982250863211504E+16</v>
      </c>
      <c r="I6" s="83">
        <v>1.1121878735060558E-4</v>
      </c>
      <c r="J6" s="83">
        <v>4.8214015609869792E+16</v>
      </c>
      <c r="K6" s="83">
        <v>1.1177194572965153E-4</v>
      </c>
      <c r="L6" s="83">
        <v>4.797280469585776E+16</v>
      </c>
      <c r="M6" s="83">
        <v>1.0490157234622116E-4</v>
      </c>
      <c r="N6" s="83">
        <v>4.8371576580763016E+16</v>
      </c>
      <c r="O6" s="83">
        <v>1.0336305763748083E-4</v>
      </c>
      <c r="P6" s="83">
        <v>4.5456446983940432E+16</v>
      </c>
      <c r="Q6" s="83">
        <v>1.0181313313813947E-4</v>
      </c>
      <c r="R6" s="83">
        <v>4.2379713751541704E+16</v>
      </c>
      <c r="S6" s="83">
        <v>9.8758281114463635E-5</v>
      </c>
      <c r="T6" s="83">
        <v>4.1667115218088512E+16</v>
      </c>
      <c r="U6" s="83">
        <v>9.5727227121647065E-5</v>
      </c>
      <c r="V6" s="83">
        <v>4.152089830050196E+16</v>
      </c>
      <c r="W6" s="83">
        <v>9.4092898193742709E-5</v>
      </c>
      <c r="X6" s="83">
        <v>4.2415709355329072E+16</v>
      </c>
      <c r="Y6" s="83">
        <v>8.920299430967121E-5</v>
      </c>
      <c r="Z6" s="83">
        <v>4.0666876125602344E+16</v>
      </c>
      <c r="AA6" s="83">
        <v>8.9156160996190295E-5</v>
      </c>
      <c r="AB6" s="83">
        <v>4.0337574030895696E+16</v>
      </c>
      <c r="AC6" s="83">
        <v>8.4303806643796743E-5</v>
      </c>
      <c r="AD6" s="83">
        <v>3.749130995981228E+16</v>
      </c>
      <c r="AE6" s="83">
        <v>8.2757767949408567E-5</v>
      </c>
    </row>
    <row r="7" spans="2:33" x14ac:dyDescent="0.2">
      <c r="B7" s="83">
        <v>5.3339163348305856E+16</v>
      </c>
      <c r="C7" s="83">
        <v>1.089899354298059E-4</v>
      </c>
      <c r="D7" s="83">
        <v>5.4413692389629064E+16</v>
      </c>
      <c r="E7" s="83">
        <v>1.1161785749763105E-4</v>
      </c>
      <c r="F7" s="83">
        <v>5.2976329294790288E+16</v>
      </c>
      <c r="G7" s="83">
        <v>1.0859416865739362E-4</v>
      </c>
      <c r="H7" s="83">
        <v>5.1178369582090912E+16</v>
      </c>
      <c r="I7" s="83">
        <v>1.0522318449062863E-4</v>
      </c>
      <c r="J7" s="83">
        <v>5.0005911504466672E+16</v>
      </c>
      <c r="K7" s="83">
        <v>1.0476330552682935E-4</v>
      </c>
      <c r="L7" s="83">
        <v>4.8253949875685416E+16</v>
      </c>
      <c r="M7" s="83">
        <v>1.0017198690588757E-4</v>
      </c>
      <c r="N7" s="83">
        <v>4.8478869087269952E+16</v>
      </c>
      <c r="O7" s="83">
        <v>9.7777651030496449E-5</v>
      </c>
      <c r="P7" s="83">
        <v>4.6804308424828176E+16</v>
      </c>
      <c r="Q7" s="83">
        <v>9.5949278801811105E-5</v>
      </c>
      <c r="R7" s="83">
        <v>4.4477072986582192E+16</v>
      </c>
      <c r="S7" s="83">
        <v>9.4118247130550056E-5</v>
      </c>
      <c r="T7" s="83">
        <v>4.3455284123251032E+16</v>
      </c>
      <c r="U7" s="83">
        <v>9.1422667906628869E-5</v>
      </c>
      <c r="V7" s="83">
        <v>4.301247674330804E+16</v>
      </c>
      <c r="W7" s="83">
        <v>8.9494563565813015E-5</v>
      </c>
      <c r="X7" s="83">
        <v>4.2252887478711064E+16</v>
      </c>
      <c r="Y7" s="83">
        <v>8.5128513938318771E-5</v>
      </c>
      <c r="Z7" s="83">
        <v>4.1609755541308288E+16</v>
      </c>
      <c r="AA7" s="83">
        <v>8.4607829276273178E-5</v>
      </c>
      <c r="AB7" s="83">
        <v>4.006245664847328E+16</v>
      </c>
      <c r="AC7" s="83">
        <v>8.0718975871471409E-5</v>
      </c>
      <c r="AD7" s="83">
        <v>3.8521615199147376E+16</v>
      </c>
      <c r="AE7" s="83">
        <v>7.9235917400336629E-5</v>
      </c>
    </row>
    <row r="8" spans="2:33" x14ac:dyDescent="0.2">
      <c r="B8" s="83">
        <v>5.2123938656316592E+16</v>
      </c>
      <c r="C8" s="83">
        <v>1.0767845779884424E-4</v>
      </c>
      <c r="D8" s="83">
        <v>5.3481785119491568E+16</v>
      </c>
      <c r="E8" s="83">
        <v>1.0790681519124639E-4</v>
      </c>
      <c r="F8" s="83">
        <v>5.17669596705776E+16</v>
      </c>
      <c r="G8" s="83">
        <v>1.0704173268859408E-4</v>
      </c>
      <c r="H8" s="83">
        <v>4.9912721462713064E+16</v>
      </c>
      <c r="I8" s="83">
        <v>1.0365863435750172E-4</v>
      </c>
      <c r="J8" s="83">
        <v>4.9176541165333976E+16</v>
      </c>
      <c r="K8" s="83">
        <v>1.0153576604934461E-4</v>
      </c>
      <c r="L8" s="83">
        <v>4.711458522271004E+16</v>
      </c>
      <c r="M8" s="83">
        <v>9.8849096548571792E-5</v>
      </c>
      <c r="N8" s="83">
        <v>4.7197436444080632E+16</v>
      </c>
      <c r="O8" s="83">
        <v>9.5829953968437889E-5</v>
      </c>
      <c r="P8" s="83">
        <v>4.5874030796404496E+16</v>
      </c>
      <c r="Q8" s="83">
        <v>9.2915634308804402E-5</v>
      </c>
      <c r="R8" s="83">
        <v>4.3851871028326304E+16</v>
      </c>
      <c r="S8" s="83">
        <v>9.1380729557935463E-5</v>
      </c>
      <c r="T8" s="83">
        <v>4.2652093312722968E+16</v>
      </c>
      <c r="U8" s="83">
        <v>8.9232579632055924E-5</v>
      </c>
      <c r="V8" s="83">
        <v>4.2170225432810376E+16</v>
      </c>
      <c r="W8" s="83">
        <v>8.7036699004200941E-5</v>
      </c>
      <c r="X8" s="83">
        <v>4.0949945154202984E+16</v>
      </c>
      <c r="Y8" s="83">
        <v>8.3668164080806843E-5</v>
      </c>
      <c r="Z8" s="83">
        <v>4.0566165756272936E+16</v>
      </c>
      <c r="AA8" s="83">
        <v>8.1957904162874266E-5</v>
      </c>
      <c r="AB8" s="83">
        <v>3.8704657110360864E+16</v>
      </c>
      <c r="AC8" s="83">
        <v>7.9479383603459398E-5</v>
      </c>
      <c r="AD8" s="83">
        <v>3.762103766298056E+16</v>
      </c>
      <c r="AE8" s="83">
        <v>7.7144894482027E-5</v>
      </c>
    </row>
    <row r="9" spans="2:33" x14ac:dyDescent="0.2">
      <c r="B9" s="83">
        <v>5.0529050461542784E+16</v>
      </c>
      <c r="C9" s="83">
        <v>1.0949774578446208E-4</v>
      </c>
      <c r="D9" s="83">
        <v>5.1949551811203728E+16</v>
      </c>
      <c r="E9" s="83">
        <v>1.0855928189004585E-4</v>
      </c>
      <c r="F9" s="83">
        <v>5.0166303636921616E+16</v>
      </c>
      <c r="G9" s="83">
        <v>1.0875485086071501E-4</v>
      </c>
      <c r="H9" s="83">
        <v>4.8313923840799736E+16</v>
      </c>
      <c r="I9" s="83">
        <v>1.0537472679662779E-4</v>
      </c>
      <c r="J9" s="83">
        <v>4.7707700300768496E+16</v>
      </c>
      <c r="K9" s="83">
        <v>1.0219363194738051E-4</v>
      </c>
      <c r="L9" s="83">
        <v>4.5570475040154648E+16</v>
      </c>
      <c r="M9" s="83">
        <v>1.0032046821255849E-4</v>
      </c>
      <c r="N9" s="83">
        <v>4.5546383639361376E+16</v>
      </c>
      <c r="O9" s="83">
        <v>9.6996974556916223E-5</v>
      </c>
      <c r="P9" s="83">
        <v>4.4361166301304496E+16</v>
      </c>
      <c r="Q9" s="83">
        <v>9.3234496148176521E-5</v>
      </c>
      <c r="R9" s="83">
        <v>4.247078600387744E+16</v>
      </c>
      <c r="S9" s="83">
        <v>9.1565032457886485E-5</v>
      </c>
      <c r="T9" s="83">
        <v>4.1250825171608976E+16</v>
      </c>
      <c r="U9" s="83">
        <v>8.954638737438375E-5</v>
      </c>
      <c r="V9" s="83">
        <v>4.0688941887245528E+16</v>
      </c>
      <c r="W9" s="83">
        <v>8.7266861755058291E-5</v>
      </c>
      <c r="X9" s="83">
        <v>3.9332214405695456E+16</v>
      </c>
      <c r="Y9" s="83">
        <v>8.4392431627919049E-5</v>
      </c>
      <c r="Z9" s="83">
        <v>3.9010803016052328E+16</v>
      </c>
      <c r="AA9" s="83">
        <v>8.2006095400608136E-5</v>
      </c>
      <c r="AB9" s="83">
        <v>3.7097722630401752E+16</v>
      </c>
      <c r="AC9" s="83">
        <v>8.0076292640171085E-5</v>
      </c>
      <c r="AD9" s="83">
        <v>3.609325828481628E+16</v>
      </c>
      <c r="AE9" s="83">
        <v>7.7187165229540978E-5</v>
      </c>
    </row>
    <row r="10" spans="2:33" x14ac:dyDescent="0.2">
      <c r="B10" s="83">
        <v>4.8883046810207096E+16</v>
      </c>
      <c r="C10" s="83">
        <v>1.1208831270357297E-4</v>
      </c>
      <c r="D10" s="83">
        <v>5.030541929134796E+16</v>
      </c>
      <c r="E10" s="83">
        <v>1.1101782529083759E-4</v>
      </c>
      <c r="F10" s="83">
        <v>4.8485228932500776E+16</v>
      </c>
      <c r="G10" s="83">
        <v>1.1125090624519287E-4</v>
      </c>
      <c r="H10" s="83">
        <v>4.666551900710676E+16</v>
      </c>
      <c r="I10" s="83">
        <v>1.0771008231519409E-4</v>
      </c>
      <c r="J10" s="83">
        <v>4.6078922459232248E+16</v>
      </c>
      <c r="K10" s="83">
        <v>1.0425413151842085E-4</v>
      </c>
      <c r="L10" s="83">
        <v>4.3951234237935976E+16</v>
      </c>
      <c r="M10" s="83">
        <v>1.0232177834654265E-4</v>
      </c>
      <c r="N10" s="83">
        <v>4.3867374262810072E+16</v>
      </c>
      <c r="O10" s="83">
        <v>9.9039341161596584E-5</v>
      </c>
      <c r="P10" s="83">
        <v>4.2735093902275072E+16</v>
      </c>
      <c r="Q10" s="83">
        <v>9.487640924845353E-5</v>
      </c>
      <c r="R10" s="83">
        <v>4.0914323414433464E+16</v>
      </c>
      <c r="S10" s="83">
        <v>9.2950431055585387E-5</v>
      </c>
      <c r="T10" s="83">
        <v>3.9672399012795616E+16</v>
      </c>
      <c r="U10" s="83">
        <v>9.0838365483628428E-5</v>
      </c>
      <c r="V10" s="83">
        <v>3.908651752580088E+16</v>
      </c>
      <c r="W10" s="83">
        <v>8.8538999510207427E-5</v>
      </c>
      <c r="X10" s="83">
        <v>3.766234926509988E+16</v>
      </c>
      <c r="Y10" s="83">
        <v>8.5604740580580627E-5</v>
      </c>
      <c r="Z10" s="83">
        <v>3.7349913671264152E+16</v>
      </c>
      <c r="AA10" s="83">
        <v>8.3030818400038381E-5</v>
      </c>
      <c r="AB10" s="83">
        <v>3.543534734095032E+16</v>
      </c>
      <c r="AC10" s="83">
        <v>8.0986920042056091E-5</v>
      </c>
      <c r="AD10" s="83">
        <v>3.4442783617619184E+16</v>
      </c>
      <c r="AE10" s="83">
        <v>7.78940353994568E-5</v>
      </c>
    </row>
    <row r="11" spans="2:33" x14ac:dyDescent="0.2">
      <c r="B11" s="83">
        <v>4.71960814102236E+16</v>
      </c>
      <c r="C11" s="83">
        <v>1.1473935469404577E-4</v>
      </c>
      <c r="D11" s="83">
        <v>4.8563612560328232E+16</v>
      </c>
      <c r="E11" s="83">
        <v>1.1369336774918791E-4</v>
      </c>
      <c r="F11" s="83">
        <v>4.6775440534374616E+16</v>
      </c>
      <c r="G11" s="83">
        <v>1.1377097308643831E-4</v>
      </c>
      <c r="H11" s="83">
        <v>4.4976544710123E+16</v>
      </c>
      <c r="I11" s="83">
        <v>1.1003424067381745E-4</v>
      </c>
      <c r="J11" s="83">
        <v>4.43955814909892E+16</v>
      </c>
      <c r="K11" s="83">
        <v>1.0649472598212029E-4</v>
      </c>
      <c r="L11" s="83">
        <v>4.2302925139162672E+16</v>
      </c>
      <c r="M11" s="83">
        <v>1.0432198939446347E-4</v>
      </c>
      <c r="N11" s="83">
        <v>4.2181901304985136E+16</v>
      </c>
      <c r="O11" s="83">
        <v>1.0102553482937599E-4</v>
      </c>
      <c r="P11" s="83">
        <v>4.1076223716693304E+16</v>
      </c>
      <c r="Q11" s="83">
        <v>9.6688312965762348E-5</v>
      </c>
      <c r="R11" s="83">
        <v>3.9311666106833E+16</v>
      </c>
      <c r="S11" s="83">
        <v>9.4539495323798183E-5</v>
      </c>
      <c r="T11" s="83">
        <v>3.8059817017094992E+16</v>
      </c>
      <c r="U11" s="83">
        <v>9.222453372230034E-5</v>
      </c>
      <c r="V11" s="83">
        <v>3.7447698952808616E+16</v>
      </c>
      <c r="W11" s="83">
        <v>8.980599928147736E-5</v>
      </c>
      <c r="X11" s="83">
        <v>3.597093858957424E+16</v>
      </c>
      <c r="Y11" s="83">
        <v>8.6698073845341547E-5</v>
      </c>
      <c r="Z11" s="83">
        <v>3.5638656479652812E+16</v>
      </c>
      <c r="AA11" s="83">
        <v>8.4024765247586524E-5</v>
      </c>
      <c r="AB11" s="83">
        <v>3.3732706561691752E+16</v>
      </c>
      <c r="AC11" s="83">
        <v>8.1761063908809294E-5</v>
      </c>
      <c r="AD11" s="83">
        <v>3.2766308581967968E+16</v>
      </c>
      <c r="AE11" s="83">
        <v>7.8509721765908003E-5</v>
      </c>
    </row>
    <row r="12" spans="2:33" x14ac:dyDescent="0.2">
      <c r="B12" s="83">
        <v>4.55132275151272E+16</v>
      </c>
      <c r="C12" s="83">
        <v>1.1728343715746878E-4</v>
      </c>
      <c r="D12" s="83">
        <v>4.6845176635096712E+16</v>
      </c>
      <c r="E12" s="83">
        <v>1.1620884755655056E-4</v>
      </c>
      <c r="F12" s="83">
        <v>4.5073381149958688E+16</v>
      </c>
      <c r="G12" s="83">
        <v>1.1617224645654836E-4</v>
      </c>
      <c r="H12" s="83">
        <v>4.3297295625445552E+16</v>
      </c>
      <c r="I12" s="83">
        <v>1.1226740841806575E-4</v>
      </c>
      <c r="J12" s="83">
        <v>4.2712413611339608E+16</v>
      </c>
      <c r="K12" s="83">
        <v>1.086084955929414E-4</v>
      </c>
      <c r="L12" s="83">
        <v>4.0665103412649304E+16</v>
      </c>
      <c r="M12" s="83">
        <v>1.0626665051733644E-4</v>
      </c>
      <c r="N12" s="83">
        <v>4.0481161891090864E+16</v>
      </c>
      <c r="O12" s="83">
        <v>1.0289515754868448E-4</v>
      </c>
      <c r="P12" s="83">
        <v>3.9429742810927336E+16</v>
      </c>
      <c r="Q12" s="83">
        <v>9.8297448259692451E-5</v>
      </c>
      <c r="R12" s="83">
        <v>3.7684831096580768E+16</v>
      </c>
      <c r="S12" s="83">
        <v>9.5975519161787103E-5</v>
      </c>
      <c r="T12" s="83">
        <v>3.6433462154102552E+16</v>
      </c>
      <c r="U12" s="83">
        <v>9.3487696500920166E-5</v>
      </c>
      <c r="V12" s="83">
        <v>3.5819511087265112E+16</v>
      </c>
      <c r="W12" s="83">
        <v>9.0986975326000504E-5</v>
      </c>
      <c r="X12" s="83">
        <v>3.4294680523644108E+16</v>
      </c>
      <c r="Y12" s="83">
        <v>8.7643485547503097E-5</v>
      </c>
      <c r="Z12" s="83">
        <v>3.3961748340187108E+16</v>
      </c>
      <c r="AA12" s="83">
        <v>8.4887351580490065E-5</v>
      </c>
      <c r="AB12" s="83">
        <v>3.2048324510666296E+16</v>
      </c>
      <c r="AC12" s="83">
        <v>8.2412588558675303E-5</v>
      </c>
      <c r="AD12" s="83">
        <v>3.1139395240223956E+16</v>
      </c>
      <c r="AE12" s="83">
        <v>7.9016854382941203E-5</v>
      </c>
    </row>
    <row r="13" spans="2:33" x14ac:dyDescent="0.2">
      <c r="B13" s="83">
        <v>4.3849092638193232E+16</v>
      </c>
      <c r="C13" s="83">
        <v>1.1975779286240687E-4</v>
      </c>
      <c r="D13" s="83">
        <v>4.5135906310120688E+16</v>
      </c>
      <c r="E13" s="83">
        <v>1.1868008325067129E-4</v>
      </c>
      <c r="F13" s="83">
        <v>4.3382042800012672E+16</v>
      </c>
      <c r="G13" s="83">
        <v>1.184997713229265E-4</v>
      </c>
      <c r="H13" s="83">
        <v>4.1622390643104192E+16</v>
      </c>
      <c r="I13" s="83">
        <v>1.1442118380528079E-4</v>
      </c>
      <c r="J13" s="83">
        <v>4.1038722472230016E+16</v>
      </c>
      <c r="K13" s="83">
        <v>1.1064726608357229E-4</v>
      </c>
      <c r="L13" s="83">
        <v>3.9034177105755152E+16</v>
      </c>
      <c r="M13" s="83">
        <v>1.0808660607352979E-4</v>
      </c>
      <c r="N13" s="83">
        <v>3.8808569697165216E+16</v>
      </c>
      <c r="O13" s="83">
        <v>1.0467635634102186E-4</v>
      </c>
      <c r="P13" s="83">
        <v>3.7799256189671336E+16</v>
      </c>
      <c r="Q13" s="83">
        <v>9.986362376198163E-5</v>
      </c>
      <c r="R13" s="83">
        <v>3.60899784162182E+16</v>
      </c>
      <c r="S13" s="83">
        <v>9.7321069111484356E-5</v>
      </c>
      <c r="T13" s="83">
        <v>3.483571059119702E+16</v>
      </c>
      <c r="U13" s="83">
        <v>9.471218857986327E-5</v>
      </c>
      <c r="V13" s="83">
        <v>3.4208096368563528E+16</v>
      </c>
      <c r="W13" s="83">
        <v>9.205801369060684E-5</v>
      </c>
      <c r="X13" s="83">
        <v>3.2648410842608896E+16</v>
      </c>
      <c r="Y13" s="83">
        <v>8.8484309773841305E-5</v>
      </c>
      <c r="Z13" s="83">
        <v>3.2286643410512756E+16</v>
      </c>
      <c r="AA13" s="83">
        <v>8.5619130847971599E-5</v>
      </c>
      <c r="AB13" s="83">
        <v>3.03977976489585E+16</v>
      </c>
      <c r="AC13" s="83">
        <v>8.2928415916007746E-5</v>
      </c>
      <c r="AD13" s="83">
        <v>2.9539814524043988E+16</v>
      </c>
      <c r="AE13" s="83">
        <v>7.9455174078902759E-5</v>
      </c>
    </row>
    <row r="14" spans="2:33" x14ac:dyDescent="0.2">
      <c r="B14" s="83">
        <v>4.2204194011119856E+16</v>
      </c>
      <c r="C14" s="83">
        <v>1.220824121554872E-4</v>
      </c>
      <c r="D14" s="83">
        <v>4.3463527517242008E+16</v>
      </c>
      <c r="E14" s="83">
        <v>1.2104725845917368E-4</v>
      </c>
      <c r="F14" s="83">
        <v>4.1724267292174024E+16</v>
      </c>
      <c r="G14" s="83">
        <v>1.2075608602779606E-4</v>
      </c>
      <c r="H14" s="83">
        <v>3.9968522866421632E+16</v>
      </c>
      <c r="I14" s="83">
        <v>1.1646560835983724E-4</v>
      </c>
      <c r="J14" s="83">
        <v>3.939036233301804E+16</v>
      </c>
      <c r="K14" s="83">
        <v>1.1258286494608176E-4</v>
      </c>
      <c r="L14" s="83">
        <v>3.7427112119133856E+16</v>
      </c>
      <c r="M14" s="83">
        <v>1.0984230446245252E-4</v>
      </c>
      <c r="N14" s="83">
        <v>3.716623955284672E+16</v>
      </c>
      <c r="O14" s="83">
        <v>1.0633174723491702E-4</v>
      </c>
      <c r="P14" s="83">
        <v>3.6178498148563984E+16</v>
      </c>
      <c r="Q14" s="83">
        <v>1.0129585291503989E-4</v>
      </c>
      <c r="R14" s="83">
        <v>3.4514411967951964E+16</v>
      </c>
      <c r="S14" s="83">
        <v>9.8573589089736796E-5</v>
      </c>
      <c r="T14" s="83">
        <v>3.3253131160169136E+16</v>
      </c>
      <c r="U14" s="83">
        <v>9.5785949371087433E-5</v>
      </c>
      <c r="V14" s="83">
        <v>3.263652541500204E+16</v>
      </c>
      <c r="W14" s="83">
        <v>9.2997437358991882E-5</v>
      </c>
      <c r="X14" s="83">
        <v>3.1046283769154836E+16</v>
      </c>
      <c r="Y14" s="83">
        <v>8.9214343444232407E-5</v>
      </c>
      <c r="Z14" s="83">
        <v>3.0661872741253832E+16</v>
      </c>
      <c r="AA14" s="83">
        <v>8.6223346615569462E-5</v>
      </c>
      <c r="AB14" s="83">
        <v>2.8806761960045912E+16</v>
      </c>
      <c r="AC14" s="83">
        <v>8.3344803570850289E-5</v>
      </c>
      <c r="AD14" s="83">
        <v>2.7972546126244968E+16</v>
      </c>
      <c r="AE14" s="83">
        <v>7.973812289410547E-5</v>
      </c>
    </row>
    <row r="15" spans="2:33" x14ac:dyDescent="0.2">
      <c r="B15" s="83">
        <v>4.0597994023291056E+16</v>
      </c>
      <c r="C15" s="83">
        <v>1.2443478208291187E-4</v>
      </c>
      <c r="D15" s="83">
        <v>4.1808614369310576E+16</v>
      </c>
      <c r="E15" s="83">
        <v>1.2338813433107376E-4</v>
      </c>
      <c r="F15" s="83">
        <v>4.009048553532136E+16</v>
      </c>
      <c r="G15" s="83">
        <v>1.2295905850065117E-4</v>
      </c>
      <c r="H15" s="83">
        <v>3.8365322940663864E+16</v>
      </c>
      <c r="I15" s="83">
        <v>1.1848654724650601E-4</v>
      </c>
      <c r="J15" s="83">
        <v>3.7781383271855272E+16</v>
      </c>
      <c r="K15" s="83">
        <v>1.1448457526646894E-4</v>
      </c>
      <c r="L15" s="83">
        <v>3.5863315475624376E+16</v>
      </c>
      <c r="M15" s="83">
        <v>1.1157724172079124E-4</v>
      </c>
      <c r="N15" s="83">
        <v>3.5560788298195524E+16</v>
      </c>
      <c r="O15" s="83">
        <v>1.0789964407927751E-4</v>
      </c>
      <c r="P15" s="83">
        <v>3.458839494867078E+16</v>
      </c>
      <c r="Q15" s="83">
        <v>1.0265786237814419E-4</v>
      </c>
      <c r="R15" s="83">
        <v>3.297095470293074E+16</v>
      </c>
      <c r="S15" s="83">
        <v>9.97871083893885E-5</v>
      </c>
      <c r="T15" s="83">
        <v>3.171272316329726E+16</v>
      </c>
      <c r="U15" s="83">
        <v>9.6814342459314648E-5</v>
      </c>
      <c r="V15" s="83">
        <v>3.1101423018673908E+16</v>
      </c>
      <c r="W15" s="83">
        <v>9.3894461282802082E-5</v>
      </c>
      <c r="X15" s="83">
        <v>2.9488430485059992E+16</v>
      </c>
      <c r="Y15" s="83">
        <v>8.985744423069142E-5</v>
      </c>
      <c r="Z15" s="83">
        <v>2.9083320443874492E+16</v>
      </c>
      <c r="AA15" s="83">
        <v>8.6754747512131177E-5</v>
      </c>
      <c r="AB15" s="83">
        <v>2.727112849478766E+16</v>
      </c>
      <c r="AC15" s="83">
        <v>8.3682432211862399E-5</v>
      </c>
      <c r="AD15" s="83">
        <v>2.6444137059912976E+16</v>
      </c>
      <c r="AE15" s="83">
        <v>7.9929395887211481E-5</v>
      </c>
    </row>
    <row r="16" spans="2:33" x14ac:dyDescent="0.2">
      <c r="B16" s="83">
        <v>3.902465852060868E+16</v>
      </c>
      <c r="C16" s="83">
        <v>1.2663633004689147E-4</v>
      </c>
      <c r="D16" s="83">
        <v>4.0163780352809568E+16</v>
      </c>
      <c r="E16" s="83">
        <v>1.2561135617499366E-4</v>
      </c>
      <c r="F16" s="83">
        <v>3.8488835106597344E+16</v>
      </c>
      <c r="G16" s="83">
        <v>1.2503549663714857E-4</v>
      </c>
      <c r="H16" s="83">
        <v>3.6784006069278832E+16</v>
      </c>
      <c r="I16" s="83">
        <v>1.203367552056714E-4</v>
      </c>
      <c r="J16" s="83">
        <v>3.6209993070680144E+16</v>
      </c>
      <c r="K16" s="83">
        <v>1.1626184686444442E-4</v>
      </c>
      <c r="L16" s="83">
        <v>3.4335664676069E+16</v>
      </c>
      <c r="M16" s="83">
        <v>1.1316709210603453E-4</v>
      </c>
      <c r="N16" s="83">
        <v>3.401829318442698E+16</v>
      </c>
      <c r="O16" s="83">
        <v>1.0937422411948211E-4</v>
      </c>
      <c r="P16" s="83">
        <v>3.3040463646075484E+16</v>
      </c>
      <c r="Q16" s="83">
        <v>1.0394091517952012E-4</v>
      </c>
      <c r="R16" s="83">
        <v>3.1453109963503504E+16</v>
      </c>
      <c r="S16" s="83">
        <v>1.0086611599417929E-4</v>
      </c>
      <c r="T16" s="83">
        <v>3.0215033732219332E+16</v>
      </c>
      <c r="U16" s="83">
        <v>9.7724671532279885E-5</v>
      </c>
      <c r="V16" s="83">
        <v>2.9601053670575E+16</v>
      </c>
      <c r="W16" s="83">
        <v>9.4679014018318874E-5</v>
      </c>
      <c r="X16" s="83">
        <v>2.7986409302385104E+16</v>
      </c>
      <c r="Y16" s="83">
        <v>9.0387046541521573E-5</v>
      </c>
      <c r="Z16" s="83">
        <v>2.7554878127987248E+16</v>
      </c>
      <c r="AA16" s="83">
        <v>8.7165575653389793E-5</v>
      </c>
      <c r="AB16" s="83">
        <v>2.5792813827336772E+16</v>
      </c>
      <c r="AC16" s="83">
        <v>8.3917265516433089E-5</v>
      </c>
      <c r="AD16" s="83">
        <v>2.4978853216424532E+16</v>
      </c>
      <c r="AE16" s="83">
        <v>8.004467415595336E-5</v>
      </c>
    </row>
    <row r="17" spans="2:31" x14ac:dyDescent="0.2">
      <c r="B17" s="83">
        <v>3.75045985621474E+16</v>
      </c>
      <c r="C17" s="83">
        <v>1.2879127856754436E-4</v>
      </c>
      <c r="D17" s="83">
        <v>3.8559493750938808E+16</v>
      </c>
      <c r="E17" s="83">
        <v>1.2772615128518272E-4</v>
      </c>
      <c r="F17" s="83">
        <v>3.6925063626327776E+16</v>
      </c>
      <c r="G17" s="83">
        <v>1.2700058681147623E-4</v>
      </c>
      <c r="H17" s="83">
        <v>3.5253631882131144E+16</v>
      </c>
      <c r="I17" s="83">
        <v>1.221087404142952E-4</v>
      </c>
      <c r="J17" s="83">
        <v>3.4671273708373268E+16</v>
      </c>
      <c r="K17" s="83">
        <v>1.1792119697337243E-4</v>
      </c>
      <c r="L17" s="83">
        <v>3.2854071253276232E+16</v>
      </c>
      <c r="M17" s="83">
        <v>1.1465307479976334E-4</v>
      </c>
      <c r="N17" s="83">
        <v>3.253063574881732E+16</v>
      </c>
      <c r="O17" s="83">
        <v>1.1078413730465694E-4</v>
      </c>
      <c r="P17" s="83">
        <v>3.1548480590417116E+16</v>
      </c>
      <c r="Q17" s="83">
        <v>1.0511820433253439E-4</v>
      </c>
      <c r="R17" s="83">
        <v>2.9991011084043908E+16</v>
      </c>
      <c r="S17" s="83">
        <v>1.0184652233192572E-4</v>
      </c>
      <c r="T17" s="83">
        <v>2.8775604790480684E+16</v>
      </c>
      <c r="U17" s="83">
        <v>9.8572821497506513E-5</v>
      </c>
      <c r="V17" s="83">
        <v>2.8137654285546292E+16</v>
      </c>
      <c r="W17" s="83">
        <v>9.5330367376871746E-5</v>
      </c>
      <c r="X17" s="83">
        <v>2.654493912441552E+16</v>
      </c>
      <c r="Y17" s="83">
        <v>9.0864514958716473E-5</v>
      </c>
      <c r="Z17" s="83">
        <v>2.6095971564037876E+16</v>
      </c>
      <c r="AA17" s="83">
        <v>8.7526098826841271E-5</v>
      </c>
      <c r="AB17" s="83">
        <v>2.437127981745992E+16</v>
      </c>
      <c r="AC17" s="83">
        <v>8.4067015052438306E-5</v>
      </c>
      <c r="AD17" s="83">
        <v>2.3572833120625148E+16</v>
      </c>
      <c r="AE17" s="83">
        <v>8.006232206367512E-5</v>
      </c>
    </row>
    <row r="18" spans="2:31" x14ac:dyDescent="0.2">
      <c r="B18" s="83">
        <v>3.6005868365620608E+16</v>
      </c>
      <c r="C18" s="83">
        <v>1.3085749774518319E-4</v>
      </c>
      <c r="D18" s="83">
        <v>3.7018862856367704E+16</v>
      </c>
      <c r="E18" s="83">
        <v>1.2983408647813781E-4</v>
      </c>
      <c r="F18" s="83">
        <v>3.542120765288912E+16</v>
      </c>
      <c r="G18" s="83">
        <v>1.2898298773488789E-4</v>
      </c>
      <c r="H18" s="83">
        <v>3.3767002880971704E+16</v>
      </c>
      <c r="I18" s="83">
        <v>1.2386939813689707E-4</v>
      </c>
      <c r="J18" s="83">
        <v>3.3184431453255492E+16</v>
      </c>
      <c r="K18" s="83">
        <v>1.1952124657189873E-4</v>
      </c>
      <c r="L18" s="83">
        <v>3.1410804974049924E+16</v>
      </c>
      <c r="M18" s="83">
        <v>1.1606091588670962E-4</v>
      </c>
      <c r="N18" s="83">
        <v>3.1071082297964992E+16</v>
      </c>
      <c r="O18" s="83">
        <v>1.120735684957336E-4</v>
      </c>
      <c r="P18" s="83">
        <v>3.0104517522309408E+16</v>
      </c>
      <c r="Q18" s="83">
        <v>1.0621895125020117E-4</v>
      </c>
      <c r="R18" s="83">
        <v>2.8585976804415952E+16</v>
      </c>
      <c r="S18" s="83">
        <v>1.0278582140603543E-4</v>
      </c>
      <c r="T18" s="83">
        <v>2.7382482338106084E+16</v>
      </c>
      <c r="U18" s="83">
        <v>9.9335703678949593E-5</v>
      </c>
      <c r="V18" s="83">
        <v>2.6747156415262412E+16</v>
      </c>
      <c r="W18" s="83">
        <v>9.5968943809406768E-5</v>
      </c>
      <c r="X18" s="83">
        <v>2.5163686972006484E+16</v>
      </c>
      <c r="Y18" s="83">
        <v>9.1277790509274739E-5</v>
      </c>
      <c r="Z18" s="83">
        <v>2.4686278835579184E+16</v>
      </c>
      <c r="AA18" s="83">
        <v>8.7774381626519655E-5</v>
      </c>
      <c r="AB18" s="83">
        <v>2.3015483586981708E+16</v>
      </c>
      <c r="AC18" s="83">
        <v>8.4159936328553474E-5</v>
      </c>
      <c r="AD18" s="83">
        <v>2.2234058352127728E+16</v>
      </c>
      <c r="AE18" s="83">
        <v>8.0025468036897521E-5</v>
      </c>
    </row>
    <row r="19" spans="2:31" x14ac:dyDescent="0.2">
      <c r="B19" s="83">
        <v>3.4543230613797756E+16</v>
      </c>
      <c r="C19" s="83">
        <v>1.3282161274091658E-4</v>
      </c>
      <c r="D19" s="83">
        <v>3.550832152347232E+16</v>
      </c>
      <c r="E19" s="83">
        <v>1.3183130006964608E-4</v>
      </c>
      <c r="F19" s="83">
        <v>3.3945066378472808E+16</v>
      </c>
      <c r="G19" s="83">
        <v>1.308120374676323E-4</v>
      </c>
      <c r="H19" s="83">
        <v>3.231519201302758E+16</v>
      </c>
      <c r="I19" s="83">
        <v>1.2548727357122877E-4</v>
      </c>
      <c r="J19" s="83">
        <v>3.174509449842714E+16</v>
      </c>
      <c r="K19" s="83">
        <v>1.2107120237370733E-4</v>
      </c>
      <c r="L19" s="83">
        <v>3.0021041223568412E+16</v>
      </c>
      <c r="M19" s="83">
        <v>1.1741164979029567E-4</v>
      </c>
      <c r="N19" s="83">
        <v>2.9662075809839112E+16</v>
      </c>
      <c r="O19" s="83">
        <v>1.1329025070758847E-4</v>
      </c>
      <c r="P19" s="83">
        <v>2.8697765805840704E+16</v>
      </c>
      <c r="Q19" s="83">
        <v>1.0723831322142775E-4</v>
      </c>
      <c r="R19" s="83">
        <v>2.7218743453358028E+16</v>
      </c>
      <c r="S19" s="83">
        <v>1.036272680521904E-4</v>
      </c>
      <c r="T19" s="83">
        <v>2.603626787545752E+16</v>
      </c>
      <c r="U19" s="83">
        <v>1.0001537594165611E-4</v>
      </c>
      <c r="V19" s="83">
        <v>2.5402087174087176E+16</v>
      </c>
      <c r="W19" s="83">
        <v>9.6538658040946673E-5</v>
      </c>
      <c r="X19" s="83">
        <v>2.3833853873395004E+16</v>
      </c>
      <c r="Y19" s="83">
        <v>9.158660337763052E-5</v>
      </c>
      <c r="Z19" s="83">
        <v>2.3357098364881352E+16</v>
      </c>
      <c r="AA19" s="83">
        <v>8.8017634825122409E-5</v>
      </c>
      <c r="AB19" s="83">
        <v>2.172826833485738E+16</v>
      </c>
      <c r="AC19" s="83">
        <v>8.4209327046744104E-5</v>
      </c>
      <c r="AD19" s="83">
        <v>2.0955416964534296E+16</v>
      </c>
      <c r="AE19" s="83">
        <v>7.9911319772795294E-5</v>
      </c>
    </row>
    <row r="20" spans="2:31" x14ac:dyDescent="0.2">
      <c r="B20" s="83">
        <v>3.3119083207107228E+16</v>
      </c>
      <c r="C20" s="83">
        <v>1.3472272403937461E-4</v>
      </c>
      <c r="D20" s="83">
        <v>3.4031493498071036E+16</v>
      </c>
      <c r="E20" s="83">
        <v>1.3371894758002897E-4</v>
      </c>
      <c r="F20" s="83">
        <v>3.2506214171712256E+16</v>
      </c>
      <c r="G20" s="83">
        <v>1.3250812919937268E-4</v>
      </c>
      <c r="H20" s="83">
        <v>3.091116102120558E+16</v>
      </c>
      <c r="I20" s="83">
        <v>1.270285116785454E-4</v>
      </c>
      <c r="J20" s="83">
        <v>3.033595055628836E+16</v>
      </c>
      <c r="K20" s="83">
        <v>1.2246343413923176E-4</v>
      </c>
      <c r="L20" s="83">
        <v>2.866531958685004E+16</v>
      </c>
      <c r="M20" s="83">
        <v>1.1865609565261634E-4</v>
      </c>
      <c r="N20" s="83">
        <v>2.830292029014344E+16</v>
      </c>
      <c r="O20" s="83">
        <v>1.1444475961539382E-4</v>
      </c>
      <c r="P20" s="83">
        <v>2.73408318042656E+16</v>
      </c>
      <c r="Q20" s="83">
        <v>1.0817108623547271E-4</v>
      </c>
      <c r="R20" s="83">
        <v>2.5898688053513552E+16</v>
      </c>
      <c r="S20" s="83">
        <v>1.043544378412279E-4</v>
      </c>
      <c r="T20" s="83">
        <v>2.4732736285717892E+16</v>
      </c>
      <c r="U20" s="83">
        <v>1.0058819298051413E-4</v>
      </c>
      <c r="V20" s="83">
        <v>2.4098999497327272E+16</v>
      </c>
      <c r="W20" s="83">
        <v>9.6982576995631722E-5</v>
      </c>
      <c r="X20" s="83">
        <v>2.2559257822349864E+16</v>
      </c>
      <c r="Y20" s="83">
        <v>9.1817226155394845E-5</v>
      </c>
      <c r="Z20" s="83">
        <v>2.2069323747111096E+16</v>
      </c>
      <c r="AA20" s="83">
        <v>8.8126753298046394E-5</v>
      </c>
      <c r="AB20" s="83">
        <v>2.0491643266920144E+16</v>
      </c>
      <c r="AC20" s="83">
        <v>8.4152677687909238E-5</v>
      </c>
      <c r="AD20" s="83">
        <v>1.9744806746422804E+16</v>
      </c>
      <c r="AE20" s="83">
        <v>7.9778916475173293E-5</v>
      </c>
    </row>
    <row r="21" spans="2:31" x14ac:dyDescent="0.2">
      <c r="B21" s="83">
        <v>3.1733837797219968E+16</v>
      </c>
      <c r="C21" s="83">
        <v>1.3657435411875896E-4</v>
      </c>
      <c r="D21" s="83">
        <v>3.2602675596619028E+16</v>
      </c>
      <c r="E21" s="83">
        <v>1.3555031301878915E-4</v>
      </c>
      <c r="F21" s="83">
        <v>3.1118205926816332E+16</v>
      </c>
      <c r="G21" s="83">
        <v>1.3421012218068742E-4</v>
      </c>
      <c r="H21" s="83">
        <v>2.9534055023421452E+16</v>
      </c>
      <c r="I21" s="83">
        <v>1.2845016873375454E-4</v>
      </c>
      <c r="J21" s="83">
        <v>2.8978594702342124E+16</v>
      </c>
      <c r="K21" s="83">
        <v>1.238179204907507E-4</v>
      </c>
      <c r="L21" s="83">
        <v>2.7353363988891016E+16</v>
      </c>
      <c r="M21" s="83">
        <v>1.1982273785551703E-4</v>
      </c>
      <c r="N21" s="83">
        <v>2.6983643470542968E+16</v>
      </c>
      <c r="O21" s="83">
        <v>1.1548243589925738E-4</v>
      </c>
      <c r="P21" s="83">
        <v>2.6029881326188632E+16</v>
      </c>
      <c r="Q21" s="83">
        <v>1.0902166368861767E-4</v>
      </c>
      <c r="R21" s="83">
        <v>2.4633024239700212E+16</v>
      </c>
      <c r="S21" s="83">
        <v>1.0505222992515569E-4</v>
      </c>
      <c r="T21" s="83">
        <v>2.3486463224145776E+16</v>
      </c>
      <c r="U21" s="83">
        <v>1.0113476276817127E-4</v>
      </c>
      <c r="V21" s="83">
        <v>2.285463230403938E+16</v>
      </c>
      <c r="W21" s="83">
        <v>9.7393223264884181E-5</v>
      </c>
      <c r="X21" s="83">
        <v>2.133312045865078E+16</v>
      </c>
      <c r="Y21" s="83">
        <v>9.1963637122935681E-5</v>
      </c>
      <c r="Z21" s="83">
        <v>2.083302200239284E+16</v>
      </c>
      <c r="AA21" s="83">
        <v>8.8138476220901908E-5</v>
      </c>
      <c r="AB21" s="83">
        <v>1.931098871593842E+16</v>
      </c>
      <c r="AC21" s="83">
        <v>8.4031248362396467E-5</v>
      </c>
      <c r="AD21" s="83">
        <v>1.8584733535255656E+16</v>
      </c>
      <c r="AE21" s="83">
        <v>7.9564475533431411E-5</v>
      </c>
    </row>
    <row r="22" spans="2:31" x14ac:dyDescent="0.2">
      <c r="B22" s="83">
        <v>3.0388437132131348E+16</v>
      </c>
      <c r="C22" s="83">
        <v>1.3833531145525537E-4</v>
      </c>
      <c r="D22" s="83">
        <v>3.1210118467550516E+16</v>
      </c>
      <c r="E22" s="83">
        <v>1.3732322119475822E-4</v>
      </c>
      <c r="F22" s="83">
        <v>2.9759680473692304E+16</v>
      </c>
      <c r="G22" s="83">
        <v>1.357534840342899E-4</v>
      </c>
      <c r="H22" s="83">
        <v>2.8210566703065848E+16</v>
      </c>
      <c r="I22" s="83">
        <v>1.2981803676260538E-4</v>
      </c>
      <c r="J22" s="83">
        <v>2.7663049546534432E+16</v>
      </c>
      <c r="K22" s="83">
        <v>1.2506255436004688E-4</v>
      </c>
      <c r="L22" s="83">
        <v>2.6082939568827848E+16</v>
      </c>
      <c r="M22" s="83">
        <v>1.2088224837976223E-4</v>
      </c>
      <c r="N22" s="83">
        <v>2.5706831855916976E+16</v>
      </c>
      <c r="O22" s="83">
        <v>1.164311717896473E-4</v>
      </c>
      <c r="P22" s="83">
        <v>2.4764687146653992E+16</v>
      </c>
      <c r="Q22" s="83">
        <v>1.0980179606804742E-4</v>
      </c>
      <c r="R22" s="83">
        <v>2.3403054605234644E+16</v>
      </c>
      <c r="S22" s="83">
        <v>1.0562616566314185E-4</v>
      </c>
      <c r="T22" s="83">
        <v>2.2286207896176312E+16</v>
      </c>
      <c r="U22" s="83">
        <v>1.0156603901066268E-4</v>
      </c>
      <c r="V22" s="83">
        <v>2.1654785842687532E+16</v>
      </c>
      <c r="W22" s="83">
        <v>9.7690743535287574E-5</v>
      </c>
      <c r="X22" s="83">
        <v>2.0164492522350924E+16</v>
      </c>
      <c r="Y22" s="83">
        <v>9.2043134955331266E-5</v>
      </c>
      <c r="Z22" s="83">
        <v>1.9669585829918472E+16</v>
      </c>
      <c r="AA22" s="83">
        <v>8.8172391223796234E-5</v>
      </c>
      <c r="AB22" s="83">
        <v>1.8196712771042788E+16</v>
      </c>
      <c r="AC22" s="83">
        <v>8.3872722165134969E-5</v>
      </c>
      <c r="AD22" s="83">
        <v>1.7487857326777696E+16</v>
      </c>
      <c r="AE22" s="83">
        <v>7.930345440163162E-5</v>
      </c>
    </row>
    <row r="23" spans="2:31" x14ac:dyDescent="0.2">
      <c r="B23" s="83">
        <v>2.9083038622039444E+16</v>
      </c>
      <c r="C23" s="83">
        <v>1.3996755674792035E-4</v>
      </c>
      <c r="D23" s="83">
        <v>2.9860347322021836E+16</v>
      </c>
      <c r="E23" s="83">
        <v>1.3896851248697251E-4</v>
      </c>
      <c r="F23" s="83">
        <v>2.8449986468173044E+16</v>
      </c>
      <c r="G23" s="83">
        <v>1.3721857241067405E-4</v>
      </c>
      <c r="H23" s="83">
        <v>2.6929816226991876E+16</v>
      </c>
      <c r="I23" s="83">
        <v>1.3107855204413186E-4</v>
      </c>
      <c r="J23" s="83">
        <v>2.63913542394605E+16</v>
      </c>
      <c r="K23" s="83">
        <v>1.2619555731699473E-4</v>
      </c>
      <c r="L23" s="83">
        <v>2.485935096433974E+16</v>
      </c>
      <c r="M23" s="83">
        <v>1.218387159209083E-4</v>
      </c>
      <c r="N23" s="83">
        <v>2.4477359364755028E+16</v>
      </c>
      <c r="O23" s="83">
        <v>1.1728103156760483E-4</v>
      </c>
      <c r="P23" s="83">
        <v>2.3540947279761036E+16</v>
      </c>
      <c r="Q23" s="83">
        <v>1.1043227712360297E-4</v>
      </c>
      <c r="R23" s="83">
        <v>2.2226122171074412E+16</v>
      </c>
      <c r="S23" s="83">
        <v>1.0611207055498545E-4</v>
      </c>
      <c r="T23" s="83">
        <v>2.1135955445844492E+16</v>
      </c>
      <c r="U23" s="83">
        <v>1.0191274793184869E-4</v>
      </c>
      <c r="V23" s="83">
        <v>2.0509950169302924E+16</v>
      </c>
      <c r="W23" s="83">
        <v>9.791278956576106E-5</v>
      </c>
      <c r="X23" s="83">
        <v>1.9050526154334492E+16</v>
      </c>
      <c r="Y23" s="83">
        <v>9.2048918940243083E-5</v>
      </c>
      <c r="Z23" s="83">
        <v>1.8557767150406964E+16</v>
      </c>
      <c r="AA23" s="83">
        <v>8.8085938374983275E-5</v>
      </c>
      <c r="AB23" s="83">
        <v>1.7137727177373004E+16</v>
      </c>
      <c r="AC23" s="83">
        <v>8.3629394586252231E-5</v>
      </c>
      <c r="AD23" s="83">
        <v>1.64449797372331E+16</v>
      </c>
      <c r="AE23" s="83">
        <v>7.8961902581118601E-5</v>
      </c>
    </row>
    <row r="24" spans="2:31" x14ac:dyDescent="0.2">
      <c r="B24" s="83">
        <v>2.782436171580964E+16</v>
      </c>
      <c r="C24" s="83">
        <v>1.4156000099419078E-4</v>
      </c>
      <c r="D24" s="83">
        <v>2.8553734466551392E+16</v>
      </c>
      <c r="E24" s="83">
        <v>1.4051873723378786E-4</v>
      </c>
      <c r="F24" s="83">
        <v>2.7191104766695904E+16</v>
      </c>
      <c r="G24" s="83">
        <v>1.3864332556728307E-4</v>
      </c>
      <c r="H24" s="83">
        <v>2.5703222901033116E+16</v>
      </c>
      <c r="I24" s="83">
        <v>1.3227336481801447E-4</v>
      </c>
      <c r="J24" s="83">
        <v>2.5166827105093416E+16</v>
      </c>
      <c r="K24" s="83">
        <v>1.2725769750627228E-4</v>
      </c>
      <c r="L24" s="83">
        <v>2.3682181592526684E+16</v>
      </c>
      <c r="M24" s="83">
        <v>1.2272212371318181E-4</v>
      </c>
      <c r="N24" s="83">
        <v>2.3296003486552232E+16</v>
      </c>
      <c r="O24" s="83">
        <v>1.1804038276832116E-4</v>
      </c>
      <c r="P24" s="83">
        <v>2.2374844699720788E+16</v>
      </c>
      <c r="Q24" s="83">
        <v>1.1103241187714199E-4</v>
      </c>
      <c r="R24" s="83">
        <v>2.1092930140213428E+16</v>
      </c>
      <c r="S24" s="83">
        <v>1.0650223360121044E-4</v>
      </c>
      <c r="T24" s="83">
        <v>2.0030961774527944E+16</v>
      </c>
      <c r="U24" s="83">
        <v>1.021675212865904E-4</v>
      </c>
      <c r="V24" s="83">
        <v>1.9416512707562504E+16</v>
      </c>
      <c r="W24" s="83">
        <v>9.8067751337431989E-5</v>
      </c>
      <c r="X24" s="83">
        <v>1.799130170461181E+16</v>
      </c>
      <c r="Y24" s="83">
        <v>9.2000066896281686E-5</v>
      </c>
      <c r="Z24" s="83">
        <v>1.7497042502111576E+16</v>
      </c>
      <c r="AA24" s="83">
        <v>8.792190971418487E-5</v>
      </c>
      <c r="AB24" s="83">
        <v>1.6131028534692852E+16</v>
      </c>
      <c r="AC24" s="83">
        <v>8.3324281422807587E-5</v>
      </c>
      <c r="AD24" s="83">
        <v>1.5453599279889756E+16</v>
      </c>
      <c r="AE24" s="83">
        <v>7.8547363088688949E-5</v>
      </c>
    </row>
    <row r="25" spans="2:31" x14ac:dyDescent="0.2">
      <c r="B25" s="83">
        <v>2.6600761345111188E+16</v>
      </c>
      <c r="C25" s="83">
        <v>1.4300861907115591E-4</v>
      </c>
      <c r="D25" s="83">
        <v>2.7293094039642584E+16</v>
      </c>
      <c r="E25" s="83">
        <v>1.4196789567983618E-4</v>
      </c>
      <c r="F25" s="83">
        <v>2.5972086958036192E+16</v>
      </c>
      <c r="G25" s="83">
        <v>1.399104772967222E-4</v>
      </c>
      <c r="H25" s="83">
        <v>2.4514377809718852E+16</v>
      </c>
      <c r="I25" s="83">
        <v>1.3334299115300662E-4</v>
      </c>
      <c r="J25" s="83">
        <v>2.399002070064728E+16</v>
      </c>
      <c r="K25" s="83">
        <v>1.2821135894642164E-4</v>
      </c>
      <c r="L25" s="83">
        <v>2.2545775311778452E+16</v>
      </c>
      <c r="M25" s="83">
        <v>1.2348024202129583E-4</v>
      </c>
      <c r="N25" s="83">
        <v>2.2162221369277856E+16</v>
      </c>
      <c r="O25" s="83">
        <v>1.18705908896362E-4</v>
      </c>
      <c r="P25" s="83">
        <v>2.12569257768457E+16</v>
      </c>
      <c r="Q25" s="83">
        <v>1.1153735584784984E-4</v>
      </c>
      <c r="R25" s="83">
        <v>2.0010689912370512E+16</v>
      </c>
      <c r="S25" s="83">
        <v>1.0681132343318296E-4</v>
      </c>
      <c r="T25" s="83">
        <v>1.8984359938017208E+16</v>
      </c>
      <c r="U25" s="83">
        <v>1.0236740649540765E-4</v>
      </c>
      <c r="V25" s="83">
        <v>1.8365118693698788E+16</v>
      </c>
      <c r="W25" s="83">
        <v>9.8085257560685745E-5</v>
      </c>
      <c r="X25" s="83">
        <v>1.6986955627279374E+16</v>
      </c>
      <c r="Y25" s="83">
        <v>9.1882908809849491E-5</v>
      </c>
      <c r="Z25" s="83">
        <v>1.6491509988497378E+16</v>
      </c>
      <c r="AA25" s="83">
        <v>8.7696144399527202E-5</v>
      </c>
      <c r="AB25" s="83">
        <v>1.5176521357107906E+16</v>
      </c>
      <c r="AC25" s="83">
        <v>8.292722009597324E-5</v>
      </c>
      <c r="AD25" s="83">
        <v>1.4515752211187E+16</v>
      </c>
      <c r="AE25" s="83">
        <v>7.808390035718535E-5</v>
      </c>
    </row>
    <row r="26" spans="2:31" x14ac:dyDescent="0.2">
      <c r="B26" s="83">
        <v>2.542791985998842E+16</v>
      </c>
      <c r="C26" s="83">
        <v>1.444679582860536E-4</v>
      </c>
      <c r="D26" s="83">
        <v>2.6075356406607508E+16</v>
      </c>
      <c r="E26" s="83">
        <v>1.4336047994827967E-4</v>
      </c>
      <c r="F26" s="83">
        <v>2.4792279458919784E+16</v>
      </c>
      <c r="G26" s="83">
        <v>1.4113826499577005E-4</v>
      </c>
      <c r="H26" s="83">
        <v>2.3370816620893924E+16</v>
      </c>
      <c r="I26" s="83">
        <v>1.3436509366675445E-4</v>
      </c>
      <c r="J26" s="83">
        <v>2.2860087737416944E+16</v>
      </c>
      <c r="K26" s="83">
        <v>1.2913207570668076E-4</v>
      </c>
      <c r="L26" s="83">
        <v>2.1455800964547744E+16</v>
      </c>
      <c r="M26" s="83">
        <v>1.2420379653290195E-4</v>
      </c>
      <c r="N26" s="83">
        <v>2.1073678018135624E+16</v>
      </c>
      <c r="O26" s="83">
        <v>1.1933630294527727E-4</v>
      </c>
      <c r="P26" s="83">
        <v>2.0177555080969356E+16</v>
      </c>
      <c r="Q26" s="83">
        <v>1.1193765258956284E-4</v>
      </c>
      <c r="R26" s="83">
        <v>1.8978539507392712E+16</v>
      </c>
      <c r="S26" s="83">
        <v>1.0711205377409755E-4</v>
      </c>
      <c r="T26" s="83">
        <v>1.7972678542788218E+16</v>
      </c>
      <c r="U26" s="83">
        <v>1.0247423379509249E-4</v>
      </c>
      <c r="V26" s="83">
        <v>1.7374656739480366E+16</v>
      </c>
      <c r="W26" s="83">
        <v>9.8156370690880295E-5</v>
      </c>
      <c r="X26" s="83">
        <v>1.6030826996530156E+16</v>
      </c>
      <c r="Y26" s="83">
        <v>9.1737808168390438E-5</v>
      </c>
      <c r="Z26" s="83">
        <v>1.5540977146762602E+16</v>
      </c>
      <c r="AA26" s="83">
        <v>8.7444429628818088E-5</v>
      </c>
      <c r="AB26" s="83">
        <v>1.428151811403134E+16</v>
      </c>
      <c r="AC26" s="83">
        <v>8.2588278041321848E-5</v>
      </c>
      <c r="AD26" s="83">
        <v>1.3635563491500782E+16</v>
      </c>
      <c r="AE26" s="83">
        <v>7.7630479528918188E-5</v>
      </c>
    </row>
    <row r="27" spans="2:31" x14ac:dyDescent="0.2">
      <c r="B27" s="83">
        <v>2.4289478991641324E+16</v>
      </c>
      <c r="C27" s="83">
        <v>1.4576523052541255E-4</v>
      </c>
      <c r="D27" s="83">
        <v>2.4897214674807316E+16</v>
      </c>
      <c r="E27" s="83">
        <v>1.4464931796327643E-4</v>
      </c>
      <c r="F27" s="83">
        <v>2.366495089984034E+16</v>
      </c>
      <c r="G27" s="83">
        <v>1.4228267196359856E-4</v>
      </c>
      <c r="H27" s="83">
        <v>2.2267149601990832E+16</v>
      </c>
      <c r="I27" s="83">
        <v>1.3522042090638686E-4</v>
      </c>
      <c r="J27" s="83">
        <v>2.1760356185646912E+16</v>
      </c>
      <c r="K27" s="83">
        <v>1.2987722982429385E-4</v>
      </c>
      <c r="L27" s="83">
        <v>2.0414667771855936E+16</v>
      </c>
      <c r="M27" s="83">
        <v>1.2484321587733236E-4</v>
      </c>
      <c r="N27" s="83">
        <v>2.0030731418638324E+16</v>
      </c>
      <c r="O27" s="83">
        <v>1.1986467894010493E-4</v>
      </c>
      <c r="P27" s="83">
        <v>1.914566095224276E+16</v>
      </c>
      <c r="Q27" s="83">
        <v>1.1227160431537225E-4</v>
      </c>
      <c r="R27" s="83">
        <v>1.7991374433311538E+16</v>
      </c>
      <c r="S27" s="83">
        <v>1.0732320251960731E-4</v>
      </c>
      <c r="T27" s="83">
        <v>1.7012654632280278E+16</v>
      </c>
      <c r="U27" s="83">
        <v>1.0251756101389957E-4</v>
      </c>
      <c r="V27" s="83">
        <v>1.642306757608314E+16</v>
      </c>
      <c r="W27" s="83">
        <v>9.8080345443025133E-5</v>
      </c>
      <c r="X27" s="83">
        <v>1.5122974653555946E+16</v>
      </c>
      <c r="Y27" s="83">
        <v>9.1504404975303939E-5</v>
      </c>
      <c r="Z27" s="83">
        <v>1.4634302562794686E+16</v>
      </c>
      <c r="AA27" s="83">
        <v>8.7103689439496361E-5</v>
      </c>
      <c r="AB27" s="83">
        <v>1.3427607805776688E+16</v>
      </c>
      <c r="AC27" s="83">
        <v>8.2120853902438212E-5</v>
      </c>
      <c r="AD27" s="83">
        <v>1.28079547456541E+16</v>
      </c>
      <c r="AE27" s="83">
        <v>7.7151576596369711E-5</v>
      </c>
    </row>
    <row r="28" spans="2:31" x14ac:dyDescent="0.2">
      <c r="B28" s="83">
        <v>2.3194853353246456E+16</v>
      </c>
      <c r="C28" s="83">
        <v>1.4697369959200897E-4</v>
      </c>
      <c r="D28" s="83">
        <v>2.3767127863821064E+16</v>
      </c>
      <c r="E28" s="83">
        <v>1.458357382183123E-4</v>
      </c>
      <c r="F28" s="83">
        <v>2.2570543527748264E+16</v>
      </c>
      <c r="G28" s="83">
        <v>1.4325211816626577E-4</v>
      </c>
      <c r="H28" s="83">
        <v>2.1208510301154336E+16</v>
      </c>
      <c r="I28" s="83">
        <v>1.3602008555474993E-4</v>
      </c>
      <c r="J28" s="83">
        <v>2.0715238025688304E+16</v>
      </c>
      <c r="K28" s="83">
        <v>1.305635047337508E-4</v>
      </c>
      <c r="L28" s="83">
        <v>1.9411297415474908E+16</v>
      </c>
      <c r="M28" s="83">
        <v>1.2536677624903195E-4</v>
      </c>
      <c r="N28" s="83">
        <v>1.9029651747452364E+16</v>
      </c>
      <c r="O28" s="83">
        <v>1.202961329476843E-4</v>
      </c>
      <c r="P28" s="83">
        <v>1.8162099612896436E+16</v>
      </c>
      <c r="Q28" s="83">
        <v>1.1255939725069948E-4</v>
      </c>
      <c r="R28" s="83">
        <v>1.7046982699224028E+16</v>
      </c>
      <c r="S28" s="83">
        <v>1.0740273389606166E-4</v>
      </c>
      <c r="T28" s="83">
        <v>1.6105690102627986E+16</v>
      </c>
      <c r="U28" s="83">
        <v>1.0255133003615597E-4</v>
      </c>
      <c r="V28" s="83">
        <v>1.5523982592965874E+16</v>
      </c>
      <c r="W28" s="83">
        <v>9.7981403024253194E-5</v>
      </c>
      <c r="X28" s="83">
        <v>1.4260301653207026E+16</v>
      </c>
      <c r="Y28" s="83">
        <v>9.1207245068856575E-5</v>
      </c>
      <c r="Z28" s="83">
        <v>1.3778201957879882E+16</v>
      </c>
      <c r="AA28" s="83">
        <v>8.6729821647188752E-5</v>
      </c>
      <c r="AB28" s="83">
        <v>1.262674865010698E+16</v>
      </c>
      <c r="AC28" s="83">
        <v>8.1646026397784441E-5</v>
      </c>
      <c r="AD28" s="83">
        <v>1.2021168446407422E+16</v>
      </c>
      <c r="AE28" s="83">
        <v>7.6566144688074075E-5</v>
      </c>
    </row>
    <row r="29" spans="2:31" x14ac:dyDescent="0.2">
      <c r="B29" s="83">
        <v>2.213670319117E+16</v>
      </c>
      <c r="C29" s="83">
        <v>1.4804719412210809E-4</v>
      </c>
      <c r="D29" s="83">
        <v>2.26813508942833E+16</v>
      </c>
      <c r="E29" s="83">
        <v>1.4698585172159007E-4</v>
      </c>
      <c r="F29" s="83">
        <v>2.1525320804722336E+16</v>
      </c>
      <c r="G29" s="83">
        <v>1.4419021778035748E-4</v>
      </c>
      <c r="H29" s="83">
        <v>2.0187778411763444E+16</v>
      </c>
      <c r="I29" s="83">
        <v>1.3671515240161594E-4</v>
      </c>
      <c r="J29" s="83">
        <v>1.970799932562826E+16</v>
      </c>
      <c r="K29" s="83">
        <v>1.3117636916338803E-4</v>
      </c>
      <c r="L29" s="83">
        <v>1.8451788273437336E+16</v>
      </c>
      <c r="M29" s="83">
        <v>1.2581586171118761E-4</v>
      </c>
      <c r="N29" s="83">
        <v>1.8076356863858188E+16</v>
      </c>
      <c r="O29" s="83">
        <v>1.2067076574515379E-4</v>
      </c>
      <c r="P29" s="83">
        <v>1.7220410050585468E+16</v>
      </c>
      <c r="Q29" s="83">
        <v>1.1273395101065581E-4</v>
      </c>
      <c r="R29" s="83">
        <v>1.6152514561817968E+16</v>
      </c>
      <c r="S29" s="83">
        <v>1.0748776129778212E-4</v>
      </c>
      <c r="T29" s="83">
        <v>1.5230644888485984E+16</v>
      </c>
      <c r="U29" s="83">
        <v>1.0244258649653082E-4</v>
      </c>
      <c r="V29" s="83">
        <v>1.4666484655425094E+16</v>
      </c>
      <c r="W29" s="83">
        <v>9.7794380134642398E-5</v>
      </c>
      <c r="X29" s="83">
        <v>1.3444432298532742E+16</v>
      </c>
      <c r="Y29" s="83">
        <v>9.086949733975159E-5</v>
      </c>
      <c r="Z29" s="83">
        <v>1.2969490369932988E+16</v>
      </c>
      <c r="AA29" s="83">
        <v>8.6298387642066158E-5</v>
      </c>
      <c r="AB29" s="83">
        <v>1.1869355850059888E+16</v>
      </c>
      <c r="AC29" s="83">
        <v>8.1126398286082699E-5</v>
      </c>
      <c r="AD29" s="83">
        <v>1.1286356639853162E+16</v>
      </c>
      <c r="AE29" s="83">
        <v>7.598832178810085E-5</v>
      </c>
    </row>
    <row r="30" spans="2:31" x14ac:dyDescent="0.2">
      <c r="B30" s="83">
        <v>2.1132699342244524E+16</v>
      </c>
      <c r="C30" s="83">
        <v>1.4914228844231008E-4</v>
      </c>
      <c r="D30" s="83">
        <v>2.1630720917211772E+16</v>
      </c>
      <c r="E30" s="83">
        <v>1.4792341674818753E-4</v>
      </c>
      <c r="F30" s="83">
        <v>2.051049689770982E+16</v>
      </c>
      <c r="G30" s="83">
        <v>1.4501336252758463E-4</v>
      </c>
      <c r="H30" s="83">
        <v>1.9214550694927052E+16</v>
      </c>
      <c r="I30" s="83">
        <v>1.3737989728649893E-4</v>
      </c>
      <c r="J30" s="83">
        <v>1.8739106350054064E+16</v>
      </c>
      <c r="K30" s="83">
        <v>1.316711639744794E-4</v>
      </c>
      <c r="L30" s="83">
        <v>1.753466818353102E+16</v>
      </c>
      <c r="M30" s="83">
        <v>1.2623672177979444E-4</v>
      </c>
      <c r="N30" s="83">
        <v>1.7157719437027256E+16</v>
      </c>
      <c r="O30" s="83">
        <v>1.2091463717886619E-4</v>
      </c>
      <c r="P30" s="83">
        <v>1.6324075274842758E+16</v>
      </c>
      <c r="Q30" s="83">
        <v>1.1287174359449896E-4</v>
      </c>
      <c r="R30" s="83">
        <v>1.5293979750639296E+16</v>
      </c>
      <c r="S30" s="83">
        <v>1.0745060953310424E-4</v>
      </c>
      <c r="T30" s="83">
        <v>1.440933525045515E+16</v>
      </c>
      <c r="U30" s="83">
        <v>1.0232954959677444E-4</v>
      </c>
      <c r="V30" s="83">
        <v>1.3854024990093784E+16</v>
      </c>
      <c r="W30" s="83">
        <v>9.7566117883371813E-5</v>
      </c>
      <c r="X30" s="83">
        <v>1.2667293081587426E+16</v>
      </c>
      <c r="Y30" s="83">
        <v>9.0470282915639219E-5</v>
      </c>
      <c r="Z30" s="83">
        <v>1.2209711122239922E+16</v>
      </c>
      <c r="AA30" s="83">
        <v>8.5858797131954699E-5</v>
      </c>
      <c r="AB30" s="83">
        <v>1.115593328918093E+16</v>
      </c>
      <c r="AC30" s="83">
        <v>8.0580907743885936E-5</v>
      </c>
      <c r="AD30" s="83">
        <v>1.0591048500868738E+16</v>
      </c>
      <c r="AE30" s="83">
        <v>7.5355630128474437E-5</v>
      </c>
    </row>
    <row r="31" spans="2:31" x14ac:dyDescent="0.2">
      <c r="B31" s="83">
        <v>2.0158875062572008E+16</v>
      </c>
      <c r="C31" s="83">
        <v>1.5037201265745577E-4</v>
      </c>
      <c r="D31" s="83">
        <v>2.0642571986069804E+16</v>
      </c>
      <c r="E31" s="83">
        <v>1.4906057577134489E-4</v>
      </c>
      <c r="F31" s="83">
        <v>1.954846494465698E+16</v>
      </c>
      <c r="G31" s="83">
        <v>1.4608753886931295E-4</v>
      </c>
      <c r="H31" s="83">
        <v>1.8288632554884564E+16</v>
      </c>
      <c r="I31" s="83">
        <v>1.3825078549108404E-4</v>
      </c>
      <c r="J31" s="83">
        <v>1.7824910200269204E+16</v>
      </c>
      <c r="K31" s="83">
        <v>1.3239681790744006E-4</v>
      </c>
      <c r="L31" s="83">
        <v>1.6661519010370076E+16</v>
      </c>
      <c r="M31" s="83">
        <v>1.2679763623212867E-4</v>
      </c>
      <c r="N31" s="83">
        <v>1.6284058185927308E+16</v>
      </c>
      <c r="O31" s="83">
        <v>1.2129214131720344E-4</v>
      </c>
      <c r="P31" s="83">
        <v>1.54684576586148E+16</v>
      </c>
      <c r="Q31" s="83">
        <v>1.129794906681702E-4</v>
      </c>
      <c r="R31" s="83">
        <v>1.4476258733317636E+16</v>
      </c>
      <c r="S31" s="83">
        <v>1.0747385200993081E-4</v>
      </c>
      <c r="T31" s="83">
        <v>1.3624295478097528E+16</v>
      </c>
      <c r="U31" s="83">
        <v>1.0229941113714975E-4</v>
      </c>
      <c r="V31" s="83">
        <v>1.3077396950770802E+16</v>
      </c>
      <c r="W31" s="83">
        <v>9.7352032768882292E-5</v>
      </c>
      <c r="X31" s="83">
        <v>1.193715392637213E+16</v>
      </c>
      <c r="Y31" s="83">
        <v>9.0179418967676909E-5</v>
      </c>
      <c r="Z31" s="83">
        <v>1.1488660888425376E+16</v>
      </c>
      <c r="AA31" s="83">
        <v>8.5414679563049773E-5</v>
      </c>
      <c r="AB31" s="83">
        <v>1.0487017800959046E+16</v>
      </c>
      <c r="AC31" s="83">
        <v>8.0147483813736948E-5</v>
      </c>
      <c r="AD31" s="83">
        <v>9937355682244652</v>
      </c>
      <c r="AE31" s="83">
        <v>7.4800311634470672E-5</v>
      </c>
    </row>
    <row r="32" spans="2:31" x14ac:dyDescent="0.2">
      <c r="B32" s="83">
        <v>1.9219986891494684E+16</v>
      </c>
      <c r="C32" s="83">
        <v>1.5126441972964234E-4</v>
      </c>
      <c r="D32" s="83">
        <v>1.9671062623875184E+16</v>
      </c>
      <c r="E32" s="83">
        <v>1.5008860654967037E-4</v>
      </c>
      <c r="F32" s="83">
        <v>1.8617042171187552E+16</v>
      </c>
      <c r="G32" s="83">
        <v>1.4683592190212384E-4</v>
      </c>
      <c r="H32" s="83">
        <v>1.7391931495668976E+16</v>
      </c>
      <c r="I32" s="83">
        <v>1.3868821412288409E-4</v>
      </c>
      <c r="J32" s="83">
        <v>1.694277979422099E+16</v>
      </c>
      <c r="K32" s="83">
        <v>1.3287833073420536E-4</v>
      </c>
      <c r="L32" s="83">
        <v>1.5818471320917066E+16</v>
      </c>
      <c r="M32" s="83">
        <v>1.2703602630618287E-4</v>
      </c>
      <c r="N32" s="83">
        <v>1.5451399629667454E+16</v>
      </c>
      <c r="O32" s="83">
        <v>1.2156422835070844E-4</v>
      </c>
      <c r="P32" s="83">
        <v>1.465709930229672E+16</v>
      </c>
      <c r="Q32" s="83">
        <v>1.1316680358883647E-4</v>
      </c>
      <c r="R32" s="83">
        <v>1.370410228795804E+16</v>
      </c>
      <c r="S32" s="83">
        <v>1.074981910917451E-4</v>
      </c>
      <c r="T32" s="83">
        <v>1.288227283289047E+16</v>
      </c>
      <c r="U32" s="83">
        <v>1.0216738156899772E-4</v>
      </c>
      <c r="V32" s="83">
        <v>1.2352350549570946E+16</v>
      </c>
      <c r="W32" s="83">
        <v>9.7207147952077963E-5</v>
      </c>
      <c r="X32" s="83">
        <v>1.125221139034201E+16</v>
      </c>
      <c r="Y32" s="83">
        <v>8.9820543100505327E-5</v>
      </c>
      <c r="Z32" s="83">
        <v>1.081179394135705E+16</v>
      </c>
      <c r="AA32" s="83">
        <v>8.5019266289845745E-5</v>
      </c>
      <c r="AB32" s="83">
        <v>9856077054510280</v>
      </c>
      <c r="AC32" s="83">
        <v>7.9602429981370118E-5</v>
      </c>
      <c r="AD32" s="83">
        <v>9327074789338492</v>
      </c>
      <c r="AE32" s="83">
        <v>7.423478851822708E-5</v>
      </c>
    </row>
    <row r="33" spans="2:31" x14ac:dyDescent="0.2">
      <c r="B33" s="83">
        <v>1.8320294238189564E+16</v>
      </c>
      <c r="C33" s="83">
        <v>1.5207646641002466E-4</v>
      </c>
      <c r="D33" s="83">
        <v>1.8744182839601232E+16</v>
      </c>
      <c r="E33" s="83">
        <v>1.5082808996986222E-4</v>
      </c>
      <c r="F33" s="83">
        <v>1.7722391846440926E+16</v>
      </c>
      <c r="G33" s="83">
        <v>1.4741325655502792E-4</v>
      </c>
      <c r="H33" s="83">
        <v>1.6538399856130576E+16</v>
      </c>
      <c r="I33" s="83">
        <v>1.3909810876375317E-4</v>
      </c>
      <c r="J33" s="83">
        <v>1.609697271458525E+16</v>
      </c>
      <c r="K33" s="83">
        <v>1.3314563440383118E-4</v>
      </c>
      <c r="L33" s="83">
        <v>1.5014648672223134E+16</v>
      </c>
      <c r="M33" s="83">
        <v>1.2719207536089386E-4</v>
      </c>
      <c r="N33" s="83">
        <v>1.465542164886634E+16</v>
      </c>
      <c r="O33" s="83">
        <v>1.2164238736548173E-4</v>
      </c>
      <c r="P33" s="83">
        <v>1.388154725212578E+16</v>
      </c>
      <c r="Q33" s="83">
        <v>1.1310523665811362E-4</v>
      </c>
      <c r="R33" s="83">
        <v>1.2961307831731576E+16</v>
      </c>
      <c r="S33" s="83">
        <v>1.0728614214451059E-4</v>
      </c>
      <c r="T33" s="83">
        <v>1.2170678060889736E+16</v>
      </c>
      <c r="U33" s="83">
        <v>1.0187317548599588E-4</v>
      </c>
      <c r="V33" s="83">
        <v>1.1661787105570796E+16</v>
      </c>
      <c r="W33" s="83">
        <v>9.6873538325407735E-5</v>
      </c>
      <c r="X33" s="83">
        <v>1.0597149003055426E+16</v>
      </c>
      <c r="Y33" s="83">
        <v>8.9339665705330765E-5</v>
      </c>
      <c r="Z33" s="83">
        <v>1.0175516675305976E+16</v>
      </c>
      <c r="AA33" s="83">
        <v>8.4497316758011382E-5</v>
      </c>
      <c r="AB33" s="83">
        <v>9256278935361150</v>
      </c>
      <c r="AC33" s="83">
        <v>7.8941544443051761E-5</v>
      </c>
      <c r="AD33" s="83">
        <v>8751885941751206</v>
      </c>
      <c r="AE33" s="83">
        <v>7.3565274690259096E-5</v>
      </c>
    </row>
    <row r="34" spans="2:31" x14ac:dyDescent="0.2">
      <c r="B34" s="83">
        <v>1.7455203967248858E+16</v>
      </c>
      <c r="C34" s="83">
        <v>1.5279904620395094E-4</v>
      </c>
      <c r="D34" s="83">
        <v>1.7846240370675852E+16</v>
      </c>
      <c r="E34" s="83">
        <v>1.5146632449530061E-4</v>
      </c>
      <c r="F34" s="83">
        <v>1.6871233618149232E+16</v>
      </c>
      <c r="G34" s="83">
        <v>1.4797345259037504E-4</v>
      </c>
      <c r="H34" s="83">
        <v>1.5715471010505944E+16</v>
      </c>
      <c r="I34" s="83">
        <v>1.3935967624559298E-4</v>
      </c>
      <c r="J34" s="83">
        <v>1.5290324068245758E+16</v>
      </c>
      <c r="K34" s="83">
        <v>1.3334932954906526E-4</v>
      </c>
      <c r="L34" s="83">
        <v>1.4242538714414272E+16</v>
      </c>
      <c r="M34" s="83">
        <v>1.2725008304137505E-4</v>
      </c>
      <c r="N34" s="83">
        <v>1.389286212313493E+16</v>
      </c>
      <c r="O34" s="83">
        <v>1.2165584176607027E-4</v>
      </c>
      <c r="P34" s="83">
        <v>1.3141633189033346E+16</v>
      </c>
      <c r="Q34" s="83">
        <v>1.1296879279050922E-4</v>
      </c>
      <c r="R34" s="83">
        <v>1.2260958257149936E+16</v>
      </c>
      <c r="S34" s="83">
        <v>1.0705948490708559E-4</v>
      </c>
      <c r="T34" s="83">
        <v>1.1498834171178518E+16</v>
      </c>
      <c r="U34" s="83">
        <v>1.0153350111865493E-4</v>
      </c>
      <c r="V34" s="83">
        <v>1.1003962332519206E+16</v>
      </c>
      <c r="W34" s="83">
        <v>9.6447168085530486E-5</v>
      </c>
      <c r="X34" s="83">
        <v>9982167377333728</v>
      </c>
      <c r="Y34" s="83">
        <v>8.8802366254726303E-5</v>
      </c>
      <c r="Z34" s="83">
        <v>9568168771644478</v>
      </c>
      <c r="AA34" s="83">
        <v>8.3877416505259518E-5</v>
      </c>
      <c r="AB34" s="83">
        <v>8695635500180223</v>
      </c>
      <c r="AC34" s="83">
        <v>7.828489465989685E-5</v>
      </c>
      <c r="AD34" s="83">
        <v>8211085607899708</v>
      </c>
      <c r="AE34" s="83">
        <v>7.2884110822897356E-5</v>
      </c>
    </row>
    <row r="35" spans="2:31" x14ac:dyDescent="0.2">
      <c r="B35" s="83">
        <v>1.6626087035436658E+16</v>
      </c>
      <c r="C35" s="83">
        <v>1.5339973235143728E-4</v>
      </c>
      <c r="D35" s="83">
        <v>1.6990902515869792E+16</v>
      </c>
      <c r="E35" s="83">
        <v>1.5204905936574745E-4</v>
      </c>
      <c r="F35" s="83">
        <v>1.6053895548665418E+16</v>
      </c>
      <c r="G35" s="83">
        <v>1.4843844136386595E-4</v>
      </c>
      <c r="H35" s="83">
        <v>1.492931230083144E+16</v>
      </c>
      <c r="I35" s="83">
        <v>1.3955652541060328E-4</v>
      </c>
      <c r="J35" s="83">
        <v>1.4513281518272044E+16</v>
      </c>
      <c r="K35" s="83">
        <v>1.3345357630050025E-4</v>
      </c>
      <c r="L35" s="83">
        <v>1.3512079113531654E+16</v>
      </c>
      <c r="M35" s="83">
        <v>1.2727478236324645E-4</v>
      </c>
      <c r="N35" s="83">
        <v>1.3166229454493008E+16</v>
      </c>
      <c r="O35" s="83">
        <v>1.2156873755061611E-4</v>
      </c>
      <c r="P35" s="83">
        <v>1.2432044695992542E+16</v>
      </c>
      <c r="Q35" s="83">
        <v>1.1272998049636098E-4</v>
      </c>
      <c r="R35" s="83">
        <v>1.1590407020085328E+16</v>
      </c>
      <c r="S35" s="83">
        <v>1.0673790851385148E-4</v>
      </c>
      <c r="T35" s="83">
        <v>1.0858634125697176E+16</v>
      </c>
      <c r="U35" s="83">
        <v>1.0113930813320973E-4</v>
      </c>
      <c r="V35" s="83">
        <v>1.0375213799067462E+16</v>
      </c>
      <c r="W35" s="83">
        <v>9.5962175711131057E-5</v>
      </c>
      <c r="X35" s="83">
        <v>9399381448272492</v>
      </c>
      <c r="Y35" s="83">
        <v>8.8218879710549105E-5</v>
      </c>
      <c r="Z35" s="83">
        <v>8996557515700738</v>
      </c>
      <c r="AA35" s="83">
        <v>8.3229954994112977E-5</v>
      </c>
      <c r="AB35" s="83">
        <v>8165081027887551</v>
      </c>
      <c r="AC35" s="83">
        <v>7.7586945035916356E-5</v>
      </c>
      <c r="AD35" s="83">
        <v>7702776773158385</v>
      </c>
      <c r="AE35" s="83">
        <v>7.2163406097925883E-5</v>
      </c>
    </row>
    <row r="36" spans="2:31" x14ac:dyDescent="0.2">
      <c r="B36" s="83">
        <v>1.5832622049943152E+16</v>
      </c>
      <c r="C36" s="83">
        <v>1.5398377611350236E-4</v>
      </c>
      <c r="D36" s="83">
        <v>1.6173650095626558E+16</v>
      </c>
      <c r="E36" s="83">
        <v>1.526020669539808E-4</v>
      </c>
      <c r="F36" s="83">
        <v>1.527141003173298E+16</v>
      </c>
      <c r="G36" s="83">
        <v>1.4880319984696467E-4</v>
      </c>
      <c r="H36" s="83">
        <v>1.4180019672743982E+16</v>
      </c>
      <c r="I36" s="83">
        <v>1.3972363846597528E-4</v>
      </c>
      <c r="J36" s="83">
        <v>1.3775915851414012E+16</v>
      </c>
      <c r="K36" s="83">
        <v>1.3356414486768507E-4</v>
      </c>
      <c r="L36" s="83">
        <v>1.2815698359002448E+16</v>
      </c>
      <c r="M36" s="83">
        <v>1.2726797883110731E-4</v>
      </c>
      <c r="N36" s="83">
        <v>1.2475321458720032E+16</v>
      </c>
      <c r="O36" s="83">
        <v>1.2147338100838365E-4</v>
      </c>
      <c r="P36" s="83">
        <v>1.1760530364213028E+16</v>
      </c>
      <c r="Q36" s="83">
        <v>1.1246625071539337E-4</v>
      </c>
      <c r="R36" s="83">
        <v>1.0950700892372228E+16</v>
      </c>
      <c r="S36" s="83">
        <v>1.0634667431877272E-4</v>
      </c>
      <c r="T36" s="83">
        <v>1.0249385028642982E+16</v>
      </c>
      <c r="U36" s="83">
        <v>1.006813624911548E-4</v>
      </c>
      <c r="V36" s="83">
        <v>9789472491120520</v>
      </c>
      <c r="W36" s="83">
        <v>9.5497429045582113E-5</v>
      </c>
      <c r="X36" s="83">
        <v>8846350649734431</v>
      </c>
      <c r="Y36" s="83">
        <v>8.7594324391287529E-5</v>
      </c>
      <c r="Z36" s="83">
        <v>8461051318686814</v>
      </c>
      <c r="AA36" s="83">
        <v>8.2593974689096347E-5</v>
      </c>
      <c r="AB36" s="83">
        <v>7672518409964877</v>
      </c>
      <c r="AC36" s="83">
        <v>7.6923370728008441E-5</v>
      </c>
      <c r="AD36" s="83">
        <v>7225462401322463</v>
      </c>
      <c r="AE36" s="83">
        <v>7.1413143128643109E-5</v>
      </c>
    </row>
    <row r="37" spans="2:31" x14ac:dyDescent="0.2">
      <c r="B37" s="83">
        <v>1.5074662787649844E+16</v>
      </c>
      <c r="C37" s="83">
        <v>1.5446365101124857E-4</v>
      </c>
      <c r="D37" s="83">
        <v>1.5398515029993202E+16</v>
      </c>
      <c r="E37" s="83">
        <v>1.5311207449098243E-4</v>
      </c>
      <c r="F37" s="83">
        <v>1.4525532639288532E+16</v>
      </c>
      <c r="G37" s="83">
        <v>1.4907306712601094E-4</v>
      </c>
      <c r="H37" s="83">
        <v>1.3473065048122954E+16</v>
      </c>
      <c r="I37" s="83">
        <v>1.3990313252757188E-4</v>
      </c>
      <c r="J37" s="83">
        <v>1.308604094246618E+16</v>
      </c>
      <c r="K37" s="83">
        <v>1.3370903699166979E-4</v>
      </c>
      <c r="L37" s="83">
        <v>1.2151378446779704E+16</v>
      </c>
      <c r="M37" s="83">
        <v>1.2713672946093623E-4</v>
      </c>
      <c r="N37" s="83">
        <v>1.181883601162562E+16</v>
      </c>
      <c r="O37" s="83">
        <v>1.2128483625985322E-4</v>
      </c>
      <c r="P37" s="83">
        <v>1.112604204277816E+16</v>
      </c>
      <c r="Q37" s="83">
        <v>1.1220149776598114E-4</v>
      </c>
      <c r="R37" s="83">
        <v>1.0356935805190024E+16</v>
      </c>
      <c r="S37" s="83">
        <v>1.0601120383597155E-4</v>
      </c>
      <c r="T37" s="83">
        <v>9682019232608480</v>
      </c>
      <c r="U37" s="83">
        <v>1.002840104694155E-4</v>
      </c>
      <c r="V37" s="83">
        <v>9239198259825824</v>
      </c>
      <c r="W37" s="83">
        <v>9.5025521123286266E-5</v>
      </c>
      <c r="X37" s="83">
        <v>8326548138688342</v>
      </c>
      <c r="Y37" s="83">
        <v>8.6943036171849842E-5</v>
      </c>
      <c r="Z37" s="83">
        <v>7960056144995165</v>
      </c>
      <c r="AA37" s="83">
        <v>8.197369105652076E-5</v>
      </c>
      <c r="AB37" s="83">
        <v>7203943540658035</v>
      </c>
      <c r="AC37" s="83">
        <v>7.6180054896973136E-5</v>
      </c>
      <c r="AD37" s="83">
        <v>6778986480180133</v>
      </c>
      <c r="AE37" s="83">
        <v>7.0683678938478789E-5</v>
      </c>
    </row>
    <row r="38" spans="2:31" x14ac:dyDescent="0.2">
      <c r="B38" s="83">
        <v>1.4344652550669576E+16</v>
      </c>
      <c r="C38" s="83">
        <v>1.5483000368815921E-4</v>
      </c>
      <c r="D38" s="83">
        <v>1.4647221408083262E+16</v>
      </c>
      <c r="E38" s="83">
        <v>1.5339728931422294E-4</v>
      </c>
      <c r="F38" s="83">
        <v>1.3799182584959818E+16</v>
      </c>
      <c r="G38" s="83">
        <v>1.4915150098525074E-4</v>
      </c>
      <c r="H38" s="83">
        <v>1.278917983791808E+16</v>
      </c>
      <c r="I38" s="83">
        <v>1.3987994127735601E-4</v>
      </c>
      <c r="J38" s="83">
        <v>1.2415333638188138E+16</v>
      </c>
      <c r="K38" s="83">
        <v>1.3362619386708246E-4</v>
      </c>
      <c r="L38" s="83">
        <v>1.1517810987541364E+16</v>
      </c>
      <c r="M38" s="83">
        <v>1.2698067306934603E-4</v>
      </c>
      <c r="N38" s="83">
        <v>1.1195520785871948E+16</v>
      </c>
      <c r="O38" s="83">
        <v>1.2104379062899997E-4</v>
      </c>
      <c r="P38" s="83">
        <v>1.0528938028652228E+16</v>
      </c>
      <c r="Q38" s="83">
        <v>1.1189397969966629E-4</v>
      </c>
      <c r="R38" s="83">
        <v>9788595532061088</v>
      </c>
      <c r="S38" s="83">
        <v>1.0558675946751897E-4</v>
      </c>
      <c r="T38" s="83">
        <v>9136230091850236</v>
      </c>
      <c r="U38" s="83">
        <v>9.9727148552823054E-5</v>
      </c>
      <c r="V38" s="83">
        <v>8707938754529217</v>
      </c>
      <c r="W38" s="83">
        <v>9.4395737785285034E-5</v>
      </c>
      <c r="X38" s="83">
        <v>7839224183907838</v>
      </c>
      <c r="Y38" s="83">
        <v>8.6327975327273821E-5</v>
      </c>
      <c r="Z38" s="83">
        <v>7481787413153376</v>
      </c>
      <c r="AA38" s="83">
        <v>8.1200726019766274E-5</v>
      </c>
      <c r="AB38" s="83">
        <v>6764396528904354</v>
      </c>
      <c r="AC38" s="83">
        <v>7.5411352394994316E-5</v>
      </c>
      <c r="AD38" s="83">
        <v>6356214088716197</v>
      </c>
      <c r="AE38" s="83">
        <v>6.987624670647409E-5</v>
      </c>
    </row>
    <row r="39" spans="2:31" x14ac:dyDescent="0.2">
      <c r="B39" s="83">
        <v>1.3645087674848168E+16</v>
      </c>
      <c r="C39" s="83">
        <v>1.5505805615151678E-4</v>
      </c>
      <c r="D39" s="83">
        <v>1.3928598113494678E+16</v>
      </c>
      <c r="E39" s="83">
        <v>1.536168169897449E-4</v>
      </c>
      <c r="F39" s="83">
        <v>1.3108506105211314E+16</v>
      </c>
      <c r="G39" s="83">
        <v>1.4919711934932594E-4</v>
      </c>
      <c r="H39" s="83">
        <v>1.2137821155093138E+16</v>
      </c>
      <c r="I39" s="83">
        <v>1.3975875168709256E-4</v>
      </c>
      <c r="J39" s="83">
        <v>1.176691605882329E+16</v>
      </c>
      <c r="K39" s="83">
        <v>1.3334559085067458E-4</v>
      </c>
      <c r="L39" s="83">
        <v>1.09113184854503E+16</v>
      </c>
      <c r="M39" s="83">
        <v>1.266624919024807E-4</v>
      </c>
      <c r="N39" s="83">
        <v>1.0594794978361448E+16</v>
      </c>
      <c r="O39" s="83">
        <v>1.2068575324718441E-4</v>
      </c>
      <c r="P39" s="83">
        <v>9950950771791380</v>
      </c>
      <c r="Q39" s="83">
        <v>1.1143702637659797E-4</v>
      </c>
      <c r="R39" s="83">
        <v>9238579554310980</v>
      </c>
      <c r="S39" s="83">
        <v>1.0500498195782335E-4</v>
      </c>
      <c r="T39" s="83">
        <v>8620541369611960</v>
      </c>
      <c r="U39" s="83">
        <v>9.9140718356468456E-5</v>
      </c>
      <c r="V39" s="83">
        <v>8206241675078334</v>
      </c>
      <c r="W39" s="83">
        <v>9.374260320874959E-5</v>
      </c>
      <c r="X39" s="83">
        <v>7375043364422782</v>
      </c>
      <c r="Y39" s="83">
        <v>8.5603773323004157E-5</v>
      </c>
      <c r="Z39" s="83">
        <v>7033451166503162</v>
      </c>
      <c r="AA39" s="83">
        <v>8.0490446528999171E-5</v>
      </c>
      <c r="AB39" s="83">
        <v>6352259615018610</v>
      </c>
      <c r="AC39" s="83">
        <v>7.4664626886849806E-5</v>
      </c>
      <c r="AD39" s="83">
        <v>5958572383561566</v>
      </c>
      <c r="AE39" s="83">
        <v>6.9068138754672557E-5</v>
      </c>
    </row>
    <row r="40" spans="2:31" x14ac:dyDescent="0.2">
      <c r="B40" s="83">
        <v>1.2977817982974666E+16</v>
      </c>
      <c r="C40" s="83">
        <v>1.5519503970948031E-4</v>
      </c>
      <c r="D40" s="83">
        <v>1.3236668829843304E+16</v>
      </c>
      <c r="E40" s="83">
        <v>1.5371774867116114E-4</v>
      </c>
      <c r="F40" s="83">
        <v>1.2453529380578084E+16</v>
      </c>
      <c r="G40" s="83">
        <v>1.4925289410019322E-4</v>
      </c>
      <c r="H40" s="83">
        <v>1.1512769033845722E+16</v>
      </c>
      <c r="I40" s="83">
        <v>1.3953742054232006E-4</v>
      </c>
      <c r="J40" s="83">
        <v>1.115570621917018E+16</v>
      </c>
      <c r="K40" s="83">
        <v>1.3307088452575169E-4</v>
      </c>
      <c r="L40" s="83">
        <v>1.0338315748193514E+16</v>
      </c>
      <c r="M40" s="83">
        <v>1.2633687161372597E-4</v>
      </c>
      <c r="N40" s="83">
        <v>1.0027349982562044E+16</v>
      </c>
      <c r="O40" s="83">
        <v>1.2029528453548061E-4</v>
      </c>
      <c r="P40" s="83">
        <v>9401168234116860</v>
      </c>
      <c r="Q40" s="83">
        <v>1.1087512747425576E-4</v>
      </c>
      <c r="R40" s="83">
        <v>8729900250923223</v>
      </c>
      <c r="S40" s="83">
        <v>1.0449374415816099E-4</v>
      </c>
      <c r="T40" s="83">
        <v>8127948231750457</v>
      </c>
      <c r="U40" s="83">
        <v>9.8462067623504283E-5</v>
      </c>
      <c r="V40" s="83">
        <v>7734134293975187</v>
      </c>
      <c r="W40" s="83">
        <v>9.3083659768637255E-5</v>
      </c>
      <c r="X40" s="83">
        <v>6941119278516136</v>
      </c>
      <c r="Y40" s="83">
        <v>8.4867285103147524E-5</v>
      </c>
      <c r="Z40" s="83">
        <v>6611933110770728</v>
      </c>
      <c r="AA40" s="83">
        <v>7.9727369490081615E-5</v>
      </c>
      <c r="AB40" s="83">
        <v>5959190330754884</v>
      </c>
      <c r="AC40" s="83">
        <v>7.3808885590420748E-5</v>
      </c>
      <c r="AD40" s="83">
        <v>5588626583383481</v>
      </c>
      <c r="AE40" s="83">
        <v>6.8271333423826062E-5</v>
      </c>
    </row>
    <row r="41" spans="2:31" x14ac:dyDescent="0.2">
      <c r="B41" s="83">
        <v>1.2333365516573978E+16</v>
      </c>
      <c r="C41" s="83">
        <v>1.5528563015260435E-4</v>
      </c>
      <c r="D41" s="83">
        <v>1.2577913793897122E+16</v>
      </c>
      <c r="E41" s="83">
        <v>1.5373278671162394E-4</v>
      </c>
      <c r="F41" s="83">
        <v>1.1828525877757818E+16</v>
      </c>
      <c r="G41" s="83">
        <v>1.4926936019930021E-4</v>
      </c>
      <c r="H41" s="83">
        <v>1.0916318712888386E+16</v>
      </c>
      <c r="I41" s="83">
        <v>1.3934335050044114E-4</v>
      </c>
      <c r="J41" s="83">
        <v>1.0574497892836896E+16</v>
      </c>
      <c r="K41" s="83">
        <v>1.3281418715364006E-4</v>
      </c>
      <c r="L41" s="83">
        <v>9786863942225166</v>
      </c>
      <c r="M41" s="83">
        <v>1.2599683036484231E-4</v>
      </c>
      <c r="N41" s="83">
        <v>9488095064300490</v>
      </c>
      <c r="O41" s="83">
        <v>1.1983862482096178E-4</v>
      </c>
      <c r="P41" s="83">
        <v>8883861637191630</v>
      </c>
      <c r="Q41" s="83">
        <v>1.1032750385459761E-4</v>
      </c>
      <c r="R41" s="83">
        <v>8241116102567818</v>
      </c>
      <c r="S41" s="83">
        <v>1.0385992179259853E-4</v>
      </c>
      <c r="T41" s="83">
        <v>7669864918576115</v>
      </c>
      <c r="U41" s="83">
        <v>9.7887450810894846E-5</v>
      </c>
      <c r="V41" s="83">
        <v>7287919095582872</v>
      </c>
      <c r="W41" s="83">
        <v>9.2393590234817708E-5</v>
      </c>
      <c r="X41" s="83">
        <v>6527356937468605</v>
      </c>
      <c r="Y41" s="83">
        <v>8.4120195180373045E-5</v>
      </c>
      <c r="Z41" s="83">
        <v>6214365038920637</v>
      </c>
      <c r="AA41" s="83">
        <v>7.8933421280223757E-5</v>
      </c>
      <c r="AB41" s="83">
        <v>5592032664632903</v>
      </c>
      <c r="AC41" s="83">
        <v>7.3018088584925471E-5</v>
      </c>
      <c r="AD41" s="83">
        <v>5237659456288118</v>
      </c>
      <c r="AE41" s="83">
        <v>6.7424327214984529E-5</v>
      </c>
    </row>
    <row r="42" spans="2:31" x14ac:dyDescent="0.2">
      <c r="B42" s="83">
        <v>1.1723034725538968E+16</v>
      </c>
      <c r="C42" s="83">
        <v>1.553829958298905E-4</v>
      </c>
      <c r="D42" s="83">
        <v>1.1955024482365894E+16</v>
      </c>
      <c r="E42" s="83">
        <v>1.538953578674766E-4</v>
      </c>
      <c r="F42" s="83">
        <v>1.1226889066499662E+16</v>
      </c>
      <c r="G42" s="83">
        <v>1.4911989638107965E-4</v>
      </c>
      <c r="H42" s="83">
        <v>1.0350832640919478E+16</v>
      </c>
      <c r="I42" s="83">
        <v>1.3907777414362676E-4</v>
      </c>
      <c r="J42" s="83">
        <v>1.0015082327231706E+16</v>
      </c>
      <c r="K42" s="83">
        <v>1.3248514540224287E-4</v>
      </c>
      <c r="L42" s="83">
        <v>9267704131262416</v>
      </c>
      <c r="M42" s="83">
        <v>1.2558696610532927E-4</v>
      </c>
      <c r="N42" s="83">
        <v>8978391598027393</v>
      </c>
      <c r="O42" s="83">
        <v>1.1946848360586915E-4</v>
      </c>
      <c r="P42" s="83">
        <v>8394801580829785</v>
      </c>
      <c r="Q42" s="83">
        <v>1.0984958711268566E-4</v>
      </c>
      <c r="R42" s="83">
        <v>7782180311802803</v>
      </c>
      <c r="S42" s="83">
        <v>1.0327715159123998E-4</v>
      </c>
      <c r="T42" s="83">
        <v>7228541880781902</v>
      </c>
      <c r="U42" s="83">
        <v>9.7181151602689011E-5</v>
      </c>
      <c r="V42" s="83">
        <v>6865804373737040</v>
      </c>
      <c r="W42" s="83">
        <v>9.1706665306011813E-5</v>
      </c>
      <c r="X42" s="83">
        <v>6138759875348875</v>
      </c>
      <c r="Y42" s="83">
        <v>8.3341155754487731E-5</v>
      </c>
      <c r="Z42" s="83">
        <v>5835975060342848</v>
      </c>
      <c r="AA42" s="83">
        <v>7.8125782633729662E-5</v>
      </c>
      <c r="AB42" s="83">
        <v>5248997573277009</v>
      </c>
      <c r="AC42" s="83">
        <v>7.2216184008007861E-5</v>
      </c>
      <c r="AD42" s="83">
        <v>4911915810360348</v>
      </c>
      <c r="AE42" s="83">
        <v>6.6643089850517535E-5</v>
      </c>
    </row>
    <row r="43" spans="2:31" x14ac:dyDescent="0.2">
      <c r="B43" s="83">
        <v>1.1131151153929052E+16</v>
      </c>
      <c r="C43" s="83">
        <v>1.5534351438803508E-4</v>
      </c>
      <c r="D43" s="83">
        <v>1.1350312867283896E+16</v>
      </c>
      <c r="E43" s="83">
        <v>1.5377657850560155E-4</v>
      </c>
      <c r="F43" s="83">
        <v>1.065264211395791E+16</v>
      </c>
      <c r="G43" s="83">
        <v>1.4893830609270014E-4</v>
      </c>
      <c r="H43" s="83">
        <v>9810368509480236</v>
      </c>
      <c r="I43" s="83">
        <v>1.3879823248331638E-4</v>
      </c>
      <c r="J43" s="83">
        <v>9493926098382634</v>
      </c>
      <c r="K43" s="83">
        <v>1.3220527613506288E-4</v>
      </c>
      <c r="L43" s="83">
        <v>8772512119209659</v>
      </c>
      <c r="M43" s="83">
        <v>1.251386126694714E-4</v>
      </c>
      <c r="N43" s="83">
        <v>8489560772717874</v>
      </c>
      <c r="O43" s="83">
        <v>1.1894530410200837E-4</v>
      </c>
      <c r="P43" s="83">
        <v>7925661852252956</v>
      </c>
      <c r="Q43" s="83">
        <v>1.0922618477653348E-4</v>
      </c>
      <c r="R43" s="83">
        <v>7342931586620667</v>
      </c>
      <c r="S43" s="83">
        <v>1.0259409852077054E-4</v>
      </c>
      <c r="T43" s="83">
        <v>6816368549960175</v>
      </c>
      <c r="U43" s="83">
        <v>9.6490886000162539E-5</v>
      </c>
      <c r="V43" s="83">
        <v>6466517698254884</v>
      </c>
      <c r="W43" s="83">
        <v>9.0974290088748907E-5</v>
      </c>
      <c r="X43" s="83">
        <v>5772185234914032</v>
      </c>
      <c r="Y43" s="83">
        <v>8.2575668747570356E-5</v>
      </c>
      <c r="Z43" s="83">
        <v>5486764860184468</v>
      </c>
      <c r="AA43" s="83">
        <v>7.7380087409377216E-5</v>
      </c>
      <c r="AB43" s="83">
        <v>4924332695780243</v>
      </c>
      <c r="AC43" s="83">
        <v>7.1374981662841643E-5</v>
      </c>
      <c r="AD43" s="83">
        <v>4605588315992750</v>
      </c>
      <c r="AE43" s="83">
        <v>6.5832526509307862E-5</v>
      </c>
    </row>
    <row r="44" spans="2:31" x14ac:dyDescent="0.2">
      <c r="B44" s="83">
        <v>1.0575556068436218E+16</v>
      </c>
      <c r="C44" s="83">
        <v>1.5526888262681521E-4</v>
      </c>
      <c r="D44" s="83">
        <v>1.0779457951932636E+16</v>
      </c>
      <c r="E44" s="83">
        <v>1.5372900711663616E-4</v>
      </c>
      <c r="F44" s="83">
        <v>1.0108000987996852E+16</v>
      </c>
      <c r="G44" s="83">
        <v>1.4871453770511208E-4</v>
      </c>
      <c r="H44" s="83">
        <v>9302341910144850</v>
      </c>
      <c r="I44" s="83">
        <v>1.3845191945336104E-4</v>
      </c>
      <c r="J44" s="83">
        <v>8992925351759579</v>
      </c>
      <c r="K44" s="83">
        <v>1.3172689900524422E-4</v>
      </c>
      <c r="L44" s="83">
        <v>8300366587388205</v>
      </c>
      <c r="M44" s="83">
        <v>1.245924789878196E-4</v>
      </c>
      <c r="N44" s="83">
        <v>8025916311183798</v>
      </c>
      <c r="O44" s="83">
        <v>1.1828421896581633E-4</v>
      </c>
      <c r="P44" s="83">
        <v>7484177974849983</v>
      </c>
      <c r="Q44" s="83">
        <v>1.0859600229778555E-4</v>
      </c>
      <c r="R44" s="83">
        <v>6927495784510610</v>
      </c>
      <c r="S44" s="83">
        <v>1.0188343427290176E-4</v>
      </c>
      <c r="T44" s="83">
        <v>6423591328431591</v>
      </c>
      <c r="U44" s="83">
        <v>9.5738181677215722E-5</v>
      </c>
      <c r="V44" s="83">
        <v>6092677857138473</v>
      </c>
      <c r="W44" s="83">
        <v>9.0254072920731526E-5</v>
      </c>
      <c r="X44" s="83">
        <v>5428539027921159</v>
      </c>
      <c r="Y44" s="83">
        <v>8.1773547836816782E-5</v>
      </c>
      <c r="Z44" s="83">
        <v>5155011401512875</v>
      </c>
      <c r="AA44" s="83">
        <v>7.6552999590649384E-5</v>
      </c>
      <c r="AB44" s="83">
        <v>4623880633562385</v>
      </c>
      <c r="AC44" s="83">
        <v>7.0545755699306866E-5</v>
      </c>
      <c r="AD44" s="83">
        <v>4316447224246116</v>
      </c>
      <c r="AE44" s="83">
        <v>6.4967869596071302E-5</v>
      </c>
    </row>
    <row r="45" spans="2:31" x14ac:dyDescent="0.2">
      <c r="B45" s="83">
        <v>1.0049733439354178E+16</v>
      </c>
      <c r="C45" s="83">
        <v>1.5529776192297319E-4</v>
      </c>
      <c r="D45" s="83">
        <v>1.0233817338118026E+16</v>
      </c>
      <c r="E45" s="83">
        <v>1.5355135593121834E-4</v>
      </c>
      <c r="F45" s="83">
        <v>9590854331546536</v>
      </c>
      <c r="G45" s="83">
        <v>1.4843650637884763E-4</v>
      </c>
      <c r="H45" s="83">
        <v>8813427789886988</v>
      </c>
      <c r="I45" s="83">
        <v>1.3797648709139645E-4</v>
      </c>
      <c r="J45" s="83">
        <v>8519303824831514</v>
      </c>
      <c r="K45" s="83">
        <v>1.3133037222101871E-4</v>
      </c>
      <c r="L45" s="83">
        <v>7851750645284053</v>
      </c>
      <c r="M45" s="83">
        <v>1.2398820375637536E-4</v>
      </c>
      <c r="N45" s="83">
        <v>7587211476781044</v>
      </c>
      <c r="O45" s="83">
        <v>1.1771644937554231E-4</v>
      </c>
      <c r="P45" s="83">
        <v>7073559503373543</v>
      </c>
      <c r="Q45" s="83">
        <v>1.0802003838994789E-4</v>
      </c>
      <c r="R45" s="83">
        <v>6543209885185837</v>
      </c>
      <c r="S45" s="83">
        <v>1.0125888408958701E-4</v>
      </c>
      <c r="T45" s="83">
        <v>6057597983215112</v>
      </c>
      <c r="U45" s="83">
        <v>9.4996215069782929E-5</v>
      </c>
      <c r="V45" s="83">
        <v>5739657809199401</v>
      </c>
      <c r="W45" s="83">
        <v>8.949958743193482E-5</v>
      </c>
      <c r="X45" s="83">
        <v>5107259784469212</v>
      </c>
      <c r="Y45" s="83">
        <v>8.1004394374602838E-5</v>
      </c>
      <c r="Z45" s="83">
        <v>4845779576191345</v>
      </c>
      <c r="AA45" s="83">
        <v>7.5737749926741023E-5</v>
      </c>
      <c r="AB45" s="83">
        <v>4338298480493001</v>
      </c>
      <c r="AC45" s="83">
        <v>6.9714488678187682E-5</v>
      </c>
      <c r="AD45" s="83">
        <v>4046517035875377.5</v>
      </c>
      <c r="AE45" s="83">
        <v>6.4144293056981068E-5</v>
      </c>
    </row>
    <row r="46" spans="2:31" x14ac:dyDescent="0.2">
      <c r="B46" s="83">
        <v>9534528851535616</v>
      </c>
      <c r="C46" s="83">
        <v>1.5488640874795421E-4</v>
      </c>
      <c r="D46" s="83">
        <v>9717660223472996</v>
      </c>
      <c r="E46" s="83">
        <v>1.5333864104506313E-4</v>
      </c>
      <c r="F46" s="83">
        <v>9095828744361268</v>
      </c>
      <c r="G46" s="83">
        <v>1.4805658400691193E-4</v>
      </c>
      <c r="H46" s="83">
        <v>8347456774051619</v>
      </c>
      <c r="I46" s="83">
        <v>1.3744347990636449E-4</v>
      </c>
      <c r="J46" s="83">
        <v>8067170770714496</v>
      </c>
      <c r="K46" s="83">
        <v>1.3074644504146952E-4</v>
      </c>
      <c r="L46" s="83">
        <v>7425938440686768</v>
      </c>
      <c r="M46" s="83">
        <v>1.2335943485006296E-4</v>
      </c>
      <c r="N46" s="83">
        <v>7169911535388398</v>
      </c>
      <c r="O46" s="83">
        <v>1.1707045650370146E-4</v>
      </c>
      <c r="P46" s="83">
        <v>6677401278753242</v>
      </c>
      <c r="Q46" s="83">
        <v>1.0726792389407095E-4</v>
      </c>
      <c r="R46" s="83">
        <v>6172327841030490</v>
      </c>
      <c r="S46" s="83">
        <v>1.0052609237644192E-4</v>
      </c>
      <c r="T46" s="83">
        <v>5710475466733108</v>
      </c>
      <c r="U46" s="83">
        <v>9.424783391802126E-5</v>
      </c>
      <c r="V46" s="83">
        <v>5405842930582006</v>
      </c>
      <c r="W46" s="83">
        <v>8.8673067949919247E-5</v>
      </c>
      <c r="X46" s="83">
        <v>4806721344770856</v>
      </c>
      <c r="Y46" s="83">
        <v>8.0185731128444535E-5</v>
      </c>
      <c r="Z46" s="83">
        <v>4552040699326873</v>
      </c>
      <c r="AA46" s="83">
        <v>7.4898698125151818E-5</v>
      </c>
      <c r="AB46" s="83">
        <v>4072865501814048</v>
      </c>
      <c r="AC46" s="83">
        <v>6.887738747018827E-5</v>
      </c>
      <c r="AD46" s="83">
        <v>3794182493212063</v>
      </c>
      <c r="AE46" s="83">
        <v>6.3291489975743289E-5</v>
      </c>
    </row>
    <row r="47" spans="2:31" x14ac:dyDescent="0.2">
      <c r="B47" s="83">
        <v>9055410572435196</v>
      </c>
      <c r="C47" s="83">
        <v>1.5466833410899652E-4</v>
      </c>
      <c r="D47" s="83">
        <v>9218905506852774</v>
      </c>
      <c r="E47" s="83">
        <v>1.5296884116081672E-4</v>
      </c>
      <c r="F47" s="83">
        <v>8624110551372062</v>
      </c>
      <c r="G47" s="83">
        <v>1.4756605716336949E-4</v>
      </c>
      <c r="H47" s="83">
        <v>7904715387749977</v>
      </c>
      <c r="I47" s="83">
        <v>1.3688059656930443E-4</v>
      </c>
      <c r="J47" s="83">
        <v>7634917074911940</v>
      </c>
      <c r="K47" s="83">
        <v>1.3007298240162282E-4</v>
      </c>
      <c r="L47" s="83">
        <v>7022596949788623</v>
      </c>
      <c r="M47" s="83">
        <v>1.2265904488705114E-4</v>
      </c>
      <c r="N47" s="83">
        <v>6779556045981756</v>
      </c>
      <c r="O47" s="83">
        <v>1.1641898341255263E-4</v>
      </c>
      <c r="P47" s="83">
        <v>6298487412512983</v>
      </c>
      <c r="Q47" s="83">
        <v>1.0642526954190645E-4</v>
      </c>
      <c r="R47" s="83">
        <v>5822873544517566</v>
      </c>
      <c r="S47" s="83">
        <v>9.97213413868101E-5</v>
      </c>
      <c r="T47" s="83">
        <v>5381737203959602</v>
      </c>
      <c r="U47" s="83">
        <v>9.3421997974763008E-5</v>
      </c>
      <c r="V47" s="83">
        <v>5092536193917239</v>
      </c>
      <c r="W47" s="83">
        <v>8.7891782944105493E-5</v>
      </c>
      <c r="X47" s="83">
        <v>4518628706582146</v>
      </c>
      <c r="Y47" s="83">
        <v>7.93036798770043E-5</v>
      </c>
      <c r="Z47" s="83">
        <v>4277303399171193</v>
      </c>
      <c r="AA47" s="83">
        <v>7.405757036938982E-5</v>
      </c>
      <c r="AB47" s="83">
        <v>3821421204560372.5</v>
      </c>
      <c r="AC47" s="83">
        <v>6.7977228456710218E-5</v>
      </c>
      <c r="AD47" s="83">
        <v>3558674855277596.5</v>
      </c>
      <c r="AE47" s="83">
        <v>6.2470007336934828E-5</v>
      </c>
    </row>
    <row r="48" spans="2:31" x14ac:dyDescent="0.2">
      <c r="B48" s="83">
        <v>8591540887358669</v>
      </c>
      <c r="C48" s="83">
        <v>1.542689914013306E-4</v>
      </c>
      <c r="D48" s="83">
        <v>8741889760511566</v>
      </c>
      <c r="E48" s="83">
        <v>1.5250004783005325E-4</v>
      </c>
      <c r="F48" s="83">
        <v>8175190562754049</v>
      </c>
      <c r="G48" s="83">
        <v>1.4708684809699158E-4</v>
      </c>
      <c r="H48" s="83">
        <v>7489405732161670</v>
      </c>
      <c r="I48" s="83">
        <v>1.3633437044016455E-4</v>
      </c>
      <c r="J48" s="83">
        <v>7216788729368713</v>
      </c>
      <c r="K48" s="83">
        <v>1.2927653691840305E-4</v>
      </c>
      <c r="L48" s="83">
        <v>6640390117767708</v>
      </c>
      <c r="M48" s="83">
        <v>1.2197506017004575E-4</v>
      </c>
      <c r="N48" s="83">
        <v>6403745181349803</v>
      </c>
      <c r="O48" s="83">
        <v>1.1560868625894482E-4</v>
      </c>
      <c r="P48" s="83">
        <v>5946095837566331</v>
      </c>
      <c r="Q48" s="83">
        <v>1.0572137979928424E-4</v>
      </c>
      <c r="R48" s="83">
        <v>5491446136093354</v>
      </c>
      <c r="S48" s="83">
        <v>9.8882012503332238E-5</v>
      </c>
      <c r="T48" s="83">
        <v>5067845791882764</v>
      </c>
      <c r="U48" s="83">
        <v>9.2498234740188883E-5</v>
      </c>
      <c r="V48" s="83">
        <v>4791785614850060</v>
      </c>
      <c r="W48" s="83">
        <v>8.6955086876757385E-5</v>
      </c>
      <c r="X48" s="83">
        <v>4247989788699058</v>
      </c>
      <c r="Y48" s="83">
        <v>7.8394646191068368E-5</v>
      </c>
      <c r="Z48" s="83">
        <v>4016395475427875</v>
      </c>
      <c r="AA48" s="83">
        <v>7.3123851826260974E-5</v>
      </c>
      <c r="AB48" s="83">
        <v>3586495720332612.5</v>
      </c>
      <c r="AC48" s="83">
        <v>6.713456074996393E-5</v>
      </c>
      <c r="AD48" s="83">
        <v>3336572164242186</v>
      </c>
      <c r="AE48" s="83">
        <v>6.1604939292661054E-5</v>
      </c>
    </row>
    <row r="49" spans="2:31" x14ac:dyDescent="0.2">
      <c r="B49" s="83">
        <v>8156444303372834</v>
      </c>
      <c r="C49" s="83">
        <v>1.5390581641564844E-4</v>
      </c>
      <c r="D49" s="83">
        <v>8295294489694514</v>
      </c>
      <c r="E49" s="83">
        <v>1.5208405358883427E-4</v>
      </c>
      <c r="F49" s="83">
        <v>7748826514745783</v>
      </c>
      <c r="G49" s="83">
        <v>1.4663692058042635E-4</v>
      </c>
      <c r="H49" s="83">
        <v>7083987168673020</v>
      </c>
      <c r="I49" s="83">
        <v>1.3552298970510195E-4</v>
      </c>
      <c r="J49" s="83">
        <v>6829530999793348</v>
      </c>
      <c r="K49" s="83">
        <v>1.2862228821619142E-4</v>
      </c>
      <c r="L49" s="83">
        <v>6272878005256862</v>
      </c>
      <c r="M49" s="83">
        <v>1.2118435290756729E-4</v>
      </c>
      <c r="N49" s="83">
        <v>6047420582491480</v>
      </c>
      <c r="O49" s="83">
        <v>1.1475679021622161E-4</v>
      </c>
      <c r="P49" s="83">
        <v>5605226423662818</v>
      </c>
      <c r="Q49" s="83">
        <v>1.0474973327297597E-4</v>
      </c>
      <c r="R49" s="83">
        <v>5177252674185190</v>
      </c>
      <c r="S49" s="83">
        <v>9.8011126652100422E-5</v>
      </c>
      <c r="T49" s="83">
        <v>4771694184608403</v>
      </c>
      <c r="U49" s="83">
        <v>9.158129550114355E-5</v>
      </c>
      <c r="V49" s="83">
        <v>4511950485994082</v>
      </c>
      <c r="W49" s="83">
        <v>8.6098532712366218E-5</v>
      </c>
      <c r="X49" s="83">
        <v>3993561139025419</v>
      </c>
      <c r="Y49" s="83">
        <v>7.7525284665046988E-5</v>
      </c>
      <c r="Z49" s="83">
        <v>3772109317679065.5</v>
      </c>
      <c r="AA49" s="83">
        <v>7.2216031326807699E-5</v>
      </c>
      <c r="AB49" s="83">
        <v>3364010498688498.5</v>
      </c>
      <c r="AC49" s="83">
        <v>6.6197089404018941E-5</v>
      </c>
      <c r="AD49" s="83">
        <v>3126180275167651.5</v>
      </c>
      <c r="AE49" s="83">
        <v>6.0694429951310203E-5</v>
      </c>
    </row>
    <row r="50" spans="2:31" x14ac:dyDescent="0.2">
      <c r="B50" s="83">
        <v>7733295029306668</v>
      </c>
      <c r="C50" s="83">
        <v>1.5346764816254771E-4</v>
      </c>
      <c r="D50" s="83">
        <v>7863640249741326</v>
      </c>
      <c r="E50" s="83">
        <v>1.5162965761324253E-4</v>
      </c>
      <c r="F50" s="83">
        <v>7343649189481557</v>
      </c>
      <c r="G50" s="83">
        <v>1.4599373054006523E-4</v>
      </c>
      <c r="H50" s="83">
        <v>6708129772649259</v>
      </c>
      <c r="I50" s="83">
        <v>1.3492464374842791E-4</v>
      </c>
      <c r="J50" s="83">
        <v>6461978150416202</v>
      </c>
      <c r="K50" s="83">
        <v>1.2803703211481876E-4</v>
      </c>
      <c r="L50" s="83">
        <v>5933962851448639</v>
      </c>
      <c r="M50" s="83">
        <v>1.2044650388367633E-4</v>
      </c>
      <c r="N50" s="83">
        <v>5713738583837373</v>
      </c>
      <c r="O50" s="83">
        <v>1.1403028295160161E-4</v>
      </c>
      <c r="P50" s="83">
        <v>5288236880628634</v>
      </c>
      <c r="Q50" s="83">
        <v>1.0394755734929582E-4</v>
      </c>
      <c r="R50" s="83">
        <v>4881983405174045</v>
      </c>
      <c r="S50" s="83">
        <v>9.7179176972886214E-5</v>
      </c>
      <c r="T50" s="83">
        <v>4495515895753992</v>
      </c>
      <c r="U50" s="83">
        <v>9.0767556561932345E-5</v>
      </c>
      <c r="V50" s="83">
        <v>4245024794717632</v>
      </c>
      <c r="W50" s="83">
        <v>8.5259688983560001E-5</v>
      </c>
      <c r="X50" s="83">
        <v>3751286276858217.5</v>
      </c>
      <c r="Y50" s="83">
        <v>7.6622036563657957E-5</v>
      </c>
      <c r="Z50" s="83">
        <v>3537322522562459.5</v>
      </c>
      <c r="AA50" s="83">
        <v>7.1284678206851997E-5</v>
      </c>
      <c r="AB50" s="83">
        <v>3158695095399249.5</v>
      </c>
      <c r="AC50" s="83">
        <v>6.5391762297983428E-5</v>
      </c>
      <c r="AD50" s="83">
        <v>2930718886345703</v>
      </c>
      <c r="AE50" s="83">
        <v>5.9853909254501258E-5</v>
      </c>
    </row>
    <row r="51" spans="2:31" x14ac:dyDescent="0.2">
      <c r="B51" s="83">
        <v>7333307000040704</v>
      </c>
      <c r="C51" s="83">
        <v>1.5286708567843865E-4</v>
      </c>
      <c r="D51" s="83">
        <v>7449529544362228</v>
      </c>
      <c r="E51" s="83">
        <v>1.5094996861866715E-4</v>
      </c>
      <c r="F51" s="83">
        <v>6960461694185864</v>
      </c>
      <c r="G51" s="83">
        <v>1.454158309115836E-4</v>
      </c>
      <c r="H51" s="83">
        <v>6349463907024466</v>
      </c>
      <c r="I51" s="83">
        <v>1.343008272854904E-4</v>
      </c>
      <c r="J51" s="83">
        <v>6106548662782286</v>
      </c>
      <c r="K51" s="83">
        <v>1.2718093599293879E-4</v>
      </c>
      <c r="L51" s="83">
        <v>5606832205525796</v>
      </c>
      <c r="M51" s="83">
        <v>1.1965922372124925E-4</v>
      </c>
      <c r="N51" s="83">
        <v>5388687910096990</v>
      </c>
      <c r="O51" s="83">
        <v>1.1302479118594721E-4</v>
      </c>
      <c r="P51" s="83">
        <v>4986698034047947</v>
      </c>
      <c r="Q51" s="83">
        <v>1.0307776842866875E-4</v>
      </c>
      <c r="R51" s="83">
        <v>4598621481702552</v>
      </c>
      <c r="S51" s="83">
        <v>9.6217599725054479E-5</v>
      </c>
      <c r="T51" s="83">
        <v>4234716789328534</v>
      </c>
      <c r="U51" s="83">
        <v>8.9931970028122365E-5</v>
      </c>
      <c r="V51" s="83">
        <v>3997377313281280.5</v>
      </c>
      <c r="W51" s="83">
        <v>8.4387167561063132E-5</v>
      </c>
      <c r="X51" s="83">
        <v>3525614094036759</v>
      </c>
      <c r="Y51" s="83">
        <v>7.5710886327394892E-5</v>
      </c>
      <c r="Z51" s="83">
        <v>3323342538535315</v>
      </c>
      <c r="AA51" s="83">
        <v>7.043262460431611E-5</v>
      </c>
      <c r="AB51" s="83">
        <v>2958882829586818</v>
      </c>
      <c r="AC51" s="83">
        <v>6.4397038125598504E-5</v>
      </c>
      <c r="AD51" s="83">
        <v>2748296996122512</v>
      </c>
      <c r="AE51" s="83">
        <v>5.9015497013915074E-5</v>
      </c>
    </row>
    <row r="52" spans="2:31" x14ac:dyDescent="0.2">
      <c r="B52" s="83">
        <v>6959183523751825</v>
      </c>
      <c r="C52" s="83">
        <v>1.5245037791466922E-4</v>
      </c>
      <c r="D52" s="83">
        <v>7062933101919524</v>
      </c>
      <c r="E52" s="83">
        <v>1.5045322488554388E-4</v>
      </c>
      <c r="F52" s="83">
        <v>6586340201531078</v>
      </c>
      <c r="G52" s="83">
        <v>1.4466030321191295E-4</v>
      </c>
      <c r="H52" s="83">
        <v>6005810502863359</v>
      </c>
      <c r="I52" s="83">
        <v>1.3340050675225622E-4</v>
      </c>
      <c r="J52" s="83">
        <v>5778221048406993</v>
      </c>
      <c r="K52" s="83">
        <v>1.2640846605440652E-4</v>
      </c>
      <c r="L52" s="83">
        <v>5288560386361960</v>
      </c>
      <c r="M52" s="83">
        <v>1.1855756918308068E-4</v>
      </c>
      <c r="N52" s="83">
        <v>5089740823631831</v>
      </c>
      <c r="O52" s="83">
        <v>1.1225138285634521E-4</v>
      </c>
      <c r="P52" s="83">
        <v>4701874365598590</v>
      </c>
      <c r="Q52" s="83">
        <v>1.0220069845665409E-4</v>
      </c>
      <c r="R52" s="83">
        <v>4339377830968778.5</v>
      </c>
      <c r="S52" s="83">
        <v>9.5456740072956411E-5</v>
      </c>
      <c r="T52" s="83">
        <v>3987020595188116</v>
      </c>
      <c r="U52" s="83">
        <v>8.8969371885397363E-5</v>
      </c>
      <c r="V52" s="83">
        <v>3762570057441901</v>
      </c>
      <c r="W52" s="83">
        <v>8.3514832433944001E-5</v>
      </c>
      <c r="X52" s="83">
        <v>3314786409855577.5</v>
      </c>
      <c r="Y52" s="83">
        <v>7.4849318415712824E-5</v>
      </c>
      <c r="Z52" s="83">
        <v>3121430949376782</v>
      </c>
      <c r="AA52" s="83">
        <v>6.9568230421868674E-5</v>
      </c>
      <c r="AB52" s="83">
        <v>2775483689437958.5</v>
      </c>
      <c r="AC52" s="83">
        <v>6.3497741821377606E-5</v>
      </c>
      <c r="AD52" s="83">
        <v>2571607112532073.5</v>
      </c>
      <c r="AE52" s="83">
        <v>5.8075123798169404E-5</v>
      </c>
    </row>
    <row r="53" spans="2:31" x14ac:dyDescent="0.2">
      <c r="B53" s="83">
        <v>6593784713574096</v>
      </c>
      <c r="C53" s="83">
        <v>1.5168782834270195E-4</v>
      </c>
      <c r="D53" s="83">
        <v>6690815202831423</v>
      </c>
      <c r="E53" s="83">
        <v>1.4979874607491726E-4</v>
      </c>
      <c r="F53" s="83">
        <v>6239113141743910</v>
      </c>
      <c r="G53" s="83">
        <v>1.438647903525611E-4</v>
      </c>
      <c r="H53" s="83">
        <v>5683925979188411</v>
      </c>
      <c r="I53" s="83">
        <v>1.3261393949719232E-4</v>
      </c>
      <c r="J53" s="83">
        <v>5457811778378726</v>
      </c>
      <c r="K53" s="83">
        <v>1.2546121235724211E-4</v>
      </c>
      <c r="L53" s="83">
        <v>4995377768320971</v>
      </c>
      <c r="M53" s="83">
        <v>1.176826066020119E-4</v>
      </c>
      <c r="N53" s="83">
        <v>4800700849844390</v>
      </c>
      <c r="O53" s="83">
        <v>1.1126642617349815E-4</v>
      </c>
      <c r="P53" s="83">
        <v>4433468666488168</v>
      </c>
      <c r="Q53" s="83">
        <v>1.0125805082399452E-4</v>
      </c>
      <c r="R53" s="83">
        <v>4087233206439773.5</v>
      </c>
      <c r="S53" s="83">
        <v>9.4477085841447527E-5</v>
      </c>
      <c r="T53" s="83">
        <v>3754660263738729</v>
      </c>
      <c r="U53" s="83">
        <v>8.8036726221368274E-5</v>
      </c>
      <c r="V53" s="83">
        <v>3535955174263475</v>
      </c>
      <c r="W53" s="83">
        <v>8.2472734894313812E-5</v>
      </c>
      <c r="X53" s="83">
        <v>3116243217833103.5</v>
      </c>
      <c r="Y53" s="83">
        <v>7.3973235030035505E-5</v>
      </c>
      <c r="Z53" s="83">
        <v>2927956365438691</v>
      </c>
      <c r="AA53" s="83">
        <v>6.8569819786844244E-5</v>
      </c>
      <c r="AB53" s="83">
        <v>2604117998975277</v>
      </c>
      <c r="AC53" s="83">
        <v>6.264820471611903E-5</v>
      </c>
      <c r="AD53" s="83">
        <v>2412049278914672.5</v>
      </c>
      <c r="AE53" s="83">
        <v>5.7238031073326939E-5</v>
      </c>
    </row>
    <row r="54" spans="2:31" x14ac:dyDescent="0.2">
      <c r="B54" s="83">
        <v>6248419488192493</v>
      </c>
      <c r="C54" s="83">
        <v>1.5093687165277156E-4</v>
      </c>
      <c r="D54" s="83">
        <v>6338570021386664</v>
      </c>
      <c r="E54" s="83">
        <v>1.4906466860251579E-4</v>
      </c>
      <c r="F54" s="83">
        <v>5911392002154566</v>
      </c>
      <c r="G54" s="83">
        <v>1.4320460471875545E-4</v>
      </c>
      <c r="H54" s="83">
        <v>5372646766801340</v>
      </c>
      <c r="I54" s="83">
        <v>1.3164128014490353E-4</v>
      </c>
      <c r="J54" s="83">
        <v>5162674612948237</v>
      </c>
      <c r="K54" s="83">
        <v>1.2465803933194906E-4</v>
      </c>
      <c r="L54" s="83">
        <v>4715776055001313</v>
      </c>
      <c r="M54" s="83">
        <v>1.1676616077228156E-4</v>
      </c>
      <c r="N54" s="83">
        <v>4534314608575347</v>
      </c>
      <c r="O54" s="83">
        <v>1.1039283993497386E-4</v>
      </c>
      <c r="P54" s="83">
        <v>4179701768516902.5</v>
      </c>
      <c r="Q54" s="83">
        <v>1.002764281015124E-4</v>
      </c>
      <c r="R54" s="83">
        <v>3848339065369351</v>
      </c>
      <c r="S54" s="83">
        <v>9.342206457720246E-5</v>
      </c>
      <c r="T54" s="83">
        <v>3535208866762058.5</v>
      </c>
      <c r="U54" s="83">
        <v>8.7086036363712374E-5</v>
      </c>
      <c r="V54" s="83">
        <v>3330505742146022.5</v>
      </c>
      <c r="W54" s="83">
        <v>8.1616603064725069E-5</v>
      </c>
      <c r="X54" s="83">
        <v>2924973126422076.5</v>
      </c>
      <c r="Y54" s="83">
        <v>7.2930268763700621E-5</v>
      </c>
      <c r="Z54" s="83">
        <v>2750615597745355</v>
      </c>
      <c r="AA54" s="83">
        <v>6.7711282302727936E-5</v>
      </c>
      <c r="AB54" s="83">
        <v>2443276335424529.5</v>
      </c>
      <c r="AC54" s="83">
        <v>6.1747196974130383E-5</v>
      </c>
      <c r="AD54" s="83">
        <v>2260974837077971.5</v>
      </c>
      <c r="AE54" s="83">
        <v>5.6405111680550536E-5</v>
      </c>
    </row>
    <row r="55" spans="2:31" x14ac:dyDescent="0.2">
      <c r="B55" s="83">
        <v>5921077053906984</v>
      </c>
      <c r="C55" s="83">
        <v>1.5025766170386525E-4</v>
      </c>
      <c r="D55" s="83">
        <v>6002416043653105</v>
      </c>
      <c r="E55" s="83">
        <v>1.4821400271426859E-4</v>
      </c>
      <c r="F55" s="83">
        <v>5596591260928141</v>
      </c>
      <c r="G55" s="83">
        <v>1.4232700203151656E-4</v>
      </c>
      <c r="H55" s="83">
        <v>5077187641707179</v>
      </c>
      <c r="I55" s="83">
        <v>1.3069559762574943E-4</v>
      </c>
      <c r="J55" s="83">
        <v>4875431066658812</v>
      </c>
      <c r="K55" s="83">
        <v>1.2359717708930595E-4</v>
      </c>
      <c r="L55" s="83">
        <v>4455108456032480.5</v>
      </c>
      <c r="M55" s="83">
        <v>1.1593101162400445E-4</v>
      </c>
      <c r="N55" s="83">
        <v>4275116541689164</v>
      </c>
      <c r="O55" s="83">
        <v>1.0934071384564178E-4</v>
      </c>
      <c r="P55" s="83">
        <v>3938162769024214.5</v>
      </c>
      <c r="Q55" s="83">
        <v>9.9254266862653309E-5</v>
      </c>
      <c r="R55" s="83">
        <v>3630412170466764</v>
      </c>
      <c r="S55" s="83">
        <v>9.2532059105732869E-5</v>
      </c>
      <c r="T55" s="83">
        <v>3328122087820037.5</v>
      </c>
      <c r="U55" s="83">
        <v>8.618124937137104E-5</v>
      </c>
      <c r="V55" s="83">
        <v>3130352644178402.5</v>
      </c>
      <c r="W55" s="83">
        <v>8.060273989030576E-5</v>
      </c>
      <c r="X55" s="83">
        <v>2748882233442933.5</v>
      </c>
      <c r="Y55" s="83">
        <v>7.201963249962905E-5</v>
      </c>
      <c r="Z55" s="83">
        <v>2582216852541174.5</v>
      </c>
      <c r="AA55" s="83">
        <v>6.6768283775178535E-5</v>
      </c>
      <c r="AB55" s="83">
        <v>2289033624296643.5</v>
      </c>
      <c r="AC55" s="83">
        <v>6.0776733311380574E-5</v>
      </c>
      <c r="AD55" s="83">
        <v>2116174838283313.5</v>
      </c>
      <c r="AE55" s="83">
        <v>5.5445361752747273E-5</v>
      </c>
    </row>
    <row r="56" spans="2:31" x14ac:dyDescent="0.2">
      <c r="B56" s="83">
        <v>5605616925904675</v>
      </c>
      <c r="C56" s="83">
        <v>1.4935993137008859E-4</v>
      </c>
      <c r="D56" s="83">
        <v>5684770716177135</v>
      </c>
      <c r="E56" s="83">
        <v>1.4755648554157626E-4</v>
      </c>
      <c r="F56" s="83">
        <v>5292651490189102</v>
      </c>
      <c r="G56" s="83">
        <v>1.4130986802733992E-4</v>
      </c>
      <c r="H56" s="83">
        <v>4798996508263966</v>
      </c>
      <c r="I56" s="83">
        <v>1.2978989281528308E-4</v>
      </c>
      <c r="J56" s="83">
        <v>4606061488628949</v>
      </c>
      <c r="K56" s="83">
        <v>1.2271846605824729E-4</v>
      </c>
      <c r="L56" s="83">
        <v>4204018339909773</v>
      </c>
      <c r="M56" s="83">
        <v>1.1479773931345539E-4</v>
      </c>
      <c r="N56" s="83">
        <v>4036813872985872.5</v>
      </c>
      <c r="O56" s="83">
        <v>1.0847349528549144E-4</v>
      </c>
      <c r="P56" s="83">
        <v>3713416130200149</v>
      </c>
      <c r="Q56" s="83">
        <v>9.8355800879895824E-5</v>
      </c>
      <c r="R56" s="83">
        <v>3418681912092656.5</v>
      </c>
      <c r="S56" s="83">
        <v>9.1595639910898582E-5</v>
      </c>
      <c r="T56" s="83">
        <v>3130806555371705.5</v>
      </c>
      <c r="U56" s="83">
        <v>8.5108054430827534E-5</v>
      </c>
      <c r="V56" s="83">
        <v>2945230015881290</v>
      </c>
      <c r="W56" s="83">
        <v>7.9697141249299183E-5</v>
      </c>
      <c r="X56" s="83">
        <v>2581419898885032.5</v>
      </c>
      <c r="Y56" s="83">
        <v>7.1109511223156797E-5</v>
      </c>
      <c r="Z56" s="83">
        <v>2417683467931821</v>
      </c>
      <c r="AA56" s="83">
        <v>6.5723023774031511E-5</v>
      </c>
      <c r="AB56" s="83">
        <v>2145826176576411.7</v>
      </c>
      <c r="AC56" s="83">
        <v>5.9888905676988266E-5</v>
      </c>
      <c r="AD56" s="83">
        <v>1985371311989255.7</v>
      </c>
      <c r="AE56" s="83">
        <v>5.4670553686769099E-5</v>
      </c>
    </row>
    <row r="57" spans="2:31" x14ac:dyDescent="0.2">
      <c r="B57" s="83">
        <v>5308289410019474</v>
      </c>
      <c r="C57" s="83">
        <v>1.4862660905384998E-4</v>
      </c>
      <c r="D57" s="83">
        <v>5388783261552408</v>
      </c>
      <c r="E57" s="83">
        <v>1.467918243738721E-4</v>
      </c>
      <c r="F57" s="83">
        <v>5010117956565924</v>
      </c>
      <c r="G57" s="83">
        <v>1.4048992736509093E-4</v>
      </c>
      <c r="H57" s="83">
        <v>4534507848661558</v>
      </c>
      <c r="I57" s="83">
        <v>1.2879922806376359E-4</v>
      </c>
      <c r="J57" s="83">
        <v>4351449642749814.5</v>
      </c>
      <c r="K57" s="83">
        <v>1.217297052932619E-4</v>
      </c>
      <c r="L57" s="83">
        <v>3966569092129618</v>
      </c>
      <c r="M57" s="83">
        <v>1.1383954277346966E-4</v>
      </c>
      <c r="N57" s="83">
        <v>3806374854712501.5</v>
      </c>
      <c r="O57" s="83">
        <v>1.0741736628424766E-4</v>
      </c>
      <c r="P57" s="83">
        <v>3491664331167154.5</v>
      </c>
      <c r="Q57" s="83">
        <v>9.7171955281826768E-5</v>
      </c>
      <c r="R57" s="83">
        <v>3216604765329950</v>
      </c>
      <c r="S57" s="83">
        <v>9.050869576496533E-5</v>
      </c>
      <c r="T57" s="83">
        <v>2949338984214566</v>
      </c>
      <c r="U57" s="83">
        <v>8.4230390116566558E-5</v>
      </c>
      <c r="V57" s="83">
        <v>2772114979167382.5</v>
      </c>
      <c r="W57" s="83">
        <v>7.8809972844908849E-5</v>
      </c>
      <c r="X57" s="83">
        <v>2425320728851411.5</v>
      </c>
      <c r="Y57" s="83">
        <v>7.0158653896674466E-5</v>
      </c>
      <c r="Z57" s="83">
        <v>2272241642057476</v>
      </c>
      <c r="AA57" s="83">
        <v>6.4894145218874041E-5</v>
      </c>
      <c r="AB57" s="83">
        <v>2012659011954270.7</v>
      </c>
      <c r="AC57" s="83">
        <v>5.8962459809741168E-5</v>
      </c>
      <c r="AD57" s="83">
        <v>1859120715806837.5</v>
      </c>
      <c r="AE57" s="83">
        <v>5.3794750270390493E-5</v>
      </c>
    </row>
    <row r="58" spans="2:31" x14ac:dyDescent="0.2">
      <c r="B58" s="83">
        <v>5025937457191051</v>
      </c>
      <c r="C58" s="83">
        <v>1.4773125733215018E-4</v>
      </c>
      <c r="D58" s="83">
        <v>5100519386023774</v>
      </c>
      <c r="E58" s="83">
        <v>1.4588449639273238E-4</v>
      </c>
      <c r="F58" s="83">
        <v>4733102414087828</v>
      </c>
      <c r="G58" s="83">
        <v>1.3931120031765212E-4</v>
      </c>
      <c r="H58" s="83">
        <v>4280722342103614</v>
      </c>
      <c r="I58" s="83">
        <v>1.2773930829603348E-4</v>
      </c>
      <c r="J58" s="83">
        <v>4107588821157932.5</v>
      </c>
      <c r="K58" s="83">
        <v>1.2064392879687992E-4</v>
      </c>
      <c r="L58" s="83">
        <v>3738174881519351.5</v>
      </c>
      <c r="M58" s="83">
        <v>1.1267204077230676E-4</v>
      </c>
      <c r="N58" s="83">
        <v>3587310393102773</v>
      </c>
      <c r="O58" s="83">
        <v>1.0634127609466341E-4</v>
      </c>
      <c r="P58" s="83">
        <v>3289576471769727.5</v>
      </c>
      <c r="Q58" s="83">
        <v>9.6126861280376304E-5</v>
      </c>
      <c r="R58" s="83">
        <v>3031617996684388</v>
      </c>
      <c r="S58" s="83">
        <v>8.9572690554896308E-5</v>
      </c>
      <c r="T58" s="83">
        <v>2773169485963377.5</v>
      </c>
      <c r="U58" s="83">
        <v>8.3151211508500524E-5</v>
      </c>
      <c r="V58" s="83">
        <v>2603605012738422</v>
      </c>
      <c r="W58" s="83">
        <v>7.7749456902959292E-5</v>
      </c>
      <c r="X58" s="83">
        <v>2277213682858390</v>
      </c>
      <c r="Y58" s="83">
        <v>6.9218782318152588E-5</v>
      </c>
      <c r="Z58" s="83">
        <v>2131824785717582</v>
      </c>
      <c r="AA58" s="83">
        <v>6.3920473925434512E-5</v>
      </c>
      <c r="AB58" s="83">
        <v>1886695523499806.2</v>
      </c>
      <c r="AC58" s="83">
        <v>5.8121460002666581E-5</v>
      </c>
      <c r="AD58" s="83">
        <v>1742189326075923.2</v>
      </c>
      <c r="AE58" s="83">
        <v>5.2913585560564683E-5</v>
      </c>
    </row>
    <row r="59" spans="2:31" x14ac:dyDescent="0.2">
      <c r="B59" s="83">
        <v>4754821415555648</v>
      </c>
      <c r="C59" s="83">
        <v>1.4673722599989247E-4</v>
      </c>
      <c r="D59" s="83">
        <v>4816398988861571</v>
      </c>
      <c r="E59" s="83">
        <v>1.4457925386975422E-4</v>
      </c>
      <c r="F59" s="83">
        <v>4476454714230612.5</v>
      </c>
      <c r="G59" s="83">
        <v>1.3832101885710195E-4</v>
      </c>
      <c r="H59" s="83">
        <v>4041244010725742.5</v>
      </c>
      <c r="I59" s="83">
        <v>1.2662645350065702E-4</v>
      </c>
      <c r="J59" s="83">
        <v>3877513985534257.5</v>
      </c>
      <c r="K59" s="83">
        <v>1.1959408511503731E-4</v>
      </c>
      <c r="L59" s="83">
        <v>3530332599667562.5</v>
      </c>
      <c r="M59" s="83">
        <v>1.1174561803726836E-4</v>
      </c>
      <c r="N59" s="83">
        <v>3382354311200430</v>
      </c>
      <c r="O59" s="83">
        <v>1.053170431820502E-4</v>
      </c>
      <c r="P59" s="83">
        <v>3099548584848033.5</v>
      </c>
      <c r="Q59" s="83">
        <v>9.5196123777849774E-5</v>
      </c>
      <c r="R59" s="83">
        <v>2853760498465583.5</v>
      </c>
      <c r="S59" s="83">
        <v>8.8581308194572006E-5</v>
      </c>
      <c r="T59" s="83">
        <v>2608560322076547</v>
      </c>
      <c r="U59" s="83">
        <v>8.2114280300227087E-5</v>
      </c>
      <c r="V59" s="83">
        <v>2449440594402289.5</v>
      </c>
      <c r="W59" s="83">
        <v>7.6775727059712643E-5</v>
      </c>
      <c r="X59" s="83">
        <v>2140384226951084.2</v>
      </c>
      <c r="Y59" s="83">
        <v>6.8296844380061542E-5</v>
      </c>
      <c r="Z59" s="83">
        <v>1999831371497317.7</v>
      </c>
      <c r="AA59" s="83">
        <v>6.3056929793604781E-5</v>
      </c>
      <c r="AB59" s="83">
        <v>1767021374273298.2</v>
      </c>
      <c r="AC59" s="83">
        <v>5.7140508503167144E-5</v>
      </c>
      <c r="AD59" s="83">
        <v>1630708920677370.2</v>
      </c>
      <c r="AE59" s="83">
        <v>5.2057191147203012E-5</v>
      </c>
    </row>
    <row r="60" spans="2:31" x14ac:dyDescent="0.2">
      <c r="B60" s="83">
        <v>4506027030652509</v>
      </c>
      <c r="C60" s="83">
        <v>1.4608633443623719E-4</v>
      </c>
      <c r="D60" s="83">
        <v>4562033044614523</v>
      </c>
      <c r="E60" s="83">
        <v>1.4378014906152829E-4</v>
      </c>
      <c r="F60" s="83">
        <v>4231366404448356.5</v>
      </c>
      <c r="G60" s="83">
        <v>1.3735387197263369E-4</v>
      </c>
      <c r="H60" s="83">
        <v>3820413343280806.5</v>
      </c>
      <c r="I60" s="83">
        <v>1.2562495218155175E-4</v>
      </c>
      <c r="J60" s="83">
        <v>3659179694098015.5</v>
      </c>
      <c r="K60" s="83">
        <v>1.1850012748351251E-4</v>
      </c>
      <c r="L60" s="83">
        <v>3329021018932950.5</v>
      </c>
      <c r="M60" s="83">
        <v>1.1064934047760672E-4</v>
      </c>
      <c r="N60" s="83">
        <v>3190414439783194</v>
      </c>
      <c r="O60" s="83">
        <v>1.0425341269307915E-4</v>
      </c>
      <c r="P60" s="83">
        <v>2919202658064044</v>
      </c>
      <c r="Q60" s="83">
        <v>9.412554057966336E-5</v>
      </c>
      <c r="R60" s="83">
        <v>2688367030231416.5</v>
      </c>
      <c r="S60" s="83">
        <v>8.7619370966277068E-5</v>
      </c>
      <c r="T60" s="83">
        <v>2450033742175164.5</v>
      </c>
      <c r="U60" s="83">
        <v>8.0959352872175065E-5</v>
      </c>
      <c r="V60" s="83">
        <v>2305035747723245.5</v>
      </c>
      <c r="W60" s="83">
        <v>7.5820179775749642E-5</v>
      </c>
      <c r="X60" s="83">
        <v>2007993830778583</v>
      </c>
      <c r="Y60" s="83">
        <v>6.7300826341233202E-5</v>
      </c>
      <c r="Z60" s="83">
        <v>1874567920004991.2</v>
      </c>
      <c r="AA60" s="83">
        <v>6.2044821150778793E-5</v>
      </c>
      <c r="AB60" s="83">
        <v>1656242090401518.2</v>
      </c>
      <c r="AC60" s="83">
        <v>5.6286492233283094E-5</v>
      </c>
      <c r="AD60" s="83">
        <v>1525925163875375.5</v>
      </c>
      <c r="AE60" s="83">
        <v>5.1115107178860067E-5</v>
      </c>
    </row>
    <row r="61" spans="2:31" x14ac:dyDescent="0.2">
      <c r="B61" s="83">
        <v>4257631083077652</v>
      </c>
      <c r="C61" s="83">
        <v>1.4487606132312708E-4</v>
      </c>
      <c r="D61" s="83">
        <v>4315646953156478</v>
      </c>
      <c r="E61" s="83">
        <v>1.4285229998181218E-4</v>
      </c>
      <c r="F61" s="83">
        <v>4002032203403671</v>
      </c>
      <c r="G61" s="83">
        <v>1.3643491818467069E-4</v>
      </c>
      <c r="H61" s="83">
        <v>3609054707254968.5</v>
      </c>
      <c r="I61" s="83">
        <v>1.2474761781548505E-4</v>
      </c>
      <c r="J61" s="83">
        <v>3453140531127704</v>
      </c>
      <c r="K61" s="83">
        <v>1.1745577952945076E-4</v>
      </c>
      <c r="L61" s="83">
        <v>3134693394355958</v>
      </c>
      <c r="M61" s="83">
        <v>1.0942443614434173E-4</v>
      </c>
      <c r="N61" s="83">
        <v>3007437480547940.5</v>
      </c>
      <c r="O61" s="83">
        <v>1.0315239278926436E-4</v>
      </c>
      <c r="P61" s="83">
        <v>2748180125021420</v>
      </c>
      <c r="Q61" s="83">
        <v>9.306355975361973E-5</v>
      </c>
      <c r="R61" s="83">
        <v>2528104768869150</v>
      </c>
      <c r="S61" s="83">
        <v>8.6494777495620188E-5</v>
      </c>
      <c r="T61" s="83">
        <v>2303864684167863</v>
      </c>
      <c r="U61" s="83">
        <v>8.0064720125197345E-5</v>
      </c>
      <c r="V61" s="83">
        <v>2165091188004775.7</v>
      </c>
      <c r="W61" s="83">
        <v>7.4877635456126936E-5</v>
      </c>
      <c r="X61" s="83">
        <v>1886354329432707</v>
      </c>
      <c r="Y61" s="83">
        <v>6.6420444184529399E-5</v>
      </c>
      <c r="Z61" s="83">
        <v>1758815752349403.2</v>
      </c>
      <c r="AA61" s="83">
        <v>6.1170526893102254E-5</v>
      </c>
      <c r="AB61" s="83">
        <v>1551751046613909.2</v>
      </c>
      <c r="AC61" s="83">
        <v>5.5438135994147062E-5</v>
      </c>
      <c r="AD61" s="83">
        <v>1430607535603631.5</v>
      </c>
      <c r="AE61" s="83">
        <v>5.0410950211880086E-5</v>
      </c>
    </row>
    <row r="62" spans="2:31" x14ac:dyDescent="0.2">
      <c r="B62" s="83">
        <v>4029853486466949</v>
      </c>
      <c r="C62" s="83">
        <v>1.4395154106546743E-4</v>
      </c>
      <c r="D62" s="83">
        <v>4076109143452678.5</v>
      </c>
      <c r="E62" s="83">
        <v>1.4174350175708713E-4</v>
      </c>
      <c r="F62" s="83">
        <v>3784039115549133.5</v>
      </c>
      <c r="G62" s="83">
        <v>1.3558296936074977E-4</v>
      </c>
      <c r="H62" s="83">
        <v>3400764725663630</v>
      </c>
      <c r="I62" s="83">
        <v>1.2340833072053593E-4</v>
      </c>
      <c r="J62" s="83">
        <v>3257046182783085</v>
      </c>
      <c r="K62" s="83">
        <v>1.1632849175926063E-4</v>
      </c>
      <c r="L62" s="83">
        <v>2953075179596129</v>
      </c>
      <c r="M62" s="83">
        <v>1.0834104812970801E-4</v>
      </c>
      <c r="N62" s="83">
        <v>2833689582196861.5</v>
      </c>
      <c r="O62" s="83">
        <v>1.0215357393524167E-4</v>
      </c>
      <c r="P62" s="83">
        <v>2584630227360890.5</v>
      </c>
      <c r="Q62" s="83">
        <v>9.2016061382096449E-5</v>
      </c>
      <c r="R62" s="83">
        <v>2381604847959824.5</v>
      </c>
      <c r="S62" s="83">
        <v>8.5611847400961146E-5</v>
      </c>
      <c r="T62" s="83">
        <v>2167387019571309.5</v>
      </c>
      <c r="U62" s="83">
        <v>7.916050623362042E-5</v>
      </c>
      <c r="V62" s="83">
        <v>2030487012491433</v>
      </c>
      <c r="W62" s="83">
        <v>7.3724445311233581E-5</v>
      </c>
      <c r="X62" s="83">
        <v>1772452256493963.2</v>
      </c>
      <c r="Y62" s="83">
        <v>6.5614700818157994E-5</v>
      </c>
      <c r="Z62" s="83">
        <v>1648821259235025.5</v>
      </c>
      <c r="AA62" s="83">
        <v>6.0287482825523297E-5</v>
      </c>
      <c r="AB62" s="83">
        <v>1451917046588091.2</v>
      </c>
      <c r="AC62" s="83">
        <v>5.4439484203575156E-5</v>
      </c>
      <c r="AD62" s="83">
        <v>1339518389352478.2</v>
      </c>
      <c r="AE62" s="83">
        <v>4.9585495290902557E-5</v>
      </c>
    </row>
    <row r="63" spans="2:31" x14ac:dyDescent="0.2">
      <c r="B63" s="83">
        <v>3802213320159601</v>
      </c>
      <c r="C63" s="83">
        <v>1.4259666685444147E-4</v>
      </c>
      <c r="D63" s="83">
        <v>3851350883955722.5</v>
      </c>
      <c r="E63" s="83">
        <v>1.4064508596513329E-4</v>
      </c>
      <c r="F63" s="83">
        <v>3571752990998044.5</v>
      </c>
      <c r="G63" s="83">
        <v>1.3417374347739474E-4</v>
      </c>
      <c r="H63" s="83">
        <v>3211716625499615</v>
      </c>
      <c r="I63" s="83">
        <v>1.2238995859322884E-4</v>
      </c>
      <c r="J63" s="83">
        <v>3067409875111486.5</v>
      </c>
      <c r="K63" s="83">
        <v>1.15108395414388E-4</v>
      </c>
      <c r="L63" s="83">
        <v>2782428947917115</v>
      </c>
      <c r="M63" s="83">
        <v>1.0717055287918967E-4</v>
      </c>
      <c r="N63" s="83">
        <v>2664043203963066</v>
      </c>
      <c r="O63" s="83">
        <v>1.0090013201045144E-4</v>
      </c>
      <c r="P63" s="83">
        <v>2433201433190152</v>
      </c>
      <c r="Q63" s="83">
        <v>9.0954190742434959E-5</v>
      </c>
      <c r="R63" s="83">
        <v>2237356560412170.2</v>
      </c>
      <c r="S63" s="83">
        <v>8.4422302307309217E-5</v>
      </c>
      <c r="T63" s="83">
        <v>2039393851914282.5</v>
      </c>
      <c r="U63" s="83">
        <v>7.8214664884998234E-5</v>
      </c>
      <c r="V63" s="83">
        <v>1909408699471954.2</v>
      </c>
      <c r="W63" s="83">
        <v>7.2839246929161294E-5</v>
      </c>
      <c r="X63" s="83">
        <v>1665526771123515.2</v>
      </c>
      <c r="Y63" s="83">
        <v>6.4733043944150692E-5</v>
      </c>
      <c r="Z63" s="83">
        <v>1542957316366785.7</v>
      </c>
      <c r="AA63" s="83">
        <v>5.9271261634689427E-5</v>
      </c>
      <c r="AB63" s="83">
        <v>1360895188656769.7</v>
      </c>
      <c r="AC63" s="83">
        <v>5.3634512468479119E-5</v>
      </c>
      <c r="AD63" s="83">
        <v>1253746281264723.5</v>
      </c>
      <c r="AE63" s="83">
        <v>4.8713664473669717E-5</v>
      </c>
    </row>
    <row r="64" spans="2:31" x14ac:dyDescent="0.2">
      <c r="B64" s="83">
        <v>3594802821779259</v>
      </c>
      <c r="C64" s="83">
        <v>1.4183578689125779E-4</v>
      </c>
      <c r="D64" s="83">
        <v>3641266040507502</v>
      </c>
      <c r="E64" s="83">
        <v>1.3962499385584656E-4</v>
      </c>
      <c r="F64" s="83">
        <v>3373112947602557.5</v>
      </c>
      <c r="G64" s="83">
        <v>1.3319738505068439E-4</v>
      </c>
      <c r="H64" s="83">
        <v>3033416194029786</v>
      </c>
      <c r="I64" s="83">
        <v>1.216020135596256E-4</v>
      </c>
      <c r="J64" s="83">
        <v>2889966827832722.5</v>
      </c>
      <c r="K64" s="83">
        <v>1.1412301703341144E-4</v>
      </c>
      <c r="L64" s="83">
        <v>2622736976710276</v>
      </c>
      <c r="M64" s="83">
        <v>1.0624123109205397E-4</v>
      </c>
      <c r="N64" s="83">
        <v>2513368788542959</v>
      </c>
      <c r="O64" s="83">
        <v>9.9985576595111079E-5</v>
      </c>
      <c r="P64" s="83">
        <v>2288383708486262</v>
      </c>
      <c r="Q64" s="83">
        <v>8.9827685277727893E-5</v>
      </c>
      <c r="R64" s="83">
        <v>2104576469592910</v>
      </c>
      <c r="S64" s="83">
        <v>8.3460589035428266E-5</v>
      </c>
      <c r="T64" s="83">
        <v>1914620708427938.5</v>
      </c>
      <c r="U64" s="83">
        <v>7.7168057779005502E-5</v>
      </c>
      <c r="V64" s="83">
        <v>1794188143797178.5</v>
      </c>
      <c r="W64" s="83">
        <v>7.1991133969589432E-5</v>
      </c>
      <c r="X64" s="83">
        <v>1558237977087884.5</v>
      </c>
      <c r="Y64" s="83">
        <v>6.3665880541823153E-5</v>
      </c>
      <c r="Z64" s="83">
        <v>1448590383347330</v>
      </c>
      <c r="AA64" s="83">
        <v>5.849573210573079E-5</v>
      </c>
      <c r="AB64" s="83">
        <v>1273518930374259</v>
      </c>
      <c r="AC64" s="83">
        <v>5.2794981810558116E-5</v>
      </c>
      <c r="AD64" s="83">
        <v>1172439449169530.5</v>
      </c>
      <c r="AE64" s="83">
        <v>4.7887857736870256E-5</v>
      </c>
    </row>
    <row r="65" spans="2:31" x14ac:dyDescent="0.2">
      <c r="B65" s="83">
        <v>3394956226405939</v>
      </c>
      <c r="C65" s="83">
        <v>1.4087474018035633E-4</v>
      </c>
      <c r="D65" s="83">
        <v>3439970959945887</v>
      </c>
      <c r="E65" s="83">
        <v>1.3878706947055547E-4</v>
      </c>
      <c r="F65" s="83">
        <v>3180767142097242</v>
      </c>
      <c r="G65" s="83">
        <v>1.3205811008746223E-4</v>
      </c>
      <c r="H65" s="83">
        <v>2858668000604356</v>
      </c>
      <c r="I65" s="83">
        <v>1.2034060079128656E-4</v>
      </c>
      <c r="J65" s="83">
        <v>2728543378086520</v>
      </c>
      <c r="K65" s="83">
        <v>1.132396627540084E-4</v>
      </c>
      <c r="L65" s="83">
        <v>2468494893343482</v>
      </c>
      <c r="M65" s="83">
        <v>1.0504917042312444E-4</v>
      </c>
      <c r="N65" s="83">
        <v>2362278402035001.5</v>
      </c>
      <c r="O65" s="83">
        <v>9.8828343258308831E-5</v>
      </c>
      <c r="P65" s="83">
        <v>2150726447761736.7</v>
      </c>
      <c r="Q65" s="83">
        <v>8.8808778419215188E-5</v>
      </c>
      <c r="R65" s="83">
        <v>1983044255041531.7</v>
      </c>
      <c r="S65" s="83">
        <v>8.2802090789811579E-5</v>
      </c>
      <c r="T65" s="83">
        <v>1803686529400788.7</v>
      </c>
      <c r="U65" s="83">
        <v>7.6394388535642855E-5</v>
      </c>
      <c r="V65" s="83">
        <v>1687293412566952.7</v>
      </c>
      <c r="W65" s="83">
        <v>7.1205573084736587E-5</v>
      </c>
      <c r="X65" s="83">
        <v>1461677569198681.7</v>
      </c>
      <c r="Y65" s="83">
        <v>6.2764842218527312E-5</v>
      </c>
      <c r="Z65" s="83">
        <v>1357866952157551.7</v>
      </c>
      <c r="AA65" s="83">
        <v>5.7651169095582691E-5</v>
      </c>
      <c r="AB65" s="83">
        <v>1194504952114149.7</v>
      </c>
      <c r="AC65" s="83">
        <v>5.2032146497063645E-5</v>
      </c>
      <c r="AD65" s="83">
        <v>1100449194920983.6</v>
      </c>
      <c r="AE65" s="83">
        <v>4.7274091431943032E-5</v>
      </c>
    </row>
    <row r="66" spans="2:31" x14ac:dyDescent="0.2">
      <c r="B66" s="83">
        <v>3215472878859611</v>
      </c>
      <c r="C66" s="83">
        <v>1.3995894225050278E-4</v>
      </c>
      <c r="D66" s="83">
        <v>3247077432250458.5</v>
      </c>
      <c r="E66" s="83">
        <v>1.3749826989369979E-4</v>
      </c>
      <c r="F66" s="83">
        <v>3003445400550836.5</v>
      </c>
      <c r="G66" s="83">
        <v>1.3083555733035582E-4</v>
      </c>
      <c r="H66" s="83">
        <v>2695054071051816</v>
      </c>
      <c r="I66" s="83">
        <v>1.190933857870763E-4</v>
      </c>
      <c r="J66" s="83">
        <v>2571069942236090.5</v>
      </c>
      <c r="K66" s="83">
        <v>1.1200856249884828E-4</v>
      </c>
      <c r="L66" s="83">
        <v>2324335506464936.5</v>
      </c>
      <c r="M66" s="83">
        <v>1.0382614413670224E-4</v>
      </c>
      <c r="N66" s="83">
        <v>2222779684250751</v>
      </c>
      <c r="O66" s="83">
        <v>9.7638716800523494E-5</v>
      </c>
      <c r="P66" s="83">
        <v>2027498363887770</v>
      </c>
      <c r="Q66" s="83">
        <v>8.788820144050834E-5</v>
      </c>
      <c r="R66" s="83">
        <v>1864229568571421.2</v>
      </c>
      <c r="S66" s="83">
        <v>8.1641709438302903E-5</v>
      </c>
      <c r="T66" s="83">
        <v>1692857873969272.2</v>
      </c>
      <c r="U66" s="83">
        <v>7.5281558338348239E-5</v>
      </c>
      <c r="V66" s="83">
        <v>1584556376340867</v>
      </c>
      <c r="W66" s="83">
        <v>7.0163336699174603E-5</v>
      </c>
      <c r="X66" s="83">
        <v>1371694597089720.8</v>
      </c>
      <c r="Y66" s="83">
        <v>6.1869903117230631E-5</v>
      </c>
      <c r="Z66" s="83">
        <v>1273757981264236.2</v>
      </c>
      <c r="AA66" s="83">
        <v>5.6790791739580015E-5</v>
      </c>
      <c r="AB66" s="83">
        <v>1118145346238722.6</v>
      </c>
      <c r="AC66" s="83">
        <v>5.1117989936302418E-5</v>
      </c>
      <c r="AD66" s="83">
        <v>1028893505660453</v>
      </c>
      <c r="AE66" s="83">
        <v>4.6411497815151406E-5</v>
      </c>
    </row>
    <row r="67" spans="2:31" x14ac:dyDescent="0.2">
      <c r="B67" s="83">
        <v>3038191426350669</v>
      </c>
      <c r="C67" s="83">
        <v>1.3885264009411217E-4</v>
      </c>
      <c r="D67" s="83">
        <v>3067447944429862.5</v>
      </c>
      <c r="E67" s="83">
        <v>1.3638684207429824E-4</v>
      </c>
      <c r="F67" s="83">
        <v>2836283702270439</v>
      </c>
      <c r="G67" s="83">
        <v>1.2960868999995867E-4</v>
      </c>
      <c r="H67" s="83">
        <v>2544503452018019</v>
      </c>
      <c r="I67" s="83">
        <v>1.179662776452597E-4</v>
      </c>
      <c r="J67" s="83">
        <v>2424160488374458</v>
      </c>
      <c r="K67" s="83">
        <v>1.1078843041708575E-4</v>
      </c>
      <c r="L67" s="83">
        <v>2190118707955993.7</v>
      </c>
      <c r="M67" s="83">
        <v>1.0269206812059197E-4</v>
      </c>
      <c r="N67" s="83">
        <v>2090550963651574.7</v>
      </c>
      <c r="O67" s="83">
        <v>9.6460182785512754E-5</v>
      </c>
      <c r="P67" s="83">
        <v>1904189054780164.5</v>
      </c>
      <c r="Q67" s="83">
        <v>8.6599692621027876E-5</v>
      </c>
      <c r="R67" s="83">
        <v>1755829380950309.5</v>
      </c>
      <c r="S67" s="83">
        <v>8.0750174298471731E-5</v>
      </c>
      <c r="T67" s="83">
        <v>1589564493707347.2</v>
      </c>
      <c r="U67" s="83">
        <v>7.4168939463950005E-5</v>
      </c>
      <c r="V67" s="83">
        <v>1486679362694140</v>
      </c>
      <c r="W67" s="83">
        <v>6.9100120307307586E-5</v>
      </c>
      <c r="X67" s="83">
        <v>1288389771688755.7</v>
      </c>
      <c r="Y67" s="83">
        <v>6.1049488012205724E-5</v>
      </c>
      <c r="Z67" s="83">
        <v>1192767935153911.2</v>
      </c>
      <c r="AA67" s="83">
        <v>5.5807609214835455E-5</v>
      </c>
      <c r="AB67" s="83">
        <v>1047913413691851.4</v>
      </c>
      <c r="AC67" s="83">
        <v>5.0273816312726465E-5</v>
      </c>
      <c r="AD67" s="83">
        <v>962954435686354.12</v>
      </c>
      <c r="AE67" s="83">
        <v>4.5613957172702181E-5</v>
      </c>
    </row>
    <row r="68" spans="2:31" x14ac:dyDescent="0.2">
      <c r="B68" s="83">
        <v>2866548725254625.5</v>
      </c>
      <c r="C68" s="83">
        <v>1.3721572910817929E-4</v>
      </c>
      <c r="D68" s="83">
        <v>2894929450373566.5</v>
      </c>
      <c r="E68" s="83">
        <v>1.3507941380474944E-4</v>
      </c>
      <c r="F68" s="83">
        <v>2672932805158377.5</v>
      </c>
      <c r="G68" s="83">
        <v>1.2820576189454021E-4</v>
      </c>
      <c r="H68" s="83">
        <v>2394644915201997</v>
      </c>
      <c r="I68" s="83">
        <v>1.1651302304513744E-4</v>
      </c>
      <c r="J68" s="83">
        <v>2279758202834589</v>
      </c>
      <c r="K68" s="83">
        <v>1.0931897658176649E-4</v>
      </c>
      <c r="L68" s="83">
        <v>2060942416206878</v>
      </c>
      <c r="M68" s="83">
        <v>1.0146038263029677E-4</v>
      </c>
      <c r="N68" s="83">
        <v>1968551566948136.2</v>
      </c>
      <c r="O68" s="83">
        <v>9.5339196547832212E-5</v>
      </c>
      <c r="P68" s="83">
        <v>1791066292777576.7</v>
      </c>
      <c r="Q68" s="83">
        <v>8.5503575728336679E-5</v>
      </c>
      <c r="R68" s="83">
        <v>1649222749758620.5</v>
      </c>
      <c r="S68" s="83">
        <v>7.9484675371401314E-5</v>
      </c>
      <c r="T68" s="83">
        <v>1493529241240431.5</v>
      </c>
      <c r="U68" s="83">
        <v>7.3124950281799891E-5</v>
      </c>
      <c r="V68" s="83">
        <v>1398760551816846</v>
      </c>
      <c r="W68" s="83">
        <v>6.8191466378298324E-5</v>
      </c>
      <c r="X68" s="83">
        <v>1206542530502746.7</v>
      </c>
      <c r="Y68" s="83">
        <v>6.0030248607171063E-5</v>
      </c>
      <c r="Z68" s="83">
        <v>1117549533028412.5</v>
      </c>
      <c r="AA68" s="83">
        <v>5.4938746934372082E-5</v>
      </c>
      <c r="AB68" s="83">
        <v>981295598415776</v>
      </c>
      <c r="AC68" s="83">
        <v>4.9446676858631413E-5</v>
      </c>
      <c r="AD68" s="83">
        <v>905684070501619</v>
      </c>
      <c r="AE68" s="83">
        <v>4.5004877985856691E-5</v>
      </c>
    </row>
    <row r="69" spans="2:31" x14ac:dyDescent="0.2">
      <c r="B69" s="83">
        <v>2705763178161279</v>
      </c>
      <c r="C69" s="83">
        <v>1.3597241588490181E-4</v>
      </c>
      <c r="D69" s="83">
        <v>2732018609735918</v>
      </c>
      <c r="E69" s="83">
        <v>1.3379420160904916E-4</v>
      </c>
      <c r="F69" s="83">
        <v>2516936076391848</v>
      </c>
      <c r="G69" s="83">
        <v>1.2683013977089706E-4</v>
      </c>
      <c r="H69" s="83">
        <v>2258384016490814.5</v>
      </c>
      <c r="I69" s="83">
        <v>1.1536717253215003E-4</v>
      </c>
      <c r="J69" s="83">
        <v>2146515255447911.7</v>
      </c>
      <c r="K69" s="83">
        <v>1.0801795959894938E-4</v>
      </c>
      <c r="L69" s="83">
        <v>1938574310366437.2</v>
      </c>
      <c r="M69" s="83">
        <v>1.0012360031309458E-4</v>
      </c>
      <c r="N69" s="83">
        <v>1852338147457438.5</v>
      </c>
      <c r="O69" s="83">
        <v>9.4096143526738171E-5</v>
      </c>
      <c r="P69" s="83">
        <v>1683200522379324.2</v>
      </c>
      <c r="Q69" s="83">
        <v>8.4366899995354919E-5</v>
      </c>
      <c r="R69" s="83">
        <v>1549101101560244.2</v>
      </c>
      <c r="S69" s="83">
        <v>7.8354566539597993E-5</v>
      </c>
      <c r="T69" s="83">
        <v>1404872998324502</v>
      </c>
      <c r="U69" s="83">
        <v>7.2274608752170301E-5</v>
      </c>
      <c r="V69" s="83">
        <v>1309509526261927.5</v>
      </c>
      <c r="W69" s="83">
        <v>6.7129235770008674E-5</v>
      </c>
      <c r="X69" s="83">
        <v>1136106917881792.5</v>
      </c>
      <c r="Y69" s="83">
        <v>5.9336351233140746E-5</v>
      </c>
      <c r="Z69" s="83">
        <v>1049291905960543</v>
      </c>
      <c r="AA69" s="83">
        <v>5.415354171797436E-5</v>
      </c>
      <c r="AB69" s="83">
        <v>920538043304723.12</v>
      </c>
      <c r="AC69" s="83">
        <v>4.8703855201087529E-5</v>
      </c>
      <c r="AD69" s="83">
        <v>847317248761956.75</v>
      </c>
      <c r="AE69" s="83">
        <v>4.4211319044488772E-5</v>
      </c>
    </row>
    <row r="70" spans="2:31" x14ac:dyDescent="0.2">
      <c r="B70" s="83">
        <v>2545236411429360</v>
      </c>
      <c r="C70" s="83">
        <v>1.3437910909420257E-4</v>
      </c>
      <c r="D70" s="83">
        <v>2574700757762326.5</v>
      </c>
      <c r="E70" s="83">
        <v>1.3235813693740693E-4</v>
      </c>
      <c r="F70" s="83">
        <v>2376549238101755</v>
      </c>
      <c r="G70" s="83">
        <v>1.2578245666704804E-4</v>
      </c>
      <c r="H70" s="83">
        <v>2125333701036259</v>
      </c>
      <c r="I70" s="83">
        <v>1.1410406972944969E-4</v>
      </c>
      <c r="J70" s="83">
        <v>2020795570604404.2</v>
      </c>
      <c r="K70" s="83">
        <v>1.0682324908032074E-4</v>
      </c>
      <c r="L70" s="83">
        <v>1827491072192057.5</v>
      </c>
      <c r="M70" s="83">
        <v>9.917039669539565E-5</v>
      </c>
      <c r="N70" s="83">
        <v>1739685067779720.7</v>
      </c>
      <c r="O70" s="83">
        <v>9.2840899462129275E-5</v>
      </c>
      <c r="P70" s="83">
        <v>1584641275814884.5</v>
      </c>
      <c r="Q70" s="83">
        <v>8.3455419460696815E-5</v>
      </c>
      <c r="R70" s="83">
        <v>1454321048311813.5</v>
      </c>
      <c r="S70" s="83">
        <v>7.7247503747010984E-5</v>
      </c>
      <c r="T70" s="83">
        <v>1318714147179721.7</v>
      </c>
      <c r="U70" s="83">
        <v>7.1230895487557784E-5</v>
      </c>
      <c r="V70" s="83">
        <v>1231322650383031.2</v>
      </c>
      <c r="W70" s="83">
        <v>6.6244719966006434E-5</v>
      </c>
      <c r="X70" s="83">
        <v>1067833298679284.9</v>
      </c>
      <c r="Y70" s="83">
        <v>5.8575118895087014E-5</v>
      </c>
      <c r="Z70" s="83">
        <v>984628372566214</v>
      </c>
      <c r="AA70" s="83">
        <v>5.3359314182924145E-5</v>
      </c>
      <c r="AB70" s="83">
        <v>861947608932653.37</v>
      </c>
      <c r="AC70" s="83">
        <v>4.7894641337883841E-5</v>
      </c>
      <c r="AD70" s="83">
        <v>792547042991893.5</v>
      </c>
      <c r="AE70" s="83">
        <v>4.3394592461160879E-5</v>
      </c>
    </row>
    <row r="71" spans="2:31" x14ac:dyDescent="0.2">
      <c r="B71" s="83">
        <v>2401385481106118.5</v>
      </c>
      <c r="C71" s="83">
        <v>1.333603275524031E-4</v>
      </c>
      <c r="D71" s="83">
        <v>2431896344349004.5</v>
      </c>
      <c r="E71" s="83">
        <v>1.3123895888219293E-4</v>
      </c>
      <c r="F71" s="83">
        <v>2240745847433164.7</v>
      </c>
      <c r="G71" s="83">
        <v>1.2472472679349162E-4</v>
      </c>
      <c r="H71" s="83">
        <v>2006373471782041.3</v>
      </c>
      <c r="I71" s="83">
        <v>1.131446965369136E-4</v>
      </c>
      <c r="J71" s="83">
        <v>1904087372435478.5</v>
      </c>
      <c r="K71" s="83">
        <v>1.0580635301181049E-4</v>
      </c>
      <c r="L71" s="83">
        <v>1715928492803724.2</v>
      </c>
      <c r="M71" s="83">
        <v>9.7926054084360577E-5</v>
      </c>
      <c r="N71" s="83">
        <v>1635834276920306.5</v>
      </c>
      <c r="O71" s="83">
        <v>9.1684881282437256E-5</v>
      </c>
      <c r="P71" s="83">
        <v>1489222877909887.5</v>
      </c>
      <c r="Q71" s="83">
        <v>8.2453300015662641E-5</v>
      </c>
      <c r="R71" s="83">
        <v>1369032620666059.7</v>
      </c>
      <c r="S71" s="83">
        <v>7.6393616772068462E-5</v>
      </c>
      <c r="T71" s="83">
        <v>1241443909524617.2</v>
      </c>
      <c r="U71" s="83">
        <v>7.0447681596631144E-5</v>
      </c>
      <c r="V71" s="83">
        <v>1159787126339578.5</v>
      </c>
      <c r="W71" s="83">
        <v>6.5517714084727943E-5</v>
      </c>
      <c r="X71" s="83">
        <v>1002519333819481.6</v>
      </c>
      <c r="Y71" s="83">
        <v>5.7705069228547961E-5</v>
      </c>
      <c r="Z71" s="83">
        <v>927103927134133</v>
      </c>
      <c r="AA71" s="83">
        <v>5.2703704053046346E-5</v>
      </c>
      <c r="AB71" s="83">
        <v>807710225718679.87</v>
      </c>
      <c r="AC71" s="83">
        <v>4.7180096559339035E-5</v>
      </c>
      <c r="AD71" s="83">
        <v>741818546500818.5</v>
      </c>
      <c r="AE71" s="83">
        <v>4.2659368330524771E-5</v>
      </c>
    </row>
    <row r="72" spans="2:31" x14ac:dyDescent="0.2">
      <c r="B72" s="83">
        <v>2267839648494988.5</v>
      </c>
      <c r="C72" s="83">
        <v>1.3244497116617448E-4</v>
      </c>
      <c r="D72" s="83">
        <v>2292597347826269</v>
      </c>
      <c r="E72" s="83">
        <v>1.3027712024544103E-4</v>
      </c>
      <c r="F72" s="83">
        <v>2113451492214901.5</v>
      </c>
      <c r="G72" s="83">
        <v>1.2335611612215885E-4</v>
      </c>
      <c r="H72" s="83">
        <v>1892922145711898.5</v>
      </c>
      <c r="I72" s="83">
        <v>1.1211157378238963E-4</v>
      </c>
      <c r="J72" s="83">
        <v>1793249665715172</v>
      </c>
      <c r="K72" s="83">
        <v>1.0463260085032549E-4</v>
      </c>
      <c r="L72" s="83">
        <v>1619148034783635.5</v>
      </c>
      <c r="M72" s="83">
        <v>9.6968806880031672E-5</v>
      </c>
      <c r="N72" s="83">
        <v>1541436011181278</v>
      </c>
      <c r="O72" s="83">
        <v>9.0694297013750057E-5</v>
      </c>
      <c r="P72" s="83">
        <v>1406064011830185.7</v>
      </c>
      <c r="Q72" s="83">
        <v>8.1752487988855419E-5</v>
      </c>
      <c r="R72" s="83">
        <v>1291331837852253</v>
      </c>
      <c r="S72" s="83">
        <v>7.574976886747748E-5</v>
      </c>
      <c r="T72" s="83">
        <v>1164226736902755</v>
      </c>
      <c r="U72" s="83">
        <v>6.9395069728552273E-5</v>
      </c>
      <c r="V72" s="83">
        <v>1089394337794851.4</v>
      </c>
      <c r="W72" s="83">
        <v>6.4569055388306E-5</v>
      </c>
      <c r="X72" s="83">
        <v>938214047112472.25</v>
      </c>
      <c r="Y72" s="83">
        <v>5.6729959653810497E-5</v>
      </c>
      <c r="Z72" s="83">
        <v>866470613909136.12</v>
      </c>
      <c r="AA72" s="83">
        <v>5.178016282301906E-5</v>
      </c>
      <c r="AB72" s="83">
        <v>755496593393900.12</v>
      </c>
      <c r="AC72" s="83">
        <v>4.6259966049248509E-5</v>
      </c>
      <c r="AD72" s="83">
        <v>694788462454825.62</v>
      </c>
      <c r="AE72" s="83">
        <v>4.1984981700823887E-5</v>
      </c>
    </row>
    <row r="73" spans="2:31" x14ac:dyDescent="0.2">
      <c r="B73" s="83">
        <v>2141960877428649</v>
      </c>
      <c r="C73" s="83">
        <v>1.3138973405165931E-4</v>
      </c>
      <c r="D73" s="83">
        <v>2160833937870119.7</v>
      </c>
      <c r="E73" s="83">
        <v>1.2884865646281522E-4</v>
      </c>
      <c r="F73" s="83">
        <v>1993478120297301.5</v>
      </c>
      <c r="G73" s="83">
        <v>1.2218353197489823E-4</v>
      </c>
      <c r="H73" s="83">
        <v>1784424318592289.7</v>
      </c>
      <c r="I73" s="83">
        <v>1.1094759791582217E-4</v>
      </c>
      <c r="J73" s="83">
        <v>1691410712306852</v>
      </c>
      <c r="K73" s="83">
        <v>1.0356845074521341E-4</v>
      </c>
      <c r="L73" s="83">
        <v>1523989562506764.5</v>
      </c>
      <c r="M73" s="83">
        <v>9.5843857470718409E-5</v>
      </c>
      <c r="N73" s="83">
        <v>1451195648875192.5</v>
      </c>
      <c r="O73" s="83">
        <v>8.9603797580993522E-5</v>
      </c>
      <c r="P73" s="83">
        <v>1320574067383191.2</v>
      </c>
      <c r="Q73" s="83">
        <v>8.0436410683889579E-5</v>
      </c>
      <c r="R73" s="83">
        <v>1213902580131892.7</v>
      </c>
      <c r="S73" s="83">
        <v>7.4642788372413041E-5</v>
      </c>
      <c r="T73" s="83">
        <v>1092106445950158.4</v>
      </c>
      <c r="U73" s="83">
        <v>6.8332674976809792E-5</v>
      </c>
      <c r="V73" s="83">
        <v>1021222161005051.5</v>
      </c>
      <c r="W73" s="83">
        <v>6.3543513225127339E-5</v>
      </c>
      <c r="X73" s="83">
        <v>878077825127041.87</v>
      </c>
      <c r="Y73" s="83">
        <v>5.571389816146223E-5</v>
      </c>
      <c r="Z73" s="83">
        <v>810906986938017.62</v>
      </c>
      <c r="AA73" s="83">
        <v>5.0859315120359245E-5</v>
      </c>
      <c r="AB73" s="83">
        <v>709098609817523.25</v>
      </c>
      <c r="AC73" s="83">
        <v>4.5640304988115163E-5</v>
      </c>
      <c r="AD73" s="83">
        <v>650349846863213.87</v>
      </c>
      <c r="AE73" s="83">
        <v>4.126373308496971E-5</v>
      </c>
    </row>
    <row r="74" spans="2:31" x14ac:dyDescent="0.2">
      <c r="B74" s="83">
        <v>2024087052776152.7</v>
      </c>
      <c r="C74" s="83">
        <v>1.3014058729989578E-4</v>
      </c>
      <c r="D74" s="83">
        <v>2049935642487044.2</v>
      </c>
      <c r="E74" s="83">
        <v>1.2827220234839948E-4</v>
      </c>
      <c r="F74" s="83">
        <v>1876296224055337.7</v>
      </c>
      <c r="G74" s="83">
        <v>1.2065374192872048E-4</v>
      </c>
      <c r="H74" s="83">
        <v>1680120202206138.5</v>
      </c>
      <c r="I74" s="83">
        <v>1.0947294984927487E-4</v>
      </c>
      <c r="J74" s="83">
        <v>1589191441355563.7</v>
      </c>
      <c r="K74" s="83">
        <v>1.0205630155435564E-4</v>
      </c>
      <c r="L74" s="83">
        <v>1431257683621872.5</v>
      </c>
      <c r="M74" s="83">
        <v>9.4325673794454234E-5</v>
      </c>
      <c r="N74" s="83">
        <v>1361691103032711.2</v>
      </c>
      <c r="O74" s="83">
        <v>8.8229528435005062E-5</v>
      </c>
      <c r="P74" s="83">
        <v>1236733826010783</v>
      </c>
      <c r="Q74" s="83">
        <v>7.9136012810903159E-5</v>
      </c>
      <c r="R74" s="83">
        <v>1136060058579218.5</v>
      </c>
      <c r="S74" s="83">
        <v>7.3391214708848956E-5</v>
      </c>
      <c r="T74" s="83">
        <v>1025968187910467</v>
      </c>
      <c r="U74" s="83">
        <v>6.7395422770863986E-5</v>
      </c>
      <c r="V74" s="83">
        <v>955895301778495</v>
      </c>
      <c r="W74" s="83">
        <v>6.2381431091388482E-5</v>
      </c>
      <c r="X74" s="83">
        <v>825323006213303.62</v>
      </c>
      <c r="Y74" s="83">
        <v>5.4966284599035218E-5</v>
      </c>
      <c r="Z74" s="83">
        <v>760401280574749.75</v>
      </c>
      <c r="AA74" s="83">
        <v>5.0038837377713927E-5</v>
      </c>
      <c r="AB74" s="83">
        <v>663749250380869</v>
      </c>
      <c r="AC74" s="83">
        <v>4.483123886740212E-5</v>
      </c>
      <c r="AD74" s="83">
        <v>609162688596804.62</v>
      </c>
      <c r="AE74" s="83">
        <v>4.05297328999412E-5</v>
      </c>
    </row>
    <row r="75" spans="2:31" x14ac:dyDescent="0.2">
      <c r="B75" s="83">
        <v>1904128404004175.7</v>
      </c>
      <c r="C75" s="83">
        <v>1.2837900994051304E-4</v>
      </c>
      <c r="D75" s="83">
        <v>1927026583576701</v>
      </c>
      <c r="E75" s="83">
        <v>1.265904943573822E-4</v>
      </c>
      <c r="F75" s="83">
        <v>1766848114778559.7</v>
      </c>
      <c r="G75" s="83">
        <v>1.1906986828635699E-4</v>
      </c>
      <c r="H75" s="83">
        <v>1580812561674880</v>
      </c>
      <c r="I75" s="83">
        <v>1.0797341280228074E-4</v>
      </c>
      <c r="J75" s="83">
        <v>1493276850031706.2</v>
      </c>
      <c r="K75" s="83">
        <v>1.0057489562938784E-4</v>
      </c>
      <c r="L75" s="83">
        <v>1345451508030882</v>
      </c>
      <c r="M75" s="83">
        <v>9.3203571034707416E-5</v>
      </c>
      <c r="N75" s="83">
        <v>1277023467112074.5</v>
      </c>
      <c r="O75" s="83">
        <v>8.6709596222353186E-5</v>
      </c>
      <c r="P75" s="83">
        <v>1164452234812913</v>
      </c>
      <c r="Q75" s="83">
        <v>7.8124524130429379E-5</v>
      </c>
      <c r="R75" s="83">
        <v>1066933391116412.7</v>
      </c>
      <c r="S75" s="83">
        <v>7.2305719608110465E-5</v>
      </c>
      <c r="T75" s="83">
        <v>960345690182154.62</v>
      </c>
      <c r="U75" s="83">
        <v>6.6213556576294355E-5</v>
      </c>
      <c r="V75" s="83">
        <v>900017637224870.12</v>
      </c>
      <c r="W75" s="83">
        <v>6.1739444771140639E-5</v>
      </c>
      <c r="X75" s="83">
        <v>773230083570816.37</v>
      </c>
      <c r="Y75" s="83">
        <v>5.4092021864328602E-5</v>
      </c>
      <c r="Z75" s="83">
        <v>712866316756456.25</v>
      </c>
      <c r="AA75" s="83">
        <v>4.9299830617194603E-5</v>
      </c>
      <c r="AB75" s="83">
        <v>621069036704523</v>
      </c>
      <c r="AC75" s="83">
        <v>4.4016192632086179E-5</v>
      </c>
      <c r="AD75" s="83">
        <v>571663035733671.12</v>
      </c>
      <c r="AE75" s="83">
        <v>3.9945417737897135E-5</v>
      </c>
    </row>
    <row r="76" spans="2:31" x14ac:dyDescent="0.2">
      <c r="B76" s="83">
        <v>1788910861358749.5</v>
      </c>
      <c r="C76" s="83">
        <v>1.2649569514661485E-4</v>
      </c>
      <c r="D76" s="83">
        <v>1814287108445943</v>
      </c>
      <c r="E76" s="83">
        <v>1.2491836710427277E-4</v>
      </c>
      <c r="F76" s="83">
        <v>1663085859442600</v>
      </c>
      <c r="G76" s="83">
        <v>1.1790985264729612E-4</v>
      </c>
      <c r="H76" s="83">
        <v>1486946818043782.2</v>
      </c>
      <c r="I76" s="83">
        <v>1.0672703979642963E-4</v>
      </c>
      <c r="J76" s="83">
        <v>1403567357035927</v>
      </c>
      <c r="K76" s="83">
        <v>9.921229375111417E-5</v>
      </c>
      <c r="L76" s="83">
        <v>1258546631185784.8</v>
      </c>
      <c r="M76" s="83">
        <v>9.1494997115006789E-5</v>
      </c>
      <c r="N76" s="83">
        <v>1203240718019216.2</v>
      </c>
      <c r="O76" s="83">
        <v>8.5876802335016611E-5</v>
      </c>
      <c r="P76" s="83">
        <v>1094563054872548.1</v>
      </c>
      <c r="Q76" s="83">
        <v>7.7124754950245523E-5</v>
      </c>
      <c r="R76" s="83">
        <v>1006489831883885.2</v>
      </c>
      <c r="S76" s="83">
        <v>7.1617618514618526E-5</v>
      </c>
      <c r="T76" s="83">
        <v>903341379383613.25</v>
      </c>
      <c r="U76" s="83">
        <v>6.5320707055529093E-5</v>
      </c>
      <c r="V76" s="83">
        <v>843284211275834.62</v>
      </c>
      <c r="W76" s="83">
        <v>6.0653473511998793E-5</v>
      </c>
      <c r="X76" s="83">
        <v>726232960631785.5</v>
      </c>
      <c r="Y76" s="83">
        <v>5.3345350358035761E-5</v>
      </c>
      <c r="Z76" s="83">
        <v>668018138554375.5</v>
      </c>
      <c r="AA76" s="83">
        <v>4.8505566490323201E-5</v>
      </c>
      <c r="AB76" s="83">
        <v>580805952479762.25</v>
      </c>
      <c r="AC76" s="83">
        <v>4.3203202277328784E-5</v>
      </c>
      <c r="AD76" s="83">
        <v>533576471120106.81</v>
      </c>
      <c r="AE76" s="83">
        <v>3.9176013489061829E-5</v>
      </c>
    </row>
    <row r="77" spans="2:31" x14ac:dyDescent="0.2">
      <c r="B77" s="83">
        <v>1684152057125418.7</v>
      </c>
      <c r="C77" s="83">
        <v>1.248952159868521E-4</v>
      </c>
      <c r="D77" s="83">
        <v>1709005113497024.7</v>
      </c>
      <c r="E77" s="83">
        <v>1.2340960804905286E-4</v>
      </c>
      <c r="F77" s="83">
        <v>1561642549937782</v>
      </c>
      <c r="G77" s="83">
        <v>1.1623541581328117E-4</v>
      </c>
      <c r="H77" s="83">
        <v>1399104434341930.7</v>
      </c>
      <c r="I77" s="83">
        <v>1.0558398208462866E-4</v>
      </c>
      <c r="J77" s="83">
        <v>1316837760168859.5</v>
      </c>
      <c r="K77" s="83">
        <v>9.7806962736014531E-5</v>
      </c>
      <c r="L77" s="83">
        <v>1187094928345251.2</v>
      </c>
      <c r="M77" s="83">
        <v>9.0724209191381523E-5</v>
      </c>
      <c r="N77" s="83">
        <v>1126729435333706.5</v>
      </c>
      <c r="O77" s="83">
        <v>8.4413702542422586E-5</v>
      </c>
      <c r="P77" s="83">
        <v>1024317106809788.2</v>
      </c>
      <c r="Q77" s="83">
        <v>7.5702340161728051E-5</v>
      </c>
      <c r="R77" s="83">
        <v>944174610179198.5</v>
      </c>
      <c r="S77" s="83">
        <v>7.0586323126443183E-5</v>
      </c>
      <c r="T77" s="83">
        <v>848280147883614.5</v>
      </c>
      <c r="U77" s="83">
        <v>6.4497024039685081E-5</v>
      </c>
      <c r="V77" s="83">
        <v>790290180638397</v>
      </c>
      <c r="W77" s="83">
        <v>5.9664951458090879E-5</v>
      </c>
      <c r="X77" s="83">
        <v>680237288749727.87</v>
      </c>
      <c r="Y77" s="83">
        <v>5.2399392326150717E-5</v>
      </c>
      <c r="Z77" s="83">
        <v>624888670853128</v>
      </c>
      <c r="AA77" s="83">
        <v>4.7555383083200932E-5</v>
      </c>
      <c r="AB77" s="83">
        <v>544339817717795.5</v>
      </c>
      <c r="AC77" s="83">
        <v>4.2531688171066244E-5</v>
      </c>
      <c r="AD77" s="83">
        <v>500784945466182.62</v>
      </c>
      <c r="AE77" s="83">
        <v>3.8558564043357559E-5</v>
      </c>
    </row>
    <row r="78" spans="2:31" x14ac:dyDescent="0.2">
      <c r="B78" s="83">
        <v>1578637023301755.7</v>
      </c>
      <c r="C78" s="83">
        <v>1.2304126314126719E-4</v>
      </c>
      <c r="D78" s="83">
        <v>1612446855121171.7</v>
      </c>
      <c r="E78" s="83">
        <v>1.2241706264256585E-4</v>
      </c>
      <c r="F78" s="83">
        <v>1475701143717612.2</v>
      </c>
      <c r="G78" s="83">
        <v>1.1517359202051416E-4</v>
      </c>
      <c r="H78" s="83">
        <v>1317874290070017</v>
      </c>
      <c r="I78" s="83">
        <v>1.0430753441524116E-4</v>
      </c>
      <c r="J78" s="83">
        <v>1241043329608051.7</v>
      </c>
      <c r="K78" s="83">
        <v>9.6921097692573868E-5</v>
      </c>
      <c r="L78" s="83">
        <v>1111323382440134.6</v>
      </c>
      <c r="M78" s="83">
        <v>8.9157751947764716E-5</v>
      </c>
      <c r="N78" s="83">
        <v>1057618069397432.9</v>
      </c>
      <c r="O78" s="83">
        <v>8.325820882301935E-5</v>
      </c>
      <c r="P78" s="83">
        <v>961073415491800</v>
      </c>
      <c r="Q78" s="83">
        <v>7.4456331866791785E-5</v>
      </c>
      <c r="R78" s="83">
        <v>886603370154778.87</v>
      </c>
      <c r="S78" s="83">
        <v>6.9416862936829673E-5</v>
      </c>
      <c r="T78" s="83">
        <v>796878449021972.12</v>
      </c>
      <c r="U78" s="83">
        <v>6.3499491875517431E-5</v>
      </c>
      <c r="V78" s="83">
        <v>741570525009084.75</v>
      </c>
      <c r="W78" s="83">
        <v>5.8846068448249237E-5</v>
      </c>
      <c r="X78" s="83">
        <v>636300304750012.87</v>
      </c>
      <c r="Y78" s="83">
        <v>5.1452582047236514E-5</v>
      </c>
      <c r="Z78" s="83">
        <v>585528570922884.87</v>
      </c>
      <c r="AA78" s="83">
        <v>4.6833777100913136E-5</v>
      </c>
      <c r="AB78" s="83">
        <v>511493639462085.94</v>
      </c>
      <c r="AC78" s="83">
        <v>4.1975381746645102E-5</v>
      </c>
      <c r="AD78" s="83">
        <v>468298682796157</v>
      </c>
      <c r="AE78" s="83">
        <v>3.787402678374081E-5</v>
      </c>
    </row>
    <row r="79" spans="2:31" x14ac:dyDescent="0.2">
      <c r="B79" s="83">
        <v>1482707789895163.7</v>
      </c>
      <c r="C79" s="83">
        <v>1.2159336289901447E-4</v>
      </c>
      <c r="D79" s="83">
        <v>1514618250744906.5</v>
      </c>
      <c r="E79" s="83">
        <v>1.2046091559653699E-4</v>
      </c>
      <c r="F79" s="83">
        <v>1382807388651190.5</v>
      </c>
      <c r="G79" s="83">
        <v>1.1363352697016427E-4</v>
      </c>
      <c r="H79" s="83">
        <v>1238352874427834.5</v>
      </c>
      <c r="I79" s="83">
        <v>1.0279801048005809E-4</v>
      </c>
      <c r="J79" s="83">
        <v>1166650303736886.2</v>
      </c>
      <c r="K79" s="83">
        <v>9.5624124532621755E-5</v>
      </c>
      <c r="L79" s="83">
        <v>1043978892634740.9</v>
      </c>
      <c r="M79" s="83">
        <v>8.7987027117733213E-5</v>
      </c>
      <c r="N79" s="83">
        <v>993070163361916.25</v>
      </c>
      <c r="O79" s="83">
        <v>8.2109433683164056E-5</v>
      </c>
      <c r="P79" s="83">
        <v>901634886015529.37</v>
      </c>
      <c r="Q79" s="83">
        <v>7.3525972183204936E-5</v>
      </c>
      <c r="R79" s="83">
        <v>832072204983981.87</v>
      </c>
      <c r="S79" s="83">
        <v>6.8494239789513344E-5</v>
      </c>
      <c r="T79" s="83">
        <v>744686953571694.75</v>
      </c>
      <c r="U79" s="83">
        <v>6.240470784058383E-5</v>
      </c>
      <c r="V79" s="83">
        <v>692602792105307.5</v>
      </c>
      <c r="W79" s="83">
        <v>5.7694295928513513E-5</v>
      </c>
      <c r="X79" s="83">
        <v>596057774969350.12</v>
      </c>
      <c r="Y79" s="83">
        <v>5.0710296295735594E-5</v>
      </c>
      <c r="Z79" s="83">
        <v>547693485096479.62</v>
      </c>
      <c r="AA79" s="83">
        <v>4.6094682061502996E-5</v>
      </c>
      <c r="AB79" s="83">
        <v>477956748980410.19</v>
      </c>
      <c r="AC79" s="83">
        <v>4.1206724282794674E-5</v>
      </c>
      <c r="AD79" s="83">
        <v>437993086364316.56</v>
      </c>
      <c r="AE79" s="83">
        <v>3.7215519789367847E-5</v>
      </c>
    </row>
    <row r="80" spans="2:31" x14ac:dyDescent="0.2">
      <c r="B80" s="83">
        <v>1394314528427664.2</v>
      </c>
      <c r="C80" s="83">
        <v>1.2037744158694133E-4</v>
      </c>
      <c r="D80" s="83">
        <v>1424667430456568.2</v>
      </c>
      <c r="E80" s="83">
        <v>1.1911370768753482E-4</v>
      </c>
      <c r="F80" s="83">
        <v>1294693490394784.2</v>
      </c>
      <c r="G80" s="83">
        <v>1.1171325981358592E-4</v>
      </c>
      <c r="H80" s="83">
        <v>1162496862267477.2</v>
      </c>
      <c r="I80" s="83">
        <v>1.0144953935260507E-4</v>
      </c>
      <c r="J80" s="83">
        <v>1096013584969202.2</v>
      </c>
      <c r="K80" s="83">
        <v>9.4293414711955247E-5</v>
      </c>
      <c r="L80" s="83">
        <v>981250605419158.75</v>
      </c>
      <c r="M80" s="83">
        <v>8.6943858396817492E-5</v>
      </c>
      <c r="N80" s="83">
        <v>931887241411688.25</v>
      </c>
      <c r="O80" s="83">
        <v>8.0948277603137958E-5</v>
      </c>
      <c r="P80" s="83">
        <v>846587205621710.25</v>
      </c>
      <c r="Q80" s="83">
        <v>7.2581280960372523E-5</v>
      </c>
      <c r="R80" s="83">
        <v>780472512412560.37</v>
      </c>
      <c r="S80" s="83">
        <v>6.7488682831915822E-5</v>
      </c>
      <c r="T80" s="83">
        <v>700789182944051</v>
      </c>
      <c r="U80" s="83">
        <v>6.1670811913744621E-5</v>
      </c>
      <c r="V80" s="83">
        <v>652219141036057.75</v>
      </c>
      <c r="W80" s="83">
        <v>5.7182462396706891E-5</v>
      </c>
      <c r="X80" s="83">
        <v>556147691561983.56</v>
      </c>
      <c r="Y80" s="83">
        <v>4.9736687873937558E-5</v>
      </c>
      <c r="Z80" s="83">
        <v>514534474264850.06</v>
      </c>
      <c r="AA80" s="83">
        <v>4.5469102051226364E-5</v>
      </c>
      <c r="AB80" s="83">
        <v>446684669818855.44</v>
      </c>
      <c r="AC80" s="83">
        <v>4.0396675115542372E-5</v>
      </c>
      <c r="AD80" s="83">
        <v>409467643711282.06</v>
      </c>
      <c r="AE80" s="83">
        <v>3.6585311899331635E-5</v>
      </c>
    </row>
    <row r="81" spans="2:31" x14ac:dyDescent="0.2">
      <c r="B81" s="83">
        <v>1317613473615995.7</v>
      </c>
      <c r="C81" s="83">
        <v>1.195515056544859E-4</v>
      </c>
      <c r="D81" s="83">
        <v>1334579567180723.5</v>
      </c>
      <c r="E81" s="83">
        <v>1.1723204997382325E-4</v>
      </c>
      <c r="F81" s="83">
        <v>1219861337498587.5</v>
      </c>
      <c r="G81" s="83">
        <v>1.1072872928610583E-4</v>
      </c>
      <c r="H81" s="83">
        <v>1091651513141037.1</v>
      </c>
      <c r="I81" s="83">
        <v>1.0018086202472442E-4</v>
      </c>
      <c r="J81" s="83">
        <v>1026228301752015.5</v>
      </c>
      <c r="K81" s="83">
        <v>9.2636447012030932E-5</v>
      </c>
      <c r="L81" s="83">
        <v>918045698188260.75</v>
      </c>
      <c r="M81" s="83">
        <v>8.5642111736343638E-5</v>
      </c>
      <c r="N81" s="83">
        <v>872621134168142.12</v>
      </c>
      <c r="O81" s="83">
        <v>7.9744148174935376E-5</v>
      </c>
      <c r="P81" s="83">
        <v>795247771852220.25</v>
      </c>
      <c r="Q81" s="83">
        <v>7.1839007571961993E-5</v>
      </c>
      <c r="R81" s="83">
        <v>730869743933806</v>
      </c>
      <c r="S81" s="83">
        <v>6.6274320743682424E-5</v>
      </c>
      <c r="T81" s="83">
        <v>655646947805355</v>
      </c>
      <c r="U81" s="83">
        <v>6.0766994236601496E-5</v>
      </c>
      <c r="V81" s="83">
        <v>609847325047140.37</v>
      </c>
      <c r="W81" s="83">
        <v>5.6177927857325506E-5</v>
      </c>
      <c r="X81" s="83">
        <v>524343320350493.75</v>
      </c>
      <c r="Y81" s="83">
        <v>4.9272527802243045E-5</v>
      </c>
      <c r="Z81" s="83">
        <v>482931265038150.19</v>
      </c>
      <c r="AA81" s="83">
        <v>4.4868181348996385E-5</v>
      </c>
      <c r="AB81" s="83">
        <v>417751816260304.75</v>
      </c>
      <c r="AC81" s="83">
        <v>3.9749709167376029E-5</v>
      </c>
      <c r="AD81" s="83">
        <v>385130394647316.94</v>
      </c>
      <c r="AE81" s="83">
        <v>3.6101939224579206E-5</v>
      </c>
    </row>
    <row r="82" spans="2:31" x14ac:dyDescent="0.2">
      <c r="B82" s="83">
        <v>1237658200046905.5</v>
      </c>
      <c r="C82" s="83">
        <v>1.1796685306218537E-4</v>
      </c>
      <c r="D82" s="83">
        <v>1258807716165925.2</v>
      </c>
      <c r="E82" s="83">
        <v>1.1651999345295625E-4</v>
      </c>
      <c r="F82" s="83">
        <v>1147424325679504</v>
      </c>
      <c r="G82" s="83">
        <v>1.0930190179504507E-4</v>
      </c>
      <c r="H82" s="83">
        <v>1023534831842565.1</v>
      </c>
      <c r="I82" s="83">
        <v>9.869912004744098E-5</v>
      </c>
      <c r="J82" s="83">
        <v>957554627631654.25</v>
      </c>
      <c r="K82" s="83">
        <v>9.0868188673415824E-5</v>
      </c>
      <c r="L82" s="83">
        <v>860540207725287.5</v>
      </c>
      <c r="M82" s="83">
        <v>8.4326198197225727E-5</v>
      </c>
      <c r="N82" s="83">
        <v>821204288574443.5</v>
      </c>
      <c r="O82" s="83">
        <v>7.8912374435773422E-5</v>
      </c>
      <c r="P82" s="83">
        <v>747152328296169.75</v>
      </c>
      <c r="Q82" s="83">
        <v>7.0815241303836117E-5</v>
      </c>
      <c r="R82" s="83">
        <v>686671721118209.5</v>
      </c>
      <c r="S82" s="83">
        <v>6.5547182235745484E-5</v>
      </c>
      <c r="T82" s="83">
        <v>615591634584130</v>
      </c>
      <c r="U82" s="83">
        <v>5.986195256216445E-5</v>
      </c>
      <c r="V82" s="83">
        <v>571489354981425</v>
      </c>
      <c r="W82" s="83">
        <v>5.5338515467812881E-5</v>
      </c>
      <c r="X82" s="83">
        <v>491964037248977.87</v>
      </c>
      <c r="Y82" s="83">
        <v>4.8571678777368913E-5</v>
      </c>
      <c r="Z82" s="83">
        <v>451710573249831.87</v>
      </c>
      <c r="AA82" s="83">
        <v>4.403974377598987E-5</v>
      </c>
      <c r="AB82" s="83">
        <v>391232006846498.37</v>
      </c>
      <c r="AC82" s="83">
        <v>3.9116896031916053E-5</v>
      </c>
      <c r="AD82" s="83">
        <v>358292831120604.62</v>
      </c>
      <c r="AE82" s="83">
        <v>3.5272760100597037E-5</v>
      </c>
    </row>
    <row r="83" spans="2:31" x14ac:dyDescent="0.2">
      <c r="B83" s="83">
        <v>1163953689977987.7</v>
      </c>
      <c r="C83" s="83">
        <v>1.1632444139488063E-4</v>
      </c>
      <c r="D83" s="83">
        <v>1181519671231065.5</v>
      </c>
      <c r="E83" s="83">
        <v>1.1477101712775721E-4</v>
      </c>
      <c r="F83" s="83">
        <v>1078382305387445</v>
      </c>
      <c r="G83" s="83">
        <v>1.0785766135153425E-4</v>
      </c>
      <c r="H83" s="83">
        <v>962173167737705.87</v>
      </c>
      <c r="I83" s="83">
        <v>9.7390103727462452E-5</v>
      </c>
      <c r="J83" s="83">
        <v>899792393340752.5</v>
      </c>
      <c r="K83" s="83">
        <v>8.9912008931997221E-5</v>
      </c>
      <c r="L83" s="83">
        <v>808094845458212.37</v>
      </c>
      <c r="M83" s="83">
        <v>8.3227287714712889E-5</v>
      </c>
      <c r="N83" s="83">
        <v>768401874661223.62</v>
      </c>
      <c r="O83" s="83">
        <v>7.7486744705682899E-5</v>
      </c>
      <c r="P83" s="83">
        <v>698272123855146.87</v>
      </c>
      <c r="Q83" s="83">
        <v>6.9448283099774868E-5</v>
      </c>
      <c r="R83" s="83">
        <v>644393473947753.5</v>
      </c>
      <c r="S83" s="83">
        <v>6.4512948990689303E-5</v>
      </c>
      <c r="T83" s="83">
        <v>577615479881071.62</v>
      </c>
      <c r="U83" s="83">
        <v>5.9067893918298781E-5</v>
      </c>
      <c r="V83" s="83">
        <v>538779848699913.25</v>
      </c>
      <c r="W83" s="83">
        <v>5.4873458525637565E-5</v>
      </c>
      <c r="X83" s="83">
        <v>460153516095892.06</v>
      </c>
      <c r="Y83" s="83">
        <v>4.7666704032203833E-5</v>
      </c>
      <c r="Z83" s="83">
        <v>422818795973028.56</v>
      </c>
      <c r="AA83" s="83">
        <v>4.3238541683069664E-5</v>
      </c>
      <c r="AB83" s="83">
        <v>365118465188814</v>
      </c>
      <c r="AC83" s="83">
        <v>3.8325499907255677E-5</v>
      </c>
      <c r="AD83" s="83">
        <v>336960160093728.56</v>
      </c>
      <c r="AE83" s="83">
        <v>3.4861994780288238E-5</v>
      </c>
    </row>
    <row r="84" spans="2:31" x14ac:dyDescent="0.2">
      <c r="B84" s="83">
        <v>1086203906948821.2</v>
      </c>
      <c r="C84" s="83">
        <v>1.1418235867018852E-4</v>
      </c>
      <c r="D84" s="83">
        <v>1109445198447757.9</v>
      </c>
      <c r="E84" s="83">
        <v>1.1318051877506037E-4</v>
      </c>
      <c r="F84" s="83">
        <v>1012541367588035.9</v>
      </c>
      <c r="G84" s="83">
        <v>1.0653486834299838E-4</v>
      </c>
      <c r="H84" s="83">
        <v>902715581050900.12</v>
      </c>
      <c r="I84" s="83">
        <v>9.6169076847882231E-5</v>
      </c>
      <c r="J84" s="83">
        <v>847191573033654.12</v>
      </c>
      <c r="K84" s="83">
        <v>8.8949742479422716E-5</v>
      </c>
      <c r="L84" s="83">
        <v>760735269810292.75</v>
      </c>
      <c r="M84" s="83">
        <v>8.2376102316549166E-5</v>
      </c>
      <c r="N84" s="83">
        <v>723685010134871.75</v>
      </c>
      <c r="O84" s="83">
        <v>7.6641223560445154E-5</v>
      </c>
      <c r="P84" s="83">
        <v>655520175624577.25</v>
      </c>
      <c r="Q84" s="83">
        <v>6.8484866898541928E-5</v>
      </c>
      <c r="R84" s="83">
        <v>603693699055548.5</v>
      </c>
      <c r="S84" s="83">
        <v>6.3569614102076646E-5</v>
      </c>
      <c r="T84" s="83">
        <v>542569236217796</v>
      </c>
      <c r="U84" s="83">
        <v>5.8263703443363361E-5</v>
      </c>
      <c r="V84" s="83">
        <v>503515960162595.69</v>
      </c>
      <c r="W84" s="83">
        <v>5.3716929592342676E-5</v>
      </c>
      <c r="X84" s="83">
        <v>427605194474180.87</v>
      </c>
      <c r="Y84" s="83">
        <v>4.6558718603540229E-5</v>
      </c>
      <c r="Z84" s="83">
        <v>393516110509785.31</v>
      </c>
      <c r="AA84" s="83">
        <v>4.2442597050391756E-5</v>
      </c>
      <c r="AB84" s="83">
        <v>339965733785679.06</v>
      </c>
      <c r="AC84" s="83">
        <v>3.7497252512293773E-5</v>
      </c>
      <c r="AD84" s="83">
        <v>315529997305188.31</v>
      </c>
      <c r="AE84" s="83">
        <v>3.4315913636428291E-5</v>
      </c>
    </row>
    <row r="85" spans="2:31" x14ac:dyDescent="0.2">
      <c r="B85" s="83">
        <v>1020433274664312.9</v>
      </c>
      <c r="C85" s="83">
        <v>1.1248025220594571E-4</v>
      </c>
      <c r="D85" s="83">
        <v>1040790136415433.9</v>
      </c>
      <c r="E85" s="83">
        <v>1.1161903591273062E-4</v>
      </c>
      <c r="F85" s="83">
        <v>953079643835801.5</v>
      </c>
      <c r="G85" s="83">
        <v>1.0550927515903329E-4</v>
      </c>
      <c r="H85" s="83">
        <v>845713678663036.25</v>
      </c>
      <c r="I85" s="83">
        <v>9.4450625172488436E-5</v>
      </c>
      <c r="J85" s="83">
        <v>797124588545414.5</v>
      </c>
      <c r="K85" s="83">
        <v>8.7904074063858227E-5</v>
      </c>
      <c r="L85" s="83">
        <v>712954707158645.5</v>
      </c>
      <c r="M85" s="83">
        <v>8.1081362257446593E-5</v>
      </c>
      <c r="N85" s="83">
        <v>676517396583542.75</v>
      </c>
      <c r="O85" s="83">
        <v>7.5279560232741866E-5</v>
      </c>
      <c r="P85" s="83">
        <v>617677865225161.25</v>
      </c>
      <c r="Q85" s="83">
        <v>6.7979146877149638E-5</v>
      </c>
      <c r="R85" s="83">
        <v>563363632220507.25</v>
      </c>
      <c r="S85" s="83">
        <v>6.227918848133711E-5</v>
      </c>
      <c r="T85" s="83">
        <v>509070508404529.19</v>
      </c>
      <c r="U85" s="83">
        <v>5.7433958766264762E-5</v>
      </c>
      <c r="V85" s="83">
        <v>472548453846166.19</v>
      </c>
      <c r="W85" s="83">
        <v>5.2920525143491336E-5</v>
      </c>
      <c r="X85" s="83">
        <v>399165571307144.5</v>
      </c>
      <c r="Y85" s="83">
        <v>4.5659973663002903E-5</v>
      </c>
      <c r="Z85" s="83">
        <v>367746499827386.19</v>
      </c>
      <c r="AA85" s="83">
        <v>4.1720620453461768E-5</v>
      </c>
      <c r="AB85" s="83">
        <v>319797853539128.5</v>
      </c>
      <c r="AC85" s="83">
        <v>3.7047620304947977E-5</v>
      </c>
      <c r="AD85" s="83">
        <v>294440737399901.81</v>
      </c>
      <c r="AE85" s="83">
        <v>3.3577653591344661E-5</v>
      </c>
    </row>
    <row r="86" spans="2:31" x14ac:dyDescent="0.2">
      <c r="B86" s="83">
        <v>957078865695646.37</v>
      </c>
      <c r="C86" s="83">
        <v>1.1150214330413913E-4</v>
      </c>
      <c r="D86" s="83">
        <v>977998928458695.87</v>
      </c>
      <c r="E86" s="83">
        <v>1.1037311519289676E-4</v>
      </c>
      <c r="F86" s="83">
        <v>893655835662305.37</v>
      </c>
      <c r="G86" s="83">
        <v>1.0388393601879151E-4</v>
      </c>
      <c r="H86" s="83">
        <v>793054561485642.75</v>
      </c>
      <c r="I86" s="83">
        <v>9.3220710741862437E-5</v>
      </c>
      <c r="J86" s="83">
        <v>744861681961747.62</v>
      </c>
      <c r="K86" s="83">
        <v>8.6232947789519811E-5</v>
      </c>
      <c r="L86" s="83">
        <v>668319682619510.25</v>
      </c>
      <c r="M86" s="83">
        <v>7.9694772458128359E-5</v>
      </c>
      <c r="N86" s="83">
        <v>631341772193475.25</v>
      </c>
      <c r="O86" s="83">
        <v>7.3758751895187369E-5</v>
      </c>
      <c r="P86" s="83">
        <v>577137336236416.37</v>
      </c>
      <c r="Q86" s="83">
        <v>6.662050937995622E-5</v>
      </c>
      <c r="R86" s="83">
        <v>536229700368124</v>
      </c>
      <c r="S86" s="83">
        <v>6.2347579115683337E-5</v>
      </c>
      <c r="T86" s="83">
        <v>474812876297501.37</v>
      </c>
      <c r="U86" s="83">
        <v>5.6318472651506121E-5</v>
      </c>
      <c r="V86" s="83">
        <v>437711710257036.31</v>
      </c>
      <c r="W86" s="83">
        <v>5.1468841014870222E-5</v>
      </c>
      <c r="X86" s="83">
        <v>376113050344900.5</v>
      </c>
      <c r="Y86" s="83">
        <v>4.5259843511859239E-5</v>
      </c>
      <c r="Z86" s="83">
        <v>346741592401656.44</v>
      </c>
      <c r="AA86" s="83">
        <v>4.1274579147961066E-5</v>
      </c>
      <c r="AB86" s="83">
        <v>299196896722797.19</v>
      </c>
      <c r="AC86" s="83">
        <v>3.6521784801457692E-5</v>
      </c>
      <c r="AD86" s="83">
        <v>274452361003439.22</v>
      </c>
      <c r="AE86" s="83">
        <v>3.2958671686905984E-5</v>
      </c>
    </row>
    <row r="87" spans="2:31" x14ac:dyDescent="0.2">
      <c r="B87" s="83">
        <v>894153856669827</v>
      </c>
      <c r="C87" s="83">
        <v>1.0944582534934541E-4</v>
      </c>
      <c r="D87" s="83">
        <v>920036968759969.37</v>
      </c>
      <c r="E87" s="83">
        <v>1.0891862117984364E-4</v>
      </c>
      <c r="F87" s="83">
        <v>839250663150483.12</v>
      </c>
      <c r="G87" s="83">
        <v>1.0226669576136627E-4</v>
      </c>
      <c r="H87" s="83">
        <v>745384731082372.25</v>
      </c>
      <c r="I87" s="83">
        <v>9.2043415301145144E-5</v>
      </c>
      <c r="J87" s="83">
        <v>697719952270064.87</v>
      </c>
      <c r="K87" s="83">
        <v>8.4913551524783923E-5</v>
      </c>
      <c r="L87" s="83">
        <v>624762278571020.75</v>
      </c>
      <c r="M87" s="83">
        <v>7.8419626507462048E-5</v>
      </c>
      <c r="N87" s="83">
        <v>592046728585351.25</v>
      </c>
      <c r="O87" s="83">
        <v>7.2752198470129136E-5</v>
      </c>
      <c r="P87" s="83">
        <v>543848042772152.12</v>
      </c>
      <c r="Q87" s="83">
        <v>6.5944990108519753E-5</v>
      </c>
      <c r="R87" s="83">
        <v>495989608243609.12</v>
      </c>
      <c r="S87" s="83">
        <v>6.046290772430105E-5</v>
      </c>
      <c r="T87" s="83">
        <v>444627233034222.19</v>
      </c>
      <c r="U87" s="83">
        <v>5.5373126796034745E-5</v>
      </c>
      <c r="V87" s="83">
        <v>409498888437137.5</v>
      </c>
      <c r="W87" s="83">
        <v>5.0578339861410318E-5</v>
      </c>
      <c r="X87" s="83">
        <v>351099595899249.75</v>
      </c>
      <c r="Y87" s="83">
        <v>4.443203746876174E-5</v>
      </c>
      <c r="Z87" s="83">
        <v>328108492141304.75</v>
      </c>
      <c r="AA87" s="83">
        <v>4.1062233376356103E-5</v>
      </c>
      <c r="AB87" s="83">
        <v>279650543035323.19</v>
      </c>
      <c r="AC87" s="83">
        <v>3.5830441481081972E-5</v>
      </c>
      <c r="AD87" s="83">
        <v>255858860409469.03</v>
      </c>
      <c r="AE87" s="83">
        <v>3.2285955659906983E-5</v>
      </c>
    </row>
    <row r="88" spans="2:31" x14ac:dyDescent="0.2">
      <c r="B88" s="83">
        <v>843109220810686.25</v>
      </c>
      <c r="C88" s="83">
        <v>1.080825834990061E-4</v>
      </c>
      <c r="D88" s="83">
        <v>864177335087692.75</v>
      </c>
      <c r="E88" s="83">
        <v>1.0747819115400829E-4</v>
      </c>
      <c r="F88" s="83">
        <v>784572523287237.75</v>
      </c>
      <c r="G88" s="83">
        <v>1.005025194794396E-4</v>
      </c>
      <c r="H88" s="83">
        <v>699456180593879.75</v>
      </c>
      <c r="I88" s="83">
        <v>9.0510904048425868E-5</v>
      </c>
      <c r="J88" s="83">
        <v>654037415284262.37</v>
      </c>
      <c r="K88" s="83">
        <v>8.3566935338014647E-5</v>
      </c>
      <c r="L88" s="83">
        <v>583881057705429.62</v>
      </c>
      <c r="M88" s="83">
        <v>7.6869202468232716E-5</v>
      </c>
      <c r="N88" s="83">
        <v>553004431067814.5</v>
      </c>
      <c r="O88" s="83">
        <v>7.1358288936024226E-5</v>
      </c>
      <c r="P88" s="83">
        <v>508424092417514.75</v>
      </c>
      <c r="Q88" s="83">
        <v>6.4740051102239878E-5</v>
      </c>
      <c r="R88" s="83">
        <v>464409112158638.81</v>
      </c>
      <c r="S88" s="83">
        <v>5.9402253967745005E-5</v>
      </c>
      <c r="T88" s="83">
        <v>412819936097257.44</v>
      </c>
      <c r="U88" s="83">
        <v>5.4270073809769562E-5</v>
      </c>
      <c r="V88" s="83">
        <v>383306939309791.5</v>
      </c>
      <c r="W88" s="83">
        <v>4.9843489728683452E-5</v>
      </c>
      <c r="X88" s="83">
        <v>330814378551015.37</v>
      </c>
      <c r="Y88" s="83">
        <v>4.3925648647035027E-5</v>
      </c>
      <c r="Z88" s="83">
        <v>303958515897008.19</v>
      </c>
      <c r="AA88" s="83">
        <v>3.9818852001350389E-5</v>
      </c>
      <c r="AB88" s="83">
        <v>261443471850581.31</v>
      </c>
      <c r="AC88" s="83">
        <v>3.521716635103938E-5</v>
      </c>
      <c r="AD88" s="83">
        <v>240632552311557.34</v>
      </c>
      <c r="AE88" s="83">
        <v>3.1921049143291238E-5</v>
      </c>
    </row>
    <row r="89" spans="2:31" x14ac:dyDescent="0.2">
      <c r="B89" s="83">
        <v>783062232449328.75</v>
      </c>
      <c r="C89" s="83">
        <v>1.0582141108621769E-4</v>
      </c>
      <c r="D89" s="83">
        <v>807146271726563.62</v>
      </c>
      <c r="E89" s="83">
        <v>1.0564416433776001E-4</v>
      </c>
      <c r="F89" s="83">
        <v>728905508619605.5</v>
      </c>
      <c r="G89" s="83">
        <v>9.7963624745481704E-5</v>
      </c>
      <c r="H89" s="83">
        <v>646323443844938.62</v>
      </c>
      <c r="I89" s="83">
        <v>8.8063231491143217E-5</v>
      </c>
      <c r="J89" s="83">
        <v>607732108366166.37</v>
      </c>
      <c r="K89" s="83">
        <v>8.1741117284004979E-5</v>
      </c>
      <c r="L89" s="83">
        <v>545662671175914</v>
      </c>
      <c r="M89" s="83">
        <v>7.5990363156503834E-5</v>
      </c>
      <c r="N89" s="83">
        <v>517864696131610.25</v>
      </c>
      <c r="O89" s="83">
        <v>7.0344223437446526E-5</v>
      </c>
      <c r="P89" s="83">
        <v>476766788707274.87</v>
      </c>
      <c r="Q89" s="83">
        <v>6.3763454763560894E-5</v>
      </c>
      <c r="R89" s="83">
        <v>436338564241342.06</v>
      </c>
      <c r="S89" s="83">
        <v>5.8794854876087156E-5</v>
      </c>
      <c r="T89" s="83">
        <v>392008870679654.31</v>
      </c>
      <c r="U89" s="83">
        <v>5.4132236769690648E-5</v>
      </c>
      <c r="V89" s="83">
        <v>359857343920689.25</v>
      </c>
      <c r="W89" s="83">
        <v>4.9423805201470506E-5</v>
      </c>
      <c r="X89" s="83">
        <v>306576215956176.75</v>
      </c>
      <c r="Y89" s="83">
        <v>4.2708542535979838E-5</v>
      </c>
      <c r="Z89" s="83">
        <v>283676206649318.62</v>
      </c>
      <c r="AA89" s="83">
        <v>3.9062582531546255E-5</v>
      </c>
      <c r="AB89" s="83">
        <v>244745296729092.53</v>
      </c>
      <c r="AC89" s="83">
        <v>3.4636299543935885E-5</v>
      </c>
      <c r="AD89" s="83">
        <v>225374426205168.56</v>
      </c>
      <c r="AE89" s="83">
        <v>3.1489403675666939E-5</v>
      </c>
    </row>
    <row r="90" spans="2:31" x14ac:dyDescent="0.2">
      <c r="B90" s="83">
        <v>732691065375374.87</v>
      </c>
      <c r="C90" s="83">
        <v>1.0405919338556577E-4</v>
      </c>
      <c r="D90" s="83">
        <v>752588171119599.75</v>
      </c>
      <c r="E90" s="83">
        <v>1.036308962062726E-4</v>
      </c>
      <c r="F90" s="83">
        <v>682228422599585.75</v>
      </c>
      <c r="G90" s="83">
        <v>9.6777895843996965E-5</v>
      </c>
      <c r="H90" s="83">
        <v>606646522540376</v>
      </c>
      <c r="I90" s="83">
        <v>8.7262340950992014E-5</v>
      </c>
      <c r="J90" s="83">
        <v>574515608499911.25</v>
      </c>
      <c r="K90" s="83">
        <v>8.1272568380264204E-5</v>
      </c>
      <c r="L90" s="83">
        <v>510197524634467</v>
      </c>
      <c r="M90" s="83">
        <v>7.4486872726619018E-5</v>
      </c>
      <c r="N90" s="83">
        <v>481924651745744.37</v>
      </c>
      <c r="O90" s="83">
        <v>6.8787238920167874E-5</v>
      </c>
      <c r="P90" s="83">
        <v>445942292521875.25</v>
      </c>
      <c r="Q90" s="83">
        <v>6.2725739749501001E-5</v>
      </c>
      <c r="R90" s="83">
        <v>409789696820170.19</v>
      </c>
      <c r="S90" s="83">
        <v>5.8096988797758171E-5</v>
      </c>
      <c r="T90" s="83">
        <v>367192204430564.12</v>
      </c>
      <c r="U90" s="83">
        <v>5.3359999621478415E-5</v>
      </c>
      <c r="V90" s="83">
        <v>337426402222296.87</v>
      </c>
      <c r="W90" s="83">
        <v>4.8588303564317966E-5</v>
      </c>
      <c r="X90" s="83">
        <v>288475210553740.56</v>
      </c>
      <c r="Y90" s="83">
        <v>4.2268152699005291E-5</v>
      </c>
      <c r="Z90" s="83">
        <v>265505253337107.53</v>
      </c>
      <c r="AA90" s="83">
        <v>3.8567493373286187E-5</v>
      </c>
      <c r="AB90" s="83">
        <v>230100106409078.06</v>
      </c>
      <c r="AC90" s="83">
        <v>3.4243410306908367E-5</v>
      </c>
      <c r="AD90" s="83">
        <v>210219602383287.91</v>
      </c>
      <c r="AE90" s="83">
        <v>3.0934390026452594E-5</v>
      </c>
    </row>
    <row r="91" spans="2:31" x14ac:dyDescent="0.2">
      <c r="B91" s="83">
        <v>683108849368247.5</v>
      </c>
      <c r="C91" s="83">
        <v>1.0270340018885129E-4</v>
      </c>
      <c r="D91" s="83">
        <v>711333071706797.25</v>
      </c>
      <c r="E91" s="83">
        <v>1.0318329057690968E-4</v>
      </c>
      <c r="F91" s="83">
        <v>633054303879571.5</v>
      </c>
      <c r="G91" s="83">
        <v>9.5045466638330037E-5</v>
      </c>
      <c r="H91" s="83">
        <v>571287097232285.87</v>
      </c>
      <c r="I91" s="83">
        <v>8.6669377618623375E-5</v>
      </c>
      <c r="J91" s="83">
        <v>534026658217033.44</v>
      </c>
      <c r="K91" s="83">
        <v>7.9565580251030467E-5</v>
      </c>
      <c r="L91" s="83">
        <v>479667947621156.12</v>
      </c>
      <c r="M91" s="83">
        <v>7.381001878893845E-5</v>
      </c>
      <c r="N91" s="83">
        <v>453789437170013.87</v>
      </c>
      <c r="O91" s="83">
        <v>6.8227813435978849E-5</v>
      </c>
      <c r="P91" s="83">
        <v>416468108623945.69</v>
      </c>
      <c r="Q91" s="83">
        <v>6.1670990511288086E-5</v>
      </c>
      <c r="R91" s="83">
        <v>380238060996519.19</v>
      </c>
      <c r="S91" s="83">
        <v>5.6636521721189814E-5</v>
      </c>
      <c r="T91" s="83">
        <v>345468543819164.87</v>
      </c>
      <c r="U91" s="83">
        <v>5.2590289687257529E-5</v>
      </c>
      <c r="V91" s="83">
        <v>314990677209633.87</v>
      </c>
      <c r="W91" s="83">
        <v>4.7664409491323855E-5</v>
      </c>
      <c r="X91" s="83">
        <v>266659505909746.69</v>
      </c>
      <c r="Y91" s="83">
        <v>4.1240818521069959E-5</v>
      </c>
      <c r="Z91" s="83">
        <v>249190089836032.19</v>
      </c>
      <c r="AA91" s="83">
        <v>3.8164294107190508E-5</v>
      </c>
      <c r="AB91" s="83">
        <v>216197795558118</v>
      </c>
      <c r="AC91" s="83">
        <v>3.3888449490291753E-5</v>
      </c>
      <c r="AD91" s="83">
        <v>197463787436530.72</v>
      </c>
      <c r="AE91" s="83">
        <v>3.0568032498230631E-5</v>
      </c>
    </row>
    <row r="92" spans="2:31" x14ac:dyDescent="0.2">
      <c r="B92" s="83">
        <v>643085487168567.5</v>
      </c>
      <c r="C92" s="83">
        <v>1.0156968643274351E-4</v>
      </c>
      <c r="D92" s="83">
        <v>661304072444398.75</v>
      </c>
      <c r="E92" s="83">
        <v>1.0116948440996141E-4</v>
      </c>
      <c r="F92" s="83">
        <v>596579893887313.37</v>
      </c>
      <c r="G92" s="83">
        <v>9.4233714847591457E-5</v>
      </c>
      <c r="H92" s="83">
        <v>533261331794387.75</v>
      </c>
      <c r="I92" s="83">
        <v>8.5071508766868992E-5</v>
      </c>
      <c r="J92" s="83">
        <v>500164864436310.87</v>
      </c>
      <c r="K92" s="83">
        <v>7.8150145796064202E-5</v>
      </c>
      <c r="L92" s="83">
        <v>451566800259827.25</v>
      </c>
      <c r="M92" s="83">
        <v>7.3217710203564375E-5</v>
      </c>
      <c r="N92" s="83">
        <v>421725336466280.31</v>
      </c>
      <c r="O92" s="83">
        <v>6.6702716970284614E-5</v>
      </c>
      <c r="P92" s="83">
        <v>389687215090154.31</v>
      </c>
      <c r="Q92" s="83">
        <v>6.0712353077556644E-5</v>
      </c>
      <c r="R92" s="83">
        <v>358403277535800.62</v>
      </c>
      <c r="S92" s="83">
        <v>5.6273307508575022E-5</v>
      </c>
      <c r="T92" s="83">
        <v>320525975568127.69</v>
      </c>
      <c r="U92" s="83">
        <v>5.1270347695275019E-5</v>
      </c>
      <c r="V92" s="83">
        <v>294186111032730.5</v>
      </c>
      <c r="W92" s="83">
        <v>4.6862124610607179E-5</v>
      </c>
      <c r="X92" s="83">
        <v>249338156296765.97</v>
      </c>
      <c r="Y92" s="83">
        <v>4.0655198721819697E-5</v>
      </c>
      <c r="Z92" s="83">
        <v>235929878353780.28</v>
      </c>
      <c r="AA92" s="83">
        <v>3.8045112666329892E-5</v>
      </c>
      <c r="AB92" s="83">
        <v>202456828279596.66</v>
      </c>
      <c r="AC92" s="83">
        <v>3.3266643657884407E-5</v>
      </c>
      <c r="AD92" s="83">
        <v>182890367668270.03</v>
      </c>
      <c r="AE92" s="83">
        <v>2.9780725918426928E-5</v>
      </c>
    </row>
    <row r="93" spans="2:31" x14ac:dyDescent="0.2">
      <c r="B93" s="83">
        <v>602583049064910.12</v>
      </c>
      <c r="C93" s="83">
        <v>1.0058542481111841E-4</v>
      </c>
      <c r="D93" s="83">
        <v>625406844368771.75</v>
      </c>
      <c r="E93" s="83">
        <v>1.0028827405895102E-4</v>
      </c>
      <c r="F93" s="83">
        <v>563598466329973.25</v>
      </c>
      <c r="G93" s="83">
        <v>9.3795027093914357E-5</v>
      </c>
      <c r="H93" s="83">
        <v>503076716092097.69</v>
      </c>
      <c r="I93" s="83">
        <v>8.4320994450669563E-5</v>
      </c>
      <c r="J93" s="83">
        <v>462989554940538.44</v>
      </c>
      <c r="K93" s="83">
        <v>7.6533081950517519E-5</v>
      </c>
      <c r="L93" s="83">
        <v>421956298878497.44</v>
      </c>
      <c r="M93" s="83">
        <v>7.1947675864725345E-5</v>
      </c>
      <c r="N93" s="83">
        <v>395456778274896.31</v>
      </c>
      <c r="O93" s="83">
        <v>6.5785030859313986E-5</v>
      </c>
      <c r="P93" s="83">
        <v>363983714091576.31</v>
      </c>
      <c r="Q93" s="83">
        <v>5.9591947432437116E-5</v>
      </c>
      <c r="R93" s="83">
        <v>335979458281102.75</v>
      </c>
      <c r="S93" s="83">
        <v>5.5511785414129531E-5</v>
      </c>
      <c r="T93" s="83">
        <v>299517551375281.75</v>
      </c>
      <c r="U93" s="83">
        <v>5.0440852059378028E-5</v>
      </c>
      <c r="V93" s="83">
        <v>276422955790747.78</v>
      </c>
      <c r="W93" s="83">
        <v>4.6215714094030493E-5</v>
      </c>
      <c r="X93" s="83">
        <v>236362330288789.97</v>
      </c>
      <c r="Y93" s="83">
        <v>4.0673199478954976E-5</v>
      </c>
      <c r="Z93" s="83">
        <v>221169004837690.12</v>
      </c>
      <c r="AA93" s="83">
        <v>3.7469247004588986E-5</v>
      </c>
      <c r="AB93" s="83">
        <v>188185086188353.06</v>
      </c>
      <c r="AC93" s="83">
        <v>3.2590434570038474E-5</v>
      </c>
      <c r="AD93" s="83">
        <v>174507174786691.59</v>
      </c>
      <c r="AE93" s="83">
        <v>2.9931757719091154E-5</v>
      </c>
    </row>
    <row r="94" spans="2:31" x14ac:dyDescent="0.2">
      <c r="B94" s="83">
        <v>555857744791461</v>
      </c>
      <c r="C94" s="83">
        <v>9.7357877882225393E-5</v>
      </c>
      <c r="D94" s="83">
        <v>586053220094508.25</v>
      </c>
      <c r="E94" s="83">
        <v>9.913506716550858E-5</v>
      </c>
      <c r="F94" s="83">
        <v>523520774379726.19</v>
      </c>
      <c r="G94" s="83">
        <v>9.1448262025399272E-5</v>
      </c>
      <c r="H94" s="83">
        <v>466357172966193</v>
      </c>
      <c r="I94" s="83">
        <v>8.2197301395207632E-5</v>
      </c>
      <c r="J94" s="83">
        <v>438550020961462.06</v>
      </c>
      <c r="K94" s="83">
        <v>7.622712584626997E-5</v>
      </c>
      <c r="L94" s="83">
        <v>394817299972015.56</v>
      </c>
      <c r="M94" s="83">
        <v>7.0354687628731296E-5</v>
      </c>
      <c r="N94" s="83">
        <v>370395934696508.19</v>
      </c>
      <c r="O94" s="83">
        <v>6.4933612221606618E-5</v>
      </c>
      <c r="P94" s="83">
        <v>342864431376109</v>
      </c>
      <c r="Q94" s="83">
        <v>5.8998320631189398E-5</v>
      </c>
      <c r="R94" s="83">
        <v>311946987236436.75</v>
      </c>
      <c r="S94" s="83">
        <v>5.4146325282738624E-5</v>
      </c>
      <c r="T94" s="83">
        <v>281311642553917.56</v>
      </c>
      <c r="U94" s="83">
        <v>4.9897850610782555E-5</v>
      </c>
      <c r="V94" s="83">
        <v>257484423477760.72</v>
      </c>
      <c r="W94" s="83">
        <v>4.5183453528127513E-5</v>
      </c>
      <c r="X94" s="83">
        <v>219541870450927.91</v>
      </c>
      <c r="Y94" s="83">
        <v>3.9614063733033374E-5</v>
      </c>
      <c r="Z94" s="83">
        <v>204326347870612.28</v>
      </c>
      <c r="AA94" s="83">
        <v>3.6321190281174633E-5</v>
      </c>
      <c r="AB94" s="83">
        <v>177162261735660.03</v>
      </c>
      <c r="AC94" s="83">
        <v>3.2369071722714913E-5</v>
      </c>
      <c r="AD94" s="83">
        <v>160021409738492.75</v>
      </c>
      <c r="AE94" s="83">
        <v>2.8882158639878007E-5</v>
      </c>
    </row>
    <row r="95" spans="2:31" x14ac:dyDescent="0.2">
      <c r="B95" s="83">
        <v>523937673486327.31</v>
      </c>
      <c r="C95" s="83">
        <v>9.6565383951812206E-5</v>
      </c>
      <c r="D95" s="83">
        <v>542317726219346.5</v>
      </c>
      <c r="E95" s="83">
        <v>9.6355803560942323E-5</v>
      </c>
      <c r="F95" s="83">
        <v>492517705471092.37</v>
      </c>
      <c r="G95" s="83">
        <v>9.0720391751089249E-5</v>
      </c>
      <c r="H95" s="83">
        <v>437182832107273.94</v>
      </c>
      <c r="I95" s="83">
        <v>8.1205155950942785E-5</v>
      </c>
      <c r="J95" s="83">
        <v>407065032615053.56</v>
      </c>
      <c r="K95" s="83">
        <v>7.4482195181298257E-5</v>
      </c>
      <c r="L95" s="83">
        <v>366966130349415.37</v>
      </c>
      <c r="M95" s="83">
        <v>6.9215821966260471E-5</v>
      </c>
      <c r="N95" s="83">
        <v>345740757288362.56</v>
      </c>
      <c r="O95" s="83">
        <v>6.396616297631562E-5</v>
      </c>
      <c r="P95" s="83">
        <v>317308741736356.31</v>
      </c>
      <c r="Q95" s="83">
        <v>5.7724039212217266E-5</v>
      </c>
      <c r="R95" s="83">
        <v>295956818396342.62</v>
      </c>
      <c r="S95" s="83">
        <v>5.411261304671631E-5</v>
      </c>
      <c r="T95" s="83">
        <v>263704286396440.97</v>
      </c>
      <c r="U95" s="83">
        <v>4.948791269527409E-5</v>
      </c>
      <c r="V95" s="83">
        <v>240887084408394.81</v>
      </c>
      <c r="W95" s="83">
        <v>4.4565392773674368E-5</v>
      </c>
      <c r="X95" s="83">
        <v>206233795528831.81</v>
      </c>
      <c r="Y95" s="83">
        <v>3.9270783457228084E-5</v>
      </c>
      <c r="Z95" s="83">
        <v>191331920196486.41</v>
      </c>
      <c r="AA95" s="83">
        <v>3.5886270195317172E-5</v>
      </c>
      <c r="AB95" s="83">
        <v>167966116337203.72</v>
      </c>
      <c r="AC95" s="83">
        <v>3.2298841290070853E-5</v>
      </c>
      <c r="AD95" s="83">
        <v>154964569998526.03</v>
      </c>
      <c r="AE95" s="83">
        <v>2.9468186562644131E-5</v>
      </c>
    </row>
    <row r="96" spans="2:31" x14ac:dyDescent="0.2">
      <c r="B96" s="83">
        <v>484292263556978.25</v>
      </c>
      <c r="C96" s="83">
        <v>9.4411601175918116E-5</v>
      </c>
      <c r="D96" s="83">
        <v>508667795430651.25</v>
      </c>
      <c r="E96" s="83">
        <v>9.5490421257362281E-5</v>
      </c>
      <c r="F96" s="83">
        <v>463443753684945.62</v>
      </c>
      <c r="G96" s="83">
        <v>8.9583744401740037E-5</v>
      </c>
      <c r="H96" s="83">
        <v>407765114754636.31</v>
      </c>
      <c r="I96" s="83">
        <v>7.9902826263227131E-5</v>
      </c>
      <c r="J96" s="83">
        <v>380954372776891.87</v>
      </c>
      <c r="K96" s="83">
        <v>7.336647755474369E-5</v>
      </c>
      <c r="L96" s="83">
        <v>342617096722914.25</v>
      </c>
      <c r="M96" s="83">
        <v>6.8144152512001648E-5</v>
      </c>
      <c r="N96" s="83">
        <v>322570670430659.5</v>
      </c>
      <c r="O96" s="83">
        <v>6.297503212398419E-5</v>
      </c>
      <c r="P96" s="83">
        <v>295635324613815.25</v>
      </c>
      <c r="Q96" s="83">
        <v>5.6913922440736271E-5</v>
      </c>
      <c r="R96" s="83">
        <v>271081167947234.97</v>
      </c>
      <c r="S96" s="83">
        <v>5.2150464638468475E-5</v>
      </c>
      <c r="T96" s="83">
        <v>248039445685599.12</v>
      </c>
      <c r="U96" s="83">
        <v>4.8751115718606004E-5</v>
      </c>
      <c r="V96" s="83">
        <v>222789963796979.78</v>
      </c>
      <c r="W96" s="83">
        <v>4.3447482310240309E-5</v>
      </c>
      <c r="X96" s="83">
        <v>192807727702663.41</v>
      </c>
      <c r="Y96" s="83">
        <v>3.8799559167974421E-5</v>
      </c>
      <c r="Z96" s="83">
        <v>180940969474048.72</v>
      </c>
      <c r="AA96" s="83">
        <v>3.5799890688653428E-5</v>
      </c>
      <c r="AB96" s="83">
        <v>157568890620902.16</v>
      </c>
      <c r="AC96" s="83">
        <v>3.1942639440911835E-5</v>
      </c>
      <c r="AD96" s="83">
        <v>142066567407636.41</v>
      </c>
      <c r="AE96" s="83">
        <v>2.8554436183390928E-5</v>
      </c>
    </row>
    <row r="97" spans="2:31" x14ac:dyDescent="0.2">
      <c r="B97" s="83">
        <v>449639968435403.56</v>
      </c>
      <c r="C97" s="83">
        <v>9.2437674687445231E-5</v>
      </c>
      <c r="D97" s="83">
        <v>475612641317895.5</v>
      </c>
      <c r="E97" s="83">
        <v>9.4181503535407013E-5</v>
      </c>
      <c r="F97" s="83">
        <v>433331888626612.25</v>
      </c>
      <c r="G97" s="83">
        <v>8.845645489717167E-5</v>
      </c>
      <c r="H97" s="83">
        <v>384871066185501</v>
      </c>
      <c r="I97" s="83">
        <v>7.9801677155682456E-5</v>
      </c>
      <c r="J97" s="83">
        <v>357693163191181.75</v>
      </c>
      <c r="K97" s="83">
        <v>7.2748245319679462E-5</v>
      </c>
      <c r="L97" s="83">
        <v>325920645821164.37</v>
      </c>
      <c r="M97" s="83">
        <v>6.8587436541115091E-5</v>
      </c>
      <c r="N97" s="83">
        <v>303836495401728.81</v>
      </c>
      <c r="O97" s="83">
        <v>6.2565300275739354E-5</v>
      </c>
      <c r="P97" s="83">
        <v>276491990686992.37</v>
      </c>
      <c r="Q97" s="83">
        <v>5.5953893781768727E-5</v>
      </c>
      <c r="R97" s="83">
        <v>256678077399679.12</v>
      </c>
      <c r="S97" s="83">
        <v>5.1887014205258124E-5</v>
      </c>
      <c r="T97" s="83">
        <v>230161462716726.5</v>
      </c>
      <c r="U97" s="83">
        <v>4.8011192684764891E-5</v>
      </c>
      <c r="V97" s="83">
        <v>209015681769219.12</v>
      </c>
      <c r="W97" s="83">
        <v>4.3164635933065412E-5</v>
      </c>
      <c r="X97" s="83">
        <v>179889377499720.06</v>
      </c>
      <c r="Y97" s="83">
        <v>3.7999417517488803E-5</v>
      </c>
      <c r="Z97" s="83">
        <v>170775179955861.19</v>
      </c>
      <c r="AA97" s="83">
        <v>3.5672266193140223E-5</v>
      </c>
      <c r="AB97" s="83">
        <v>148505109270124.41</v>
      </c>
      <c r="AC97" s="83">
        <v>3.1739938212278554E-5</v>
      </c>
      <c r="AD97" s="83">
        <v>133853538134648.84</v>
      </c>
      <c r="AE97" s="83">
        <v>2.8233712113128548E-5</v>
      </c>
    </row>
    <row r="98" spans="2:31" x14ac:dyDescent="0.2">
      <c r="B98" s="83">
        <v>421464409544552.69</v>
      </c>
      <c r="C98" s="83">
        <v>9.1798005213446243E-5</v>
      </c>
      <c r="D98" s="83">
        <v>441287586871170.69</v>
      </c>
      <c r="E98" s="83">
        <v>9.2606904218017438E-5</v>
      </c>
      <c r="F98" s="83">
        <v>398399829835109.56</v>
      </c>
      <c r="G98" s="83">
        <v>8.5383469122678535E-5</v>
      </c>
      <c r="H98" s="83">
        <v>357874404182030.87</v>
      </c>
      <c r="I98" s="83">
        <v>7.7862090162578962E-5</v>
      </c>
      <c r="J98" s="83">
        <v>332678899869059.37</v>
      </c>
      <c r="K98" s="83">
        <v>7.1508370787499575E-5</v>
      </c>
      <c r="L98" s="83">
        <v>305575223228250.12</v>
      </c>
      <c r="M98" s="83">
        <v>6.7615893999441691E-5</v>
      </c>
      <c r="N98" s="83">
        <v>285964455720042.25</v>
      </c>
      <c r="O98" s="83">
        <v>6.1818577904030074E-5</v>
      </c>
      <c r="P98" s="83">
        <v>261165926663640.03</v>
      </c>
      <c r="Q98" s="83">
        <v>5.5859633328423588E-5</v>
      </c>
      <c r="R98" s="83">
        <v>238539893726326.03</v>
      </c>
      <c r="S98" s="83">
        <v>5.1147344622592002E-5</v>
      </c>
      <c r="T98" s="83">
        <v>212994397646154.56</v>
      </c>
      <c r="U98" s="83">
        <v>4.6618456296571355E-5</v>
      </c>
      <c r="V98" s="83">
        <v>195326620751066.53</v>
      </c>
      <c r="W98" s="83">
        <v>4.2465746207744881E-5</v>
      </c>
      <c r="X98" s="83">
        <v>168395618177768.97</v>
      </c>
      <c r="Y98" s="83">
        <v>3.7380977032064016E-5</v>
      </c>
      <c r="Z98" s="83">
        <v>157573390317036.31</v>
      </c>
      <c r="AA98" s="83">
        <v>3.4567799877827699E-5</v>
      </c>
      <c r="AB98" s="83">
        <v>139104656952409.78</v>
      </c>
      <c r="AC98" s="83">
        <v>3.1377930064272493E-5</v>
      </c>
      <c r="AD98" s="83">
        <v>125084744587214.86</v>
      </c>
      <c r="AE98" s="83">
        <v>2.7850846072839176E-5</v>
      </c>
    </row>
    <row r="99" spans="2:31" x14ac:dyDescent="0.2">
      <c r="B99" s="83">
        <v>392272724125394.75</v>
      </c>
      <c r="C99" s="83">
        <v>9.0470912442306505E-5</v>
      </c>
      <c r="D99" s="83">
        <v>416873344793265.5</v>
      </c>
      <c r="E99" s="83">
        <v>9.1844019777714402E-5</v>
      </c>
      <c r="F99" s="83">
        <v>371962547255723.62</v>
      </c>
      <c r="G99" s="83">
        <v>8.4176661273379792E-5</v>
      </c>
      <c r="H99" s="83">
        <v>337988927464847.75</v>
      </c>
      <c r="I99" s="83">
        <v>7.7602495350476925E-5</v>
      </c>
      <c r="J99" s="83">
        <v>310715286220218.12</v>
      </c>
      <c r="K99" s="83">
        <v>7.0164208779487325E-5</v>
      </c>
      <c r="L99" s="83">
        <v>286335115317095.87</v>
      </c>
      <c r="M99" s="83">
        <v>6.6689515743537827E-5</v>
      </c>
      <c r="N99" s="83">
        <v>268576423790699.81</v>
      </c>
      <c r="O99" s="83">
        <v>6.1195559350314777E-5</v>
      </c>
      <c r="P99" s="83">
        <v>244559294009226.66</v>
      </c>
      <c r="Q99" s="83">
        <v>5.5082174842446496E-5</v>
      </c>
      <c r="R99" s="83">
        <v>223717201863717.94</v>
      </c>
      <c r="S99" s="83">
        <v>5.0362641524341289E-5</v>
      </c>
      <c r="T99" s="83">
        <v>203977835866785.44</v>
      </c>
      <c r="U99" s="83">
        <v>4.726011104853869E-5</v>
      </c>
      <c r="V99" s="83">
        <v>184068058582076.62</v>
      </c>
      <c r="W99" s="83">
        <v>4.2220142474866329E-5</v>
      </c>
      <c r="X99" s="83">
        <v>157404471876939.37</v>
      </c>
      <c r="Y99" s="83">
        <v>3.7014631503843143E-5</v>
      </c>
      <c r="Z99" s="83">
        <v>150901313275625.78</v>
      </c>
      <c r="AA99" s="83">
        <v>3.4920567073396403E-5</v>
      </c>
      <c r="AB99" s="83">
        <v>129483870611491.67</v>
      </c>
      <c r="AC99" s="83">
        <v>3.0854193556588868E-5</v>
      </c>
      <c r="AD99" s="83">
        <v>117234922701682.09</v>
      </c>
      <c r="AE99" s="83">
        <v>2.7408544536651809E-5</v>
      </c>
    </row>
    <row r="100" spans="2:31" x14ac:dyDescent="0.2">
      <c r="B100" s="83">
        <v>368497484042482.31</v>
      </c>
      <c r="C100" s="83">
        <v>8.9749667545527736E-5</v>
      </c>
      <c r="D100" s="83">
        <v>390802619638275.31</v>
      </c>
      <c r="E100" s="83">
        <v>9.0866214450905446E-5</v>
      </c>
      <c r="F100" s="83">
        <v>347794085015905.75</v>
      </c>
      <c r="G100" s="83">
        <v>8.3714674467704823E-5</v>
      </c>
      <c r="H100" s="83">
        <v>313840683056074.06</v>
      </c>
      <c r="I100" s="83">
        <v>7.5804247926173062E-5</v>
      </c>
      <c r="J100" s="83">
        <v>292420482671578.12</v>
      </c>
      <c r="K100" s="83">
        <v>6.9877014723626027E-5</v>
      </c>
      <c r="L100" s="83">
        <v>265582869214337.62</v>
      </c>
      <c r="M100" s="83">
        <v>6.5189351530298769E-5</v>
      </c>
      <c r="N100" s="83">
        <v>250687857674623.06</v>
      </c>
      <c r="O100" s="83">
        <v>6.0236186144700176E-5</v>
      </c>
      <c r="P100" s="83">
        <v>230424237862474.44</v>
      </c>
      <c r="Q100" s="83">
        <v>5.4547558061730309E-5</v>
      </c>
      <c r="R100" s="83">
        <v>209315240691800.28</v>
      </c>
      <c r="S100" s="83">
        <v>4.9928175753074211E-5</v>
      </c>
      <c r="T100" s="83">
        <v>191056596987828.62</v>
      </c>
      <c r="U100" s="83">
        <v>4.6541236140980299E-5</v>
      </c>
      <c r="V100" s="83">
        <v>171665175373828.03</v>
      </c>
      <c r="W100" s="83">
        <v>4.1430284808520411E-5</v>
      </c>
      <c r="X100" s="83">
        <v>145572139698325.78</v>
      </c>
      <c r="Y100" s="83">
        <v>3.5939955983389153E-5</v>
      </c>
      <c r="Z100" s="83">
        <v>140824171285597.37</v>
      </c>
      <c r="AA100" s="83">
        <v>3.4395970707252845E-5</v>
      </c>
      <c r="AB100" s="83">
        <v>117176735705412.39</v>
      </c>
      <c r="AC100" s="83">
        <v>2.9488207323174141E-5</v>
      </c>
      <c r="AD100" s="83">
        <v>109900634619680.64</v>
      </c>
      <c r="AE100" s="83">
        <v>2.716101303726196E-5</v>
      </c>
    </row>
    <row r="101" spans="2:31" x14ac:dyDescent="0.2">
      <c r="B101" s="83">
        <v>345713118764989.56</v>
      </c>
      <c r="C101" s="83">
        <v>8.9346827438970173E-5</v>
      </c>
      <c r="D101" s="83">
        <v>364939979319865.12</v>
      </c>
      <c r="E101" s="83">
        <v>8.9231113533336961E-5</v>
      </c>
      <c r="F101" s="83">
        <v>327010556332019.81</v>
      </c>
      <c r="G101" s="83">
        <v>8.3088047731094171E-5</v>
      </c>
      <c r="H101" s="83">
        <v>290866532524594.37</v>
      </c>
      <c r="I101" s="83">
        <v>7.4106572248251197E-5</v>
      </c>
      <c r="J101" s="83">
        <v>273202062305213.25</v>
      </c>
      <c r="K101" s="83">
        <v>6.8948203760700212E-5</v>
      </c>
      <c r="L101" s="83">
        <v>249932272333206.31</v>
      </c>
      <c r="M101" s="83">
        <v>6.44529858362124E-5</v>
      </c>
      <c r="N101" s="83">
        <v>232957382474319.34</v>
      </c>
      <c r="O101" s="83">
        <v>5.8764530033992779E-5</v>
      </c>
      <c r="P101" s="83">
        <v>214449474713303.19</v>
      </c>
      <c r="Q101" s="83">
        <v>5.3524775362834855E-5</v>
      </c>
      <c r="R101" s="83">
        <v>196957452547394.97</v>
      </c>
      <c r="S101" s="83">
        <v>4.9427233382254555E-5</v>
      </c>
      <c r="T101" s="83">
        <v>177189238198406.41</v>
      </c>
      <c r="U101" s="83">
        <v>4.5412015002669962E-5</v>
      </c>
      <c r="V101" s="83">
        <v>160857755367125.84</v>
      </c>
      <c r="W101" s="83">
        <v>4.0854041846528994E-5</v>
      </c>
      <c r="X101" s="83">
        <v>138334514932123.25</v>
      </c>
      <c r="Y101" s="83">
        <v>3.6072953787747515E-5</v>
      </c>
      <c r="Z101" s="83">
        <v>131309462610054.12</v>
      </c>
      <c r="AA101" s="83">
        <v>3.3702148027960769E-5</v>
      </c>
      <c r="AB101" s="83">
        <v>113078292720161.81</v>
      </c>
      <c r="AC101" s="83">
        <v>3.0020443596320061E-5</v>
      </c>
      <c r="AD101" s="83">
        <v>102198674741908.09</v>
      </c>
      <c r="AE101" s="83">
        <v>2.6612089643026948E-5</v>
      </c>
    </row>
    <row r="102" spans="2:31" x14ac:dyDescent="0.2">
      <c r="B102" s="83">
        <v>320093474982784.31</v>
      </c>
      <c r="C102" s="83">
        <v>8.6851319582942736E-5</v>
      </c>
      <c r="D102" s="83">
        <v>340712345085607.5</v>
      </c>
      <c r="E102" s="83">
        <v>8.8308680318320202E-5</v>
      </c>
      <c r="F102" s="83">
        <v>310962246733934.87</v>
      </c>
      <c r="G102" s="83">
        <v>8.3717161381586329E-5</v>
      </c>
      <c r="H102" s="83">
        <v>267695538373085.19</v>
      </c>
      <c r="I102" s="83">
        <v>7.2168422318789603E-5</v>
      </c>
      <c r="J102" s="83">
        <v>256601557912616.34</v>
      </c>
      <c r="K102" s="83">
        <v>6.8174530677011179E-5</v>
      </c>
      <c r="L102" s="83">
        <v>231434542471735.31</v>
      </c>
      <c r="M102" s="83">
        <v>6.3156404463176049E-5</v>
      </c>
      <c r="N102" s="83">
        <v>217952197752603.41</v>
      </c>
      <c r="O102" s="83">
        <v>5.8386061579647536E-5</v>
      </c>
      <c r="P102" s="83">
        <v>201671539467061.06</v>
      </c>
      <c r="Q102" s="83">
        <v>5.2961612980262012E-5</v>
      </c>
      <c r="R102" s="83">
        <v>184569421048294.62</v>
      </c>
      <c r="S102" s="83">
        <v>4.8690616207331908E-5</v>
      </c>
      <c r="T102" s="83">
        <v>166128292786393.62</v>
      </c>
      <c r="U102" s="83">
        <v>4.499432289323397E-5</v>
      </c>
      <c r="V102" s="83">
        <v>148944413340120.28</v>
      </c>
      <c r="W102" s="83">
        <v>3.9911143051121524E-5</v>
      </c>
      <c r="X102" s="83">
        <v>127339675471558.08</v>
      </c>
      <c r="Y102" s="83">
        <v>3.5234007637081744E-5</v>
      </c>
      <c r="Z102" s="83">
        <v>123795453838294.64</v>
      </c>
      <c r="AA102" s="83">
        <v>3.3656375728394033E-5</v>
      </c>
      <c r="AB102" s="83">
        <v>106661291953823.28</v>
      </c>
      <c r="AC102" s="83">
        <v>3.0030486067330319E-5</v>
      </c>
      <c r="AD102" s="83">
        <v>92927565015643.219</v>
      </c>
      <c r="AE102" s="83">
        <v>2.561588365859555E-5</v>
      </c>
    </row>
    <row r="103" spans="2:31" x14ac:dyDescent="0.2">
      <c r="B103" s="83">
        <v>304343552907177.56</v>
      </c>
      <c r="C103" s="83">
        <v>8.7538085415495533E-5</v>
      </c>
      <c r="D103" s="83">
        <v>315946069680651.75</v>
      </c>
      <c r="E103" s="83">
        <v>8.5953639122964576E-5</v>
      </c>
      <c r="F103" s="83">
        <v>290030943430534.87</v>
      </c>
      <c r="G103" s="83">
        <v>8.2518514664485561E-5</v>
      </c>
      <c r="H103" s="83">
        <v>249961809216060.91</v>
      </c>
      <c r="I103" s="83">
        <v>7.1531885893961084E-5</v>
      </c>
      <c r="J103" s="83">
        <v>238453950058160.31</v>
      </c>
      <c r="K103" s="83">
        <v>6.7122291760764053E-5</v>
      </c>
      <c r="L103" s="83">
        <v>214085596038434.87</v>
      </c>
      <c r="M103" s="83">
        <v>6.1771473569561755E-5</v>
      </c>
      <c r="N103" s="83">
        <v>203145377011868.84</v>
      </c>
      <c r="O103" s="83">
        <v>5.7608269267036817E-5</v>
      </c>
      <c r="P103" s="83">
        <v>187914915394482.03</v>
      </c>
      <c r="Q103" s="83">
        <v>5.2417888810729737E-5</v>
      </c>
      <c r="R103" s="83">
        <v>169919031432384.87</v>
      </c>
      <c r="S103" s="83">
        <v>4.7139692938229925E-5</v>
      </c>
      <c r="T103" s="83">
        <v>154845791912181.84</v>
      </c>
      <c r="U103" s="83">
        <v>4.4246126482627157E-5</v>
      </c>
      <c r="V103" s="83">
        <v>143009528941137.66</v>
      </c>
      <c r="W103" s="83">
        <v>4.0837580794746412E-5</v>
      </c>
      <c r="X103" s="83">
        <v>119950406014855.55</v>
      </c>
      <c r="Y103" s="83">
        <v>3.4886670060960796E-5</v>
      </c>
      <c r="Z103" s="83">
        <v>111876524987228.75</v>
      </c>
      <c r="AA103" s="83">
        <v>3.2170407395471306E-5</v>
      </c>
      <c r="AB103" s="83">
        <v>96959257853411.656</v>
      </c>
      <c r="AC103" s="83">
        <v>2.8732615508222022E-5</v>
      </c>
      <c r="AD103" s="83">
        <v>89190117007346.062</v>
      </c>
      <c r="AE103" s="83">
        <v>2.6017850555229179E-5</v>
      </c>
    </row>
    <row r="104" spans="2:31" x14ac:dyDescent="0.2">
      <c r="B104" s="83">
        <v>279729894328082.34</v>
      </c>
      <c r="C104" s="83">
        <v>8.4931882276169661E-5</v>
      </c>
      <c r="D104" s="83">
        <v>298624285214752.81</v>
      </c>
      <c r="E104" s="83">
        <v>8.6523424747020973E-5</v>
      </c>
      <c r="F104" s="83">
        <v>270058277876341.69</v>
      </c>
      <c r="G104" s="83">
        <v>8.1175369257844497E-5</v>
      </c>
      <c r="H104" s="83">
        <v>240225810002350.59</v>
      </c>
      <c r="I104" s="83">
        <v>7.2827480570960155E-5</v>
      </c>
      <c r="J104" s="83">
        <v>224164610833740.22</v>
      </c>
      <c r="K104" s="83">
        <v>6.6630925623859899E-5</v>
      </c>
      <c r="L104" s="83">
        <v>201379178675078.12</v>
      </c>
      <c r="M104" s="83">
        <v>6.1980158349565651E-5</v>
      </c>
      <c r="N104" s="83">
        <v>190963632890135.53</v>
      </c>
      <c r="O104" s="83">
        <v>5.7197529334848294E-5</v>
      </c>
      <c r="P104" s="83">
        <v>173739686634093.44</v>
      </c>
      <c r="Q104" s="83">
        <v>5.1082939443648805E-5</v>
      </c>
      <c r="R104" s="83">
        <v>160186762321915.62</v>
      </c>
      <c r="S104" s="83">
        <v>4.7304573436670543E-5</v>
      </c>
      <c r="T104" s="83">
        <v>146782497469383.62</v>
      </c>
      <c r="U104" s="83">
        <v>4.448872868518796E-5</v>
      </c>
      <c r="V104" s="83">
        <v>130286532784658.31</v>
      </c>
      <c r="W104" s="83">
        <v>3.9143293827483125E-5</v>
      </c>
      <c r="X104" s="83">
        <v>111651699713573.95</v>
      </c>
      <c r="Y104" s="83">
        <v>3.4189141405673575E-5</v>
      </c>
      <c r="Z104" s="83">
        <v>106641269902939.83</v>
      </c>
      <c r="AA104" s="83">
        <v>3.2579196416967558E-5</v>
      </c>
      <c r="AB104" s="83">
        <v>91554179197431.969</v>
      </c>
      <c r="AC104" s="83">
        <v>2.8809576900339276E-5</v>
      </c>
      <c r="AD104" s="83">
        <v>84361218595217.75</v>
      </c>
      <c r="AE104" s="83">
        <v>2.61948412599048E-5</v>
      </c>
    </row>
    <row r="105" spans="2:31" x14ac:dyDescent="0.2">
      <c r="B105" s="83">
        <v>266524927972729.41</v>
      </c>
      <c r="C105" s="83">
        <v>8.4838534307400573E-5</v>
      </c>
      <c r="D105" s="83">
        <v>276799508721816.37</v>
      </c>
      <c r="E105" s="83">
        <v>8.4241819421687183E-5</v>
      </c>
      <c r="F105" s="83">
        <v>256752133681486.19</v>
      </c>
      <c r="G105" s="83">
        <v>8.0814186694720016E-5</v>
      </c>
      <c r="H105" s="83">
        <v>217759479851157.37</v>
      </c>
      <c r="I105" s="83">
        <v>6.9991162851123646E-5</v>
      </c>
      <c r="J105" s="83">
        <v>211598547822666.16</v>
      </c>
      <c r="K105" s="83">
        <v>6.6578394034959553E-5</v>
      </c>
      <c r="L105" s="83">
        <v>190994610573404.41</v>
      </c>
      <c r="M105" s="83">
        <v>6.1974286941864895E-5</v>
      </c>
      <c r="N105" s="83">
        <v>181588138219792.22</v>
      </c>
      <c r="O105" s="83">
        <v>5.7835896087972417E-5</v>
      </c>
      <c r="P105" s="83">
        <v>162237195763575.47</v>
      </c>
      <c r="Q105" s="83">
        <v>5.0617530757285697E-5</v>
      </c>
      <c r="R105" s="83">
        <v>142847346202554.09</v>
      </c>
      <c r="S105" s="83">
        <v>4.4730553574043342E-5</v>
      </c>
      <c r="T105" s="83">
        <v>135325000017123.12</v>
      </c>
      <c r="U105" s="83">
        <v>4.3103146086015569E-5</v>
      </c>
      <c r="V105" s="83">
        <v>124432487391425.8</v>
      </c>
      <c r="W105" s="83">
        <v>3.9490522587345796E-5</v>
      </c>
      <c r="X105" s="83">
        <v>102934311030037.52</v>
      </c>
      <c r="Y105" s="83">
        <v>3.3465219586121102E-5</v>
      </c>
      <c r="Z105" s="83">
        <v>96057000116639.734</v>
      </c>
      <c r="AA105" s="83">
        <v>3.1009177625520697E-5</v>
      </c>
      <c r="AB105" s="83">
        <v>85552686623503.812</v>
      </c>
      <c r="AC105" s="83">
        <v>2.8422072266602838E-5</v>
      </c>
      <c r="AD105" s="83">
        <v>79560903440725.891</v>
      </c>
      <c r="AE105" s="83">
        <v>2.5787309777088101E-5</v>
      </c>
    </row>
    <row r="106" spans="2:31" x14ac:dyDescent="0.2">
      <c r="B106" s="83">
        <v>245112399890754.22</v>
      </c>
      <c r="C106" s="83">
        <v>8.2421667707343371E-5</v>
      </c>
      <c r="D106" s="83">
        <v>261107309623766.81</v>
      </c>
      <c r="E106" s="83">
        <v>8.4123786043063424E-5</v>
      </c>
      <c r="F106" s="83">
        <v>232571726795397.41</v>
      </c>
      <c r="G106" s="83">
        <v>7.7312536672438377E-5</v>
      </c>
      <c r="H106" s="83">
        <v>206836069815326.53</v>
      </c>
      <c r="I106" s="83">
        <v>7.0169900070714587E-5</v>
      </c>
      <c r="J106" s="83">
        <v>192399159958369</v>
      </c>
      <c r="K106" s="83">
        <v>6.3990754949850805E-5</v>
      </c>
      <c r="L106" s="83">
        <v>179089738101317.94</v>
      </c>
      <c r="M106" s="83">
        <v>6.1406103319152646E-5</v>
      </c>
      <c r="N106" s="83">
        <v>166112148457633.81</v>
      </c>
      <c r="O106" s="83">
        <v>5.6112085414351062E-5</v>
      </c>
      <c r="P106" s="83">
        <v>150228433341766.37</v>
      </c>
      <c r="Q106" s="83">
        <v>4.9617893176511257E-5</v>
      </c>
      <c r="R106" s="83">
        <v>138758170900629.03</v>
      </c>
      <c r="S106" s="83">
        <v>4.5900123510926073E-5</v>
      </c>
      <c r="T106" s="83">
        <v>125861477497914.34</v>
      </c>
      <c r="U106" s="83">
        <v>4.2583487530701379E-5</v>
      </c>
      <c r="V106" s="83">
        <v>113522547592569.91</v>
      </c>
      <c r="W106" s="83">
        <v>3.812132167041941E-5</v>
      </c>
      <c r="X106" s="83">
        <v>94387739495072.484</v>
      </c>
      <c r="Y106" s="83">
        <v>3.2521298349352028E-5</v>
      </c>
      <c r="Z106" s="83">
        <v>94131210352739.734</v>
      </c>
      <c r="AA106" s="83">
        <v>3.2211497228649463E-5</v>
      </c>
      <c r="AB106" s="83">
        <v>81268620332211.406</v>
      </c>
      <c r="AC106" s="83">
        <v>2.8479564051928299E-5</v>
      </c>
      <c r="AD106" s="83">
        <v>74737884917894.734</v>
      </c>
      <c r="AE106" s="83">
        <v>2.5682532025901838E-5</v>
      </c>
    </row>
    <row r="107" spans="2:31" x14ac:dyDescent="0.2">
      <c r="B107" s="83">
        <v>232634302016214.06</v>
      </c>
      <c r="C107" s="83">
        <v>8.2559429672111564E-5</v>
      </c>
      <c r="D107" s="83">
        <v>241288074262897.5</v>
      </c>
      <c r="E107" s="83">
        <v>8.2182299401460215E-5</v>
      </c>
      <c r="F107" s="83">
        <v>214348292725204.87</v>
      </c>
      <c r="G107" s="83">
        <v>7.5736923309634987E-5</v>
      </c>
      <c r="H107" s="83">
        <v>189804487253711.22</v>
      </c>
      <c r="I107" s="83">
        <v>6.8138379537086496E-5</v>
      </c>
      <c r="J107" s="83">
        <v>185243388440048.12</v>
      </c>
      <c r="K107" s="83">
        <v>6.5138461376464159E-5</v>
      </c>
      <c r="L107" s="83">
        <v>162819575027946.78</v>
      </c>
      <c r="M107" s="83">
        <v>5.9248313142820477E-5</v>
      </c>
      <c r="N107" s="83">
        <v>158099267300373.44</v>
      </c>
      <c r="O107" s="83">
        <v>5.6386837581970854E-5</v>
      </c>
      <c r="P107" s="83">
        <v>143756174971715.28</v>
      </c>
      <c r="Q107" s="83">
        <v>5.0760552179415373E-5</v>
      </c>
      <c r="R107" s="83">
        <v>131594958844147.55</v>
      </c>
      <c r="S107" s="83">
        <v>4.5771914596838334E-5</v>
      </c>
      <c r="T107" s="83">
        <v>116937952330020.64</v>
      </c>
      <c r="U107" s="83">
        <v>4.1947033684344881E-5</v>
      </c>
      <c r="V107" s="83">
        <v>106995126883152.05</v>
      </c>
      <c r="W107" s="83">
        <v>3.7830535056575261E-5</v>
      </c>
      <c r="X107" s="83">
        <v>92431966129225.641</v>
      </c>
      <c r="Y107" s="83">
        <v>3.3509650015170189E-5</v>
      </c>
      <c r="Z107" s="83">
        <v>85423704841269.766</v>
      </c>
      <c r="AA107" s="83">
        <v>3.0901789641635419E-5</v>
      </c>
      <c r="AB107" s="83">
        <v>76700898651127.172</v>
      </c>
      <c r="AC107" s="83">
        <v>2.8726460698647253E-5</v>
      </c>
      <c r="AD107" s="83">
        <v>66696097344369.047</v>
      </c>
      <c r="AE107" s="83">
        <v>2.4301524806615893E-5</v>
      </c>
    </row>
    <row r="108" spans="2:31" x14ac:dyDescent="0.2">
      <c r="B108" s="83">
        <v>211699981235306.81</v>
      </c>
      <c r="C108" s="83">
        <v>7.9876552798518907E-5</v>
      </c>
      <c r="D108" s="83">
        <v>229810936099186.66</v>
      </c>
      <c r="E108" s="83">
        <v>8.3229735477420677E-5</v>
      </c>
      <c r="F108" s="83">
        <v>202657143747905</v>
      </c>
      <c r="G108" s="83">
        <v>7.6309968713046211E-5</v>
      </c>
      <c r="H108" s="83">
        <v>184076982152645.59</v>
      </c>
      <c r="I108" s="83">
        <v>6.9475421212019021E-5</v>
      </c>
      <c r="J108" s="83">
        <v>168711258786069.19</v>
      </c>
      <c r="K108" s="83">
        <v>6.3252186718899047E-5</v>
      </c>
      <c r="L108" s="83">
        <v>158693369747926.56</v>
      </c>
      <c r="M108" s="83">
        <v>6.1166890202767827E-5</v>
      </c>
      <c r="N108" s="83">
        <v>151580243216627.69</v>
      </c>
      <c r="O108" s="83">
        <v>5.7362957148301214E-5</v>
      </c>
      <c r="P108" s="83">
        <v>136002322541517.87</v>
      </c>
      <c r="Q108" s="83">
        <v>5.0415617215755167E-5</v>
      </c>
      <c r="R108" s="83">
        <v>119463116247691.34</v>
      </c>
      <c r="S108" s="83">
        <v>4.4000270521459961E-5</v>
      </c>
      <c r="T108" s="83">
        <v>110344923312771.69</v>
      </c>
      <c r="U108" s="83">
        <v>4.1892141505804122E-5</v>
      </c>
      <c r="V108" s="83">
        <v>99360267440736.5</v>
      </c>
      <c r="W108" s="83">
        <v>3.7251561637489913E-5</v>
      </c>
      <c r="X108" s="83">
        <v>84187005591679.812</v>
      </c>
      <c r="Y108" s="83">
        <v>3.2581908786918208E-5</v>
      </c>
      <c r="Z108" s="83">
        <v>80874828278731.484</v>
      </c>
      <c r="AA108" s="83">
        <v>3.1032487787745048E-5</v>
      </c>
      <c r="AB108" s="83">
        <v>71793950427176.062</v>
      </c>
      <c r="AC108" s="83">
        <v>2.811133160146693E-5</v>
      </c>
      <c r="AD108" s="83">
        <v>62652575888201.508</v>
      </c>
      <c r="AE108" s="83">
        <v>2.4104167491341043E-5</v>
      </c>
    </row>
    <row r="109" spans="2:31" x14ac:dyDescent="0.2">
      <c r="B109" s="83">
        <v>196912697909569.75</v>
      </c>
      <c r="C109" s="83">
        <v>7.8704462397159215E-5</v>
      </c>
      <c r="D109" s="83">
        <v>211186764424177.25</v>
      </c>
      <c r="E109" s="83">
        <v>8.0720440675904607E-5</v>
      </c>
      <c r="F109" s="83">
        <v>195082638591215.12</v>
      </c>
      <c r="G109" s="83">
        <v>7.8098536434711643E-5</v>
      </c>
      <c r="H109" s="83">
        <v>167335618608948.41</v>
      </c>
      <c r="I109" s="83">
        <v>6.6719806077949895E-5</v>
      </c>
      <c r="J109" s="83">
        <v>156437744249175.62</v>
      </c>
      <c r="K109" s="83">
        <v>6.1824054108800038E-5</v>
      </c>
      <c r="L109" s="83">
        <v>142145512768040.22</v>
      </c>
      <c r="M109" s="83">
        <v>5.7827843198207959E-5</v>
      </c>
      <c r="N109" s="83">
        <v>136596623410283.62</v>
      </c>
      <c r="O109" s="83">
        <v>5.4617248860683887E-5</v>
      </c>
      <c r="P109" s="83">
        <v>125083228794618.34</v>
      </c>
      <c r="Q109" s="83">
        <v>4.9018141013641435E-5</v>
      </c>
      <c r="R109" s="83">
        <v>109805287314542</v>
      </c>
      <c r="S109" s="83">
        <v>4.2829606064606364E-5</v>
      </c>
      <c r="T109" s="83">
        <v>99642733194221.953</v>
      </c>
      <c r="U109" s="83">
        <v>4.0206752687338253E-5</v>
      </c>
      <c r="V109" s="83">
        <v>92017904628778.25</v>
      </c>
      <c r="W109" s="83">
        <v>3.6685534386214904E-5</v>
      </c>
      <c r="X109" s="83">
        <v>79302238970013.344</v>
      </c>
      <c r="Y109" s="83">
        <v>3.2337650443747412E-5</v>
      </c>
      <c r="Z109" s="83">
        <v>77456685071983.094</v>
      </c>
      <c r="AA109" s="83">
        <v>3.1626443735066918E-5</v>
      </c>
      <c r="AB109" s="83">
        <v>69826267168428.734</v>
      </c>
      <c r="AC109" s="83">
        <v>2.8657587365389711E-5</v>
      </c>
      <c r="AD109" s="83">
        <v>60445141227830.18</v>
      </c>
      <c r="AE109" s="83">
        <v>2.4801956403011887E-5</v>
      </c>
    </row>
    <row r="110" spans="2:31" x14ac:dyDescent="0.2">
      <c r="B110" s="83">
        <v>184908478521158.87</v>
      </c>
      <c r="C110" s="83">
        <v>7.8887733200076654E-5</v>
      </c>
      <c r="D110" s="83">
        <v>194670433328543.53</v>
      </c>
      <c r="E110" s="83">
        <v>7.8664493314102449E-5</v>
      </c>
      <c r="F110" s="83">
        <v>176946353513966.53</v>
      </c>
      <c r="G110" s="83">
        <v>7.4485524605606083E-5</v>
      </c>
      <c r="H110" s="83">
        <v>153931750913514.56</v>
      </c>
      <c r="I110" s="83">
        <v>6.4512631194850518E-5</v>
      </c>
      <c r="J110" s="83">
        <v>145929899088089.16</v>
      </c>
      <c r="K110" s="83">
        <v>6.1645712009603359E-5</v>
      </c>
      <c r="L110" s="83">
        <v>134099274977927.56</v>
      </c>
      <c r="M110" s="83">
        <v>5.7180924732657118E-5</v>
      </c>
      <c r="N110" s="83">
        <v>131387581499606.42</v>
      </c>
      <c r="O110" s="83">
        <v>5.5284464991082403E-5</v>
      </c>
      <c r="P110" s="83">
        <v>118835412267096.89</v>
      </c>
      <c r="Q110" s="83">
        <v>4.9046404864548019E-5</v>
      </c>
      <c r="R110" s="83">
        <v>103222522325312.64</v>
      </c>
      <c r="S110" s="83">
        <v>4.3306635022581003E-5</v>
      </c>
      <c r="T110" s="83">
        <v>97968152029651.25</v>
      </c>
      <c r="U110" s="83">
        <v>4.1460952914742129E-5</v>
      </c>
      <c r="V110" s="83">
        <v>89690522206475.609</v>
      </c>
      <c r="W110" s="83">
        <v>3.7583911184049263E-5</v>
      </c>
      <c r="X110" s="83">
        <v>75754241202081.687</v>
      </c>
      <c r="Y110" s="83">
        <v>3.2692300963741984E-5</v>
      </c>
      <c r="Z110" s="83">
        <v>72210430141149.297</v>
      </c>
      <c r="AA110" s="83">
        <v>3.0830163024551494E-5</v>
      </c>
      <c r="AB110" s="83">
        <v>60592948459446.578</v>
      </c>
      <c r="AC110" s="83">
        <v>2.6638675776931374E-5</v>
      </c>
      <c r="AD110" s="83">
        <v>56165648103643.586</v>
      </c>
      <c r="AE110" s="83">
        <v>2.4212012803530742E-5</v>
      </c>
    </row>
    <row r="111" spans="2:31" x14ac:dyDescent="0.2">
      <c r="B111" s="83">
        <v>171813415544739.81</v>
      </c>
      <c r="C111" s="83">
        <v>7.7155444055959662E-5</v>
      </c>
      <c r="D111" s="83">
        <v>184568546432876.25</v>
      </c>
      <c r="E111" s="83">
        <v>7.9617466238206619E-5</v>
      </c>
      <c r="F111" s="83">
        <v>170493616253915.34</v>
      </c>
      <c r="G111" s="83">
        <v>7.6055086801381854E-5</v>
      </c>
      <c r="H111" s="83">
        <v>139555487868430.03</v>
      </c>
      <c r="I111" s="83">
        <v>6.3059096543229175E-5</v>
      </c>
      <c r="J111" s="83">
        <v>139359702491525.98</v>
      </c>
      <c r="K111" s="83">
        <v>6.2347207326384269E-5</v>
      </c>
      <c r="L111" s="83">
        <v>126251495196398.12</v>
      </c>
      <c r="M111" s="83">
        <v>5.8249901724527326E-5</v>
      </c>
      <c r="N111" s="83">
        <v>118790353216772.84</v>
      </c>
      <c r="O111" s="83">
        <v>5.3011219335742092E-5</v>
      </c>
      <c r="P111" s="83">
        <v>105920509348676.73</v>
      </c>
      <c r="Q111" s="83">
        <v>4.6699112890181457E-5</v>
      </c>
      <c r="R111" s="83">
        <v>99750897063542.047</v>
      </c>
      <c r="S111" s="83">
        <v>4.3719015922940483E-5</v>
      </c>
      <c r="T111" s="83">
        <v>90965919051070.734</v>
      </c>
      <c r="U111" s="83">
        <v>4.1037820993627059E-5</v>
      </c>
      <c r="V111" s="83">
        <v>84143122718282</v>
      </c>
      <c r="W111" s="83">
        <v>3.7727252204722045E-5</v>
      </c>
      <c r="X111" s="83">
        <v>73151072252442.875</v>
      </c>
      <c r="Y111" s="83">
        <v>3.3326096151545268E-5</v>
      </c>
      <c r="Z111" s="83">
        <v>65717215797741.219</v>
      </c>
      <c r="AA111" s="83">
        <v>2.9785458387482791E-5</v>
      </c>
      <c r="AB111" s="83">
        <v>57118737344461.43</v>
      </c>
      <c r="AC111" s="83">
        <v>2.701431434600079E-5</v>
      </c>
      <c r="AD111" s="83">
        <v>51091678503776.875</v>
      </c>
      <c r="AE111" s="83">
        <v>2.3295408756966734E-5</v>
      </c>
    </row>
    <row r="112" spans="2:31" x14ac:dyDescent="0.2">
      <c r="B112" s="83">
        <v>162206366336380.03</v>
      </c>
      <c r="C112" s="83">
        <v>7.7698228840337617E-5</v>
      </c>
      <c r="D112" s="83">
        <v>173979078842119.16</v>
      </c>
      <c r="E112" s="83">
        <v>7.8695689026857276E-5</v>
      </c>
      <c r="F112" s="83">
        <v>157299427420251.97</v>
      </c>
      <c r="G112" s="83">
        <v>7.4743001444321102E-5</v>
      </c>
      <c r="H112" s="83">
        <v>134276374807682.67</v>
      </c>
      <c r="I112" s="83">
        <v>6.4797309859505821E-5</v>
      </c>
      <c r="J112" s="83">
        <v>129224374865027.84</v>
      </c>
      <c r="K112" s="83">
        <v>6.1277380320511388E-5</v>
      </c>
      <c r="L112" s="83">
        <v>115271726648307.77</v>
      </c>
      <c r="M112" s="83">
        <v>5.6091205379170392E-5</v>
      </c>
      <c r="N112" s="83">
        <v>111962238676673.53</v>
      </c>
      <c r="O112" s="83">
        <v>5.3269166411033026E-5</v>
      </c>
      <c r="P112" s="83">
        <v>102672141759923.03</v>
      </c>
      <c r="Q112" s="83">
        <v>4.7867735089359338E-5</v>
      </c>
      <c r="R112" s="83">
        <v>92890529036053.187</v>
      </c>
      <c r="S112" s="83">
        <v>4.3084075750067029E-5</v>
      </c>
      <c r="T112" s="83">
        <v>82029853455164.141</v>
      </c>
      <c r="U112" s="83">
        <v>3.9441728313386519E-5</v>
      </c>
      <c r="V112" s="83">
        <v>75236340194163.453</v>
      </c>
      <c r="W112" s="83">
        <v>3.536641677108524E-5</v>
      </c>
      <c r="X112" s="83">
        <v>62939605360227.797</v>
      </c>
      <c r="Y112" s="83">
        <v>3.0593473263971398E-5</v>
      </c>
      <c r="Z112" s="83">
        <v>63097214957383.539</v>
      </c>
      <c r="AA112" s="83">
        <v>3.0392155243591335E-5</v>
      </c>
      <c r="AB112" s="83">
        <v>55325390431413.562</v>
      </c>
      <c r="AC112" s="83">
        <v>2.7609514079930968E-5</v>
      </c>
      <c r="AD112" s="83">
        <v>48994229251402.117</v>
      </c>
      <c r="AE112" s="83">
        <v>2.3528223624119428E-5</v>
      </c>
    </row>
    <row r="113" spans="2:31" x14ac:dyDescent="0.2">
      <c r="B113" s="83">
        <v>147382273817268.91</v>
      </c>
      <c r="C113" s="83">
        <v>7.5530469813184996E-5</v>
      </c>
      <c r="D113" s="83">
        <v>156749134673319.16</v>
      </c>
      <c r="E113" s="83">
        <v>7.4990090681192127E-5</v>
      </c>
      <c r="F113" s="83">
        <v>145402782400492.56</v>
      </c>
      <c r="G113" s="83">
        <v>7.2400355698790908E-5</v>
      </c>
      <c r="H113" s="83">
        <v>124102196231606.17</v>
      </c>
      <c r="I113" s="83">
        <v>6.299517013338396E-5</v>
      </c>
      <c r="J113" s="83">
        <v>117130611164694.02</v>
      </c>
      <c r="K113" s="83">
        <v>5.9276788915897697E-5</v>
      </c>
      <c r="L113" s="83">
        <v>112821133761799.14</v>
      </c>
      <c r="M113" s="83">
        <v>5.7851860402645925E-5</v>
      </c>
      <c r="N113" s="83">
        <v>107086253819438.64</v>
      </c>
      <c r="O113" s="83">
        <v>5.3368450160820141E-5</v>
      </c>
      <c r="P113" s="83">
        <v>97673680543651.562</v>
      </c>
      <c r="Q113" s="83">
        <v>4.8082326500991477E-5</v>
      </c>
      <c r="R113" s="83">
        <v>83615268138933.234</v>
      </c>
      <c r="S113" s="83">
        <v>4.1373072870497883E-5</v>
      </c>
      <c r="T113" s="83">
        <v>76556921986631.344</v>
      </c>
      <c r="U113" s="83">
        <v>3.846863946158187E-5</v>
      </c>
      <c r="V113" s="83">
        <v>72591142715369.359</v>
      </c>
      <c r="W113" s="83">
        <v>3.6354150259216119E-5</v>
      </c>
      <c r="X113" s="83">
        <v>59982409643848.883</v>
      </c>
      <c r="Y113" s="83">
        <v>3.103321266768139E-5</v>
      </c>
      <c r="Z113" s="83">
        <v>59473105271969.867</v>
      </c>
      <c r="AA113" s="83">
        <v>3.0468207286526834E-5</v>
      </c>
      <c r="AB113" s="83">
        <v>53504031258705.664</v>
      </c>
      <c r="AC113" s="83">
        <v>2.8583111512027667E-5</v>
      </c>
      <c r="AD113" s="83">
        <v>48038648240570.648</v>
      </c>
      <c r="AE113" s="83">
        <v>2.4466661580645691E-5</v>
      </c>
    </row>
    <row r="114" spans="2:31" x14ac:dyDescent="0.2">
      <c r="B114" s="83">
        <v>145707834286136.5</v>
      </c>
      <c r="C114" s="83">
        <v>7.9105224010386503E-5</v>
      </c>
      <c r="D114" s="83">
        <v>147584683130244.37</v>
      </c>
      <c r="E114" s="83">
        <v>7.6378396700954007E-5</v>
      </c>
      <c r="F114" s="83">
        <v>134507911799017.36</v>
      </c>
      <c r="G114" s="83">
        <v>7.1555039771055266E-5</v>
      </c>
      <c r="H114" s="83">
        <v>118880655266080.42</v>
      </c>
      <c r="I114" s="83">
        <v>6.3888982337693159E-5</v>
      </c>
      <c r="J114" s="83">
        <v>115580568839978.28</v>
      </c>
      <c r="K114" s="83">
        <v>6.2613767538658571E-5</v>
      </c>
      <c r="L114" s="83">
        <v>105179608751525.75</v>
      </c>
      <c r="M114" s="83">
        <v>5.7778295993532542E-5</v>
      </c>
      <c r="N114" s="83">
        <v>103464714058290.64</v>
      </c>
      <c r="O114" s="83">
        <v>5.5878674028425179E-5</v>
      </c>
      <c r="P114" s="83">
        <v>85801910421263.047</v>
      </c>
      <c r="Q114" s="83">
        <v>4.4561541953726087E-5</v>
      </c>
      <c r="R114" s="83">
        <v>79060241501571.359</v>
      </c>
      <c r="S114" s="83">
        <v>4.1732984234665943E-5</v>
      </c>
      <c r="T114" s="83">
        <v>71010918003856.469</v>
      </c>
      <c r="U114" s="83">
        <v>3.8336829891974199E-5</v>
      </c>
      <c r="V114" s="83">
        <v>66444964042900.617</v>
      </c>
      <c r="W114" s="83">
        <v>3.5593179731830984E-5</v>
      </c>
      <c r="X114" s="83">
        <v>58650412104931.562</v>
      </c>
      <c r="Y114" s="83">
        <v>3.189050102146487E-5</v>
      </c>
      <c r="Z114" s="83">
        <v>55028708126304.141</v>
      </c>
      <c r="AA114" s="83">
        <v>3.0012098645452246E-5</v>
      </c>
      <c r="AB114" s="83">
        <v>47616159672498.5</v>
      </c>
      <c r="AC114" s="83">
        <v>2.6880267477429532E-5</v>
      </c>
      <c r="AD114" s="83">
        <v>42095891208204.227</v>
      </c>
      <c r="AE114" s="83">
        <v>2.2943046524707928E-5</v>
      </c>
    </row>
    <row r="115" spans="2:31" x14ac:dyDescent="0.2">
      <c r="B115" s="83">
        <v>141004434142800.47</v>
      </c>
      <c r="C115" s="83">
        <v>8.1123450659448062E-5</v>
      </c>
      <c r="D115" s="83">
        <v>140821941518923.78</v>
      </c>
      <c r="E115" s="83">
        <v>7.6704771514154608E-5</v>
      </c>
      <c r="F115" s="83">
        <v>122741049603754.33</v>
      </c>
      <c r="G115" s="83">
        <v>6.932965478427453E-5</v>
      </c>
      <c r="H115" s="83">
        <v>105671617788163.52</v>
      </c>
      <c r="I115" s="83">
        <v>6.0180245877402074E-5</v>
      </c>
      <c r="J115" s="83">
        <v>111396645479359.98</v>
      </c>
      <c r="K115" s="83">
        <v>6.370966713955616E-5</v>
      </c>
      <c r="L115" s="83">
        <v>92695983221447.312</v>
      </c>
      <c r="M115" s="83">
        <v>5.3920482267402708E-5</v>
      </c>
      <c r="N115" s="83">
        <v>91307693981123.5</v>
      </c>
      <c r="O115" s="83">
        <v>5.1854214139252942E-5</v>
      </c>
      <c r="P115" s="83">
        <v>82472948608596.953</v>
      </c>
      <c r="Q115" s="83">
        <v>4.5431026599738423E-5</v>
      </c>
      <c r="R115" s="83">
        <v>77488657367638.656</v>
      </c>
      <c r="S115" s="83">
        <v>4.3360935994923344E-5</v>
      </c>
      <c r="T115" s="83">
        <v>65088061504272.578</v>
      </c>
      <c r="U115" s="83">
        <v>3.7473946414539991E-5</v>
      </c>
      <c r="V115" s="83">
        <v>61909106846947.703</v>
      </c>
      <c r="W115" s="83">
        <v>3.5201895976138636E-5</v>
      </c>
      <c r="X115" s="83">
        <v>56051865693215.828</v>
      </c>
      <c r="Y115" s="83">
        <v>3.2514466229363324E-5</v>
      </c>
      <c r="Z115" s="83">
        <v>50982242583159.102</v>
      </c>
      <c r="AA115" s="83">
        <v>2.9526562981796101E-5</v>
      </c>
      <c r="AB115" s="83">
        <v>46535793880263.266</v>
      </c>
      <c r="AC115" s="83">
        <v>2.7600039655093089E-5</v>
      </c>
      <c r="AD115" s="83">
        <v>37483466503572.437</v>
      </c>
      <c r="AE115" s="83">
        <v>2.1710888661758581E-5</v>
      </c>
    </row>
    <row r="116" spans="2:31" x14ac:dyDescent="0.2">
      <c r="B116" s="83">
        <v>123232899393867.53</v>
      </c>
      <c r="C116" s="83">
        <v>7.4569904240782156E-5</v>
      </c>
      <c r="D116" s="83">
        <v>133630728632303.33</v>
      </c>
      <c r="E116" s="83">
        <v>7.7682318963400159E-5</v>
      </c>
      <c r="F116" s="83">
        <v>116361908325426.7</v>
      </c>
      <c r="G116" s="83">
        <v>7.1556488746471751E-5</v>
      </c>
      <c r="H116" s="83">
        <v>100347082444648.72</v>
      </c>
      <c r="I116" s="83">
        <v>6.0478405618546203E-5</v>
      </c>
      <c r="J116" s="83">
        <v>104167581305620.12</v>
      </c>
      <c r="K116" s="83">
        <v>6.3038685621357501E-5</v>
      </c>
      <c r="L116" s="83">
        <v>89515324304030.25</v>
      </c>
      <c r="M116" s="83">
        <v>5.5671175201106298E-5</v>
      </c>
      <c r="N116" s="83">
        <v>90519182546084.656</v>
      </c>
      <c r="O116" s="83">
        <v>5.3855599999339958E-5</v>
      </c>
      <c r="P116" s="83">
        <v>76713253981874.469</v>
      </c>
      <c r="Q116" s="83">
        <v>4.4919752787949667E-5</v>
      </c>
      <c r="R116" s="83">
        <v>71889025978833.641</v>
      </c>
      <c r="S116" s="83">
        <v>4.2743729085619854E-5</v>
      </c>
      <c r="T116" s="83">
        <v>60041015397891.203</v>
      </c>
      <c r="U116" s="83">
        <v>3.6845277452902948E-5</v>
      </c>
      <c r="V116" s="83">
        <v>56447396279682.508</v>
      </c>
      <c r="W116" s="83">
        <v>3.449476000824402E-5</v>
      </c>
      <c r="X116" s="83">
        <v>46930775317628.625</v>
      </c>
      <c r="Y116" s="83">
        <v>2.9225385227530643E-5</v>
      </c>
      <c r="Z116" s="83">
        <v>49218272765353.461</v>
      </c>
      <c r="AA116" s="83">
        <v>3.0461957943549221E-5</v>
      </c>
      <c r="AB116" s="83">
        <v>44290348394724.859</v>
      </c>
      <c r="AC116" s="83">
        <v>2.802261711934116E-5</v>
      </c>
      <c r="AD116" s="83">
        <v>38251955946262.953</v>
      </c>
      <c r="AE116" s="83">
        <v>2.357512119081028E-5</v>
      </c>
    </row>
    <row r="117" spans="2:31" x14ac:dyDescent="0.2">
      <c r="B117" s="83">
        <v>112936346413816.11</v>
      </c>
      <c r="C117" s="83">
        <v>7.2782527206524946E-5</v>
      </c>
      <c r="D117" s="83">
        <v>117229282420828</v>
      </c>
      <c r="E117" s="83">
        <v>7.2512528041581095E-5</v>
      </c>
      <c r="F117" s="83">
        <v>109341904239309.03</v>
      </c>
      <c r="G117" s="83">
        <v>7.0855973936865968E-5</v>
      </c>
      <c r="H117" s="83">
        <v>91928609627271.656</v>
      </c>
      <c r="I117" s="83">
        <v>5.9334879924206176E-5</v>
      </c>
      <c r="J117" s="83">
        <v>90955950893150.422</v>
      </c>
      <c r="K117" s="83">
        <v>5.8055915384348879E-5</v>
      </c>
      <c r="L117" s="83">
        <v>85161399132810.937</v>
      </c>
      <c r="M117" s="83">
        <v>5.5786194244541625E-5</v>
      </c>
      <c r="N117" s="83">
        <v>84398207337516.203</v>
      </c>
      <c r="O117" s="83">
        <v>5.4756007882773097E-5</v>
      </c>
      <c r="P117" s="83">
        <v>70657640809805.422</v>
      </c>
      <c r="Q117" s="83">
        <v>4.4352294499180567E-5</v>
      </c>
      <c r="R117" s="83">
        <v>60617206574669.852</v>
      </c>
      <c r="S117" s="83">
        <v>3.8148740167455106E-5</v>
      </c>
      <c r="T117" s="83">
        <v>57385590122216.516</v>
      </c>
      <c r="U117" s="83">
        <v>3.7252406745458578E-5</v>
      </c>
      <c r="V117" s="83">
        <v>54841635399100.062</v>
      </c>
      <c r="W117" s="83">
        <v>3.580346251737864E-5</v>
      </c>
      <c r="X117" s="83">
        <v>46119771253025.953</v>
      </c>
      <c r="Y117" s="83">
        <v>3.0412011152044277E-5</v>
      </c>
      <c r="Z117" s="83">
        <v>41103067870416.336</v>
      </c>
      <c r="AA117" s="83">
        <v>2.6735253231195023E-5</v>
      </c>
      <c r="AB117" s="83">
        <v>39687987298046.57</v>
      </c>
      <c r="AC117" s="83">
        <v>2.6661508244448614E-5</v>
      </c>
      <c r="AD117" s="83">
        <v>36609048149113.391</v>
      </c>
      <c r="AE117" s="83">
        <v>2.3873916164264329E-5</v>
      </c>
    </row>
    <row r="118" spans="2:31" x14ac:dyDescent="0.2">
      <c r="B118" s="83">
        <v>112035602696506.33</v>
      </c>
      <c r="C118" s="83">
        <v>7.650675765296664E-5</v>
      </c>
      <c r="D118" s="83">
        <v>113729290705159.66</v>
      </c>
      <c r="E118" s="83">
        <v>7.3785027292904481E-5</v>
      </c>
      <c r="F118" s="83">
        <v>105306356109385.41</v>
      </c>
      <c r="G118" s="83">
        <v>7.2912292362982086E-5</v>
      </c>
      <c r="H118" s="83">
        <v>83134132529936.016</v>
      </c>
      <c r="I118" s="83">
        <v>5.7399509718357085E-5</v>
      </c>
      <c r="J118" s="83">
        <v>88892576188929.953</v>
      </c>
      <c r="K118" s="83">
        <v>6.0927855727619557E-5</v>
      </c>
      <c r="L118" s="83">
        <v>81884600988492.406</v>
      </c>
      <c r="M118" s="83">
        <v>5.7461815014478206E-5</v>
      </c>
      <c r="N118" s="83">
        <v>79670057536120</v>
      </c>
      <c r="O118" s="83">
        <v>5.3959082455123061E-5</v>
      </c>
      <c r="P118" s="83">
        <v>62048361756023.055</v>
      </c>
      <c r="Q118" s="83">
        <v>4.139078519511802E-5</v>
      </c>
      <c r="R118" s="83">
        <v>60053894202365.078</v>
      </c>
      <c r="S118" s="83">
        <v>4.0864663915682305E-5</v>
      </c>
      <c r="T118" s="83">
        <v>54351707466836.094</v>
      </c>
      <c r="U118" s="83">
        <v>3.7372700887978658E-5</v>
      </c>
      <c r="V118" s="83">
        <v>52558278399165.234</v>
      </c>
      <c r="W118" s="83">
        <v>3.5592738840319736E-5</v>
      </c>
      <c r="X118" s="83">
        <v>43979139131170.687</v>
      </c>
      <c r="Y118" s="83">
        <v>3.1396926113164817E-5</v>
      </c>
      <c r="Z118" s="83">
        <v>39128748919764.375</v>
      </c>
      <c r="AA118" s="83">
        <v>2.7397408454352974E-5</v>
      </c>
      <c r="AB118" s="83">
        <v>36848615617834.281</v>
      </c>
      <c r="AC118" s="83">
        <v>2.5924039058135731E-5</v>
      </c>
      <c r="AD118" s="83">
        <v>33192264130555.344</v>
      </c>
      <c r="AE118" s="83">
        <v>2.2766307418037876E-5</v>
      </c>
    </row>
    <row r="119" spans="2:31" x14ac:dyDescent="0.2">
      <c r="B119" s="83">
        <v>103351717388328.14</v>
      </c>
      <c r="C119" s="83">
        <v>7.637824560674125E-5</v>
      </c>
      <c r="D119" s="83">
        <v>108940711956607.53</v>
      </c>
      <c r="E119" s="83">
        <v>7.6223607624981775E-5</v>
      </c>
      <c r="F119" s="83">
        <v>93380110162650.328</v>
      </c>
      <c r="G119" s="83">
        <v>6.8581894331176511E-5</v>
      </c>
      <c r="H119" s="83">
        <v>84165425692132.922</v>
      </c>
      <c r="I119" s="83">
        <v>6.2912232321310908E-5</v>
      </c>
      <c r="J119" s="83">
        <v>87654629858479.859</v>
      </c>
      <c r="K119" s="83">
        <v>6.3954287540874999E-5</v>
      </c>
      <c r="L119" s="83">
        <v>72791156582634.547</v>
      </c>
      <c r="M119" s="83">
        <v>5.4394029793708429E-5</v>
      </c>
      <c r="N119" s="83">
        <v>73553612815862.266</v>
      </c>
      <c r="O119" s="83">
        <v>5.304727930676076E-5</v>
      </c>
      <c r="P119" s="83">
        <v>59705221387564.297</v>
      </c>
      <c r="Q119" s="83">
        <v>4.270240557873003E-5</v>
      </c>
      <c r="R119" s="83">
        <v>56031097072688.875</v>
      </c>
      <c r="S119" s="83">
        <v>4.0156244298637038E-5</v>
      </c>
      <c r="T119" s="83">
        <v>51091174277911.992</v>
      </c>
      <c r="U119" s="83">
        <v>3.7298038104171119E-5</v>
      </c>
      <c r="V119" s="83">
        <v>49633459283911.367</v>
      </c>
      <c r="W119" s="83">
        <v>3.6095691079722845E-5</v>
      </c>
      <c r="X119" s="83">
        <v>42065964245424.648</v>
      </c>
      <c r="Y119" s="83">
        <v>3.1428200889418047E-5</v>
      </c>
      <c r="Z119" s="83">
        <v>37792647735136.43</v>
      </c>
      <c r="AA119" s="83">
        <v>2.8294440774782403E-5</v>
      </c>
      <c r="AB119" s="83">
        <v>35259086834375.078</v>
      </c>
      <c r="AC119" s="83">
        <v>2.6839986170368753E-5</v>
      </c>
      <c r="AD119" s="83">
        <v>28851351464204.613</v>
      </c>
      <c r="AE119" s="83">
        <v>2.1482276332190469E-5</v>
      </c>
    </row>
    <row r="120" spans="2:31" x14ac:dyDescent="0.2">
      <c r="B120" s="83">
        <v>90299930704516.984</v>
      </c>
      <c r="C120" s="83">
        <v>7.0017985921647671E-5</v>
      </c>
      <c r="D120" s="83">
        <v>99796220447000.156</v>
      </c>
      <c r="E120" s="83">
        <v>7.3959175263649189E-5</v>
      </c>
      <c r="F120" s="83">
        <v>89756916539203.969</v>
      </c>
      <c r="G120" s="83">
        <v>6.9196307697199459E-5</v>
      </c>
      <c r="H120" s="83">
        <v>77436438914342.672</v>
      </c>
      <c r="I120" s="83">
        <v>6.1069462146408715E-5</v>
      </c>
      <c r="J120" s="83">
        <v>79558847819668.531</v>
      </c>
      <c r="K120" s="83">
        <v>6.1806953385885101E-5</v>
      </c>
      <c r="L120" s="83">
        <v>65364162543067.422</v>
      </c>
      <c r="M120" s="83">
        <v>5.2301169994437634E-5</v>
      </c>
      <c r="N120" s="83">
        <v>67069379351677.898</v>
      </c>
      <c r="O120" s="83">
        <v>5.1871486501810624E-5</v>
      </c>
      <c r="P120" s="83">
        <v>56255290680741.977</v>
      </c>
      <c r="Q120" s="83">
        <v>4.3253657160757846E-5</v>
      </c>
      <c r="R120" s="83">
        <v>49115237735558.117</v>
      </c>
      <c r="S120" s="83">
        <v>3.725461040502706E-5</v>
      </c>
      <c r="T120" s="83">
        <v>45785722288221.789</v>
      </c>
      <c r="U120" s="83">
        <v>3.5828112191993261E-5</v>
      </c>
      <c r="V120" s="83">
        <v>43679802955572.414</v>
      </c>
      <c r="W120" s="83">
        <v>3.3580358146575107E-5</v>
      </c>
      <c r="X120" s="83">
        <v>41060916680621.789</v>
      </c>
      <c r="Y120" s="83">
        <v>3.2584452298390993E-5</v>
      </c>
      <c r="Z120" s="83">
        <v>35364008779599.133</v>
      </c>
      <c r="AA120" s="83">
        <v>2.8298321069927239E-5</v>
      </c>
      <c r="AB120" s="83">
        <v>32081276863808.434</v>
      </c>
      <c r="AC120" s="83">
        <v>2.6129218513160013E-5</v>
      </c>
      <c r="AD120" s="83">
        <v>29010123163501.457</v>
      </c>
      <c r="AE120" s="83">
        <v>2.2724417767815362E-5</v>
      </c>
    </row>
    <row r="121" spans="2:31" x14ac:dyDescent="0.2">
      <c r="B121" s="83">
        <v>91778264924658.312</v>
      </c>
      <c r="C121" s="83">
        <v>7.8718912347735311E-5</v>
      </c>
      <c r="D121" s="83">
        <v>87650638410877.281</v>
      </c>
      <c r="E121" s="83">
        <v>6.9245362230806296E-5</v>
      </c>
      <c r="F121" s="83">
        <v>86543243460184.547</v>
      </c>
      <c r="G121" s="83">
        <v>7.2955528794752989E-5</v>
      </c>
      <c r="H121" s="83">
        <v>72933870272603.984</v>
      </c>
      <c r="I121" s="83">
        <v>5.8842336126372873E-5</v>
      </c>
      <c r="J121" s="83">
        <v>72291469399237.469</v>
      </c>
      <c r="K121" s="83">
        <v>5.9079364528654476E-5</v>
      </c>
      <c r="L121" s="83">
        <v>65217597771501.789</v>
      </c>
      <c r="M121" s="83">
        <v>5.6176339215744224E-5</v>
      </c>
      <c r="N121" s="83">
        <v>64337592146227.359</v>
      </c>
      <c r="O121" s="83">
        <v>5.2856190804033452E-5</v>
      </c>
      <c r="P121" s="83">
        <v>55233351535849.406</v>
      </c>
      <c r="Q121" s="83">
        <v>4.4797074566651456E-5</v>
      </c>
      <c r="R121" s="83">
        <v>46703782592696.219</v>
      </c>
      <c r="S121" s="83">
        <v>3.7682182485579737E-5</v>
      </c>
      <c r="T121" s="83">
        <v>41316217341736.023</v>
      </c>
      <c r="U121" s="83">
        <v>3.4578960237307291E-5</v>
      </c>
      <c r="V121" s="83">
        <v>42432589323734.437</v>
      </c>
      <c r="W121" s="83">
        <v>3.4854276128818665E-5</v>
      </c>
      <c r="X121" s="83">
        <v>36620926926745.219</v>
      </c>
      <c r="Y121" s="83">
        <v>3.0953628953904034E-5</v>
      </c>
      <c r="Z121" s="83">
        <v>34028563569476.602</v>
      </c>
      <c r="AA121" s="83">
        <v>2.8804020721252816E-5</v>
      </c>
      <c r="AB121" s="83">
        <v>31201966281625.195</v>
      </c>
      <c r="AC121" s="83">
        <v>2.6946380702710909E-5</v>
      </c>
      <c r="AD121" s="83">
        <v>26444118510532.32</v>
      </c>
      <c r="AE121" s="83">
        <v>2.2387306543220306E-5</v>
      </c>
    </row>
    <row r="122" spans="2:31" x14ac:dyDescent="0.2">
      <c r="B122" s="83">
        <v>84130299160746.469</v>
      </c>
      <c r="C122" s="83">
        <v>7.778432350677188E-5</v>
      </c>
      <c r="D122" s="83">
        <v>85320419664662.531</v>
      </c>
      <c r="E122" s="83">
        <v>7.2011852939324799E-5</v>
      </c>
      <c r="F122" s="83">
        <v>82862820445745.484</v>
      </c>
      <c r="G122" s="83">
        <v>7.4340498043764172E-5</v>
      </c>
      <c r="H122" s="83">
        <v>62902284952191.891</v>
      </c>
      <c r="I122" s="83">
        <v>5.5654921037243726E-5</v>
      </c>
      <c r="J122" s="83">
        <v>64615498367648.945</v>
      </c>
      <c r="K122" s="83">
        <v>5.7806119690556486E-5</v>
      </c>
      <c r="L122" s="83">
        <v>61212503447194.602</v>
      </c>
      <c r="M122" s="83">
        <v>5.478193788123218E-5</v>
      </c>
      <c r="N122" s="83">
        <v>63828352345482.602</v>
      </c>
      <c r="O122" s="83">
        <v>5.7024784739719774E-5</v>
      </c>
      <c r="P122" s="83">
        <v>51912444941434.156</v>
      </c>
      <c r="Q122" s="83">
        <v>4.5187077400978123E-5</v>
      </c>
      <c r="R122" s="83">
        <v>43328747343463.359</v>
      </c>
      <c r="S122" s="83">
        <v>3.7647544985007007E-5</v>
      </c>
      <c r="T122" s="83">
        <v>39233648698181.953</v>
      </c>
      <c r="U122" s="83">
        <v>3.5112621378438672E-5</v>
      </c>
      <c r="V122" s="83">
        <v>38335600383827.164</v>
      </c>
      <c r="W122" s="83">
        <v>3.3716266598861633E-5</v>
      </c>
      <c r="X122" s="83">
        <v>33252154445647.07</v>
      </c>
      <c r="Y122" s="83">
        <v>2.9809287881908238E-5</v>
      </c>
      <c r="Z122" s="83">
        <v>33391296740368.91</v>
      </c>
      <c r="AA122" s="83">
        <v>3.0005966242014475E-5</v>
      </c>
      <c r="AB122" s="83">
        <v>27714391306977.859</v>
      </c>
      <c r="AC122" s="83">
        <v>2.5552277399751782E-5</v>
      </c>
      <c r="AD122" s="83">
        <v>23905831672692.988</v>
      </c>
      <c r="AE122" s="83">
        <v>2.1601208932550096E-5</v>
      </c>
    </row>
    <row r="123" spans="2:31" x14ac:dyDescent="0.2">
      <c r="B123" s="83">
        <v>81174623936580.828</v>
      </c>
      <c r="C123" s="83">
        <v>7.8838857833412939E-5</v>
      </c>
      <c r="D123" s="83">
        <v>81948318893477.266</v>
      </c>
      <c r="E123" s="83">
        <v>7.4577009381152499E-5</v>
      </c>
      <c r="F123" s="83">
        <v>79241592064108.937</v>
      </c>
      <c r="G123" s="83">
        <v>7.3976929391228688E-5</v>
      </c>
      <c r="H123" s="83">
        <v>55477426713187.906</v>
      </c>
      <c r="I123" s="83">
        <v>5.1447948187517906E-5</v>
      </c>
      <c r="J123" s="83">
        <v>63121850829612.43</v>
      </c>
      <c r="K123" s="83">
        <v>6.0768920342955768E-5</v>
      </c>
      <c r="L123" s="83">
        <v>53547279885497.437</v>
      </c>
      <c r="M123" s="83">
        <v>5.2199277082607089E-5</v>
      </c>
      <c r="N123" s="83">
        <v>59199712237099.164</v>
      </c>
      <c r="O123" s="83">
        <v>5.4257058606785134E-5</v>
      </c>
      <c r="P123" s="83">
        <v>45188386488876.344</v>
      </c>
      <c r="Q123" s="83">
        <v>4.1184240178159781E-5</v>
      </c>
      <c r="R123" s="83">
        <v>39673633017910.875</v>
      </c>
      <c r="S123" s="83">
        <v>3.7772846803875498E-5</v>
      </c>
      <c r="T123" s="83">
        <v>38173623770021.664</v>
      </c>
      <c r="U123" s="83">
        <v>3.5862401189382351E-5</v>
      </c>
      <c r="V123" s="83">
        <v>37623333488907.75</v>
      </c>
      <c r="W123" s="83">
        <v>3.5845750798735615E-5</v>
      </c>
      <c r="X123" s="83">
        <v>30953200208288.23</v>
      </c>
      <c r="Y123" s="83">
        <v>3.0024217899997222E-5</v>
      </c>
      <c r="Z123" s="83">
        <v>31510238710566.637</v>
      </c>
      <c r="AA123" s="83">
        <v>2.97337348104298E-5</v>
      </c>
      <c r="AB123" s="83">
        <v>28196301252375.047</v>
      </c>
      <c r="AC123" s="83">
        <v>2.8161328725008663E-5</v>
      </c>
      <c r="AD123" s="83">
        <v>24196608534582.395</v>
      </c>
      <c r="AE123" s="83">
        <v>2.3452601249486544E-5</v>
      </c>
    </row>
    <row r="124" spans="2:31" x14ac:dyDescent="0.2">
      <c r="B124" s="83">
        <v>77512730723960.922</v>
      </c>
      <c r="C124" s="83">
        <v>8.1825342358748227E-5</v>
      </c>
      <c r="D124" s="83">
        <v>74715298081934.312</v>
      </c>
      <c r="E124" s="83">
        <v>7.1963441463232319E-5</v>
      </c>
      <c r="F124" s="83">
        <v>71534102530296.328</v>
      </c>
      <c r="G124" s="83">
        <v>7.1023386148502985E-5</v>
      </c>
      <c r="H124" s="83">
        <v>53743670817068.023</v>
      </c>
      <c r="I124" s="83">
        <v>5.5210205301993167E-5</v>
      </c>
      <c r="J124" s="83">
        <v>62606950153031.617</v>
      </c>
      <c r="K124" s="83">
        <v>6.4521643842778287E-5</v>
      </c>
      <c r="L124" s="83">
        <v>49252843218481.797</v>
      </c>
      <c r="M124" s="83">
        <v>5.1131514382171591E-5</v>
      </c>
      <c r="N124" s="83">
        <v>55451665708988.094</v>
      </c>
      <c r="O124" s="83">
        <v>5.5092306172260729E-5</v>
      </c>
      <c r="P124" s="83">
        <v>39488925301109.969</v>
      </c>
      <c r="Q124" s="83">
        <v>3.8849131220944545E-5</v>
      </c>
      <c r="R124" s="83">
        <v>39111426820190.578</v>
      </c>
      <c r="S124" s="83">
        <v>3.9886555175348995E-5</v>
      </c>
      <c r="T124" s="83">
        <v>34918654491508.055</v>
      </c>
      <c r="U124" s="83">
        <v>3.4987304874784742E-5</v>
      </c>
      <c r="V124" s="83">
        <v>35059453619002.414</v>
      </c>
      <c r="W124" s="83">
        <v>3.5446782641958327E-5</v>
      </c>
      <c r="X124" s="83">
        <v>29658294539833.184</v>
      </c>
      <c r="Y124" s="83">
        <v>3.0444568025893325E-5</v>
      </c>
      <c r="Z124" s="83">
        <v>25112531920012.066</v>
      </c>
      <c r="AA124" s="83">
        <v>2.5148175818857571E-5</v>
      </c>
      <c r="AB124" s="83">
        <v>26013948911003.566</v>
      </c>
      <c r="AC124" s="83">
        <v>2.7509347564860976E-5</v>
      </c>
      <c r="AD124" s="83">
        <v>22848597579349.918</v>
      </c>
      <c r="AE124" s="83">
        <v>2.4171833829037863E-5</v>
      </c>
    </row>
    <row r="125" spans="2:31" x14ac:dyDescent="0.2">
      <c r="B125" s="83">
        <v>71924658835383.172</v>
      </c>
      <c r="C125" s="83">
        <v>8.0199601112861685E-5</v>
      </c>
      <c r="D125" s="83">
        <v>67913887894165.219</v>
      </c>
      <c r="E125" s="83">
        <v>7.0385266733234442E-5</v>
      </c>
      <c r="F125" s="83">
        <v>63771407160162.562</v>
      </c>
      <c r="G125" s="83">
        <v>6.7519166036619609E-5</v>
      </c>
      <c r="H125" s="83">
        <v>52172640572918.719</v>
      </c>
      <c r="I125" s="83">
        <v>5.7074205745827435E-5</v>
      </c>
      <c r="J125" s="83">
        <v>58281716962927.797</v>
      </c>
      <c r="K125" s="83">
        <v>6.4765946878850048E-5</v>
      </c>
      <c r="L125" s="83">
        <v>43935404626381.617</v>
      </c>
      <c r="M125" s="83">
        <v>4.8938960551683472E-5</v>
      </c>
      <c r="N125" s="83">
        <v>46433207360142.164</v>
      </c>
      <c r="O125" s="83">
        <v>4.9748926348005362E-5</v>
      </c>
      <c r="P125" s="83">
        <v>38340952999290.187</v>
      </c>
      <c r="Q125" s="83">
        <v>4.0057547969338958E-5</v>
      </c>
      <c r="R125" s="83">
        <v>38027321856249.289</v>
      </c>
      <c r="S125" s="83">
        <v>4.1368540738840201E-5</v>
      </c>
      <c r="T125" s="83">
        <v>33518653827537.844</v>
      </c>
      <c r="U125" s="83">
        <v>3.5657030833057388E-5</v>
      </c>
      <c r="V125" s="83">
        <v>35486748542918.664</v>
      </c>
      <c r="W125" s="83">
        <v>3.8331120322149558E-5</v>
      </c>
      <c r="X125" s="83">
        <v>28331353220591.906</v>
      </c>
      <c r="Y125" s="83">
        <v>3.1459636622149499E-5</v>
      </c>
      <c r="Z125" s="83">
        <v>22537211529625.367</v>
      </c>
      <c r="AA125" s="83">
        <v>2.4453449578280993E-5</v>
      </c>
      <c r="AB125" s="83">
        <v>26467335464072.469</v>
      </c>
      <c r="AC125" s="83">
        <v>2.988687351026707E-5</v>
      </c>
      <c r="AD125" s="83">
        <v>21791588271237.574</v>
      </c>
      <c r="AE125" s="83">
        <v>2.4574261231452186E-5</v>
      </c>
    </row>
    <row r="126" spans="2:31" x14ac:dyDescent="0.2">
      <c r="B126" s="83">
        <v>69420169092495.656</v>
      </c>
      <c r="C126" s="83">
        <v>0</v>
      </c>
      <c r="D126" s="83">
        <v>63013497633945.625</v>
      </c>
      <c r="E126" s="83">
        <v>0</v>
      </c>
      <c r="F126" s="83">
        <v>62312646235557.914</v>
      </c>
      <c r="G126" s="83">
        <v>0</v>
      </c>
      <c r="H126" s="83">
        <v>50385125128704.586</v>
      </c>
      <c r="I126" s="83">
        <v>0</v>
      </c>
      <c r="J126" s="83">
        <v>52413833701099.68</v>
      </c>
      <c r="K126" s="83">
        <v>0</v>
      </c>
      <c r="L126" s="83">
        <v>42130954849781.984</v>
      </c>
      <c r="M126" s="83">
        <v>0</v>
      </c>
      <c r="N126" s="83">
        <v>45600967182385.125</v>
      </c>
      <c r="O126" s="83">
        <v>0</v>
      </c>
      <c r="P126" s="83">
        <v>37235595523510.156</v>
      </c>
      <c r="Q126" s="83">
        <v>0</v>
      </c>
      <c r="R126" s="83">
        <v>35618516157877.586</v>
      </c>
      <c r="S126" s="83">
        <v>0</v>
      </c>
      <c r="T126" s="83">
        <v>31400098375217.559</v>
      </c>
      <c r="U126" s="83">
        <v>0</v>
      </c>
      <c r="V126" s="83">
        <v>33564315372188.66</v>
      </c>
      <c r="W126" s="83">
        <v>0</v>
      </c>
      <c r="X126" s="83">
        <v>26131094722194.648</v>
      </c>
      <c r="Y126" s="83">
        <v>0</v>
      </c>
      <c r="Z126" s="83">
        <v>20992494546241.551</v>
      </c>
      <c r="AA126" s="83">
        <v>0</v>
      </c>
      <c r="AB126" s="83">
        <v>25248868860342.312</v>
      </c>
      <c r="AC126" s="83">
        <v>0</v>
      </c>
      <c r="AD126" s="83">
        <v>21104608912749.391</v>
      </c>
      <c r="AE126" s="83">
        <v>0</v>
      </c>
    </row>
    <row r="127" spans="2:31" x14ac:dyDescent="0.2">
      <c r="B127" s="83">
        <v>65182570827455.805</v>
      </c>
      <c r="C127" s="83">
        <v>0</v>
      </c>
      <c r="D127" s="83">
        <v>57808150067705.414</v>
      </c>
      <c r="E127" s="83">
        <v>0</v>
      </c>
      <c r="F127" s="83">
        <v>55078959983869.031</v>
      </c>
      <c r="G127" s="83">
        <v>0</v>
      </c>
      <c r="H127" s="83">
        <v>45131979875242.906</v>
      </c>
      <c r="I127" s="83">
        <v>0</v>
      </c>
      <c r="J127" s="83">
        <v>49120623884456.383</v>
      </c>
      <c r="K127" s="83">
        <v>0</v>
      </c>
      <c r="L127" s="83">
        <v>40424227695902.414</v>
      </c>
      <c r="M127" s="83">
        <v>0</v>
      </c>
      <c r="N127" s="83">
        <v>43474706678303.148</v>
      </c>
      <c r="O127" s="83">
        <v>0</v>
      </c>
      <c r="P127" s="83">
        <v>36257808076576.844</v>
      </c>
      <c r="Q127" s="83">
        <v>0</v>
      </c>
      <c r="R127" s="83">
        <v>33290539415570.934</v>
      </c>
      <c r="S127" s="83">
        <v>0</v>
      </c>
      <c r="T127" s="83">
        <v>23007031841007.055</v>
      </c>
      <c r="U127" s="83">
        <v>0</v>
      </c>
      <c r="V127" s="83">
        <v>28795770401322.207</v>
      </c>
      <c r="W127" s="83">
        <v>0</v>
      </c>
      <c r="X127" s="83">
        <v>27684116250285.309</v>
      </c>
      <c r="Y127" s="83">
        <v>0</v>
      </c>
      <c r="Z127" s="83">
        <v>20962228449426.48</v>
      </c>
      <c r="AA127" s="83">
        <v>0</v>
      </c>
      <c r="AB127" s="83">
        <v>20292777593107.348</v>
      </c>
      <c r="AC127" s="83">
        <v>0</v>
      </c>
      <c r="AD127" s="83">
        <v>20047980639536.109</v>
      </c>
      <c r="AE127" s="83">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123</vt:i4>
      </vt:variant>
    </vt:vector>
  </HeadingPairs>
  <TitlesOfParts>
    <vt:vector size="129" baseType="lpstr">
      <vt:lpstr>User</vt:lpstr>
      <vt:lpstr>Settings</vt:lpstr>
      <vt:lpstr>Summary</vt:lpstr>
      <vt:lpstr>Multi</vt:lpstr>
      <vt:lpstr>RawData</vt:lpstr>
      <vt:lpstr>Plots</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BaseGainFlag</vt:lpstr>
      <vt:lpstr>BiasLight</vt:lpstr>
      <vt:lpstr>BiasPtCD</vt:lpstr>
      <vt:lpstr>C_cal</vt:lpstr>
      <vt:lpstr>C_wafer</vt:lpstr>
      <vt:lpstr>CorrectedResistivity</vt:lpstr>
      <vt:lpstr>CorrectedSheetRho</vt:lpstr>
      <vt:lpstr>CouplingMode</vt:lpstr>
      <vt:lpstr>cutoffflag</vt:lpstr>
      <vt:lpstr>Dark_Voltage</vt:lpstr>
      <vt:lpstr>DK</vt:lpstr>
      <vt:lpstr>DL</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HighTemp</vt:lpstr>
      <vt:lpstr>ImpliedVoc1sun</vt:lpstr>
      <vt:lpstr>InputResistivity</vt:lpstr>
      <vt:lpstr>InstrumentSN</vt:lpstr>
      <vt:lpstr>InstrumentType</vt:lpstr>
      <vt:lpstr>IsLogged</vt:lpstr>
      <vt:lpstr>Jo</vt:lpstr>
      <vt:lpstr>LifetimeTextLabel</vt:lpstr>
      <vt:lpstr>LightBiasErrorMsg</vt:lpstr>
      <vt:lpstr>LowTemp</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MeasureTempCmd</vt:lpstr>
      <vt:lpstr>MinApparentCD</vt:lpstr>
      <vt:lpstr>MinTauLimit</vt:lpstr>
      <vt:lpstr>MobilityModel</vt:lpstr>
      <vt:lpstr>mobilitymodelerror</vt:lpstr>
      <vt:lpstr>MobilityModelList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StepSize</vt:lpstr>
      <vt:lpstr>TauFitIntercept</vt:lpstr>
      <vt:lpstr>TauInvspecMCD</vt:lpstr>
      <vt:lpstr>Temperature</vt:lpstr>
      <vt:lpstr>TempScanAverage</vt:lpstr>
      <vt:lpstr>TextSummary</vt:lpstr>
      <vt:lpstr>TextSummaryFN</vt:lpstr>
      <vt:lpstr>TF_List</vt:lpstr>
      <vt:lpstr>TF_PassFail</vt:lpstr>
      <vt:lpstr>Thickness</vt:lpstr>
      <vt:lpstr>TimeofMaxCD</vt:lpstr>
      <vt:lpstr>TimeScaleFlags</vt:lpstr>
      <vt:lpstr>TNumTaus</vt:lpstr>
      <vt:lpstr>Tolerance</vt:lpstr>
      <vt:lpstr>TransFlashDelay</vt:lpstr>
      <vt:lpstr>Traps</vt:lpstr>
      <vt:lpstr>TSampleTime</vt:lpstr>
      <vt:lpstr>type_list</vt:lpstr>
      <vt:lpstr>ViewPoint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Operator</cp:lastModifiedBy>
  <cp:lastPrinted>2012-01-16T22:35:25Z</cp:lastPrinted>
  <dcterms:created xsi:type="dcterms:W3CDTF">1998-06-23T16:13:05Z</dcterms:created>
  <dcterms:modified xsi:type="dcterms:W3CDTF">2015-02-21T00:13:43Z</dcterms:modified>
</cp:coreProperties>
</file>